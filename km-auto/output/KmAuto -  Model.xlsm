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Consolight_RPA\Robots\km-auto\output\"/>
    </mc:Choice>
  </mc:AlternateContent>
  <xr:revisionPtr revIDLastSave="0" documentId="13_ncr:1_{732D4230-9013-4DF0-BFE8-FEC9BB7308AE}" xr6:coauthVersionLast="47" xr6:coauthVersionMax="47" xr10:uidLastSave="{00000000-0000-0000-0000-000000000000}"/>
  <bookViews>
    <workbookView xWindow="-28920" yWindow="-120" windowWidth="29040" windowHeight="15990" xr2:uid="{00000000-000D-0000-FFFF-FFFF00000000}"/>
  </bookViews>
  <sheets>
    <sheet name="Sheet1 (2)" sheetId="95" r:id="rId1"/>
    <sheet name="MyQuery" sheetId="104" r:id="rId2"/>
    <sheet name="Sheet1" sheetId="35" r:id="rId3"/>
    <sheet name="Utilizatori" sheetId="19" r:id="rId4"/>
    <sheet name="Sheet10" sheetId="43" r:id="rId5"/>
    <sheet name="Sheet2" sheetId="1" r:id="rId6"/>
  </sheets>
  <functionGroups builtInGroupCount="19"/>
  <definedNames>
    <definedName name="_xlnm._FilterDatabase" localSheetId="2" hidden="1">Sheet1!$A$1:$AE$1</definedName>
    <definedName name="_xlnm._FilterDatabase" localSheetId="0" hidden="1">'Sheet1 (2)'!$A$1:$AE$1</definedName>
    <definedName name="_xlnm._FilterDatabase" localSheetId="5" hidden="1">Sheet2!$A$1:$AE$1</definedName>
    <definedName name="_xlnm._FilterDatabase" localSheetId="3" hidden="1">Utilizatori!$A$1:$AE$1</definedName>
    <definedName name="DestRange" localSheetId="2">Sheet1!$A$3:$I$118</definedName>
    <definedName name="DestRange" localSheetId="0">'Sheet1 (2)'!$A$3:$I$118</definedName>
    <definedName name="DestRange" localSheetId="3">Utilizatori!$A$3:$I$131</definedName>
    <definedName name="DestRange">Sheet2!$A$3:$I$118</definedName>
    <definedName name="ExternalData_1" localSheetId="1" hidden="1">MyQuery!$A$1:$AV$2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18" i="95" l="1"/>
  <c r="AE118" i="95"/>
  <c r="Z118" i="95"/>
  <c r="AA118" i="95" s="1"/>
  <c r="AB118" i="95" s="1"/>
  <c r="U118" i="95"/>
  <c r="V118" i="95" s="1"/>
  <c r="W118" i="95" s="1"/>
  <c r="P118" i="95"/>
  <c r="Q118" i="95" s="1"/>
  <c r="R118" i="95" s="1"/>
  <c r="L118" i="95"/>
  <c r="M118" i="95" s="1"/>
  <c r="K118" i="95"/>
  <c r="AF117" i="95"/>
  <c r="AI117" i="95" s="1"/>
  <c r="AE117" i="95"/>
  <c r="AB117" i="95"/>
  <c r="AA117" i="95"/>
  <c r="Z117" i="95"/>
  <c r="U117" i="95"/>
  <c r="V117" i="95" s="1"/>
  <c r="W117" i="95" s="1"/>
  <c r="Q117" i="95"/>
  <c r="R117" i="95" s="1"/>
  <c r="P117" i="95"/>
  <c r="L117" i="95"/>
  <c r="M117" i="95" s="1"/>
  <c r="K117" i="95"/>
  <c r="AF116" i="95"/>
  <c r="AG116" i="95" s="1"/>
  <c r="AE116" i="95"/>
  <c r="Z116" i="95"/>
  <c r="AA116" i="95" s="1"/>
  <c r="AB116" i="95" s="1"/>
  <c r="U116" i="95"/>
  <c r="V116" i="95" s="1"/>
  <c r="W116" i="95" s="1"/>
  <c r="P116" i="95"/>
  <c r="Q116" i="95" s="1"/>
  <c r="L116" i="95"/>
  <c r="M116" i="95" s="1"/>
  <c r="K116" i="95"/>
  <c r="AE115" i="95"/>
  <c r="AF115" i="95" s="1"/>
  <c r="Z115" i="95"/>
  <c r="AA115" i="95" s="1"/>
  <c r="AB115" i="95" s="1"/>
  <c r="U115" i="95"/>
  <c r="V115" i="95" s="1"/>
  <c r="W115" i="95" s="1"/>
  <c r="Q115" i="95"/>
  <c r="R115" i="95" s="1"/>
  <c r="P115" i="95"/>
  <c r="K115" i="95"/>
  <c r="L115" i="95" s="1"/>
  <c r="M115" i="95" s="1"/>
  <c r="AG114" i="95"/>
  <c r="AF114" i="95"/>
  <c r="AE114" i="95"/>
  <c r="U114" i="95"/>
  <c r="V114" i="95" s="1"/>
  <c r="W114" i="95" s="1"/>
  <c r="Q114" i="95"/>
  <c r="R114" i="95" s="1"/>
  <c r="P114" i="95"/>
  <c r="L114" i="95"/>
  <c r="M114" i="95" s="1"/>
  <c r="K114" i="95"/>
  <c r="AI113" i="95"/>
  <c r="AF113" i="95"/>
  <c r="AG113" i="95" s="1"/>
  <c r="AE113" i="95"/>
  <c r="Z113" i="95"/>
  <c r="AA113" i="95" s="1"/>
  <c r="AB113" i="95" s="1"/>
  <c r="U113" i="95"/>
  <c r="V113" i="95" s="1"/>
  <c r="W113" i="95" s="1"/>
  <c r="Q113" i="95"/>
  <c r="R113" i="95" s="1"/>
  <c r="AJ113" i="95" s="1"/>
  <c r="P113" i="95"/>
  <c r="L113" i="95"/>
  <c r="M113" i="95" s="1"/>
  <c r="K113" i="95"/>
  <c r="AE112" i="95"/>
  <c r="AF112" i="95" s="1"/>
  <c r="Z112" i="95"/>
  <c r="AA112" i="95" s="1"/>
  <c r="AB112" i="95" s="1"/>
  <c r="U112" i="95"/>
  <c r="V112" i="95" s="1"/>
  <c r="W112" i="95" s="1"/>
  <c r="Q112" i="95"/>
  <c r="R112" i="95" s="1"/>
  <c r="P112" i="95"/>
  <c r="K112" i="95"/>
  <c r="L112" i="95" s="1"/>
  <c r="M112" i="95" s="1"/>
  <c r="L111" i="95"/>
  <c r="AI111" i="95" s="1"/>
  <c r="K111" i="95"/>
  <c r="AE110" i="95"/>
  <c r="AF110" i="95" s="1"/>
  <c r="Z110" i="95"/>
  <c r="AA110" i="95" s="1"/>
  <c r="AB110" i="95" s="1"/>
  <c r="V110" i="95"/>
  <c r="W110" i="95" s="1"/>
  <c r="U110" i="95"/>
  <c r="Q110" i="95"/>
  <c r="R110" i="95" s="1"/>
  <c r="P110" i="95"/>
  <c r="K110" i="95"/>
  <c r="L110" i="95" s="1"/>
  <c r="M110" i="95" s="1"/>
  <c r="AE109" i="95"/>
  <c r="AF109" i="95" s="1"/>
  <c r="AB109" i="95"/>
  <c r="Z109" i="95"/>
  <c r="AA109" i="95" s="1"/>
  <c r="V109" i="95"/>
  <c r="W109" i="95" s="1"/>
  <c r="U109" i="95"/>
  <c r="R109" i="95"/>
  <c r="Q109" i="95"/>
  <c r="P109" i="95"/>
  <c r="K109" i="95"/>
  <c r="L109" i="95" s="1"/>
  <c r="M109" i="95" s="1"/>
  <c r="AE108" i="95"/>
  <c r="AF108" i="95" s="1"/>
  <c r="AA108" i="95"/>
  <c r="AB108" i="95" s="1"/>
  <c r="Z108" i="95"/>
  <c r="V108" i="95"/>
  <c r="W108" i="95" s="1"/>
  <c r="U108" i="95"/>
  <c r="AE107" i="95"/>
  <c r="AF107" i="95" s="1"/>
  <c r="AG107" i="95" s="1"/>
  <c r="Z107" i="95"/>
  <c r="AA107" i="95" s="1"/>
  <c r="AB107" i="95" s="1"/>
  <c r="U107" i="95"/>
  <c r="V107" i="95" s="1"/>
  <c r="W107" i="95" s="1"/>
  <c r="P107" i="95"/>
  <c r="Q107" i="95" s="1"/>
  <c r="R107" i="95" s="1"/>
  <c r="K107" i="95"/>
  <c r="L107" i="95" s="1"/>
  <c r="M107" i="95" s="1"/>
  <c r="AG106" i="95"/>
  <c r="AF106" i="95"/>
  <c r="AI106" i="95" s="1"/>
  <c r="AE106" i="95"/>
  <c r="Z106" i="95"/>
  <c r="AA106" i="95" s="1"/>
  <c r="AB106" i="95" s="1"/>
  <c r="W106" i="95"/>
  <c r="U106" i="95"/>
  <c r="V106" i="95" s="1"/>
  <c r="Q106" i="95"/>
  <c r="R106" i="95" s="1"/>
  <c r="P106" i="95"/>
  <c r="M106" i="95"/>
  <c r="L106" i="95"/>
  <c r="K106" i="95"/>
  <c r="AG105" i="95"/>
  <c r="AJ105" i="95" s="1"/>
  <c r="AF105" i="95"/>
  <c r="AI105" i="95" s="1"/>
  <c r="AE105" i="95"/>
  <c r="Z104" i="95"/>
  <c r="AA104" i="95" s="1"/>
  <c r="U104" i="95"/>
  <c r="V104" i="95" s="1"/>
  <c r="W104" i="95" s="1"/>
  <c r="AE103" i="95"/>
  <c r="AF103" i="95" s="1"/>
  <c r="AI103" i="95" s="1"/>
  <c r="AA103" i="95"/>
  <c r="AB103" i="95" s="1"/>
  <c r="Z103" i="95"/>
  <c r="W103" i="95"/>
  <c r="V103" i="95"/>
  <c r="U103" i="95"/>
  <c r="P103" i="95"/>
  <c r="Q103" i="95" s="1"/>
  <c r="R103" i="95" s="1"/>
  <c r="M103" i="95"/>
  <c r="K103" i="95"/>
  <c r="L103" i="95" s="1"/>
  <c r="AF102" i="95"/>
  <c r="AE102" i="95"/>
  <c r="AA102" i="95"/>
  <c r="AB102" i="95" s="1"/>
  <c r="Z102" i="95"/>
  <c r="V102" i="95"/>
  <c r="W102" i="95" s="1"/>
  <c r="U102" i="95"/>
  <c r="P102" i="95"/>
  <c r="Q102" i="95" s="1"/>
  <c r="R102" i="95" s="1"/>
  <c r="L102" i="95"/>
  <c r="M102" i="95" s="1"/>
  <c r="K102" i="95"/>
  <c r="AF101" i="95"/>
  <c r="AE101" i="95"/>
  <c r="Z101" i="95"/>
  <c r="AA101" i="95" s="1"/>
  <c r="AB101" i="95" s="1"/>
  <c r="U101" i="95"/>
  <c r="V101" i="95" s="1"/>
  <c r="W101" i="95" s="1"/>
  <c r="P101" i="95"/>
  <c r="Q101" i="95" s="1"/>
  <c r="R101" i="95" s="1"/>
  <c r="L101" i="95"/>
  <c r="M101" i="95" s="1"/>
  <c r="K101" i="95"/>
  <c r="AF100" i="95"/>
  <c r="AE100" i="95"/>
  <c r="AB100" i="95"/>
  <c r="AA100" i="95"/>
  <c r="Z100" i="95"/>
  <c r="U100" i="95"/>
  <c r="V100" i="95" s="1"/>
  <c r="W100" i="95" s="1"/>
  <c r="R100" i="95"/>
  <c r="P100" i="95"/>
  <c r="Q100" i="95" s="1"/>
  <c r="L100" i="95"/>
  <c r="M100" i="95" s="1"/>
  <c r="K100" i="95"/>
  <c r="AF99" i="95"/>
  <c r="AE99" i="95"/>
  <c r="AA99" i="95"/>
  <c r="AB99" i="95" s="1"/>
  <c r="Z99" i="95"/>
  <c r="U99" i="95"/>
  <c r="V99" i="95" s="1"/>
  <c r="W99" i="95" s="1"/>
  <c r="Q99" i="95"/>
  <c r="R99" i="95" s="1"/>
  <c r="P99" i="95"/>
  <c r="L99" i="95"/>
  <c r="M99" i="95" s="1"/>
  <c r="K99" i="95"/>
  <c r="AE98" i="95"/>
  <c r="AF98" i="95" s="1"/>
  <c r="AG98" i="95" s="1"/>
  <c r="AJ98" i="95" s="1"/>
  <c r="Z98" i="95"/>
  <c r="AA98" i="95" s="1"/>
  <c r="AB98" i="95" s="1"/>
  <c r="U98" i="95"/>
  <c r="V98" i="95" s="1"/>
  <c r="W98" i="95" s="1"/>
  <c r="P98" i="95"/>
  <c r="Q98" i="95" s="1"/>
  <c r="R98" i="95" s="1"/>
  <c r="K98" i="95"/>
  <c r="L98" i="95" s="1"/>
  <c r="M98" i="95" s="1"/>
  <c r="AG97" i="95"/>
  <c r="AF97" i="95"/>
  <c r="AI97" i="95" s="1"/>
  <c r="AE97" i="95"/>
  <c r="Z97" i="95"/>
  <c r="AA97" i="95" s="1"/>
  <c r="AB97" i="95" s="1"/>
  <c r="W97" i="95"/>
  <c r="U97" i="95"/>
  <c r="V97" i="95" s="1"/>
  <c r="Q97" i="95"/>
  <c r="R97" i="95" s="1"/>
  <c r="P97" i="95"/>
  <c r="M97" i="95"/>
  <c r="L97" i="95"/>
  <c r="K97" i="95"/>
  <c r="AB96" i="95"/>
  <c r="AJ96" i="95" s="1"/>
  <c r="AA96" i="95"/>
  <c r="Z96" i="95"/>
  <c r="U96" i="95"/>
  <c r="V96" i="95" s="1"/>
  <c r="W96" i="95" s="1"/>
  <c r="Q96" i="95"/>
  <c r="R96" i="95" s="1"/>
  <c r="P96" i="95"/>
  <c r="AE95" i="95"/>
  <c r="AF95" i="95" s="1"/>
  <c r="Z95" i="95"/>
  <c r="AA95" i="95" s="1"/>
  <c r="AB95" i="95" s="1"/>
  <c r="U95" i="95"/>
  <c r="V95" i="95" s="1"/>
  <c r="W95" i="95" s="1"/>
  <c r="P95" i="95"/>
  <c r="Q95" i="95" s="1"/>
  <c r="R95" i="95" s="1"/>
  <c r="K95" i="95"/>
  <c r="L95" i="95" s="1"/>
  <c r="M95" i="95" s="1"/>
  <c r="AF94" i="95"/>
  <c r="AI94" i="95" s="1"/>
  <c r="AE94" i="95"/>
  <c r="AB94" i="95"/>
  <c r="AA94" i="95"/>
  <c r="Z94" i="95"/>
  <c r="U94" i="95"/>
  <c r="V94" i="95" s="1"/>
  <c r="W94" i="95" s="1"/>
  <c r="R94" i="95"/>
  <c r="Q94" i="95"/>
  <c r="P94" i="95"/>
  <c r="L94" i="95"/>
  <c r="M94" i="95" s="1"/>
  <c r="K94" i="95"/>
  <c r="AF93" i="95"/>
  <c r="AI93" i="95" s="1"/>
  <c r="AE93" i="95"/>
  <c r="AB93" i="95"/>
  <c r="AA93" i="95"/>
  <c r="Z93" i="95"/>
  <c r="U93" i="95"/>
  <c r="V93" i="95" s="1"/>
  <c r="W93" i="95" s="1"/>
  <c r="Q93" i="95"/>
  <c r="R93" i="95" s="1"/>
  <c r="P93" i="95"/>
  <c r="L93" i="95"/>
  <c r="M93" i="95" s="1"/>
  <c r="K93" i="95"/>
  <c r="AE92" i="95"/>
  <c r="AF92" i="95" s="1"/>
  <c r="AG92" i="95" s="1"/>
  <c r="AJ92" i="95" s="1"/>
  <c r="Z92" i="95"/>
  <c r="AA92" i="95" s="1"/>
  <c r="AB92" i="95" s="1"/>
  <c r="U92" i="95"/>
  <c r="V92" i="95" s="1"/>
  <c r="W92" i="95" s="1"/>
  <c r="Q92" i="95"/>
  <c r="R92" i="95" s="1"/>
  <c r="P92" i="95"/>
  <c r="K92" i="95"/>
  <c r="L92" i="95" s="1"/>
  <c r="M92" i="95" s="1"/>
  <c r="AG91" i="95"/>
  <c r="AF91" i="95"/>
  <c r="AI91" i="95" s="1"/>
  <c r="AE91" i="95"/>
  <c r="Z91" i="95"/>
  <c r="AA91" i="95" s="1"/>
  <c r="AB91" i="95" s="1"/>
  <c r="W91" i="95"/>
  <c r="V91" i="95"/>
  <c r="U91" i="95"/>
  <c r="Q91" i="95"/>
  <c r="R91" i="95" s="1"/>
  <c r="P91" i="95"/>
  <c r="M91" i="95"/>
  <c r="L91" i="95"/>
  <c r="K91" i="95"/>
  <c r="AF90" i="95"/>
  <c r="AI90" i="95" s="1"/>
  <c r="AE90" i="95"/>
  <c r="Z90" i="95"/>
  <c r="AA90" i="95" s="1"/>
  <c r="AB90" i="95" s="1"/>
  <c r="V90" i="95"/>
  <c r="W90" i="95" s="1"/>
  <c r="U90" i="95"/>
  <c r="Q90" i="95"/>
  <c r="R90" i="95" s="1"/>
  <c r="P90" i="95"/>
  <c r="M90" i="95"/>
  <c r="L90" i="95"/>
  <c r="K90" i="95"/>
  <c r="AE89" i="95"/>
  <c r="AF89" i="95" s="1"/>
  <c r="Z89" i="95"/>
  <c r="AA89" i="95" s="1"/>
  <c r="AB89" i="95" s="1"/>
  <c r="V89" i="95"/>
  <c r="W89" i="95" s="1"/>
  <c r="U89" i="95"/>
  <c r="P89" i="95"/>
  <c r="Q89" i="95" s="1"/>
  <c r="R89" i="95" s="1"/>
  <c r="K89" i="95"/>
  <c r="L89" i="95" s="1"/>
  <c r="M89" i="95" s="1"/>
  <c r="AE88" i="95"/>
  <c r="AF88" i="95" s="1"/>
  <c r="AB88" i="95"/>
  <c r="AA88" i="95"/>
  <c r="Z88" i="95"/>
  <c r="V88" i="95"/>
  <c r="W88" i="95" s="1"/>
  <c r="U88" i="95"/>
  <c r="R88" i="95"/>
  <c r="Q88" i="95"/>
  <c r="P88" i="95"/>
  <c r="K88" i="95"/>
  <c r="L88" i="95" s="1"/>
  <c r="M88" i="95" s="1"/>
  <c r="AE87" i="95"/>
  <c r="AF87" i="95" s="1"/>
  <c r="AA87" i="95"/>
  <c r="AB87" i="95" s="1"/>
  <c r="Z87" i="95"/>
  <c r="V87" i="95"/>
  <c r="W87" i="95" s="1"/>
  <c r="U87" i="95"/>
  <c r="R87" i="95"/>
  <c r="Q87" i="95"/>
  <c r="P87" i="95"/>
  <c r="K87" i="95"/>
  <c r="L87" i="95" s="1"/>
  <c r="M87" i="95" s="1"/>
  <c r="AE86" i="95"/>
  <c r="AF86" i="95" s="1"/>
  <c r="Z86" i="95"/>
  <c r="AA86" i="95" s="1"/>
  <c r="AB86" i="95" s="1"/>
  <c r="U86" i="95"/>
  <c r="V86" i="95" s="1"/>
  <c r="W86" i="95" s="1"/>
  <c r="P86" i="95"/>
  <c r="Q86" i="95" s="1"/>
  <c r="R86" i="95" s="1"/>
  <c r="K86" i="95"/>
  <c r="L86" i="95" s="1"/>
  <c r="M86" i="95" s="1"/>
  <c r="AG85" i="95"/>
  <c r="AF85" i="95"/>
  <c r="AE85" i="95"/>
  <c r="AA85" i="95"/>
  <c r="AB85" i="95" s="1"/>
  <c r="Z85" i="95"/>
  <c r="W85" i="95"/>
  <c r="V85" i="95"/>
  <c r="U85" i="95"/>
  <c r="P85" i="95"/>
  <c r="Q85" i="95" s="1"/>
  <c r="R85" i="95" s="1"/>
  <c r="M85" i="95"/>
  <c r="L85" i="95"/>
  <c r="K85" i="95"/>
  <c r="Q84" i="95"/>
  <c r="AI84" i="95" s="1"/>
  <c r="P84" i="95"/>
  <c r="L84" i="95"/>
  <c r="M84" i="95" s="1"/>
  <c r="K84" i="95"/>
  <c r="AI83" i="95"/>
  <c r="AE83" i="95"/>
  <c r="AF83" i="95" s="1"/>
  <c r="AG83" i="95" s="1"/>
  <c r="AJ83" i="95" s="1"/>
  <c r="Z83" i="95"/>
  <c r="AA83" i="95" s="1"/>
  <c r="AB83" i="95" s="1"/>
  <c r="U83" i="95"/>
  <c r="V83" i="95" s="1"/>
  <c r="W83" i="95" s="1"/>
  <c r="AI82" i="95"/>
  <c r="AG82" i="95"/>
  <c r="AJ82" i="95" s="1"/>
  <c r="AF82" i="95"/>
  <c r="AE82" i="95"/>
  <c r="AA82" i="95"/>
  <c r="AB82" i="95" s="1"/>
  <c r="Z82" i="95"/>
  <c r="W82" i="95"/>
  <c r="V82" i="95"/>
  <c r="U82" i="95"/>
  <c r="P82" i="95"/>
  <c r="Q82" i="95" s="1"/>
  <c r="R82" i="95" s="1"/>
  <c r="M82" i="95"/>
  <c r="L82" i="95"/>
  <c r="K82" i="95"/>
  <c r="AF81" i="95"/>
  <c r="AI81" i="95" s="1"/>
  <c r="AE81" i="95"/>
  <c r="AA81" i="95"/>
  <c r="AB81" i="95" s="1"/>
  <c r="Z81" i="95"/>
  <c r="V81" i="95"/>
  <c r="W81" i="95" s="1"/>
  <c r="U81" i="95"/>
  <c r="P81" i="95"/>
  <c r="Q81" i="95" s="1"/>
  <c r="R81" i="95" s="1"/>
  <c r="L81" i="95"/>
  <c r="M81" i="95" s="1"/>
  <c r="K81" i="95"/>
  <c r="AE80" i="95"/>
  <c r="AF80" i="95" s="1"/>
  <c r="Z80" i="95"/>
  <c r="AA80" i="95" s="1"/>
  <c r="AB80" i="95" s="1"/>
  <c r="U80" i="95"/>
  <c r="V80" i="95" s="1"/>
  <c r="W80" i="95" s="1"/>
  <c r="P80" i="95"/>
  <c r="Q80" i="95" s="1"/>
  <c r="R80" i="95" s="1"/>
  <c r="L80" i="95"/>
  <c r="M80" i="95" s="1"/>
  <c r="K80" i="95"/>
  <c r="AE79" i="95"/>
  <c r="AF79" i="95" s="1"/>
  <c r="AB79" i="95"/>
  <c r="AA79" i="95"/>
  <c r="Z79" i="95"/>
  <c r="U79" i="95"/>
  <c r="V79" i="95" s="1"/>
  <c r="W79" i="95" s="1"/>
  <c r="R79" i="95"/>
  <c r="Q79" i="95"/>
  <c r="P79" i="95"/>
  <c r="L79" i="95"/>
  <c r="M79" i="95" s="1"/>
  <c r="K79" i="95"/>
  <c r="AF78" i="95"/>
  <c r="AI78" i="95" s="1"/>
  <c r="AE78" i="95"/>
  <c r="AB78" i="95"/>
  <c r="AA78" i="95"/>
  <c r="Z78" i="95"/>
  <c r="U78" i="95"/>
  <c r="V78" i="95" s="1"/>
  <c r="W78" i="95" s="1"/>
  <c r="Q78" i="95"/>
  <c r="R78" i="95" s="1"/>
  <c r="P78" i="95"/>
  <c r="L78" i="95"/>
  <c r="M78" i="95" s="1"/>
  <c r="K78" i="95"/>
  <c r="U77" i="95"/>
  <c r="V77" i="95" s="1"/>
  <c r="W77" i="95" s="1"/>
  <c r="AJ77" i="95" s="1"/>
  <c r="P77" i="95"/>
  <c r="Q77" i="95" s="1"/>
  <c r="R77" i="95" s="1"/>
  <c r="K77" i="95"/>
  <c r="L77" i="95" s="1"/>
  <c r="M77" i="95" s="1"/>
  <c r="AG76" i="95"/>
  <c r="AJ76" i="95" s="1"/>
  <c r="AF76" i="95"/>
  <c r="AE76" i="95"/>
  <c r="AA76" i="95"/>
  <c r="AB76" i="95" s="1"/>
  <c r="Z76" i="95"/>
  <c r="W76" i="95"/>
  <c r="V76" i="95"/>
  <c r="U76" i="95"/>
  <c r="P76" i="95"/>
  <c r="Q76" i="95" s="1"/>
  <c r="R76" i="95" s="1"/>
  <c r="M76" i="95"/>
  <c r="L76" i="95"/>
  <c r="K76" i="95"/>
  <c r="AF75" i="95"/>
  <c r="AE75" i="95"/>
  <c r="AA75" i="95"/>
  <c r="AB75" i="95" s="1"/>
  <c r="Z75" i="95"/>
  <c r="V75" i="95"/>
  <c r="W75" i="95" s="1"/>
  <c r="U75" i="95"/>
  <c r="P75" i="95"/>
  <c r="Q75" i="95" s="1"/>
  <c r="R75" i="95" s="1"/>
  <c r="L75" i="95"/>
  <c r="M75" i="95" s="1"/>
  <c r="K75" i="95"/>
  <c r="AA74" i="95"/>
  <c r="Z74" i="95"/>
  <c r="U74" i="95"/>
  <c r="V74" i="95" s="1"/>
  <c r="W74" i="95" s="1"/>
  <c r="P74" i="95"/>
  <c r="Q74" i="95" s="1"/>
  <c r="R74" i="95" s="1"/>
  <c r="K74" i="95"/>
  <c r="L74" i="95" s="1"/>
  <c r="M74" i="95" s="1"/>
  <c r="AG73" i="95"/>
  <c r="AF73" i="95"/>
  <c r="AE73" i="95"/>
  <c r="AA73" i="95"/>
  <c r="AB73" i="95" s="1"/>
  <c r="Z73" i="95"/>
  <c r="W73" i="95"/>
  <c r="V73" i="95"/>
  <c r="U73" i="95"/>
  <c r="P73" i="95"/>
  <c r="Q73" i="95" s="1"/>
  <c r="R73" i="95" s="1"/>
  <c r="M73" i="95"/>
  <c r="L73" i="95"/>
  <c r="K73" i="95"/>
  <c r="AF72" i="95"/>
  <c r="AI72" i="95" s="1"/>
  <c r="AE72" i="95"/>
  <c r="AA72" i="95"/>
  <c r="AB72" i="95" s="1"/>
  <c r="Z72" i="95"/>
  <c r="W72" i="95"/>
  <c r="V72" i="95"/>
  <c r="U72" i="95"/>
  <c r="P72" i="95"/>
  <c r="Q72" i="95" s="1"/>
  <c r="R72" i="95" s="1"/>
  <c r="L72" i="95"/>
  <c r="M72" i="95" s="1"/>
  <c r="K72" i="95"/>
  <c r="AE71" i="95"/>
  <c r="AF71" i="95" s="1"/>
  <c r="Z71" i="95"/>
  <c r="AA71" i="95" s="1"/>
  <c r="AB71" i="95" s="1"/>
  <c r="U71" i="95"/>
  <c r="V71" i="95" s="1"/>
  <c r="W71" i="95" s="1"/>
  <c r="P71" i="95"/>
  <c r="Q71" i="95" s="1"/>
  <c r="R71" i="95" s="1"/>
  <c r="L71" i="95"/>
  <c r="M71" i="95" s="1"/>
  <c r="K71" i="95"/>
  <c r="AF70" i="95"/>
  <c r="AE70" i="95"/>
  <c r="AB70" i="95"/>
  <c r="AA70" i="95"/>
  <c r="Z70" i="95"/>
  <c r="U70" i="95"/>
  <c r="V70" i="95" s="1"/>
  <c r="W70" i="95" s="1"/>
  <c r="R70" i="95"/>
  <c r="Q70" i="95"/>
  <c r="P70" i="95"/>
  <c r="L70" i="95"/>
  <c r="M70" i="95" s="1"/>
  <c r="K70" i="95"/>
  <c r="L69" i="95"/>
  <c r="AI69" i="95" s="1"/>
  <c r="K69" i="95"/>
  <c r="AE68" i="95"/>
  <c r="AF68" i="95" s="1"/>
  <c r="AG68" i="95" s="1"/>
  <c r="AJ68" i="95" s="1"/>
  <c r="AG67" i="95"/>
  <c r="AF67" i="95"/>
  <c r="AE67" i="95"/>
  <c r="Z67" i="95"/>
  <c r="AA67" i="95" s="1"/>
  <c r="AB67" i="95" s="1"/>
  <c r="W67" i="95"/>
  <c r="V67" i="95"/>
  <c r="U67" i="95"/>
  <c r="Q67" i="95"/>
  <c r="R67" i="95" s="1"/>
  <c r="P67" i="95"/>
  <c r="M67" i="95"/>
  <c r="L67" i="95"/>
  <c r="K67" i="95"/>
  <c r="AF66" i="95"/>
  <c r="AE66" i="95"/>
  <c r="Z66" i="95"/>
  <c r="AA66" i="95" s="1"/>
  <c r="AB66" i="95" s="1"/>
  <c r="V66" i="95"/>
  <c r="W66" i="95" s="1"/>
  <c r="U66" i="95"/>
  <c r="Q66" i="95"/>
  <c r="R66" i="95" s="1"/>
  <c r="P66" i="95"/>
  <c r="L66" i="95"/>
  <c r="M66" i="95" s="1"/>
  <c r="K66" i="95"/>
  <c r="AE65" i="95"/>
  <c r="AF65" i="95" s="1"/>
  <c r="Z65" i="95"/>
  <c r="AA65" i="95" s="1"/>
  <c r="AB65" i="95" s="1"/>
  <c r="U65" i="95"/>
  <c r="V65" i="95" s="1"/>
  <c r="W65" i="95" s="1"/>
  <c r="P65" i="95"/>
  <c r="Q65" i="95" s="1"/>
  <c r="R65" i="95" s="1"/>
  <c r="K65" i="95"/>
  <c r="L65" i="95" s="1"/>
  <c r="M65" i="95" s="1"/>
  <c r="AE64" i="95"/>
  <c r="AF64" i="95" s="1"/>
  <c r="AB64" i="95"/>
  <c r="AA64" i="95"/>
  <c r="Z64" i="95"/>
  <c r="V64" i="95"/>
  <c r="W64" i="95" s="1"/>
  <c r="U64" i="95"/>
  <c r="R64" i="95"/>
  <c r="Q64" i="95"/>
  <c r="P64" i="95"/>
  <c r="K64" i="95"/>
  <c r="L64" i="95" s="1"/>
  <c r="M64" i="95" s="1"/>
  <c r="AE63" i="95"/>
  <c r="AF63" i="95" s="1"/>
  <c r="AA63" i="95"/>
  <c r="AB63" i="95" s="1"/>
  <c r="Z63" i="95"/>
  <c r="V63" i="95"/>
  <c r="W63" i="95" s="1"/>
  <c r="U63" i="95"/>
  <c r="R63" i="95"/>
  <c r="Q63" i="95"/>
  <c r="P63" i="95"/>
  <c r="K63" i="95"/>
  <c r="L63" i="95" s="1"/>
  <c r="M63" i="95" s="1"/>
  <c r="AE62" i="95"/>
  <c r="AF62" i="95" s="1"/>
  <c r="Z62" i="95"/>
  <c r="AA62" i="95" s="1"/>
  <c r="AB62" i="95" s="1"/>
  <c r="U62" i="95"/>
  <c r="V62" i="95" s="1"/>
  <c r="W62" i="95" s="1"/>
  <c r="P62" i="95"/>
  <c r="Q62" i="95" s="1"/>
  <c r="R62" i="95" s="1"/>
  <c r="K62" i="95"/>
  <c r="L62" i="95" s="1"/>
  <c r="M62" i="95" s="1"/>
  <c r="AG61" i="95"/>
  <c r="AF61" i="95"/>
  <c r="AE61" i="95"/>
  <c r="AA61" i="95"/>
  <c r="AB61" i="95" s="1"/>
  <c r="Z61" i="95"/>
  <c r="W61" i="95"/>
  <c r="V61" i="95"/>
  <c r="U61" i="95"/>
  <c r="P61" i="95"/>
  <c r="Q61" i="95" s="1"/>
  <c r="R61" i="95" s="1"/>
  <c r="M61" i="95"/>
  <c r="L61" i="95"/>
  <c r="K61" i="95"/>
  <c r="AF60" i="95"/>
  <c r="AE60" i="95"/>
  <c r="AA60" i="95"/>
  <c r="AB60" i="95" s="1"/>
  <c r="Z60" i="95"/>
  <c r="V60" i="95"/>
  <c r="W60" i="95" s="1"/>
  <c r="U60" i="95"/>
  <c r="P60" i="95"/>
  <c r="Q60" i="95" s="1"/>
  <c r="R60" i="95" s="1"/>
  <c r="L60" i="95"/>
  <c r="M60" i="95" s="1"/>
  <c r="K60" i="95"/>
  <c r="AF59" i="95"/>
  <c r="AE59" i="95"/>
  <c r="Z59" i="95"/>
  <c r="AA59" i="95" s="1"/>
  <c r="AB59" i="95" s="1"/>
  <c r="U59" i="95"/>
  <c r="V59" i="95" s="1"/>
  <c r="W59" i="95" s="1"/>
  <c r="P59" i="95"/>
  <c r="Q59" i="95" s="1"/>
  <c r="R59" i="95" s="1"/>
  <c r="L59" i="95"/>
  <c r="M59" i="95" s="1"/>
  <c r="K59" i="95"/>
  <c r="AF58" i="95"/>
  <c r="AE58" i="95"/>
  <c r="AB58" i="95"/>
  <c r="AA58" i="95"/>
  <c r="Z58" i="95"/>
  <c r="U58" i="95"/>
  <c r="V58" i="95" s="1"/>
  <c r="W58" i="95" s="1"/>
  <c r="R58" i="95"/>
  <c r="Q58" i="95"/>
  <c r="P58" i="95"/>
  <c r="L58" i="95"/>
  <c r="M58" i="95" s="1"/>
  <c r="K58" i="95"/>
  <c r="AF57" i="95"/>
  <c r="AE57" i="95"/>
  <c r="AA57" i="95"/>
  <c r="AB57" i="95" s="1"/>
  <c r="Z57" i="95"/>
  <c r="U57" i="95"/>
  <c r="V57" i="95" s="1"/>
  <c r="W57" i="95" s="1"/>
  <c r="Q57" i="95"/>
  <c r="R57" i="95" s="1"/>
  <c r="P57" i="95"/>
  <c r="L57" i="95"/>
  <c r="M57" i="95" s="1"/>
  <c r="K57" i="95"/>
  <c r="AE56" i="95"/>
  <c r="AF56" i="95" s="1"/>
  <c r="AG56" i="95" s="1"/>
  <c r="Z56" i="95"/>
  <c r="AA56" i="95" s="1"/>
  <c r="AB56" i="95" s="1"/>
  <c r="U56" i="95"/>
  <c r="V56" i="95" s="1"/>
  <c r="W56" i="95" s="1"/>
  <c r="P56" i="95"/>
  <c r="Q56" i="95" s="1"/>
  <c r="K56" i="95"/>
  <c r="L56" i="95" s="1"/>
  <c r="M56" i="95" s="1"/>
  <c r="AG55" i="95"/>
  <c r="AF55" i="95"/>
  <c r="AE55" i="95"/>
  <c r="Z55" i="95"/>
  <c r="AA55" i="95" s="1"/>
  <c r="AB55" i="95" s="1"/>
  <c r="W55" i="95"/>
  <c r="V55" i="95"/>
  <c r="U55" i="95"/>
  <c r="P55" i="95"/>
  <c r="Q55" i="95" s="1"/>
  <c r="R55" i="95" s="1"/>
  <c r="M55" i="95"/>
  <c r="L55" i="95"/>
  <c r="K55" i="95"/>
  <c r="AF54" i="95"/>
  <c r="AI54" i="95" s="1"/>
  <c r="AE54" i="95"/>
  <c r="AE53" i="95"/>
  <c r="AF53" i="95" s="1"/>
  <c r="Z53" i="95"/>
  <c r="AA53" i="95" s="1"/>
  <c r="AB53" i="95" s="1"/>
  <c r="U53" i="95"/>
  <c r="V53" i="95" s="1"/>
  <c r="W53" i="95" s="1"/>
  <c r="P53" i="95"/>
  <c r="Q53" i="95" s="1"/>
  <c r="R53" i="95" s="1"/>
  <c r="K53" i="95"/>
  <c r="L53" i="95" s="1"/>
  <c r="M53" i="95" s="1"/>
  <c r="P52" i="95"/>
  <c r="Q52" i="95" s="1"/>
  <c r="AF51" i="95"/>
  <c r="AI51" i="95" s="1"/>
  <c r="AE51" i="95"/>
  <c r="AA51" i="95"/>
  <c r="AB51" i="95" s="1"/>
  <c r="Z51" i="95"/>
  <c r="V51" i="95"/>
  <c r="W51" i="95" s="1"/>
  <c r="U51" i="95"/>
  <c r="Q51" i="95"/>
  <c r="R51" i="95" s="1"/>
  <c r="P51" i="95"/>
  <c r="L51" i="95"/>
  <c r="M51" i="95" s="1"/>
  <c r="K51" i="95"/>
  <c r="P50" i="95"/>
  <c r="Q50" i="95" s="1"/>
  <c r="L50" i="95"/>
  <c r="M50" i="95" s="1"/>
  <c r="K50" i="95"/>
  <c r="AE49" i="95"/>
  <c r="AF49" i="95" s="1"/>
  <c r="AB49" i="95"/>
  <c r="AA49" i="95"/>
  <c r="Z49" i="95"/>
  <c r="U49" i="95"/>
  <c r="V49" i="95" s="1"/>
  <c r="W49" i="95" s="1"/>
  <c r="R49" i="95"/>
  <c r="Q49" i="95"/>
  <c r="P49" i="95"/>
  <c r="K49" i="95"/>
  <c r="L49" i="95" s="1"/>
  <c r="M49" i="95" s="1"/>
  <c r="AF48" i="95"/>
  <c r="AI48" i="95" s="1"/>
  <c r="AE48" i="95"/>
  <c r="AA48" i="95"/>
  <c r="AB48" i="95" s="1"/>
  <c r="Z48" i="95"/>
  <c r="V48" i="95"/>
  <c r="W48" i="95" s="1"/>
  <c r="U48" i="95"/>
  <c r="Q48" i="95"/>
  <c r="R48" i="95" s="1"/>
  <c r="P48" i="95"/>
  <c r="L48" i="95"/>
  <c r="M48" i="95" s="1"/>
  <c r="K48" i="95"/>
  <c r="AE47" i="95"/>
  <c r="AF47" i="95" s="1"/>
  <c r="AG47" i="95" s="1"/>
  <c r="AJ47" i="95" s="1"/>
  <c r="Z47" i="95"/>
  <c r="AA47" i="95" s="1"/>
  <c r="AB47" i="95" s="1"/>
  <c r="U47" i="95"/>
  <c r="V47" i="95" s="1"/>
  <c r="W47" i="95" s="1"/>
  <c r="Q47" i="95"/>
  <c r="R47" i="95" s="1"/>
  <c r="P47" i="95"/>
  <c r="K47" i="95"/>
  <c r="L47" i="95" s="1"/>
  <c r="M47" i="95" s="1"/>
  <c r="AG46" i="95"/>
  <c r="AF46" i="95"/>
  <c r="AI46" i="95" s="1"/>
  <c r="AE46" i="95"/>
  <c r="Z46" i="95"/>
  <c r="AA46" i="95" s="1"/>
  <c r="AB46" i="95" s="1"/>
  <c r="W46" i="95"/>
  <c r="V46" i="95"/>
  <c r="U46" i="95"/>
  <c r="AF45" i="95"/>
  <c r="AI45" i="95" s="1"/>
  <c r="AE45" i="95"/>
  <c r="AA45" i="95"/>
  <c r="AB45" i="95" s="1"/>
  <c r="Z45" i="95"/>
  <c r="W45" i="95"/>
  <c r="V45" i="95"/>
  <c r="U45" i="95"/>
  <c r="Q45" i="95"/>
  <c r="R45" i="95" s="1"/>
  <c r="P45" i="95"/>
  <c r="L45" i="95"/>
  <c r="M45" i="95" s="1"/>
  <c r="K45" i="95"/>
  <c r="AF44" i="95"/>
  <c r="AE44" i="95"/>
  <c r="Z44" i="95"/>
  <c r="AA44" i="95" s="1"/>
  <c r="AB44" i="95" s="1"/>
  <c r="U44" i="95"/>
  <c r="V44" i="95" s="1"/>
  <c r="W44" i="95" s="1"/>
  <c r="P44" i="95"/>
  <c r="Q44" i="95" s="1"/>
  <c r="R44" i="95" s="1"/>
  <c r="L44" i="95"/>
  <c r="M44" i="95" s="1"/>
  <c r="K44" i="95"/>
  <c r="AE43" i="95"/>
  <c r="AF43" i="95" s="1"/>
  <c r="AB43" i="95"/>
  <c r="AA43" i="95"/>
  <c r="Z43" i="95"/>
  <c r="U43" i="95"/>
  <c r="V43" i="95" s="1"/>
  <c r="W43" i="95" s="1"/>
  <c r="R43" i="95"/>
  <c r="Q43" i="95"/>
  <c r="P43" i="95"/>
  <c r="K43" i="95"/>
  <c r="L43" i="95" s="1"/>
  <c r="M43" i="95" s="1"/>
  <c r="AF42" i="95"/>
  <c r="AE42" i="95"/>
  <c r="AA42" i="95"/>
  <c r="AB42" i="95" s="1"/>
  <c r="Z42" i="95"/>
  <c r="V42" i="95"/>
  <c r="W42" i="95" s="1"/>
  <c r="U42" i="95"/>
  <c r="Q42" i="95"/>
  <c r="R42" i="95" s="1"/>
  <c r="P42" i="95"/>
  <c r="AE41" i="95"/>
  <c r="AF41" i="95" s="1"/>
  <c r="Z41" i="95"/>
  <c r="AA41" i="95" s="1"/>
  <c r="AB41" i="95" s="1"/>
  <c r="U41" i="95"/>
  <c r="V41" i="95" s="1"/>
  <c r="W41" i="95" s="1"/>
  <c r="AE40" i="95"/>
  <c r="AF40" i="95" s="1"/>
  <c r="AB40" i="95"/>
  <c r="AA40" i="95"/>
  <c r="Z40" i="95"/>
  <c r="U40" i="95"/>
  <c r="V40" i="95" s="1"/>
  <c r="W40" i="95" s="1"/>
  <c r="R40" i="95"/>
  <c r="Q40" i="95"/>
  <c r="P40" i="95"/>
  <c r="M40" i="95"/>
  <c r="K40" i="95"/>
  <c r="L40" i="95" s="1"/>
  <c r="AF39" i="95"/>
  <c r="AE39" i="95"/>
  <c r="AA39" i="95"/>
  <c r="AB39" i="95" s="1"/>
  <c r="Z39" i="95"/>
  <c r="V39" i="95"/>
  <c r="W39" i="95" s="1"/>
  <c r="U39" i="95"/>
  <c r="R39" i="95"/>
  <c r="Q39" i="95"/>
  <c r="P39" i="95"/>
  <c r="L39" i="95"/>
  <c r="M39" i="95" s="1"/>
  <c r="K39" i="95"/>
  <c r="AE38" i="95"/>
  <c r="AF38" i="95" s="1"/>
  <c r="AG38" i="95" s="1"/>
  <c r="Z38" i="95"/>
  <c r="AA38" i="95" s="1"/>
  <c r="U38" i="95"/>
  <c r="V38" i="95" s="1"/>
  <c r="W38" i="95" s="1"/>
  <c r="P38" i="95"/>
  <c r="Q38" i="95" s="1"/>
  <c r="R38" i="95" s="1"/>
  <c r="K38" i="95"/>
  <c r="L38" i="95" s="1"/>
  <c r="M38" i="95" s="1"/>
  <c r="AG37" i="95"/>
  <c r="AF37" i="95"/>
  <c r="AE37" i="95"/>
  <c r="Z37" i="95"/>
  <c r="AA37" i="95" s="1"/>
  <c r="AB37" i="95" s="1"/>
  <c r="W37" i="95"/>
  <c r="V37" i="95"/>
  <c r="U37" i="95"/>
  <c r="P37" i="95"/>
  <c r="Q37" i="95" s="1"/>
  <c r="R37" i="95" s="1"/>
  <c r="M37" i="95"/>
  <c r="L37" i="95"/>
  <c r="K37" i="95"/>
  <c r="V36" i="95"/>
  <c r="U36" i="95"/>
  <c r="Q36" i="95"/>
  <c r="R36" i="95" s="1"/>
  <c r="P36" i="95"/>
  <c r="M36" i="95"/>
  <c r="L36" i="95"/>
  <c r="K36" i="95"/>
  <c r="AE35" i="95"/>
  <c r="AF35" i="95" s="1"/>
  <c r="Z35" i="95"/>
  <c r="AA35" i="95" s="1"/>
  <c r="AB35" i="95" s="1"/>
  <c r="V35" i="95"/>
  <c r="W35" i="95" s="1"/>
  <c r="U35" i="95"/>
  <c r="P35" i="95"/>
  <c r="Q35" i="95" s="1"/>
  <c r="R35" i="95" s="1"/>
  <c r="K35" i="95"/>
  <c r="L35" i="95" s="1"/>
  <c r="M35" i="95" s="1"/>
  <c r="AE34" i="95"/>
  <c r="AF34" i="95" s="1"/>
  <c r="AI34" i="95" s="1"/>
  <c r="R34" i="95"/>
  <c r="Q34" i="95"/>
  <c r="P34" i="95"/>
  <c r="K34" i="95"/>
  <c r="L34" i="95" s="1"/>
  <c r="M34" i="95" s="1"/>
  <c r="Q33" i="95"/>
  <c r="P33" i="95"/>
  <c r="L33" i="95"/>
  <c r="M33" i="95" s="1"/>
  <c r="K33" i="95"/>
  <c r="P32" i="95"/>
  <c r="Q32" i="95" s="1"/>
  <c r="K32" i="95"/>
  <c r="L32" i="95" s="1"/>
  <c r="M32" i="95" s="1"/>
  <c r="AI31" i="95"/>
  <c r="AB31" i="95"/>
  <c r="AJ31" i="95" s="1"/>
  <c r="AA31" i="95"/>
  <c r="Z31" i="95"/>
  <c r="AE30" i="95"/>
  <c r="AF30" i="95" s="1"/>
  <c r="AA30" i="95"/>
  <c r="AB30" i="95" s="1"/>
  <c r="Z30" i="95"/>
  <c r="W30" i="95"/>
  <c r="V30" i="95"/>
  <c r="U30" i="95"/>
  <c r="AE29" i="95"/>
  <c r="AF29" i="95" s="1"/>
  <c r="U29" i="95"/>
  <c r="V29" i="95" s="1"/>
  <c r="W29" i="95" s="1"/>
  <c r="P29" i="95"/>
  <c r="Q29" i="95" s="1"/>
  <c r="R29" i="95" s="1"/>
  <c r="K29" i="95"/>
  <c r="L29" i="95" s="1"/>
  <c r="M29" i="95" s="1"/>
  <c r="V28" i="95"/>
  <c r="AI28" i="95" s="1"/>
  <c r="U28" i="95"/>
  <c r="AJ27" i="95"/>
  <c r="AG27" i="95"/>
  <c r="AF27" i="95"/>
  <c r="AI27" i="95" s="1"/>
  <c r="AE27" i="95"/>
  <c r="Z26" i="95"/>
  <c r="AA26" i="95" s="1"/>
  <c r="W26" i="95"/>
  <c r="U26" i="95"/>
  <c r="V26" i="95" s="1"/>
  <c r="P26" i="95"/>
  <c r="Q26" i="95" s="1"/>
  <c r="R26" i="95" s="1"/>
  <c r="K26" i="95"/>
  <c r="L26" i="95" s="1"/>
  <c r="M26" i="95" s="1"/>
  <c r="AG25" i="95"/>
  <c r="AJ25" i="95" s="1"/>
  <c r="AF25" i="95"/>
  <c r="AI25" i="95" s="1"/>
  <c r="AE25" i="95"/>
  <c r="R25" i="95"/>
  <c r="P25" i="95"/>
  <c r="Q25" i="95" s="1"/>
  <c r="M25" i="95"/>
  <c r="L25" i="95"/>
  <c r="K25" i="95"/>
  <c r="AE24" i="95"/>
  <c r="AF24" i="95" s="1"/>
  <c r="AA24" i="95"/>
  <c r="AB24" i="95" s="1"/>
  <c r="Z24" i="95"/>
  <c r="W24" i="95"/>
  <c r="V24" i="95"/>
  <c r="U24" i="95"/>
  <c r="P24" i="95"/>
  <c r="Q24" i="95" s="1"/>
  <c r="R24" i="95" s="1"/>
  <c r="AG23" i="95"/>
  <c r="AE23" i="95"/>
  <c r="AF23" i="95" s="1"/>
  <c r="AI23" i="95" s="1"/>
  <c r="AA23" i="95"/>
  <c r="AB23" i="95" s="1"/>
  <c r="Z23" i="95"/>
  <c r="U23" i="95"/>
  <c r="V23" i="95" s="1"/>
  <c r="W23" i="95" s="1"/>
  <c r="P23" i="95"/>
  <c r="Q23" i="95" s="1"/>
  <c r="R23" i="95" s="1"/>
  <c r="K23" i="95"/>
  <c r="L23" i="95" s="1"/>
  <c r="M23" i="95" s="1"/>
  <c r="AG22" i="95"/>
  <c r="AF22" i="95"/>
  <c r="AI22" i="95" s="1"/>
  <c r="AE22" i="95"/>
  <c r="Z22" i="95"/>
  <c r="AA22" i="95" s="1"/>
  <c r="AB22" i="95" s="1"/>
  <c r="V22" i="95"/>
  <c r="W22" i="95" s="1"/>
  <c r="U22" i="95"/>
  <c r="P22" i="95"/>
  <c r="Q22" i="95" s="1"/>
  <c r="R22" i="95" s="1"/>
  <c r="L22" i="95"/>
  <c r="M22" i="95" s="1"/>
  <c r="K22" i="95"/>
  <c r="P21" i="95"/>
  <c r="Q21" i="95" s="1"/>
  <c r="AE20" i="95"/>
  <c r="AF20" i="95" s="1"/>
  <c r="AA20" i="95"/>
  <c r="AB20" i="95" s="1"/>
  <c r="Z20" i="95"/>
  <c r="W20" i="95"/>
  <c r="V20" i="95"/>
  <c r="U20" i="95"/>
  <c r="K20" i="95"/>
  <c r="L20" i="95" s="1"/>
  <c r="M20" i="95" s="1"/>
  <c r="AE19" i="95"/>
  <c r="AF19" i="95" s="1"/>
  <c r="AA19" i="95"/>
  <c r="AB19" i="95" s="1"/>
  <c r="Z19" i="95"/>
  <c r="V19" i="95"/>
  <c r="W19" i="95" s="1"/>
  <c r="U19" i="95"/>
  <c r="P19" i="95"/>
  <c r="Q19" i="95" s="1"/>
  <c r="R19" i="95" s="1"/>
  <c r="K19" i="95"/>
  <c r="L19" i="95" s="1"/>
  <c r="M19" i="95" s="1"/>
  <c r="AE18" i="95"/>
  <c r="AF18" i="95" s="1"/>
  <c r="AA18" i="95"/>
  <c r="AB18" i="95" s="1"/>
  <c r="Z18" i="95"/>
  <c r="U18" i="95"/>
  <c r="V18" i="95" s="1"/>
  <c r="W18" i="95" s="1"/>
  <c r="P18" i="95"/>
  <c r="Q18" i="95" s="1"/>
  <c r="R18" i="95" s="1"/>
  <c r="K18" i="95"/>
  <c r="L18" i="95" s="1"/>
  <c r="M18" i="95" s="1"/>
  <c r="AE17" i="95"/>
  <c r="AF17" i="95" s="1"/>
  <c r="V17" i="95"/>
  <c r="W17" i="95" s="1"/>
  <c r="U17" i="95"/>
  <c r="R17" i="95"/>
  <c r="Q17" i="95"/>
  <c r="P17" i="95"/>
  <c r="AE16" i="95"/>
  <c r="AF16" i="95" s="1"/>
  <c r="Z16" i="95"/>
  <c r="AA16" i="95" s="1"/>
  <c r="AB16" i="95" s="1"/>
  <c r="V16" i="95"/>
  <c r="W16" i="95" s="1"/>
  <c r="U16" i="95"/>
  <c r="Q16" i="95"/>
  <c r="R16" i="95" s="1"/>
  <c r="P16" i="95"/>
  <c r="K16" i="95"/>
  <c r="L16" i="95" s="1"/>
  <c r="M16" i="95" s="1"/>
  <c r="AE15" i="95"/>
  <c r="AF15" i="95" s="1"/>
  <c r="Z15" i="95"/>
  <c r="AA15" i="95" s="1"/>
  <c r="AB15" i="95" s="1"/>
  <c r="V15" i="95"/>
  <c r="W15" i="95" s="1"/>
  <c r="U15" i="95"/>
  <c r="P15" i="95"/>
  <c r="Q15" i="95" s="1"/>
  <c r="R15" i="95" s="1"/>
  <c r="K15" i="95"/>
  <c r="L15" i="95" s="1"/>
  <c r="M15" i="95" s="1"/>
  <c r="AE14" i="95"/>
  <c r="AF14" i="95" s="1"/>
  <c r="Z14" i="95"/>
  <c r="AA14" i="95" s="1"/>
  <c r="AB14" i="95" s="1"/>
  <c r="V14" i="95"/>
  <c r="W14" i="95" s="1"/>
  <c r="U14" i="95"/>
  <c r="R14" i="95"/>
  <c r="Q14" i="95"/>
  <c r="P14" i="95"/>
  <c r="K14" i="95"/>
  <c r="L14" i="95" s="1"/>
  <c r="M14" i="95" s="1"/>
  <c r="AE13" i="95"/>
  <c r="AF13" i="95" s="1"/>
  <c r="AA13" i="95"/>
  <c r="AB13" i="95" s="1"/>
  <c r="Z13" i="95"/>
  <c r="V13" i="95"/>
  <c r="W13" i="95" s="1"/>
  <c r="U13" i="95"/>
  <c r="P13" i="95"/>
  <c r="Q13" i="95" s="1"/>
  <c r="R13" i="95" s="1"/>
  <c r="K13" i="95"/>
  <c r="L13" i="95" s="1"/>
  <c r="M13" i="95" s="1"/>
  <c r="P12" i="95"/>
  <c r="Q12" i="95" s="1"/>
  <c r="AE11" i="95"/>
  <c r="AF11" i="95" s="1"/>
  <c r="AA11" i="95"/>
  <c r="AB11" i="95" s="1"/>
  <c r="Z11" i="95"/>
  <c r="W11" i="95"/>
  <c r="V11" i="95"/>
  <c r="U11" i="95"/>
  <c r="P11" i="95"/>
  <c r="Q11" i="95" s="1"/>
  <c r="R11" i="95" s="1"/>
  <c r="K11" i="95"/>
  <c r="L11" i="95" s="1"/>
  <c r="M11" i="95" s="1"/>
  <c r="AF10" i="95"/>
  <c r="AG10" i="95" s="1"/>
  <c r="AE10" i="95"/>
  <c r="AA10" i="95"/>
  <c r="AB10" i="95" s="1"/>
  <c r="Z10" i="95"/>
  <c r="U10" i="95"/>
  <c r="V10" i="95" s="1"/>
  <c r="P10" i="95"/>
  <c r="Q10" i="95" s="1"/>
  <c r="R10" i="95" s="1"/>
  <c r="L10" i="95"/>
  <c r="M10" i="95" s="1"/>
  <c r="K10" i="95"/>
  <c r="AF9" i="95"/>
  <c r="AE9" i="95"/>
  <c r="Z9" i="95"/>
  <c r="AA9" i="95" s="1"/>
  <c r="AB9" i="95" s="1"/>
  <c r="U9" i="95"/>
  <c r="V9" i="95" s="1"/>
  <c r="W9" i="95" s="1"/>
  <c r="P9" i="95"/>
  <c r="Q9" i="95" s="1"/>
  <c r="R9" i="95" s="1"/>
  <c r="L9" i="95"/>
  <c r="M9" i="95" s="1"/>
  <c r="K9" i="95"/>
  <c r="AF8" i="95"/>
  <c r="AI8" i="95" s="1"/>
  <c r="AE8" i="95"/>
  <c r="AB8" i="95"/>
  <c r="AA8" i="95"/>
  <c r="Z8" i="95"/>
  <c r="U8" i="95"/>
  <c r="V8" i="95" s="1"/>
  <c r="W8" i="95" s="1"/>
  <c r="AE7" i="95"/>
  <c r="AF7" i="95" s="1"/>
  <c r="AA7" i="95"/>
  <c r="AB7" i="95" s="1"/>
  <c r="Z7" i="95"/>
  <c r="V7" i="95"/>
  <c r="W7" i="95" s="1"/>
  <c r="U7" i="95"/>
  <c r="P7" i="95"/>
  <c r="Q7" i="95" s="1"/>
  <c r="R7" i="95" s="1"/>
  <c r="K7" i="95"/>
  <c r="L7" i="95" s="1"/>
  <c r="M7" i="95" s="1"/>
  <c r="AE6" i="95"/>
  <c r="AF6" i="95" s="1"/>
  <c r="AA6" i="95"/>
  <c r="AB6" i="95" s="1"/>
  <c r="Z6" i="95"/>
  <c r="U6" i="95"/>
  <c r="V6" i="95" s="1"/>
  <c r="W6" i="95" s="1"/>
  <c r="P6" i="95"/>
  <c r="Q6" i="95" s="1"/>
  <c r="R6" i="95" s="1"/>
  <c r="K6" i="95"/>
  <c r="L6" i="95" s="1"/>
  <c r="M6" i="95" s="1"/>
  <c r="AE5" i="95"/>
  <c r="AF5" i="95" s="1"/>
  <c r="AA5" i="95"/>
  <c r="AB5" i="95" s="1"/>
  <c r="Z5" i="95"/>
  <c r="W5" i="95"/>
  <c r="V5" i="95"/>
  <c r="U5" i="95"/>
  <c r="P5" i="95"/>
  <c r="Q5" i="95" s="1"/>
  <c r="R5" i="95" s="1"/>
  <c r="K5" i="95"/>
  <c r="L5" i="95" s="1"/>
  <c r="M5" i="95" s="1"/>
  <c r="AI4" i="95"/>
  <c r="Q4" i="95"/>
  <c r="R4" i="95" s="1"/>
  <c r="P4" i="95"/>
  <c r="L4" i="95"/>
  <c r="M4" i="95" s="1"/>
  <c r="K4" i="95"/>
  <c r="Z3" i="95"/>
  <c r="AA3" i="95" s="1"/>
  <c r="U3" i="95"/>
  <c r="V3" i="95" s="1"/>
  <c r="W3" i="95" s="1"/>
  <c r="P3" i="95"/>
  <c r="Q3" i="95" s="1"/>
  <c r="R3" i="95" s="1"/>
  <c r="AE118" i="35"/>
  <c r="AF118" i="35" s="1"/>
  <c r="AB118" i="35"/>
  <c r="AA118" i="35"/>
  <c r="Z118" i="35"/>
  <c r="W118" i="35"/>
  <c r="V118" i="35"/>
  <c r="U118" i="35"/>
  <c r="P118" i="35"/>
  <c r="Q118" i="35" s="1"/>
  <c r="R118" i="35" s="1"/>
  <c r="K118" i="35"/>
  <c r="L118" i="35" s="1"/>
  <c r="M118" i="35" s="1"/>
  <c r="AE117" i="35"/>
  <c r="AF117" i="35" s="1"/>
  <c r="AA117" i="35"/>
  <c r="AB117" i="35" s="1"/>
  <c r="Z117" i="35"/>
  <c r="U117" i="35"/>
  <c r="V117" i="35" s="1"/>
  <c r="W117" i="35" s="1"/>
  <c r="R117" i="35"/>
  <c r="Q117" i="35"/>
  <c r="P117" i="35"/>
  <c r="L117" i="35"/>
  <c r="M117" i="35" s="1"/>
  <c r="K117" i="35"/>
  <c r="AE116" i="35"/>
  <c r="AF116" i="35" s="1"/>
  <c r="AG116" i="35" s="1"/>
  <c r="AA116" i="35"/>
  <c r="AB116" i="35" s="1"/>
  <c r="Z116" i="35"/>
  <c r="U116" i="35"/>
  <c r="V116" i="35" s="1"/>
  <c r="W116" i="35" s="1"/>
  <c r="P116" i="35"/>
  <c r="Q116" i="35" s="1"/>
  <c r="R116" i="35" s="1"/>
  <c r="K116" i="35"/>
  <c r="L116" i="35" s="1"/>
  <c r="M116" i="35" s="1"/>
  <c r="AG115" i="35"/>
  <c r="AF115" i="35"/>
  <c r="AE115" i="35"/>
  <c r="AA115" i="35"/>
  <c r="AI115" i="35" s="1"/>
  <c r="Z115" i="35"/>
  <c r="W115" i="35"/>
  <c r="U115" i="35"/>
  <c r="V115" i="35" s="1"/>
  <c r="P115" i="35"/>
  <c r="Q115" i="35" s="1"/>
  <c r="R115" i="35" s="1"/>
  <c r="M115" i="35"/>
  <c r="L115" i="35"/>
  <c r="K115" i="35"/>
  <c r="AF114" i="35"/>
  <c r="AG114" i="35" s="1"/>
  <c r="AE114" i="35"/>
  <c r="U114" i="35"/>
  <c r="V114" i="35" s="1"/>
  <c r="W114" i="35" s="1"/>
  <c r="R114" i="35"/>
  <c r="Q114" i="35"/>
  <c r="P114" i="35"/>
  <c r="K114" i="35"/>
  <c r="L114" i="35" s="1"/>
  <c r="M114" i="35" s="1"/>
  <c r="AJ114" i="35" s="1"/>
  <c r="AE113" i="35"/>
  <c r="AF113" i="35" s="1"/>
  <c r="AG113" i="35" s="1"/>
  <c r="AA113" i="35"/>
  <c r="AB113" i="35" s="1"/>
  <c r="Z113" i="35"/>
  <c r="U113" i="35"/>
  <c r="V113" i="35" s="1"/>
  <c r="W113" i="35" s="1"/>
  <c r="P113" i="35"/>
  <c r="Q113" i="35" s="1"/>
  <c r="R113" i="35" s="1"/>
  <c r="K113" i="35"/>
  <c r="L113" i="35" s="1"/>
  <c r="M113" i="35" s="1"/>
  <c r="AI112" i="35"/>
  <c r="AG112" i="35"/>
  <c r="AF112" i="35"/>
  <c r="AE112" i="35"/>
  <c r="AB112" i="35"/>
  <c r="AA112" i="35"/>
  <c r="Z112" i="35"/>
  <c r="U112" i="35"/>
  <c r="V112" i="35" s="1"/>
  <c r="W112" i="35" s="1"/>
  <c r="P112" i="35"/>
  <c r="Q112" i="35" s="1"/>
  <c r="R112" i="35" s="1"/>
  <c r="M112" i="35"/>
  <c r="L112" i="35"/>
  <c r="K112" i="35"/>
  <c r="AJ111" i="35"/>
  <c r="L111" i="35"/>
  <c r="M111" i="35" s="1"/>
  <c r="K111" i="35"/>
  <c r="AF110" i="35"/>
  <c r="AE110" i="35"/>
  <c r="Z110" i="35"/>
  <c r="AA110" i="35" s="1"/>
  <c r="AB110" i="35" s="1"/>
  <c r="U110" i="35"/>
  <c r="V110" i="35" s="1"/>
  <c r="W110" i="35" s="1"/>
  <c r="P110" i="35"/>
  <c r="Q110" i="35" s="1"/>
  <c r="R110" i="35" s="1"/>
  <c r="L110" i="35"/>
  <c r="M110" i="35" s="1"/>
  <c r="K110" i="35"/>
  <c r="AG109" i="35"/>
  <c r="AF109" i="35"/>
  <c r="AE109" i="35"/>
  <c r="AB109" i="35"/>
  <c r="Z109" i="35"/>
  <c r="AA109" i="35" s="1"/>
  <c r="U109" i="35"/>
  <c r="V109" i="35" s="1"/>
  <c r="W109" i="35" s="1"/>
  <c r="R109" i="35"/>
  <c r="Q109" i="35"/>
  <c r="P109" i="35"/>
  <c r="M109" i="35"/>
  <c r="L109" i="35"/>
  <c r="K109" i="35"/>
  <c r="AE108" i="35"/>
  <c r="AF108" i="35" s="1"/>
  <c r="AB108" i="35"/>
  <c r="AA108" i="35"/>
  <c r="Z108" i="35"/>
  <c r="V108" i="35"/>
  <c r="W108" i="35" s="1"/>
  <c r="U108" i="35"/>
  <c r="AE107" i="35"/>
  <c r="AF107" i="35" s="1"/>
  <c r="AG107" i="35" s="1"/>
  <c r="AA107" i="35"/>
  <c r="AB107" i="35" s="1"/>
  <c r="Z107" i="35"/>
  <c r="U107" i="35"/>
  <c r="V107" i="35" s="1"/>
  <c r="W107" i="35" s="1"/>
  <c r="R107" i="35"/>
  <c r="P107" i="35"/>
  <c r="Q107" i="35" s="1"/>
  <c r="K107" i="35"/>
  <c r="L107" i="35" s="1"/>
  <c r="M107" i="35" s="1"/>
  <c r="AG106" i="35"/>
  <c r="AF106" i="35"/>
  <c r="AE106" i="35"/>
  <c r="AA106" i="35"/>
  <c r="AB106" i="35" s="1"/>
  <c r="Z106" i="35"/>
  <c r="U106" i="35"/>
  <c r="V106" i="35" s="1"/>
  <c r="AI106" i="35" s="1"/>
  <c r="P106" i="35"/>
  <c r="Q106" i="35" s="1"/>
  <c r="R106" i="35" s="1"/>
  <c r="M106" i="35"/>
  <c r="L106" i="35"/>
  <c r="K106" i="35"/>
  <c r="AI105" i="35"/>
  <c r="AF105" i="35"/>
  <c r="AG105" i="35" s="1"/>
  <c r="AJ105" i="35" s="1"/>
  <c r="AE105" i="35"/>
  <c r="AA104" i="35"/>
  <c r="Z104" i="35"/>
  <c r="U104" i="35"/>
  <c r="V104" i="35" s="1"/>
  <c r="W104" i="35" s="1"/>
  <c r="AJ103" i="35"/>
  <c r="AG103" i="35"/>
  <c r="AE103" i="35"/>
  <c r="AF103" i="35" s="1"/>
  <c r="Z103" i="35"/>
  <c r="AA103" i="35" s="1"/>
  <c r="AB103" i="35" s="1"/>
  <c r="W103" i="35"/>
  <c r="V103" i="35"/>
  <c r="U103" i="35"/>
  <c r="R103" i="35"/>
  <c r="Q103" i="35"/>
  <c r="P103" i="35"/>
  <c r="M103" i="35"/>
  <c r="K103" i="35"/>
  <c r="L103" i="35" s="1"/>
  <c r="AG102" i="35"/>
  <c r="AF102" i="35"/>
  <c r="AE102" i="35"/>
  <c r="Z102" i="35"/>
  <c r="AA102" i="35" s="1"/>
  <c r="V102" i="35"/>
  <c r="W102" i="35" s="1"/>
  <c r="U102" i="35"/>
  <c r="P102" i="35"/>
  <c r="Q102" i="35" s="1"/>
  <c r="R102" i="35" s="1"/>
  <c r="M102" i="35"/>
  <c r="L102" i="35"/>
  <c r="K102" i="35"/>
  <c r="AG101" i="35"/>
  <c r="AE101" i="35"/>
  <c r="AF101" i="35" s="1"/>
  <c r="AI101" i="35" s="1"/>
  <c r="Z101" i="35"/>
  <c r="AA101" i="35" s="1"/>
  <c r="AB101" i="35" s="1"/>
  <c r="V101" i="35"/>
  <c r="W101" i="35" s="1"/>
  <c r="U101" i="35"/>
  <c r="P101" i="35"/>
  <c r="Q101" i="35" s="1"/>
  <c r="R101" i="35" s="1"/>
  <c r="M101" i="35"/>
  <c r="K101" i="35"/>
  <c r="L101" i="35" s="1"/>
  <c r="AE100" i="35"/>
  <c r="AF100" i="35" s="1"/>
  <c r="AB100" i="35"/>
  <c r="AA100" i="35"/>
  <c r="Z100" i="35"/>
  <c r="W100" i="35"/>
  <c r="V100" i="35"/>
  <c r="U100" i="35"/>
  <c r="P100" i="35"/>
  <c r="Q100" i="35" s="1"/>
  <c r="R100" i="35" s="1"/>
  <c r="K100" i="35"/>
  <c r="L100" i="35" s="1"/>
  <c r="M100" i="35" s="1"/>
  <c r="AF99" i="35"/>
  <c r="AE99" i="35"/>
  <c r="AA99" i="35"/>
  <c r="AB99" i="35" s="1"/>
  <c r="Z99" i="35"/>
  <c r="U99" i="35"/>
  <c r="V99" i="35" s="1"/>
  <c r="W99" i="35" s="1"/>
  <c r="R99" i="35"/>
  <c r="Q99" i="35"/>
  <c r="P99" i="35"/>
  <c r="K99" i="35"/>
  <c r="L99" i="35" s="1"/>
  <c r="M99" i="35" s="1"/>
  <c r="AE98" i="35"/>
  <c r="AF98" i="35" s="1"/>
  <c r="AG98" i="35" s="1"/>
  <c r="AA98" i="35"/>
  <c r="AB98" i="35" s="1"/>
  <c r="Z98" i="35"/>
  <c r="U98" i="35"/>
  <c r="V98" i="35" s="1"/>
  <c r="W98" i="35" s="1"/>
  <c r="P98" i="35"/>
  <c r="Q98" i="35" s="1"/>
  <c r="R98" i="35" s="1"/>
  <c r="K98" i="35"/>
  <c r="L98" i="35" s="1"/>
  <c r="M98" i="35" s="1"/>
  <c r="AI97" i="35"/>
  <c r="AG97" i="35"/>
  <c r="AF97" i="35"/>
  <c r="AE97" i="35"/>
  <c r="AB97" i="35"/>
  <c r="AA97" i="35"/>
  <c r="Z97" i="35"/>
  <c r="U97" i="35"/>
  <c r="V97" i="35" s="1"/>
  <c r="W97" i="35" s="1"/>
  <c r="P97" i="35"/>
  <c r="Q97" i="35" s="1"/>
  <c r="R97" i="35" s="1"/>
  <c r="M97" i="35"/>
  <c r="L97" i="35"/>
  <c r="K97" i="35"/>
  <c r="AA96" i="35"/>
  <c r="AB96" i="35" s="1"/>
  <c r="Z96" i="35"/>
  <c r="U96" i="35"/>
  <c r="V96" i="35" s="1"/>
  <c r="W96" i="35" s="1"/>
  <c r="R96" i="35"/>
  <c r="AJ96" i="35" s="1"/>
  <c r="Q96" i="35"/>
  <c r="P96" i="35"/>
  <c r="AG95" i="35"/>
  <c r="AE95" i="35"/>
  <c r="AF95" i="35" s="1"/>
  <c r="AI95" i="35" s="1"/>
  <c r="Z95" i="35"/>
  <c r="AA95" i="35" s="1"/>
  <c r="AB95" i="35" s="1"/>
  <c r="V95" i="35"/>
  <c r="W95" i="35" s="1"/>
  <c r="U95" i="35"/>
  <c r="P95" i="35"/>
  <c r="Q95" i="35" s="1"/>
  <c r="R95" i="35" s="1"/>
  <c r="M95" i="35"/>
  <c r="K95" i="35"/>
  <c r="L95" i="35" s="1"/>
  <c r="AE94" i="35"/>
  <c r="AF94" i="35" s="1"/>
  <c r="AB94" i="35"/>
  <c r="AA94" i="35"/>
  <c r="Z94" i="35"/>
  <c r="W94" i="35"/>
  <c r="V94" i="35"/>
  <c r="U94" i="35"/>
  <c r="R94" i="35"/>
  <c r="P94" i="35"/>
  <c r="Q94" i="35" s="1"/>
  <c r="K94" i="35"/>
  <c r="L94" i="35" s="1"/>
  <c r="M94" i="35" s="1"/>
  <c r="AF93" i="35"/>
  <c r="AE93" i="35"/>
  <c r="AA93" i="35"/>
  <c r="AB93" i="35" s="1"/>
  <c r="Z93" i="35"/>
  <c r="U93" i="35"/>
  <c r="V93" i="35" s="1"/>
  <c r="W93" i="35" s="1"/>
  <c r="R93" i="35"/>
  <c r="Q93" i="35"/>
  <c r="P93" i="35"/>
  <c r="L93" i="35"/>
  <c r="M93" i="35" s="1"/>
  <c r="K93" i="35"/>
  <c r="AE92" i="35"/>
  <c r="AF92" i="35" s="1"/>
  <c r="AG92" i="35" s="1"/>
  <c r="AA92" i="35"/>
  <c r="AB92" i="35" s="1"/>
  <c r="Z92" i="35"/>
  <c r="U92" i="35"/>
  <c r="V92" i="35" s="1"/>
  <c r="W92" i="35" s="1"/>
  <c r="P92" i="35"/>
  <c r="Q92" i="35" s="1"/>
  <c r="R92" i="35" s="1"/>
  <c r="K92" i="35"/>
  <c r="L92" i="35" s="1"/>
  <c r="M92" i="35" s="1"/>
  <c r="AG91" i="35"/>
  <c r="AF91" i="35"/>
  <c r="AE91" i="35"/>
  <c r="AA91" i="35"/>
  <c r="AB91" i="35" s="1"/>
  <c r="AJ91" i="35" s="1"/>
  <c r="Z91" i="35"/>
  <c r="U91" i="35"/>
  <c r="V91" i="35" s="1"/>
  <c r="W91" i="35" s="1"/>
  <c r="P91" i="35"/>
  <c r="Q91" i="35" s="1"/>
  <c r="R91" i="35" s="1"/>
  <c r="M91" i="35"/>
  <c r="L91" i="35"/>
  <c r="K91" i="35"/>
  <c r="AJ90" i="35"/>
  <c r="AF90" i="35"/>
  <c r="AG90" i="35" s="1"/>
  <c r="AE90" i="35"/>
  <c r="Z90" i="35"/>
  <c r="AA90" i="35" s="1"/>
  <c r="AB90" i="35" s="1"/>
  <c r="W90" i="35"/>
  <c r="V90" i="35"/>
  <c r="U90" i="35"/>
  <c r="Q90" i="35"/>
  <c r="R90" i="35" s="1"/>
  <c r="P90" i="35"/>
  <c r="L90" i="35"/>
  <c r="M90" i="35" s="1"/>
  <c r="K90" i="35"/>
  <c r="AG89" i="35"/>
  <c r="AF89" i="35"/>
  <c r="AE89" i="35"/>
  <c r="Z89" i="35"/>
  <c r="AA89" i="35" s="1"/>
  <c r="AB89" i="35" s="1"/>
  <c r="W89" i="35"/>
  <c r="U89" i="35"/>
  <c r="V89" i="35" s="1"/>
  <c r="P89" i="35"/>
  <c r="Q89" i="35" s="1"/>
  <c r="R89" i="35" s="1"/>
  <c r="L89" i="35"/>
  <c r="M89" i="35" s="1"/>
  <c r="K89" i="35"/>
  <c r="AG88" i="35"/>
  <c r="AF88" i="35"/>
  <c r="AE88" i="35"/>
  <c r="AB88" i="35"/>
  <c r="Z88" i="35"/>
  <c r="AA88" i="35" s="1"/>
  <c r="U88" i="35"/>
  <c r="V88" i="35" s="1"/>
  <c r="W88" i="35" s="1"/>
  <c r="R88" i="35"/>
  <c r="Q88" i="35"/>
  <c r="P88" i="35"/>
  <c r="M88" i="35"/>
  <c r="L88" i="35"/>
  <c r="K88" i="35"/>
  <c r="AE87" i="35"/>
  <c r="AF87" i="35" s="1"/>
  <c r="AB87" i="35"/>
  <c r="AA87" i="35"/>
  <c r="Z87" i="35"/>
  <c r="V87" i="35"/>
  <c r="W87" i="35" s="1"/>
  <c r="U87" i="35"/>
  <c r="Q87" i="35"/>
  <c r="R87" i="35" s="1"/>
  <c r="P87" i="35"/>
  <c r="K87" i="35"/>
  <c r="L87" i="35" s="1"/>
  <c r="M87" i="35" s="1"/>
  <c r="AE86" i="35"/>
  <c r="AF86" i="35" s="1"/>
  <c r="Z86" i="35"/>
  <c r="AA86" i="35" s="1"/>
  <c r="AB86" i="35" s="1"/>
  <c r="U86" i="35"/>
  <c r="V86" i="35" s="1"/>
  <c r="W86" i="35" s="1"/>
  <c r="Q86" i="35"/>
  <c r="R86" i="35" s="1"/>
  <c r="P86" i="35"/>
  <c r="K86" i="35"/>
  <c r="L86" i="35" s="1"/>
  <c r="M86" i="35" s="1"/>
  <c r="AE85" i="35"/>
  <c r="AF85" i="35" s="1"/>
  <c r="Z85" i="35"/>
  <c r="AA85" i="35" s="1"/>
  <c r="AB85" i="35" s="1"/>
  <c r="W85" i="35"/>
  <c r="V85" i="35"/>
  <c r="U85" i="35"/>
  <c r="Q85" i="35"/>
  <c r="R85" i="35" s="1"/>
  <c r="P85" i="35"/>
  <c r="M85" i="35"/>
  <c r="L85" i="35"/>
  <c r="K85" i="35"/>
  <c r="R84" i="35"/>
  <c r="Q84" i="35"/>
  <c r="P84" i="35"/>
  <c r="L84" i="35"/>
  <c r="M84" i="35" s="1"/>
  <c r="K84" i="35"/>
  <c r="AE83" i="35"/>
  <c r="AF83" i="35" s="1"/>
  <c r="AG83" i="35" s="1"/>
  <c r="AB83" i="35"/>
  <c r="AA83" i="35"/>
  <c r="Z83" i="35"/>
  <c r="U83" i="35"/>
  <c r="V83" i="35" s="1"/>
  <c r="W83" i="35" s="1"/>
  <c r="AG82" i="35"/>
  <c r="AF82" i="35"/>
  <c r="AE82" i="35"/>
  <c r="AA82" i="35"/>
  <c r="Z82" i="35"/>
  <c r="W82" i="35"/>
  <c r="V82" i="35"/>
  <c r="U82" i="35"/>
  <c r="Q82" i="35"/>
  <c r="R82" i="35" s="1"/>
  <c r="P82" i="35"/>
  <c r="M82" i="35"/>
  <c r="L82" i="35"/>
  <c r="K82" i="35"/>
  <c r="AG81" i="35"/>
  <c r="AF81" i="35"/>
  <c r="AE81" i="35"/>
  <c r="Z81" i="35"/>
  <c r="AA81" i="35" s="1"/>
  <c r="V81" i="35"/>
  <c r="W81" i="35" s="1"/>
  <c r="U81" i="35"/>
  <c r="P81" i="35"/>
  <c r="Q81" i="35" s="1"/>
  <c r="R81" i="35" s="1"/>
  <c r="M81" i="35"/>
  <c r="L81" i="35"/>
  <c r="K81" i="35"/>
  <c r="AG80" i="35"/>
  <c r="AE80" i="35"/>
  <c r="AF80" i="35" s="1"/>
  <c r="AI80" i="35" s="1"/>
  <c r="Z80" i="35"/>
  <c r="AA80" i="35" s="1"/>
  <c r="AB80" i="35" s="1"/>
  <c r="V80" i="35"/>
  <c r="W80" i="35" s="1"/>
  <c r="U80" i="35"/>
  <c r="P80" i="35"/>
  <c r="Q80" i="35" s="1"/>
  <c r="R80" i="35" s="1"/>
  <c r="K80" i="35"/>
  <c r="L80" i="35" s="1"/>
  <c r="M80" i="35" s="1"/>
  <c r="AE79" i="35"/>
  <c r="AF79" i="35" s="1"/>
  <c r="AB79" i="35"/>
  <c r="AA79" i="35"/>
  <c r="Z79" i="35"/>
  <c r="V79" i="35"/>
  <c r="W79" i="35" s="1"/>
  <c r="U79" i="35"/>
  <c r="R79" i="35"/>
  <c r="Q79" i="35"/>
  <c r="P79" i="35"/>
  <c r="L79" i="35"/>
  <c r="M79" i="35" s="1"/>
  <c r="K79" i="35"/>
  <c r="AF78" i="35"/>
  <c r="AE78" i="35"/>
  <c r="AA78" i="35"/>
  <c r="AB78" i="35" s="1"/>
  <c r="Z78" i="35"/>
  <c r="U78" i="35"/>
  <c r="V78" i="35" s="1"/>
  <c r="W78" i="35" s="1"/>
  <c r="R78" i="35"/>
  <c r="Q78" i="35"/>
  <c r="P78" i="35"/>
  <c r="L78" i="35"/>
  <c r="M78" i="35" s="1"/>
  <c r="K78" i="35"/>
  <c r="U77" i="35"/>
  <c r="V77" i="35" s="1"/>
  <c r="W77" i="35" s="1"/>
  <c r="R77" i="35"/>
  <c r="Q77" i="35"/>
  <c r="P77" i="35"/>
  <c r="K77" i="35"/>
  <c r="L77" i="35" s="1"/>
  <c r="M77" i="35" s="1"/>
  <c r="AG76" i="35"/>
  <c r="AF76" i="35"/>
  <c r="AE76" i="35"/>
  <c r="AA76" i="35"/>
  <c r="Z76" i="35"/>
  <c r="W76" i="35"/>
  <c r="V76" i="35"/>
  <c r="U76" i="35"/>
  <c r="Q76" i="35"/>
  <c r="R76" i="35" s="1"/>
  <c r="P76" i="35"/>
  <c r="M76" i="35"/>
  <c r="L76" i="35"/>
  <c r="K76" i="35"/>
  <c r="AG75" i="35"/>
  <c r="AF75" i="35"/>
  <c r="AE75" i="35"/>
  <c r="Z75" i="35"/>
  <c r="AA75" i="35" s="1"/>
  <c r="V75" i="35"/>
  <c r="W75" i="35" s="1"/>
  <c r="U75" i="35"/>
  <c r="P75" i="35"/>
  <c r="Q75" i="35" s="1"/>
  <c r="R75" i="35" s="1"/>
  <c r="L75" i="35"/>
  <c r="M75" i="35" s="1"/>
  <c r="K75" i="35"/>
  <c r="AB74" i="35"/>
  <c r="Z74" i="35"/>
  <c r="AA74" i="35" s="1"/>
  <c r="AI74" i="35" s="1"/>
  <c r="U74" i="35"/>
  <c r="V74" i="35" s="1"/>
  <c r="W74" i="35" s="1"/>
  <c r="Q74" i="35"/>
  <c r="R74" i="35" s="1"/>
  <c r="P74" i="35"/>
  <c r="K74" i="35"/>
  <c r="L74" i="35" s="1"/>
  <c r="M74" i="35" s="1"/>
  <c r="AG73" i="35"/>
  <c r="AF73" i="35"/>
  <c r="AE73" i="35"/>
  <c r="Z73" i="35"/>
  <c r="AA73" i="35" s="1"/>
  <c r="W73" i="35"/>
  <c r="V73" i="35"/>
  <c r="U73" i="35"/>
  <c r="R73" i="35"/>
  <c r="Q73" i="35"/>
  <c r="P73" i="35"/>
  <c r="M73" i="35"/>
  <c r="L73" i="35"/>
  <c r="K73" i="35"/>
  <c r="AF72" i="35"/>
  <c r="AI72" i="35" s="1"/>
  <c r="AE72" i="35"/>
  <c r="AA72" i="35"/>
  <c r="AB72" i="35" s="1"/>
  <c r="Z72" i="35"/>
  <c r="V72" i="35"/>
  <c r="W72" i="35" s="1"/>
  <c r="U72" i="35"/>
  <c r="P72" i="35"/>
  <c r="Q72" i="35" s="1"/>
  <c r="R72" i="35" s="1"/>
  <c r="M72" i="35"/>
  <c r="L72" i="35"/>
  <c r="K72" i="35"/>
  <c r="AE71" i="35"/>
  <c r="AF71" i="35" s="1"/>
  <c r="AI71" i="35" s="1"/>
  <c r="Z71" i="35"/>
  <c r="AA71" i="35" s="1"/>
  <c r="AB71" i="35" s="1"/>
  <c r="U71" i="35"/>
  <c r="V71" i="35" s="1"/>
  <c r="W71" i="35" s="1"/>
  <c r="P71" i="35"/>
  <c r="Q71" i="35" s="1"/>
  <c r="R71" i="35" s="1"/>
  <c r="M71" i="35"/>
  <c r="K71" i="35"/>
  <c r="L71" i="35" s="1"/>
  <c r="AE70" i="35"/>
  <c r="AF70" i="35" s="1"/>
  <c r="AB70" i="35"/>
  <c r="AA70" i="35"/>
  <c r="Z70" i="35"/>
  <c r="V70" i="35"/>
  <c r="W70" i="35" s="1"/>
  <c r="U70" i="35"/>
  <c r="R70" i="35"/>
  <c r="Q70" i="35"/>
  <c r="P70" i="35"/>
  <c r="L70" i="35"/>
  <c r="M70" i="35" s="1"/>
  <c r="K70" i="35"/>
  <c r="L69" i="35"/>
  <c r="K69" i="35"/>
  <c r="AI68" i="35"/>
  <c r="AE68" i="35"/>
  <c r="AF68" i="35" s="1"/>
  <c r="AG68" i="35" s="1"/>
  <c r="AJ68" i="35" s="1"/>
  <c r="AG67" i="35"/>
  <c r="AF67" i="35"/>
  <c r="AE67" i="35"/>
  <c r="AB67" i="35"/>
  <c r="AA67" i="35"/>
  <c r="Z67" i="35"/>
  <c r="W67" i="35"/>
  <c r="V67" i="35"/>
  <c r="U67" i="35"/>
  <c r="P67" i="35"/>
  <c r="Q67" i="35" s="1"/>
  <c r="M67" i="35"/>
  <c r="L67" i="35"/>
  <c r="K67" i="35"/>
  <c r="AF66" i="35"/>
  <c r="AG66" i="35" s="1"/>
  <c r="AE66" i="35"/>
  <c r="Z66" i="35"/>
  <c r="AA66" i="35" s="1"/>
  <c r="AB66" i="35" s="1"/>
  <c r="V66" i="35"/>
  <c r="W66" i="35" s="1"/>
  <c r="AJ66" i="35" s="1"/>
  <c r="U66" i="35"/>
  <c r="Q66" i="35"/>
  <c r="R66" i="35" s="1"/>
  <c r="P66" i="35"/>
  <c r="L66" i="35"/>
  <c r="M66" i="35" s="1"/>
  <c r="K66" i="35"/>
  <c r="AG65" i="35"/>
  <c r="AF65" i="35"/>
  <c r="AE65" i="35"/>
  <c r="Z65" i="35"/>
  <c r="AA65" i="35" s="1"/>
  <c r="AB65" i="35" s="1"/>
  <c r="W65" i="35"/>
  <c r="U65" i="35"/>
  <c r="V65" i="35" s="1"/>
  <c r="P65" i="35"/>
  <c r="Q65" i="35" s="1"/>
  <c r="R65" i="35" s="1"/>
  <c r="L65" i="35"/>
  <c r="M65" i="35" s="1"/>
  <c r="K65" i="35"/>
  <c r="AG64" i="35"/>
  <c r="AF64" i="35"/>
  <c r="AE64" i="35"/>
  <c r="AB64" i="35"/>
  <c r="AA64" i="35"/>
  <c r="Z64" i="35"/>
  <c r="V64" i="35"/>
  <c r="W64" i="35" s="1"/>
  <c r="U64" i="35"/>
  <c r="R64" i="35"/>
  <c r="Q64" i="35"/>
  <c r="P64" i="35"/>
  <c r="L64" i="35"/>
  <c r="M64" i="35" s="1"/>
  <c r="K64" i="35"/>
  <c r="AE63" i="35"/>
  <c r="AF63" i="35" s="1"/>
  <c r="AA63" i="35"/>
  <c r="AB63" i="35" s="1"/>
  <c r="Z63" i="35"/>
  <c r="U63" i="35"/>
  <c r="V63" i="35" s="1"/>
  <c r="W63" i="35" s="1"/>
  <c r="Q63" i="35"/>
  <c r="R63" i="35" s="1"/>
  <c r="P63" i="35"/>
  <c r="K63" i="35"/>
  <c r="L63" i="35" s="1"/>
  <c r="M63" i="35" s="1"/>
  <c r="AE62" i="35"/>
  <c r="AF62" i="35" s="1"/>
  <c r="AG62" i="35" s="1"/>
  <c r="AJ62" i="35" s="1"/>
  <c r="AB62" i="35"/>
  <c r="Z62" i="35"/>
  <c r="AA62" i="35" s="1"/>
  <c r="U62" i="35"/>
  <c r="V62" i="35" s="1"/>
  <c r="W62" i="35" s="1"/>
  <c r="P62" i="35"/>
  <c r="Q62" i="35" s="1"/>
  <c r="R62" i="35" s="1"/>
  <c r="K62" i="35"/>
  <c r="L62" i="35" s="1"/>
  <c r="M62" i="35" s="1"/>
  <c r="AG61" i="35"/>
  <c r="AF61" i="35"/>
  <c r="AE61" i="35"/>
  <c r="AB61" i="35"/>
  <c r="AJ61" i="35" s="1"/>
  <c r="AA61" i="35"/>
  <c r="AI61" i="35" s="1"/>
  <c r="Z61" i="35"/>
  <c r="W61" i="35"/>
  <c r="V61" i="35"/>
  <c r="U61" i="35"/>
  <c r="R61" i="35"/>
  <c r="Q61" i="35"/>
  <c r="P61" i="35"/>
  <c r="M61" i="35"/>
  <c r="L61" i="35"/>
  <c r="K61" i="35"/>
  <c r="AF60" i="35"/>
  <c r="AG60" i="35" s="1"/>
  <c r="AE60" i="35"/>
  <c r="Z60" i="35"/>
  <c r="AA60" i="35" s="1"/>
  <c r="V60" i="35"/>
  <c r="W60" i="35" s="1"/>
  <c r="U60" i="35"/>
  <c r="P60" i="35"/>
  <c r="Q60" i="35" s="1"/>
  <c r="R60" i="35" s="1"/>
  <c r="L60" i="35"/>
  <c r="M60" i="35" s="1"/>
  <c r="K60" i="35"/>
  <c r="AE59" i="35"/>
  <c r="AF59" i="35" s="1"/>
  <c r="AI59" i="35" s="1"/>
  <c r="Z59" i="35"/>
  <c r="AA59" i="35" s="1"/>
  <c r="AB59" i="35" s="1"/>
  <c r="U59" i="35"/>
  <c r="V59" i="35" s="1"/>
  <c r="W59" i="35" s="1"/>
  <c r="P59" i="35"/>
  <c r="Q59" i="35" s="1"/>
  <c r="R59" i="35" s="1"/>
  <c r="M59" i="35"/>
  <c r="K59" i="35"/>
  <c r="L59" i="35" s="1"/>
  <c r="AG58" i="35"/>
  <c r="AF58" i="35"/>
  <c r="AE58" i="35"/>
  <c r="AB58" i="35"/>
  <c r="AA58" i="35"/>
  <c r="Z58" i="35"/>
  <c r="W58" i="35"/>
  <c r="V58" i="35"/>
  <c r="U58" i="35"/>
  <c r="R58" i="35"/>
  <c r="Q58" i="35"/>
  <c r="P58" i="35"/>
  <c r="M58" i="35"/>
  <c r="L58" i="35"/>
  <c r="K58" i="35"/>
  <c r="AF57" i="35"/>
  <c r="AE57" i="35"/>
  <c r="AA57" i="35"/>
  <c r="AB57" i="35" s="1"/>
  <c r="Z57" i="35"/>
  <c r="U57" i="35"/>
  <c r="V57" i="35" s="1"/>
  <c r="W57" i="35" s="1"/>
  <c r="R57" i="35"/>
  <c r="Q57" i="35"/>
  <c r="P57" i="35"/>
  <c r="L57" i="35"/>
  <c r="M57" i="35" s="1"/>
  <c r="K57" i="35"/>
  <c r="AE56" i="35"/>
  <c r="AF56" i="35" s="1"/>
  <c r="AG56" i="35" s="1"/>
  <c r="AA56" i="35"/>
  <c r="AB56" i="35" s="1"/>
  <c r="Z56" i="35"/>
  <c r="U56" i="35"/>
  <c r="V56" i="35" s="1"/>
  <c r="W56" i="35" s="1"/>
  <c r="P56" i="35"/>
  <c r="Q56" i="35" s="1"/>
  <c r="R56" i="35" s="1"/>
  <c r="K56" i="35"/>
  <c r="L56" i="35" s="1"/>
  <c r="M56" i="35" s="1"/>
  <c r="AG55" i="35"/>
  <c r="AF55" i="35"/>
  <c r="AE55" i="35"/>
  <c r="AA55" i="35"/>
  <c r="AB55" i="35" s="1"/>
  <c r="AJ55" i="35" s="1"/>
  <c r="Z55" i="35"/>
  <c r="W55" i="35"/>
  <c r="V55" i="35"/>
  <c r="U55" i="35"/>
  <c r="Q55" i="35"/>
  <c r="R55" i="35" s="1"/>
  <c r="P55" i="35"/>
  <c r="M55" i="35"/>
  <c r="L55" i="35"/>
  <c r="K55" i="35"/>
  <c r="AI54" i="35"/>
  <c r="AF54" i="35"/>
  <c r="AG54" i="35" s="1"/>
  <c r="AJ54" i="35" s="1"/>
  <c r="AE54" i="35"/>
  <c r="AE53" i="35"/>
  <c r="AF53" i="35" s="1"/>
  <c r="Z53" i="35"/>
  <c r="AA53" i="35" s="1"/>
  <c r="AB53" i="35" s="1"/>
  <c r="U53" i="35"/>
  <c r="V53" i="35" s="1"/>
  <c r="W53" i="35" s="1"/>
  <c r="P53" i="35"/>
  <c r="Q53" i="35" s="1"/>
  <c r="R53" i="35" s="1"/>
  <c r="L53" i="35"/>
  <c r="M53" i="35" s="1"/>
  <c r="K53" i="35"/>
  <c r="R52" i="35"/>
  <c r="AJ52" i="35" s="1"/>
  <c r="Q52" i="35"/>
  <c r="AI52" i="35" s="1"/>
  <c r="P52" i="35"/>
  <c r="AF51" i="35"/>
  <c r="AE51" i="35"/>
  <c r="AA51" i="35"/>
  <c r="AB51" i="35" s="1"/>
  <c r="Z51" i="35"/>
  <c r="U51" i="35"/>
  <c r="V51" i="35" s="1"/>
  <c r="W51" i="35" s="1"/>
  <c r="Q51" i="35"/>
  <c r="R51" i="35" s="1"/>
  <c r="P51" i="35"/>
  <c r="K51" i="35"/>
  <c r="L51" i="35" s="1"/>
  <c r="M51" i="35" s="1"/>
  <c r="AI50" i="35"/>
  <c r="P50" i="35"/>
  <c r="Q50" i="35" s="1"/>
  <c r="R50" i="35" s="1"/>
  <c r="K50" i="35"/>
  <c r="L50" i="35" s="1"/>
  <c r="M50" i="35" s="1"/>
  <c r="AE49" i="35"/>
  <c r="AF49" i="35" s="1"/>
  <c r="AB49" i="35"/>
  <c r="AA49" i="35"/>
  <c r="Z49" i="35"/>
  <c r="W49" i="35"/>
  <c r="V49" i="35"/>
  <c r="U49" i="35"/>
  <c r="R49" i="35"/>
  <c r="Q49" i="35"/>
  <c r="P49" i="35"/>
  <c r="K49" i="35"/>
  <c r="L49" i="35" s="1"/>
  <c r="M49" i="35" s="1"/>
  <c r="AF48" i="35"/>
  <c r="AE48" i="35"/>
  <c r="AA48" i="35"/>
  <c r="AB48" i="35" s="1"/>
  <c r="Z48" i="35"/>
  <c r="V48" i="35"/>
  <c r="W48" i="35" s="1"/>
  <c r="U48" i="35"/>
  <c r="Q48" i="35"/>
  <c r="R48" i="35" s="1"/>
  <c r="P48" i="35"/>
  <c r="K48" i="35"/>
  <c r="L48" i="35" s="1"/>
  <c r="M48" i="35" s="1"/>
  <c r="AE47" i="35"/>
  <c r="AF47" i="35" s="1"/>
  <c r="AG47" i="35" s="1"/>
  <c r="AA47" i="35"/>
  <c r="AB47" i="35" s="1"/>
  <c r="Z47" i="35"/>
  <c r="U47" i="35"/>
  <c r="V47" i="35" s="1"/>
  <c r="W47" i="35" s="1"/>
  <c r="R47" i="35"/>
  <c r="P47" i="35"/>
  <c r="Q47" i="35" s="1"/>
  <c r="K47" i="35"/>
  <c r="L47" i="35" s="1"/>
  <c r="M47" i="35" s="1"/>
  <c r="AG46" i="35"/>
  <c r="AF46" i="35"/>
  <c r="AE46" i="35"/>
  <c r="AA46" i="35"/>
  <c r="AI46" i="35" s="1"/>
  <c r="Z46" i="35"/>
  <c r="W46" i="35"/>
  <c r="V46" i="35"/>
  <c r="U46" i="35"/>
  <c r="AF45" i="35"/>
  <c r="AI45" i="35" s="1"/>
  <c r="AE45" i="35"/>
  <c r="AA45" i="35"/>
  <c r="AB45" i="35" s="1"/>
  <c r="Z45" i="35"/>
  <c r="V45" i="35"/>
  <c r="W45" i="35" s="1"/>
  <c r="U45" i="35"/>
  <c r="Q45" i="35"/>
  <c r="R45" i="35" s="1"/>
  <c r="P45" i="35"/>
  <c r="L45" i="35"/>
  <c r="M45" i="35" s="1"/>
  <c r="K45" i="35"/>
  <c r="AG44" i="35"/>
  <c r="AE44" i="35"/>
  <c r="AF44" i="35" s="1"/>
  <c r="AI44" i="35" s="1"/>
  <c r="Z44" i="35"/>
  <c r="AA44" i="35" s="1"/>
  <c r="AB44" i="35" s="1"/>
  <c r="V44" i="35"/>
  <c r="W44" i="35" s="1"/>
  <c r="U44" i="35"/>
  <c r="P44" i="35"/>
  <c r="Q44" i="35" s="1"/>
  <c r="R44" i="35" s="1"/>
  <c r="M44" i="35"/>
  <c r="K44" i="35"/>
  <c r="L44" i="35" s="1"/>
  <c r="AF43" i="35"/>
  <c r="AE43" i="35"/>
  <c r="AB43" i="35"/>
  <c r="AA43" i="35"/>
  <c r="Z43" i="35"/>
  <c r="V43" i="35"/>
  <c r="W43" i="35" s="1"/>
  <c r="U43" i="35"/>
  <c r="R43" i="35"/>
  <c r="Q43" i="35"/>
  <c r="P43" i="35"/>
  <c r="L43" i="35"/>
  <c r="M43" i="35" s="1"/>
  <c r="K43" i="35"/>
  <c r="AE42" i="35"/>
  <c r="AF42" i="35" s="1"/>
  <c r="AA42" i="35"/>
  <c r="AB42" i="35" s="1"/>
  <c r="Z42" i="35"/>
  <c r="U42" i="35"/>
  <c r="V42" i="35" s="1"/>
  <c r="W42" i="35" s="1"/>
  <c r="R42" i="35"/>
  <c r="Q42" i="35"/>
  <c r="P42" i="35"/>
  <c r="AE41" i="35"/>
  <c r="AF41" i="35" s="1"/>
  <c r="AI41" i="35" s="1"/>
  <c r="Z41" i="35"/>
  <c r="AA41" i="35" s="1"/>
  <c r="AB41" i="35" s="1"/>
  <c r="U41" i="35"/>
  <c r="V41" i="35" s="1"/>
  <c r="W41" i="35" s="1"/>
  <c r="AF40" i="35"/>
  <c r="AE40" i="35"/>
  <c r="AB40" i="35"/>
  <c r="AA40" i="35"/>
  <c r="Z40" i="35"/>
  <c r="V40" i="35"/>
  <c r="W40" i="35" s="1"/>
  <c r="U40" i="35"/>
  <c r="R40" i="35"/>
  <c r="Q40" i="35"/>
  <c r="P40" i="35"/>
  <c r="L40" i="35"/>
  <c r="M40" i="35" s="1"/>
  <c r="K40" i="35"/>
  <c r="AE39" i="35"/>
  <c r="AF39" i="35" s="1"/>
  <c r="AA39" i="35"/>
  <c r="AB39" i="35" s="1"/>
  <c r="Z39" i="35"/>
  <c r="V39" i="35"/>
  <c r="W39" i="35" s="1"/>
  <c r="U39" i="35"/>
  <c r="Q39" i="35"/>
  <c r="R39" i="35" s="1"/>
  <c r="P39" i="35"/>
  <c r="L39" i="35"/>
  <c r="M39" i="35" s="1"/>
  <c r="K39" i="35"/>
  <c r="AE38" i="35"/>
  <c r="AF38" i="35" s="1"/>
  <c r="AG38" i="35" s="1"/>
  <c r="Z38" i="35"/>
  <c r="AA38" i="35" s="1"/>
  <c r="AB38" i="35" s="1"/>
  <c r="U38" i="35"/>
  <c r="V38" i="35" s="1"/>
  <c r="W38" i="35" s="1"/>
  <c r="P38" i="35"/>
  <c r="Q38" i="35" s="1"/>
  <c r="R38" i="35" s="1"/>
  <c r="K38" i="35"/>
  <c r="L38" i="35" s="1"/>
  <c r="M38" i="35" s="1"/>
  <c r="AG37" i="35"/>
  <c r="AF37" i="35"/>
  <c r="AE37" i="35"/>
  <c r="Z37" i="35"/>
  <c r="AA37" i="35" s="1"/>
  <c r="W37" i="35"/>
  <c r="V37" i="35"/>
  <c r="U37" i="35"/>
  <c r="R37" i="35"/>
  <c r="Q37" i="35"/>
  <c r="P37" i="35"/>
  <c r="M37" i="35"/>
  <c r="L37" i="35"/>
  <c r="K37" i="35"/>
  <c r="W36" i="35"/>
  <c r="V36" i="35"/>
  <c r="U36" i="35"/>
  <c r="P36" i="35"/>
  <c r="Q36" i="35" s="1"/>
  <c r="R36" i="35" s="1"/>
  <c r="L36" i="35"/>
  <c r="M36" i="35" s="1"/>
  <c r="K36" i="35"/>
  <c r="AE35" i="35"/>
  <c r="AF35" i="35" s="1"/>
  <c r="Z35" i="35"/>
  <c r="AA35" i="35" s="1"/>
  <c r="AB35" i="35" s="1"/>
  <c r="W35" i="35"/>
  <c r="U35" i="35"/>
  <c r="V35" i="35" s="1"/>
  <c r="P35" i="35"/>
  <c r="Q35" i="35" s="1"/>
  <c r="R35" i="35" s="1"/>
  <c r="L35" i="35"/>
  <c r="M35" i="35" s="1"/>
  <c r="K35" i="35"/>
  <c r="AG34" i="35"/>
  <c r="AF34" i="35"/>
  <c r="AE34" i="35"/>
  <c r="R34" i="35"/>
  <c r="Q34" i="35"/>
  <c r="P34" i="35"/>
  <c r="K34" i="35"/>
  <c r="L34" i="35" s="1"/>
  <c r="M34" i="35" s="1"/>
  <c r="Q33" i="35"/>
  <c r="P33" i="35"/>
  <c r="L33" i="35"/>
  <c r="M33" i="35" s="1"/>
  <c r="K33" i="35"/>
  <c r="Q32" i="35"/>
  <c r="AI32" i="35" s="1"/>
  <c r="P32" i="35"/>
  <c r="K32" i="35"/>
  <c r="L32" i="35" s="1"/>
  <c r="M32" i="35" s="1"/>
  <c r="AJ31" i="35"/>
  <c r="AI31" i="35"/>
  <c r="AB31" i="35"/>
  <c r="AA31" i="35"/>
  <c r="Z31" i="35"/>
  <c r="AF30" i="35"/>
  <c r="AG30" i="35" s="1"/>
  <c r="AE30" i="35"/>
  <c r="Z30" i="35"/>
  <c r="AA30" i="35" s="1"/>
  <c r="V30" i="35"/>
  <c r="W30" i="35" s="1"/>
  <c r="U30" i="35"/>
  <c r="AE29" i="35"/>
  <c r="AF29" i="35" s="1"/>
  <c r="U29" i="35"/>
  <c r="V29" i="35" s="1"/>
  <c r="W29" i="35" s="1"/>
  <c r="P29" i="35"/>
  <c r="Q29" i="35" s="1"/>
  <c r="R29" i="35" s="1"/>
  <c r="K29" i="35"/>
  <c r="L29" i="35" s="1"/>
  <c r="M29" i="35" s="1"/>
  <c r="AI28" i="35"/>
  <c r="W28" i="35"/>
  <c r="AJ28" i="35" s="1"/>
  <c r="V28" i="35"/>
  <c r="U28" i="35"/>
  <c r="AF27" i="35"/>
  <c r="AG27" i="35" s="1"/>
  <c r="AJ27" i="35" s="1"/>
  <c r="AE27" i="35"/>
  <c r="AA26" i="35"/>
  <c r="AI26" i="35" s="1"/>
  <c r="Z26" i="35"/>
  <c r="U26" i="35"/>
  <c r="V26" i="35" s="1"/>
  <c r="W26" i="35" s="1"/>
  <c r="R26" i="35"/>
  <c r="P26" i="35"/>
  <c r="Q26" i="35" s="1"/>
  <c r="K26" i="35"/>
  <c r="L26" i="35" s="1"/>
  <c r="M26" i="35" s="1"/>
  <c r="AG25" i="35"/>
  <c r="AJ25" i="35" s="1"/>
  <c r="AF25" i="35"/>
  <c r="AE25" i="35"/>
  <c r="Q25" i="35"/>
  <c r="R25" i="35" s="1"/>
  <c r="P25" i="35"/>
  <c r="M25" i="35"/>
  <c r="L25" i="35"/>
  <c r="K25" i="35"/>
  <c r="AF24" i="35"/>
  <c r="AE24" i="35"/>
  <c r="Z24" i="35"/>
  <c r="AA24" i="35" s="1"/>
  <c r="AB24" i="35" s="1"/>
  <c r="V24" i="35"/>
  <c r="W24" i="35" s="1"/>
  <c r="U24" i="35"/>
  <c r="Q24" i="35"/>
  <c r="R24" i="35" s="1"/>
  <c r="P24" i="35"/>
  <c r="AG23" i="35"/>
  <c r="AE23" i="35"/>
  <c r="AF23" i="35" s="1"/>
  <c r="AB23" i="35"/>
  <c r="Z23" i="35"/>
  <c r="AA23" i="35" s="1"/>
  <c r="AI23" i="35" s="1"/>
  <c r="U23" i="35"/>
  <c r="V23" i="35" s="1"/>
  <c r="W23" i="35" s="1"/>
  <c r="Q23" i="35"/>
  <c r="R23" i="35" s="1"/>
  <c r="P23" i="35"/>
  <c r="M23" i="35"/>
  <c r="K23" i="35"/>
  <c r="L23" i="35" s="1"/>
  <c r="AG22" i="35"/>
  <c r="AF22" i="35"/>
  <c r="AE22" i="35"/>
  <c r="AB22" i="35"/>
  <c r="AA22" i="35"/>
  <c r="Z22" i="35"/>
  <c r="V22" i="35"/>
  <c r="W22" i="35" s="1"/>
  <c r="U22" i="35"/>
  <c r="R22" i="35"/>
  <c r="Q22" i="35"/>
  <c r="P22" i="35"/>
  <c r="M22" i="35"/>
  <c r="L22" i="35"/>
  <c r="K22" i="35"/>
  <c r="P21" i="35"/>
  <c r="Q21" i="35" s="1"/>
  <c r="AG20" i="35"/>
  <c r="AE20" i="35"/>
  <c r="AF20" i="35" s="1"/>
  <c r="AI20" i="35" s="1"/>
  <c r="Z20" i="35"/>
  <c r="AA20" i="35" s="1"/>
  <c r="AB20" i="35" s="1"/>
  <c r="V20" i="35"/>
  <c r="W20" i="35" s="1"/>
  <c r="U20" i="35"/>
  <c r="M20" i="35"/>
  <c r="K20" i="35"/>
  <c r="L20" i="35" s="1"/>
  <c r="AG19" i="35"/>
  <c r="AF19" i="35"/>
  <c r="AE19" i="35"/>
  <c r="AB19" i="35"/>
  <c r="AA19" i="35"/>
  <c r="Z19" i="35"/>
  <c r="V19" i="35"/>
  <c r="W19" i="35" s="1"/>
  <c r="U19" i="35"/>
  <c r="R19" i="35"/>
  <c r="Q19" i="35"/>
  <c r="P19" i="35"/>
  <c r="M19" i="35"/>
  <c r="L19" i="35"/>
  <c r="K19" i="35"/>
  <c r="AE18" i="35"/>
  <c r="AF18" i="35" s="1"/>
  <c r="Z18" i="35"/>
  <c r="AA18" i="35" s="1"/>
  <c r="AB18" i="35" s="1"/>
  <c r="U18" i="35"/>
  <c r="V18" i="35" s="1"/>
  <c r="W18" i="35" s="1"/>
  <c r="Q18" i="35"/>
  <c r="R18" i="35" s="1"/>
  <c r="P18" i="35"/>
  <c r="M18" i="35"/>
  <c r="L18" i="35"/>
  <c r="K18" i="35"/>
  <c r="AE17" i="35"/>
  <c r="AF17" i="35" s="1"/>
  <c r="W17" i="35"/>
  <c r="U17" i="35"/>
  <c r="V17" i="35" s="1"/>
  <c r="Q17" i="35"/>
  <c r="R17" i="35" s="1"/>
  <c r="P17" i="35"/>
  <c r="AE16" i="35"/>
  <c r="AF16" i="35" s="1"/>
  <c r="AA16" i="35"/>
  <c r="AB16" i="35" s="1"/>
  <c r="Z16" i="35"/>
  <c r="U16" i="35"/>
  <c r="V16" i="35" s="1"/>
  <c r="W16" i="35" s="1"/>
  <c r="Q16" i="35"/>
  <c r="R16" i="35" s="1"/>
  <c r="P16" i="35"/>
  <c r="K16" i="35"/>
  <c r="L16" i="35" s="1"/>
  <c r="M16" i="35" s="1"/>
  <c r="AE15" i="35"/>
  <c r="AF15" i="35" s="1"/>
  <c r="Z15" i="35"/>
  <c r="AA15" i="35" s="1"/>
  <c r="AB15" i="35" s="1"/>
  <c r="W15" i="35"/>
  <c r="V15" i="35"/>
  <c r="U15" i="35"/>
  <c r="P15" i="35"/>
  <c r="Q15" i="35" s="1"/>
  <c r="R15" i="35" s="1"/>
  <c r="K15" i="35"/>
  <c r="L15" i="35" s="1"/>
  <c r="M15" i="35" s="1"/>
  <c r="AG14" i="35"/>
  <c r="AF14" i="35"/>
  <c r="AI14" i="35" s="1"/>
  <c r="AE14" i="35"/>
  <c r="AA14" i="35"/>
  <c r="AB14" i="35" s="1"/>
  <c r="Z14" i="35"/>
  <c r="W14" i="35"/>
  <c r="V14" i="35"/>
  <c r="U14" i="35"/>
  <c r="Q14" i="35"/>
  <c r="R14" i="35" s="1"/>
  <c r="P14" i="35"/>
  <c r="M14" i="35"/>
  <c r="L14" i="35"/>
  <c r="K14" i="35"/>
  <c r="AF13" i="35"/>
  <c r="AI13" i="35" s="1"/>
  <c r="AE13" i="35"/>
  <c r="Z13" i="35"/>
  <c r="AA13" i="35" s="1"/>
  <c r="AB13" i="35" s="1"/>
  <c r="V13" i="35"/>
  <c r="W13" i="35" s="1"/>
  <c r="U13" i="35"/>
  <c r="P13" i="35"/>
  <c r="Q13" i="35" s="1"/>
  <c r="R13" i="35" s="1"/>
  <c r="L13" i="35"/>
  <c r="M13" i="35" s="1"/>
  <c r="K13" i="35"/>
  <c r="P12" i="35"/>
  <c r="Q12" i="35" s="1"/>
  <c r="AF11" i="35"/>
  <c r="AI11" i="35" s="1"/>
  <c r="AE11" i="35"/>
  <c r="AB11" i="35"/>
  <c r="AA11" i="35"/>
  <c r="Z11" i="35"/>
  <c r="V11" i="35"/>
  <c r="W11" i="35" s="1"/>
  <c r="U11" i="35"/>
  <c r="R11" i="35"/>
  <c r="Q11" i="35"/>
  <c r="P11" i="35"/>
  <c r="L11" i="35"/>
  <c r="M11" i="35" s="1"/>
  <c r="K11" i="35"/>
  <c r="AE10" i="35"/>
  <c r="AF10" i="35" s="1"/>
  <c r="AA10" i="35"/>
  <c r="AB10" i="35" s="1"/>
  <c r="Z10" i="35"/>
  <c r="U10" i="35"/>
  <c r="V10" i="35" s="1"/>
  <c r="W10" i="35" s="1"/>
  <c r="Q10" i="35"/>
  <c r="R10" i="35" s="1"/>
  <c r="P10" i="35"/>
  <c r="K10" i="35"/>
  <c r="L10" i="35" s="1"/>
  <c r="M10" i="35" s="1"/>
  <c r="AG9" i="35"/>
  <c r="AF9" i="35"/>
  <c r="AE9" i="35"/>
  <c r="Z9" i="35"/>
  <c r="AA9" i="35" s="1"/>
  <c r="U9" i="35"/>
  <c r="V9" i="35" s="1"/>
  <c r="W9" i="35" s="1"/>
  <c r="P9" i="35"/>
  <c r="Q9" i="35" s="1"/>
  <c r="R9" i="35" s="1"/>
  <c r="M9" i="35"/>
  <c r="L9" i="35"/>
  <c r="K9" i="35"/>
  <c r="AG8" i="35"/>
  <c r="AF8" i="35"/>
  <c r="AI8" i="35" s="1"/>
  <c r="AE8" i="35"/>
  <c r="AA8" i="35"/>
  <c r="AB8" i="35" s="1"/>
  <c r="Z8" i="35"/>
  <c r="W8" i="35"/>
  <c r="V8" i="35"/>
  <c r="U8" i="35"/>
  <c r="AF7" i="35"/>
  <c r="AE7" i="35"/>
  <c r="Z7" i="35"/>
  <c r="AA7" i="35" s="1"/>
  <c r="AB7" i="35" s="1"/>
  <c r="V7" i="35"/>
  <c r="W7" i="35" s="1"/>
  <c r="U7" i="35"/>
  <c r="P7" i="35"/>
  <c r="Q7" i="35" s="1"/>
  <c r="R7" i="35" s="1"/>
  <c r="L7" i="35"/>
  <c r="M7" i="35" s="1"/>
  <c r="K7" i="35"/>
  <c r="AE6" i="35"/>
  <c r="AF6" i="35" s="1"/>
  <c r="AB6" i="35"/>
  <c r="AA6" i="35"/>
  <c r="Z6" i="35"/>
  <c r="U6" i="35"/>
  <c r="V6" i="35" s="1"/>
  <c r="W6" i="35" s="1"/>
  <c r="P6" i="35"/>
  <c r="Q6" i="35" s="1"/>
  <c r="R6" i="35" s="1"/>
  <c r="K6" i="35"/>
  <c r="L6" i="35" s="1"/>
  <c r="M6" i="35" s="1"/>
  <c r="AF5" i="35"/>
  <c r="AI5" i="35" s="1"/>
  <c r="AE5" i="35"/>
  <c r="AB5" i="35"/>
  <c r="AA5" i="35"/>
  <c r="Z5" i="35"/>
  <c r="V5" i="35"/>
  <c r="W5" i="35" s="1"/>
  <c r="U5" i="35"/>
  <c r="R5" i="35"/>
  <c r="Q5" i="35"/>
  <c r="P5" i="35"/>
  <c r="L5" i="35"/>
  <c r="M5" i="35" s="1"/>
  <c r="K5" i="35"/>
  <c r="P4" i="35"/>
  <c r="Q4" i="35" s="1"/>
  <c r="L4" i="35"/>
  <c r="M4" i="35" s="1"/>
  <c r="K4" i="35"/>
  <c r="Z3" i="35"/>
  <c r="AA3" i="35" s="1"/>
  <c r="U3" i="35"/>
  <c r="V3" i="35" s="1"/>
  <c r="W3" i="35" s="1"/>
  <c r="P3" i="35"/>
  <c r="Q3" i="35" s="1"/>
  <c r="R3" i="35" s="1"/>
  <c r="J124" i="19"/>
  <c r="K124" i="19"/>
  <c r="L124" i="19"/>
  <c r="M124" i="19"/>
  <c r="N124" i="19"/>
  <c r="O124" i="19"/>
  <c r="P124" i="19"/>
  <c r="Q124" i="19"/>
  <c r="R124" i="19"/>
  <c r="S124" i="19"/>
  <c r="T124" i="19"/>
  <c r="U124" i="19"/>
  <c r="V124" i="19"/>
  <c r="W124" i="19"/>
  <c r="X124" i="19"/>
  <c r="Y124" i="19"/>
  <c r="Z124" i="19"/>
  <c r="AA124" i="19"/>
  <c r="AB124" i="19"/>
  <c r="AC124" i="19"/>
  <c r="AD124" i="19"/>
  <c r="AE124" i="19"/>
  <c r="AF124" i="19"/>
  <c r="AG124" i="19"/>
  <c r="AH124" i="19"/>
  <c r="AI124" i="19"/>
  <c r="AJ124" i="19"/>
  <c r="J121" i="19"/>
  <c r="N121" i="19"/>
  <c r="O121" i="19"/>
  <c r="S121" i="19"/>
  <c r="T121" i="19"/>
  <c r="U121" i="19"/>
  <c r="X121" i="19"/>
  <c r="Y121" i="19"/>
  <c r="AC121" i="19"/>
  <c r="AD121" i="19"/>
  <c r="AH121" i="19"/>
  <c r="J106" i="19"/>
  <c r="N106" i="19"/>
  <c r="O106" i="19"/>
  <c r="S106" i="19"/>
  <c r="T106" i="19"/>
  <c r="U106" i="19"/>
  <c r="W106" i="19"/>
  <c r="X106" i="19"/>
  <c r="Y106" i="19"/>
  <c r="AC106" i="19"/>
  <c r="AD106" i="19"/>
  <c r="AH106" i="19"/>
  <c r="J99" i="19"/>
  <c r="N99" i="19"/>
  <c r="O99" i="19"/>
  <c r="S99" i="19"/>
  <c r="T99" i="19"/>
  <c r="X99" i="19"/>
  <c r="Y99" i="19"/>
  <c r="AC99" i="19"/>
  <c r="AD99" i="19"/>
  <c r="AH99" i="19"/>
  <c r="J87" i="19"/>
  <c r="N87" i="19"/>
  <c r="O87" i="19"/>
  <c r="S87" i="19"/>
  <c r="T87" i="19"/>
  <c r="X87" i="19"/>
  <c r="Y87" i="19"/>
  <c r="AC87" i="19"/>
  <c r="AD87" i="19"/>
  <c r="AH87" i="19"/>
  <c r="J73" i="19"/>
  <c r="N73" i="19"/>
  <c r="O73" i="19"/>
  <c r="S73" i="19"/>
  <c r="T73" i="19"/>
  <c r="X73" i="19"/>
  <c r="Y73" i="19"/>
  <c r="AC73" i="19"/>
  <c r="AD73" i="19"/>
  <c r="AH73" i="19"/>
  <c r="J69" i="19"/>
  <c r="N69" i="19"/>
  <c r="O69" i="19"/>
  <c r="S69" i="19"/>
  <c r="T69" i="19"/>
  <c r="X69" i="19"/>
  <c r="Y69" i="19"/>
  <c r="AC69" i="19"/>
  <c r="AD69" i="19"/>
  <c r="AH69" i="19"/>
  <c r="J65" i="19"/>
  <c r="N65" i="19"/>
  <c r="O65" i="19"/>
  <c r="S65" i="19"/>
  <c r="T65" i="19"/>
  <c r="X65" i="19"/>
  <c r="Y65" i="19"/>
  <c r="AC65" i="19"/>
  <c r="AD65" i="19"/>
  <c r="AH65" i="19"/>
  <c r="J54" i="19"/>
  <c r="N54" i="19"/>
  <c r="O54" i="19"/>
  <c r="S54" i="19"/>
  <c r="T54" i="19"/>
  <c r="X54" i="19"/>
  <c r="Y54" i="19"/>
  <c r="AC54" i="19"/>
  <c r="AD54" i="19"/>
  <c r="AH54" i="19"/>
  <c r="J51" i="19"/>
  <c r="N51" i="19"/>
  <c r="O51" i="19"/>
  <c r="S51" i="19"/>
  <c r="T51" i="19"/>
  <c r="X51" i="19"/>
  <c r="Y51" i="19"/>
  <c r="AC51" i="19"/>
  <c r="AD51" i="19"/>
  <c r="AH51" i="19"/>
  <c r="J41" i="19"/>
  <c r="K41" i="19"/>
  <c r="L41" i="19"/>
  <c r="M41" i="19"/>
  <c r="N41" i="19"/>
  <c r="O41" i="19"/>
  <c r="S41" i="19"/>
  <c r="T41" i="19"/>
  <c r="X41" i="19"/>
  <c r="Y41" i="19"/>
  <c r="Z41" i="19"/>
  <c r="AA41" i="19"/>
  <c r="AB41" i="19"/>
  <c r="AC41" i="19"/>
  <c r="AD41" i="19"/>
  <c r="AE41" i="19"/>
  <c r="AH41" i="19"/>
  <c r="J15" i="19"/>
  <c r="N15" i="19"/>
  <c r="O15" i="19"/>
  <c r="S15" i="19"/>
  <c r="T15" i="19"/>
  <c r="X15" i="19"/>
  <c r="Y15" i="19"/>
  <c r="AC15" i="19"/>
  <c r="AD15" i="19"/>
  <c r="AH15" i="19"/>
  <c r="J8" i="19"/>
  <c r="N8" i="19"/>
  <c r="O8" i="19"/>
  <c r="S8" i="19"/>
  <c r="T8" i="19"/>
  <c r="X8" i="19"/>
  <c r="Y8" i="19"/>
  <c r="AC8" i="19"/>
  <c r="AD8" i="19"/>
  <c r="AH8" i="19"/>
  <c r="AE127" i="19"/>
  <c r="AF127" i="19" s="1"/>
  <c r="Z127" i="19"/>
  <c r="AA127" i="19" s="1"/>
  <c r="AB127" i="19" s="1"/>
  <c r="U127" i="19"/>
  <c r="V127" i="19" s="1"/>
  <c r="W127" i="19" s="1"/>
  <c r="P127" i="19"/>
  <c r="Q127" i="19" s="1"/>
  <c r="R127" i="19" s="1"/>
  <c r="K127" i="19"/>
  <c r="L127" i="19" s="1"/>
  <c r="M127" i="19" s="1"/>
  <c r="AE130" i="19"/>
  <c r="AF130" i="19" s="1"/>
  <c r="Z130" i="19"/>
  <c r="AA130" i="19" s="1"/>
  <c r="AB130" i="19" s="1"/>
  <c r="U130" i="19"/>
  <c r="V130" i="19" s="1"/>
  <c r="W130" i="19" s="1"/>
  <c r="P130" i="19"/>
  <c r="Q130" i="19" s="1"/>
  <c r="R130" i="19" s="1"/>
  <c r="K130" i="19"/>
  <c r="L130" i="19" s="1"/>
  <c r="M130" i="19" s="1"/>
  <c r="AE128" i="19"/>
  <c r="Z128" i="19"/>
  <c r="AA128" i="19" s="1"/>
  <c r="AB128" i="19" s="1"/>
  <c r="U128" i="19"/>
  <c r="V128" i="19" s="1"/>
  <c r="W128" i="19" s="1"/>
  <c r="P128" i="19"/>
  <c r="Q128" i="19" s="1"/>
  <c r="R128" i="19" s="1"/>
  <c r="K128" i="19"/>
  <c r="L128" i="19" s="1"/>
  <c r="M128" i="19" s="1"/>
  <c r="AE129" i="19"/>
  <c r="Z129" i="19"/>
  <c r="AA129" i="19" s="1"/>
  <c r="AB129" i="19" s="1"/>
  <c r="U129" i="19"/>
  <c r="V129" i="19" s="1"/>
  <c r="W129" i="19" s="1"/>
  <c r="P129" i="19"/>
  <c r="Q129" i="19" s="1"/>
  <c r="R129" i="19" s="1"/>
  <c r="K129" i="19"/>
  <c r="L129" i="19" s="1"/>
  <c r="M129" i="19" s="1"/>
  <c r="AE125" i="19"/>
  <c r="U125" i="19"/>
  <c r="V125" i="19" s="1"/>
  <c r="W125" i="19" s="1"/>
  <c r="P125" i="19"/>
  <c r="Q125" i="19" s="1"/>
  <c r="R125" i="19" s="1"/>
  <c r="K125" i="19"/>
  <c r="L125" i="19" s="1"/>
  <c r="M125" i="19" s="1"/>
  <c r="AE126" i="19"/>
  <c r="AF126" i="19" s="1"/>
  <c r="AG126" i="19" s="1"/>
  <c r="Z126" i="19"/>
  <c r="AA126" i="19" s="1"/>
  <c r="AB126" i="19" s="1"/>
  <c r="U126" i="19"/>
  <c r="V126" i="19" s="1"/>
  <c r="W126" i="19" s="1"/>
  <c r="P126" i="19"/>
  <c r="Q126" i="19" s="1"/>
  <c r="R126" i="19" s="1"/>
  <c r="K126" i="19"/>
  <c r="L126" i="19" s="1"/>
  <c r="M126" i="19" s="1"/>
  <c r="AE131" i="19"/>
  <c r="Z131" i="19"/>
  <c r="AA131" i="19" s="1"/>
  <c r="AB131" i="19" s="1"/>
  <c r="U131" i="19"/>
  <c r="V131" i="19" s="1"/>
  <c r="W131" i="19" s="1"/>
  <c r="P131" i="19"/>
  <c r="Q131" i="19" s="1"/>
  <c r="R131" i="19" s="1"/>
  <c r="K131" i="19"/>
  <c r="L131" i="19" s="1"/>
  <c r="M131" i="19" s="1"/>
  <c r="K123" i="19"/>
  <c r="L123" i="19" s="1"/>
  <c r="AE120" i="19"/>
  <c r="Z120" i="19"/>
  <c r="AA120" i="19" s="1"/>
  <c r="AB120" i="19" s="1"/>
  <c r="U120" i="19"/>
  <c r="V120" i="19" s="1"/>
  <c r="W120" i="19" s="1"/>
  <c r="P120" i="19"/>
  <c r="Q120" i="19" s="1"/>
  <c r="R120" i="19" s="1"/>
  <c r="K120" i="19"/>
  <c r="L120" i="19" s="1"/>
  <c r="M120" i="19" s="1"/>
  <c r="AE119" i="19"/>
  <c r="AE121" i="19" s="1"/>
  <c r="Z119" i="19"/>
  <c r="AA119" i="19" s="1"/>
  <c r="AB119" i="19" s="1"/>
  <c r="AB121" i="19" s="1"/>
  <c r="U119" i="19"/>
  <c r="V119" i="19" s="1"/>
  <c r="W119" i="19" s="1"/>
  <c r="W121" i="19" s="1"/>
  <c r="P119" i="19"/>
  <c r="Q119" i="19" s="1"/>
  <c r="R119" i="19" s="1"/>
  <c r="R121" i="19" s="1"/>
  <c r="K119" i="19"/>
  <c r="L119" i="19" s="1"/>
  <c r="M119" i="19" s="1"/>
  <c r="M121" i="19" s="1"/>
  <c r="AE122" i="19"/>
  <c r="AF122" i="19" s="1"/>
  <c r="Z122" i="19"/>
  <c r="AA122" i="19" s="1"/>
  <c r="AB122" i="19" s="1"/>
  <c r="U122" i="19"/>
  <c r="V122" i="19" s="1"/>
  <c r="W122" i="19" s="1"/>
  <c r="AE117" i="19"/>
  <c r="Z117" i="19"/>
  <c r="AA117" i="19" s="1"/>
  <c r="AB117" i="19" s="1"/>
  <c r="U117" i="19"/>
  <c r="V117" i="19" s="1"/>
  <c r="W117" i="19" s="1"/>
  <c r="P117" i="19"/>
  <c r="Q117" i="19" s="1"/>
  <c r="R117" i="19" s="1"/>
  <c r="K117" i="19"/>
  <c r="L117" i="19" s="1"/>
  <c r="M117" i="19" s="1"/>
  <c r="AE118" i="19"/>
  <c r="Z118" i="19"/>
  <c r="AA118" i="19" s="1"/>
  <c r="AB118" i="19" s="1"/>
  <c r="U118" i="19"/>
  <c r="V118" i="19" s="1"/>
  <c r="W118" i="19" s="1"/>
  <c r="P118" i="19"/>
  <c r="Q118" i="19" s="1"/>
  <c r="R118" i="19" s="1"/>
  <c r="K118" i="19"/>
  <c r="L118" i="19" s="1"/>
  <c r="M118" i="19" s="1"/>
  <c r="AE116" i="19"/>
  <c r="AF116" i="19" s="1"/>
  <c r="Z111" i="19"/>
  <c r="AA111" i="19" s="1"/>
  <c r="U111" i="19"/>
  <c r="V111" i="19" s="1"/>
  <c r="W111" i="19" s="1"/>
  <c r="AE112" i="19"/>
  <c r="Z112" i="19"/>
  <c r="AA112" i="19" s="1"/>
  <c r="AB112" i="19" s="1"/>
  <c r="U112" i="19"/>
  <c r="V112" i="19" s="1"/>
  <c r="W112" i="19" s="1"/>
  <c r="P112" i="19"/>
  <c r="Q112" i="19" s="1"/>
  <c r="R112" i="19" s="1"/>
  <c r="K112" i="19"/>
  <c r="L112" i="19" s="1"/>
  <c r="M112" i="19" s="1"/>
  <c r="AE110" i="19"/>
  <c r="Z110" i="19"/>
  <c r="AA110" i="19" s="1"/>
  <c r="AB110" i="19" s="1"/>
  <c r="U110" i="19"/>
  <c r="V110" i="19" s="1"/>
  <c r="W110" i="19" s="1"/>
  <c r="P110" i="19"/>
  <c r="Q110" i="19" s="1"/>
  <c r="R110" i="19" s="1"/>
  <c r="K110" i="19"/>
  <c r="L110" i="19" s="1"/>
  <c r="M110" i="19" s="1"/>
  <c r="AE113" i="19"/>
  <c r="AF113" i="19" s="1"/>
  <c r="AG113" i="19" s="1"/>
  <c r="Z113" i="19"/>
  <c r="AA113" i="19" s="1"/>
  <c r="AB113" i="19" s="1"/>
  <c r="U113" i="19"/>
  <c r="V113" i="19" s="1"/>
  <c r="W113" i="19" s="1"/>
  <c r="P113" i="19"/>
  <c r="Q113" i="19" s="1"/>
  <c r="R113" i="19" s="1"/>
  <c r="K113" i="19"/>
  <c r="L113" i="19" s="1"/>
  <c r="M113" i="19" s="1"/>
  <c r="AE115" i="19"/>
  <c r="AF111" i="19" s="1"/>
  <c r="Z115" i="19"/>
  <c r="AA115" i="19" s="1"/>
  <c r="AB115" i="19" s="1"/>
  <c r="U115" i="19"/>
  <c r="V115" i="19" s="1"/>
  <c r="W115" i="19" s="1"/>
  <c r="P115" i="19"/>
  <c r="Q115" i="19" s="1"/>
  <c r="R115" i="19" s="1"/>
  <c r="K115" i="19"/>
  <c r="L115" i="19" s="1"/>
  <c r="M115" i="19" s="1"/>
  <c r="AE114" i="19"/>
  <c r="Z114" i="19"/>
  <c r="AA114" i="19" s="1"/>
  <c r="AB114" i="19" s="1"/>
  <c r="U114" i="19"/>
  <c r="V114" i="19" s="1"/>
  <c r="W114" i="19" s="1"/>
  <c r="P114" i="19"/>
  <c r="Q114" i="19" s="1"/>
  <c r="R114" i="19" s="1"/>
  <c r="K114" i="19"/>
  <c r="L114" i="19" s="1"/>
  <c r="M114" i="19" s="1"/>
  <c r="AE103" i="19"/>
  <c r="Z103" i="19"/>
  <c r="AA103" i="19" s="1"/>
  <c r="AB103" i="19" s="1"/>
  <c r="U103" i="19"/>
  <c r="V103" i="19" s="1"/>
  <c r="W103" i="19" s="1"/>
  <c r="P103" i="19"/>
  <c r="Q103" i="19" s="1"/>
  <c r="R103" i="19" s="1"/>
  <c r="K103" i="19"/>
  <c r="L103" i="19" s="1"/>
  <c r="M103" i="19" s="1"/>
  <c r="AE100" i="19"/>
  <c r="AF100" i="19" s="1"/>
  <c r="Z100" i="19"/>
  <c r="AA100" i="19" s="1"/>
  <c r="AB100" i="19" s="1"/>
  <c r="U100" i="19"/>
  <c r="V100" i="19" s="1"/>
  <c r="W100" i="19" s="1"/>
  <c r="P100" i="19"/>
  <c r="Q100" i="19" s="1"/>
  <c r="R100" i="19" s="1"/>
  <c r="K100" i="19"/>
  <c r="L100" i="19" s="1"/>
  <c r="M100" i="19" s="1"/>
  <c r="Z102" i="19"/>
  <c r="AA102" i="19" s="1"/>
  <c r="U102" i="19"/>
  <c r="V102" i="19" s="1"/>
  <c r="W102" i="19" s="1"/>
  <c r="P102" i="19"/>
  <c r="Q102" i="19" s="1"/>
  <c r="R102" i="19" s="1"/>
  <c r="AE101" i="19"/>
  <c r="Z101" i="19"/>
  <c r="AA101" i="19" s="1"/>
  <c r="AB101" i="19" s="1"/>
  <c r="U101" i="19"/>
  <c r="V101" i="19" s="1"/>
  <c r="W101" i="19" s="1"/>
  <c r="P101" i="19"/>
  <c r="Q101" i="19" s="1"/>
  <c r="R101" i="19" s="1"/>
  <c r="K101" i="19"/>
  <c r="L101" i="19" s="1"/>
  <c r="M101" i="19" s="1"/>
  <c r="AE93" i="19"/>
  <c r="Z93" i="19"/>
  <c r="AA93" i="19" s="1"/>
  <c r="AB93" i="19" s="1"/>
  <c r="U93" i="19"/>
  <c r="V93" i="19" s="1"/>
  <c r="W93" i="19" s="1"/>
  <c r="P93" i="19"/>
  <c r="Q93" i="19" s="1"/>
  <c r="R93" i="19" s="1"/>
  <c r="K93" i="19"/>
  <c r="L93" i="19" s="1"/>
  <c r="M93" i="19" s="1"/>
  <c r="AE98" i="19"/>
  <c r="Z98" i="19"/>
  <c r="AA98" i="19" s="1"/>
  <c r="AB98" i="19" s="1"/>
  <c r="U98" i="19"/>
  <c r="V98" i="19" s="1"/>
  <c r="W98" i="19" s="1"/>
  <c r="W99" i="19" s="1"/>
  <c r="P98" i="19"/>
  <c r="Q98" i="19" s="1"/>
  <c r="R98" i="19" s="1"/>
  <c r="K98" i="19"/>
  <c r="L98" i="19" s="1"/>
  <c r="M98" i="19" s="1"/>
  <c r="AF102" i="19"/>
  <c r="AG102" i="19" s="1"/>
  <c r="AE95" i="19"/>
  <c r="Z95" i="19"/>
  <c r="AA95" i="19" s="1"/>
  <c r="AB95" i="19" s="1"/>
  <c r="U95" i="19"/>
  <c r="V95" i="19" s="1"/>
  <c r="W95" i="19" s="1"/>
  <c r="P95" i="19"/>
  <c r="Q95" i="19" s="1"/>
  <c r="R95" i="19" s="1"/>
  <c r="K95" i="19"/>
  <c r="L95" i="19" s="1"/>
  <c r="M95" i="19" s="1"/>
  <c r="AE97" i="19"/>
  <c r="AE99" i="19" s="1"/>
  <c r="Z97" i="19"/>
  <c r="AA97" i="19" s="1"/>
  <c r="AB97" i="19" s="1"/>
  <c r="U97" i="19"/>
  <c r="V97" i="19" s="1"/>
  <c r="W97" i="19" s="1"/>
  <c r="P97" i="19"/>
  <c r="Q97" i="19" s="1"/>
  <c r="R97" i="19" s="1"/>
  <c r="R99" i="19" s="1"/>
  <c r="K97" i="19"/>
  <c r="L97" i="19" s="1"/>
  <c r="M97" i="19" s="1"/>
  <c r="AE94" i="19"/>
  <c r="Z94" i="19"/>
  <c r="AA94" i="19" s="1"/>
  <c r="AB94" i="19" s="1"/>
  <c r="U94" i="19"/>
  <c r="V94" i="19" s="1"/>
  <c r="W94" i="19" s="1"/>
  <c r="P94" i="19"/>
  <c r="Q94" i="19" s="1"/>
  <c r="R94" i="19" s="1"/>
  <c r="K94" i="19"/>
  <c r="L94" i="19" s="1"/>
  <c r="M94" i="19" s="1"/>
  <c r="AE96" i="19"/>
  <c r="AF96" i="19" s="1"/>
  <c r="AG96" i="19" s="1"/>
  <c r="Z96" i="19"/>
  <c r="AA96" i="19" s="1"/>
  <c r="AB96" i="19" s="1"/>
  <c r="U96" i="19"/>
  <c r="V96" i="19" s="1"/>
  <c r="W96" i="19" s="1"/>
  <c r="P96" i="19"/>
  <c r="Q96" i="19" s="1"/>
  <c r="R96" i="19" s="1"/>
  <c r="K96" i="19"/>
  <c r="L96" i="19" s="1"/>
  <c r="M96" i="19" s="1"/>
  <c r="AE92" i="19"/>
  <c r="AF92" i="19" s="1"/>
  <c r="AG92" i="19" s="1"/>
  <c r="Z92" i="19"/>
  <c r="AA92" i="19" s="1"/>
  <c r="AB92" i="19" s="1"/>
  <c r="U92" i="19"/>
  <c r="V92" i="19" s="1"/>
  <c r="W92" i="19" s="1"/>
  <c r="P92" i="19"/>
  <c r="Q92" i="19" s="1"/>
  <c r="R92" i="19" s="1"/>
  <c r="K92" i="19"/>
  <c r="L92" i="19" s="1"/>
  <c r="M92" i="19" s="1"/>
  <c r="AE89" i="19"/>
  <c r="Z89" i="19"/>
  <c r="AA89" i="19" s="1"/>
  <c r="AB89" i="19" s="1"/>
  <c r="U89" i="19"/>
  <c r="V89" i="19" s="1"/>
  <c r="W89" i="19" s="1"/>
  <c r="P89" i="19"/>
  <c r="Q89" i="19" s="1"/>
  <c r="R89" i="19" s="1"/>
  <c r="K89" i="19"/>
  <c r="L89" i="19" s="1"/>
  <c r="M89" i="19" s="1"/>
  <c r="AE91" i="19"/>
  <c r="Z91" i="19"/>
  <c r="AA91" i="19" s="1"/>
  <c r="AB91" i="19" s="1"/>
  <c r="U91" i="19"/>
  <c r="V91" i="19" s="1"/>
  <c r="W91" i="19" s="1"/>
  <c r="P91" i="19"/>
  <c r="Q91" i="19" s="1"/>
  <c r="R91" i="19" s="1"/>
  <c r="K91" i="19"/>
  <c r="L91" i="19" s="1"/>
  <c r="M91" i="19" s="1"/>
  <c r="AE86" i="19"/>
  <c r="Z86" i="19"/>
  <c r="AA86" i="19" s="1"/>
  <c r="AB86" i="19" s="1"/>
  <c r="U86" i="19"/>
  <c r="V86" i="19" s="1"/>
  <c r="W86" i="19" s="1"/>
  <c r="P86" i="19"/>
  <c r="Q86" i="19" s="1"/>
  <c r="R86" i="19" s="1"/>
  <c r="R87" i="19" s="1"/>
  <c r="K86" i="19"/>
  <c r="L86" i="19" s="1"/>
  <c r="M86" i="19" s="1"/>
  <c r="M87" i="19" s="1"/>
  <c r="P88" i="19"/>
  <c r="Q88" i="19" s="1"/>
  <c r="R88" i="19" s="1"/>
  <c r="K88" i="19"/>
  <c r="L88" i="19" s="1"/>
  <c r="M88" i="19" s="1"/>
  <c r="AE85" i="19"/>
  <c r="Z85" i="19"/>
  <c r="AA85" i="19" s="1"/>
  <c r="AB85" i="19" s="1"/>
  <c r="U85" i="19"/>
  <c r="V85" i="19" s="1"/>
  <c r="W85" i="19" s="1"/>
  <c r="AE90" i="19"/>
  <c r="AF90" i="19" s="1"/>
  <c r="AG90" i="19" s="1"/>
  <c r="Z90" i="19"/>
  <c r="AA90" i="19" s="1"/>
  <c r="AB90" i="19" s="1"/>
  <c r="U90" i="19"/>
  <c r="V90" i="19" s="1"/>
  <c r="W90" i="19" s="1"/>
  <c r="P90" i="19"/>
  <c r="Q90" i="19" s="1"/>
  <c r="R90" i="19" s="1"/>
  <c r="K90" i="19"/>
  <c r="L90" i="19" s="1"/>
  <c r="M90" i="19" s="1"/>
  <c r="AE84" i="19"/>
  <c r="Z84" i="19"/>
  <c r="AA84" i="19" s="1"/>
  <c r="AB84" i="19" s="1"/>
  <c r="U84" i="19"/>
  <c r="V84" i="19" s="1"/>
  <c r="W84" i="19" s="1"/>
  <c r="P84" i="19"/>
  <c r="Q84" i="19" s="1"/>
  <c r="R84" i="19" s="1"/>
  <c r="K84" i="19"/>
  <c r="L84" i="19" s="1"/>
  <c r="M84" i="19" s="1"/>
  <c r="AE81" i="19"/>
  <c r="Z81" i="19"/>
  <c r="AA81" i="19" s="1"/>
  <c r="AB81" i="19" s="1"/>
  <c r="U81" i="19"/>
  <c r="V81" i="19" s="1"/>
  <c r="W81" i="19" s="1"/>
  <c r="P81" i="19"/>
  <c r="Q81" i="19" s="1"/>
  <c r="R81" i="19" s="1"/>
  <c r="K81" i="19"/>
  <c r="L81" i="19" s="1"/>
  <c r="M81" i="19" s="1"/>
  <c r="AE78" i="19"/>
  <c r="AF88" i="19" s="1"/>
  <c r="Z78" i="19"/>
  <c r="AA78" i="19" s="1"/>
  <c r="AB78" i="19" s="1"/>
  <c r="U78" i="19"/>
  <c r="V78" i="19" s="1"/>
  <c r="W78" i="19" s="1"/>
  <c r="P78" i="19"/>
  <c r="Q78" i="19" s="1"/>
  <c r="R78" i="19" s="1"/>
  <c r="K78" i="19"/>
  <c r="L78" i="19" s="1"/>
  <c r="M78" i="19" s="1"/>
  <c r="AE82" i="19"/>
  <c r="Z82" i="19"/>
  <c r="AA82" i="19" s="1"/>
  <c r="AB82" i="19" s="1"/>
  <c r="U82" i="19"/>
  <c r="V82" i="19" s="1"/>
  <c r="W82" i="19" s="1"/>
  <c r="P82" i="19"/>
  <c r="Q82" i="19" s="1"/>
  <c r="R82" i="19" s="1"/>
  <c r="K82" i="19"/>
  <c r="L82" i="19" s="1"/>
  <c r="M82" i="19" s="1"/>
  <c r="U80" i="19"/>
  <c r="V80" i="19" s="1"/>
  <c r="W80" i="19" s="1"/>
  <c r="P80" i="19"/>
  <c r="Q80" i="19" s="1"/>
  <c r="R80" i="19" s="1"/>
  <c r="K80" i="19"/>
  <c r="L80" i="19" s="1"/>
  <c r="M80" i="19" s="1"/>
  <c r="AE77" i="19"/>
  <c r="Z77" i="19"/>
  <c r="AA77" i="19" s="1"/>
  <c r="AB77" i="19" s="1"/>
  <c r="U77" i="19"/>
  <c r="V77" i="19" s="1"/>
  <c r="W77" i="19" s="1"/>
  <c r="P77" i="19"/>
  <c r="Q77" i="19" s="1"/>
  <c r="R77" i="19" s="1"/>
  <c r="K77" i="19"/>
  <c r="L77" i="19" s="1"/>
  <c r="M77" i="19" s="1"/>
  <c r="AE83" i="19"/>
  <c r="AF83" i="19" s="1"/>
  <c r="AG83" i="19" s="1"/>
  <c r="Z83" i="19"/>
  <c r="AA83" i="19" s="1"/>
  <c r="AB83" i="19" s="1"/>
  <c r="U83" i="19"/>
  <c r="V83" i="19" s="1"/>
  <c r="W83" i="19" s="1"/>
  <c r="P83" i="19"/>
  <c r="Q83" i="19" s="1"/>
  <c r="R83" i="19" s="1"/>
  <c r="K83" i="19"/>
  <c r="L83" i="19" s="1"/>
  <c r="M83" i="19" s="1"/>
  <c r="Z79" i="19"/>
  <c r="AA79" i="19" s="1"/>
  <c r="U79" i="19"/>
  <c r="V79" i="19" s="1"/>
  <c r="W79" i="19" s="1"/>
  <c r="P79" i="19"/>
  <c r="Q79" i="19" s="1"/>
  <c r="R79" i="19" s="1"/>
  <c r="K79" i="19"/>
  <c r="L79" i="19" s="1"/>
  <c r="M79" i="19" s="1"/>
  <c r="AE72" i="19"/>
  <c r="Z72" i="19"/>
  <c r="AA72" i="19" s="1"/>
  <c r="AB72" i="19" s="1"/>
  <c r="U72" i="19"/>
  <c r="V72" i="19" s="1"/>
  <c r="W72" i="19" s="1"/>
  <c r="P72" i="19"/>
  <c r="Q72" i="19" s="1"/>
  <c r="R72" i="19" s="1"/>
  <c r="K72" i="19"/>
  <c r="L72" i="19" s="1"/>
  <c r="M72" i="19" s="1"/>
  <c r="AF80" i="19"/>
  <c r="AG80" i="19" s="1"/>
  <c r="AE61" i="19"/>
  <c r="AF61" i="19" s="1"/>
  <c r="AG61" i="19" s="1"/>
  <c r="Z61" i="19"/>
  <c r="AA61" i="19" s="1"/>
  <c r="AB61" i="19" s="1"/>
  <c r="U61" i="19"/>
  <c r="V61" i="19" s="1"/>
  <c r="W61" i="19" s="1"/>
  <c r="P61" i="19"/>
  <c r="Q61" i="19" s="1"/>
  <c r="R61" i="19" s="1"/>
  <c r="K61" i="19"/>
  <c r="L61" i="19" s="1"/>
  <c r="M61" i="19" s="1"/>
  <c r="AE75" i="19"/>
  <c r="AF79" i="19" s="1"/>
  <c r="Z75" i="19"/>
  <c r="AA75" i="19" s="1"/>
  <c r="AB75" i="19" s="1"/>
  <c r="U75" i="19"/>
  <c r="V75" i="19" s="1"/>
  <c r="W75" i="19" s="1"/>
  <c r="P75" i="19"/>
  <c r="Q75" i="19" s="1"/>
  <c r="R75" i="19" s="1"/>
  <c r="K75" i="19"/>
  <c r="L75" i="19" s="1"/>
  <c r="M75" i="19" s="1"/>
  <c r="AE71" i="19"/>
  <c r="Z71" i="19"/>
  <c r="AA71" i="19" s="1"/>
  <c r="AB71" i="19" s="1"/>
  <c r="AB73" i="19" s="1"/>
  <c r="U71" i="19"/>
  <c r="V71" i="19" s="1"/>
  <c r="W71" i="19" s="1"/>
  <c r="P71" i="19"/>
  <c r="Q71" i="19" s="1"/>
  <c r="R71" i="19" s="1"/>
  <c r="K71" i="19"/>
  <c r="L71" i="19" s="1"/>
  <c r="M71" i="19" s="1"/>
  <c r="K68" i="19"/>
  <c r="L68" i="19" s="1"/>
  <c r="AE64" i="19"/>
  <c r="AE63" i="19"/>
  <c r="Z63" i="19"/>
  <c r="AA63" i="19" s="1"/>
  <c r="AB63" i="19" s="1"/>
  <c r="AB65" i="19" s="1"/>
  <c r="U63" i="19"/>
  <c r="V63" i="19" s="1"/>
  <c r="W63" i="19" s="1"/>
  <c r="W65" i="19" s="1"/>
  <c r="P63" i="19"/>
  <c r="Q63" i="19" s="1"/>
  <c r="R63" i="19" s="1"/>
  <c r="R65" i="19" s="1"/>
  <c r="K63" i="19"/>
  <c r="L63" i="19" s="1"/>
  <c r="M63" i="19" s="1"/>
  <c r="M65" i="19" s="1"/>
  <c r="AE58" i="19"/>
  <c r="AF58" i="19" s="1"/>
  <c r="Z58" i="19"/>
  <c r="AA58" i="19" s="1"/>
  <c r="AB58" i="19" s="1"/>
  <c r="U58" i="19"/>
  <c r="V58" i="19" s="1"/>
  <c r="W58" i="19" s="1"/>
  <c r="P58" i="19"/>
  <c r="Q58" i="19" s="1"/>
  <c r="R58" i="19" s="1"/>
  <c r="K58" i="19"/>
  <c r="L58" i="19" s="1"/>
  <c r="M58" i="19" s="1"/>
  <c r="AE76" i="19"/>
  <c r="AF76" i="19" s="1"/>
  <c r="Z76" i="19"/>
  <c r="AA76" i="19" s="1"/>
  <c r="AB76" i="19" s="1"/>
  <c r="U76" i="19"/>
  <c r="V76" i="19" s="1"/>
  <c r="W76" i="19" s="1"/>
  <c r="P76" i="19"/>
  <c r="Q76" i="19" s="1"/>
  <c r="R76" i="19" s="1"/>
  <c r="K76" i="19"/>
  <c r="L76" i="19" s="1"/>
  <c r="M76" i="19" s="1"/>
  <c r="AE59" i="19"/>
  <c r="AF59" i="19" s="1"/>
  <c r="Z59" i="19"/>
  <c r="AA59" i="19" s="1"/>
  <c r="AB59" i="19" s="1"/>
  <c r="U59" i="19"/>
  <c r="V59" i="19" s="1"/>
  <c r="W59" i="19" s="1"/>
  <c r="P59" i="19"/>
  <c r="Q59" i="19" s="1"/>
  <c r="R59" i="19" s="1"/>
  <c r="K59" i="19"/>
  <c r="L59" i="19" s="1"/>
  <c r="M59" i="19" s="1"/>
  <c r="AE66" i="19"/>
  <c r="AF66" i="19" s="1"/>
  <c r="AG66" i="19" s="1"/>
  <c r="Z66" i="19"/>
  <c r="AA66" i="19" s="1"/>
  <c r="AB66" i="19" s="1"/>
  <c r="U66" i="19"/>
  <c r="V66" i="19" s="1"/>
  <c r="W66" i="19" s="1"/>
  <c r="P66" i="19"/>
  <c r="Q66" i="19" s="1"/>
  <c r="R66" i="19" s="1"/>
  <c r="K66" i="19"/>
  <c r="L66" i="19" s="1"/>
  <c r="M66" i="19" s="1"/>
  <c r="AE60" i="19"/>
  <c r="AF68" i="19" s="1"/>
  <c r="Z60" i="19"/>
  <c r="AA60" i="19" s="1"/>
  <c r="AB60" i="19" s="1"/>
  <c r="U60" i="19"/>
  <c r="V60" i="19" s="1"/>
  <c r="W60" i="19" s="1"/>
  <c r="P60" i="19"/>
  <c r="Q60" i="19" s="1"/>
  <c r="R60" i="19" s="1"/>
  <c r="K60" i="19"/>
  <c r="L60" i="19" s="1"/>
  <c r="M60" i="19" s="1"/>
  <c r="AE67" i="19"/>
  <c r="AF67" i="19" s="1"/>
  <c r="AG67" i="19" s="1"/>
  <c r="Z67" i="19"/>
  <c r="AA67" i="19" s="1"/>
  <c r="AB67" i="19" s="1"/>
  <c r="AB69" i="19" s="1"/>
  <c r="U67" i="19"/>
  <c r="V67" i="19" s="1"/>
  <c r="W67" i="19" s="1"/>
  <c r="W69" i="19" s="1"/>
  <c r="P67" i="19"/>
  <c r="Q67" i="19" s="1"/>
  <c r="R67" i="19" s="1"/>
  <c r="R69" i="19" s="1"/>
  <c r="K67" i="19"/>
  <c r="L67" i="19" s="1"/>
  <c r="M67" i="19" s="1"/>
  <c r="AE62" i="19"/>
  <c r="Z62" i="19"/>
  <c r="AA62" i="19" s="1"/>
  <c r="AB62" i="19" s="1"/>
  <c r="U62" i="19"/>
  <c r="V62" i="19" s="1"/>
  <c r="W62" i="19" s="1"/>
  <c r="P62" i="19"/>
  <c r="Q62" i="19" s="1"/>
  <c r="R62" i="19" s="1"/>
  <c r="K62" i="19"/>
  <c r="L62" i="19" s="1"/>
  <c r="M62" i="19" s="1"/>
  <c r="AE74" i="19"/>
  <c r="AF74" i="19" s="1"/>
  <c r="Z74" i="19"/>
  <c r="AA74" i="19" s="1"/>
  <c r="AB74" i="19" s="1"/>
  <c r="U74" i="19"/>
  <c r="V74" i="19" s="1"/>
  <c r="W74" i="19" s="1"/>
  <c r="P74" i="19"/>
  <c r="Q74" i="19" s="1"/>
  <c r="R74" i="19" s="1"/>
  <c r="K74" i="19"/>
  <c r="L74" i="19" s="1"/>
  <c r="M74" i="19" s="1"/>
  <c r="AE70" i="19"/>
  <c r="Z70" i="19"/>
  <c r="AA70" i="19" s="1"/>
  <c r="AB70" i="19" s="1"/>
  <c r="U70" i="19"/>
  <c r="V70" i="19" s="1"/>
  <c r="W70" i="19" s="1"/>
  <c r="P70" i="19"/>
  <c r="Q70" i="19" s="1"/>
  <c r="R70" i="19" s="1"/>
  <c r="K70" i="19"/>
  <c r="L70" i="19" s="1"/>
  <c r="M70" i="19" s="1"/>
  <c r="AE105" i="19"/>
  <c r="Z105" i="19"/>
  <c r="AA105" i="19" s="1"/>
  <c r="AB105" i="19" s="1"/>
  <c r="AB106" i="19" s="1"/>
  <c r="U105" i="19"/>
  <c r="V105" i="19" s="1"/>
  <c r="W105" i="19" s="1"/>
  <c r="P105" i="19"/>
  <c r="Q105" i="19" s="1"/>
  <c r="R105" i="19" s="1"/>
  <c r="R106" i="19" s="1"/>
  <c r="K105" i="19"/>
  <c r="L105" i="19" s="1"/>
  <c r="M105" i="19" s="1"/>
  <c r="M106" i="19" s="1"/>
  <c r="AE109" i="19"/>
  <c r="AF109" i="19" s="1"/>
  <c r="AG109" i="19" s="1"/>
  <c r="Z109" i="19"/>
  <c r="AA109" i="19" s="1"/>
  <c r="AB109" i="19" s="1"/>
  <c r="U109" i="19"/>
  <c r="V109" i="19" s="1"/>
  <c r="W109" i="19" s="1"/>
  <c r="P109" i="19"/>
  <c r="Q109" i="19" s="1"/>
  <c r="R109" i="19" s="1"/>
  <c r="K109" i="19"/>
  <c r="L109" i="19" s="1"/>
  <c r="M109" i="19" s="1"/>
  <c r="AE107" i="19"/>
  <c r="Z107" i="19"/>
  <c r="AA107" i="19" s="1"/>
  <c r="AB107" i="19" s="1"/>
  <c r="U107" i="19"/>
  <c r="V107" i="19" s="1"/>
  <c r="W107" i="19" s="1"/>
  <c r="P107" i="19"/>
  <c r="Q107" i="19" s="1"/>
  <c r="R107" i="19" s="1"/>
  <c r="K107" i="19"/>
  <c r="L107" i="19" s="1"/>
  <c r="M107" i="19" s="1"/>
  <c r="AE104" i="19"/>
  <c r="AE106" i="19" s="1"/>
  <c r="AE108" i="19"/>
  <c r="Z108" i="19"/>
  <c r="AA108" i="19" s="1"/>
  <c r="AB108" i="19" s="1"/>
  <c r="U108" i="19"/>
  <c r="V108" i="19" s="1"/>
  <c r="W108" i="19" s="1"/>
  <c r="P108" i="19"/>
  <c r="Q108" i="19" s="1"/>
  <c r="R108" i="19" s="1"/>
  <c r="K108" i="19"/>
  <c r="L108" i="19" s="1"/>
  <c r="M108" i="19" s="1"/>
  <c r="P53" i="19"/>
  <c r="Q53" i="19" s="1"/>
  <c r="AE47" i="19"/>
  <c r="Z47" i="19"/>
  <c r="AA47" i="19" s="1"/>
  <c r="AB47" i="19" s="1"/>
  <c r="U47" i="19"/>
  <c r="V47" i="19" s="1"/>
  <c r="W47" i="19" s="1"/>
  <c r="P47" i="19"/>
  <c r="Q47" i="19" s="1"/>
  <c r="R47" i="19" s="1"/>
  <c r="K47" i="19"/>
  <c r="L47" i="19" s="1"/>
  <c r="M47" i="19" s="1"/>
  <c r="P50" i="19"/>
  <c r="Q50" i="19" s="1"/>
  <c r="R50" i="19" s="1"/>
  <c r="R51" i="19" s="1"/>
  <c r="K50" i="19"/>
  <c r="L50" i="19" s="1"/>
  <c r="L51" i="19" s="1"/>
  <c r="AE48" i="19"/>
  <c r="AF53" i="19" s="1"/>
  <c r="AG53" i="19" s="1"/>
  <c r="Z48" i="19"/>
  <c r="AA48" i="19" s="1"/>
  <c r="AB48" i="19" s="1"/>
  <c r="U48" i="19"/>
  <c r="V48" i="19" s="1"/>
  <c r="W48" i="19" s="1"/>
  <c r="P48" i="19"/>
  <c r="Q48" i="19" s="1"/>
  <c r="R48" i="19" s="1"/>
  <c r="K48" i="19"/>
  <c r="L48" i="19" s="1"/>
  <c r="M48" i="19" s="1"/>
  <c r="AE56" i="19"/>
  <c r="Z56" i="19"/>
  <c r="AA56" i="19" s="1"/>
  <c r="AB56" i="19" s="1"/>
  <c r="U56" i="19"/>
  <c r="V56" i="19" s="1"/>
  <c r="W56" i="19" s="1"/>
  <c r="P56" i="19"/>
  <c r="Q56" i="19" s="1"/>
  <c r="R56" i="19" s="1"/>
  <c r="K56" i="19"/>
  <c r="L56" i="19" s="1"/>
  <c r="M56" i="19" s="1"/>
  <c r="AF50" i="19"/>
  <c r="AG50" i="19" s="1"/>
  <c r="AE57" i="19"/>
  <c r="Z57" i="19"/>
  <c r="AA57" i="19" s="1"/>
  <c r="AB57" i="19" s="1"/>
  <c r="U57" i="19"/>
  <c r="V57" i="19" s="1"/>
  <c r="W57" i="19" s="1"/>
  <c r="P57" i="19"/>
  <c r="Q57" i="19" s="1"/>
  <c r="R57" i="19" s="1"/>
  <c r="K57" i="19"/>
  <c r="L57" i="19" s="1"/>
  <c r="M57" i="19" s="1"/>
  <c r="AE49" i="19"/>
  <c r="AF49" i="19" s="1"/>
  <c r="AG49" i="19" s="1"/>
  <c r="Z49" i="19"/>
  <c r="AA49" i="19" s="1"/>
  <c r="AA51" i="19" s="1"/>
  <c r="U49" i="19"/>
  <c r="V49" i="19" s="1"/>
  <c r="W49" i="19" s="1"/>
  <c r="W51" i="19" s="1"/>
  <c r="AE55" i="19"/>
  <c r="Z55" i="19"/>
  <c r="AA55" i="19" s="1"/>
  <c r="AB55" i="19" s="1"/>
  <c r="U55" i="19"/>
  <c r="V55" i="19" s="1"/>
  <c r="W55" i="19" s="1"/>
  <c r="P55" i="19"/>
  <c r="Q55" i="19" s="1"/>
  <c r="R55" i="19" s="1"/>
  <c r="K55" i="19"/>
  <c r="L55" i="19" s="1"/>
  <c r="M55" i="19" s="1"/>
  <c r="AE52" i="19"/>
  <c r="AE54" i="19" s="1"/>
  <c r="Z52" i="19"/>
  <c r="AA52" i="19" s="1"/>
  <c r="AB52" i="19" s="1"/>
  <c r="AB54" i="19" s="1"/>
  <c r="U52" i="19"/>
  <c r="V52" i="19" s="1"/>
  <c r="W52" i="19" s="1"/>
  <c r="W54" i="19" s="1"/>
  <c r="P52" i="19"/>
  <c r="Q52" i="19" s="1"/>
  <c r="R52" i="19" s="1"/>
  <c r="K52" i="19"/>
  <c r="L52" i="19" s="1"/>
  <c r="M52" i="19" s="1"/>
  <c r="M54" i="19" s="1"/>
  <c r="AE29" i="19"/>
  <c r="Z29" i="19"/>
  <c r="AA29" i="19" s="1"/>
  <c r="AB29" i="19" s="1"/>
  <c r="U29" i="19"/>
  <c r="V29" i="19" s="1"/>
  <c r="W29" i="19" s="1"/>
  <c r="P29" i="19"/>
  <c r="Q29" i="19" s="1"/>
  <c r="R29" i="19" s="1"/>
  <c r="K29" i="19"/>
  <c r="L29" i="19" s="1"/>
  <c r="M29" i="19" s="1"/>
  <c r="AE34" i="19"/>
  <c r="Z34" i="19"/>
  <c r="AA34" i="19" s="1"/>
  <c r="AB34" i="19" s="1"/>
  <c r="U34" i="19"/>
  <c r="V34" i="19" s="1"/>
  <c r="W34" i="19" s="1"/>
  <c r="P34" i="19"/>
  <c r="Q34" i="19" s="1"/>
  <c r="R34" i="19" s="1"/>
  <c r="AE11" i="19"/>
  <c r="Z11" i="19"/>
  <c r="AA11" i="19" s="1"/>
  <c r="AB11" i="19" s="1"/>
  <c r="U11" i="19"/>
  <c r="V11" i="19" s="1"/>
  <c r="W11" i="19" s="1"/>
  <c r="AE46" i="19"/>
  <c r="Z46" i="19"/>
  <c r="AA46" i="19" s="1"/>
  <c r="AB46" i="19" s="1"/>
  <c r="U46" i="19"/>
  <c r="V46" i="19" s="1"/>
  <c r="W46" i="19" s="1"/>
  <c r="P46" i="19"/>
  <c r="Q46" i="19" s="1"/>
  <c r="R46" i="19" s="1"/>
  <c r="K46" i="19"/>
  <c r="L46" i="19" s="1"/>
  <c r="M46" i="19" s="1"/>
  <c r="AE21" i="19"/>
  <c r="AF42" i="19" s="1"/>
  <c r="Z21" i="19"/>
  <c r="AA21" i="19" s="1"/>
  <c r="AB21" i="19" s="1"/>
  <c r="U21" i="19"/>
  <c r="V21" i="19" s="1"/>
  <c r="W21" i="19" s="1"/>
  <c r="P21" i="19"/>
  <c r="Q21" i="19" s="1"/>
  <c r="R21" i="19" s="1"/>
  <c r="K21" i="19"/>
  <c r="L21" i="19" s="1"/>
  <c r="M21" i="19" s="1"/>
  <c r="AF40" i="19"/>
  <c r="AG40" i="19" s="1"/>
  <c r="AE43" i="19"/>
  <c r="AF43" i="19" s="1"/>
  <c r="Z43" i="19"/>
  <c r="AA43" i="19" s="1"/>
  <c r="AB43" i="19" s="1"/>
  <c r="U43" i="19"/>
  <c r="V43" i="19" s="1"/>
  <c r="W43" i="19" s="1"/>
  <c r="P43" i="19"/>
  <c r="Q43" i="19" s="1"/>
  <c r="R43" i="19" s="1"/>
  <c r="K43" i="19"/>
  <c r="L43" i="19" s="1"/>
  <c r="M43" i="19" s="1"/>
  <c r="AE28" i="19"/>
  <c r="AF39" i="19" s="1"/>
  <c r="Z28" i="19"/>
  <c r="AA28" i="19" s="1"/>
  <c r="AB28" i="19" s="1"/>
  <c r="U28" i="19"/>
  <c r="V28" i="19" s="1"/>
  <c r="W28" i="19" s="1"/>
  <c r="P28" i="19"/>
  <c r="Q28" i="19" s="1"/>
  <c r="R28" i="19" s="1"/>
  <c r="K28" i="19"/>
  <c r="L28" i="19" s="1"/>
  <c r="M28" i="19" s="1"/>
  <c r="U33" i="19"/>
  <c r="V33" i="19" s="1"/>
  <c r="P33" i="19"/>
  <c r="Q33" i="19" s="1"/>
  <c r="R33" i="19" s="1"/>
  <c r="K33" i="19"/>
  <c r="L33" i="19" s="1"/>
  <c r="M33" i="19" s="1"/>
  <c r="AE19" i="19"/>
  <c r="Z19" i="19"/>
  <c r="AA19" i="19" s="1"/>
  <c r="AB19" i="19" s="1"/>
  <c r="U19" i="19"/>
  <c r="V19" i="19" s="1"/>
  <c r="W19" i="19" s="1"/>
  <c r="P19" i="19"/>
  <c r="Q19" i="19" s="1"/>
  <c r="R19" i="19" s="1"/>
  <c r="K19" i="19"/>
  <c r="L19" i="19" s="1"/>
  <c r="M19" i="19" s="1"/>
  <c r="AF36" i="19"/>
  <c r="AE44" i="19"/>
  <c r="AF44" i="19" s="1"/>
  <c r="P44" i="19"/>
  <c r="Q44" i="19" s="1"/>
  <c r="R44" i="19" s="1"/>
  <c r="K44" i="19"/>
  <c r="L44" i="19" s="1"/>
  <c r="M44" i="19" s="1"/>
  <c r="P20" i="19"/>
  <c r="Q20" i="19" s="1"/>
  <c r="K20" i="19"/>
  <c r="L20" i="19" s="1"/>
  <c r="M20" i="19" s="1"/>
  <c r="P36" i="19"/>
  <c r="Q36" i="19" s="1"/>
  <c r="K36" i="19"/>
  <c r="L36" i="19" s="1"/>
  <c r="M36" i="19" s="1"/>
  <c r="Z14" i="19"/>
  <c r="AA14" i="19" s="1"/>
  <c r="AB14" i="19" s="1"/>
  <c r="AB15" i="19" s="1"/>
  <c r="AE12" i="19"/>
  <c r="AF12" i="19" s="1"/>
  <c r="Z12" i="19"/>
  <c r="AA12" i="19" s="1"/>
  <c r="AB12" i="19" s="1"/>
  <c r="U12" i="19"/>
  <c r="V12" i="19" s="1"/>
  <c r="W12" i="19" s="1"/>
  <c r="AE13" i="19"/>
  <c r="AE15" i="19" s="1"/>
  <c r="U13" i="19"/>
  <c r="V13" i="19" s="1"/>
  <c r="W13" i="19" s="1"/>
  <c r="W15" i="19" s="1"/>
  <c r="P13" i="19"/>
  <c r="Q13" i="19" s="1"/>
  <c r="R13" i="19" s="1"/>
  <c r="R15" i="19" s="1"/>
  <c r="K13" i="19"/>
  <c r="L13" i="19" s="1"/>
  <c r="M13" i="19" s="1"/>
  <c r="M15" i="19" s="1"/>
  <c r="U40" i="19"/>
  <c r="V40" i="19" s="1"/>
  <c r="W40" i="19" s="1"/>
  <c r="W41" i="19" s="1"/>
  <c r="AE17" i="19"/>
  <c r="AF17" i="19" s="1"/>
  <c r="AG17" i="19" s="1"/>
  <c r="Z30" i="19"/>
  <c r="AA30" i="19" s="1"/>
  <c r="U30" i="19"/>
  <c r="V30" i="19" s="1"/>
  <c r="W30" i="19" s="1"/>
  <c r="P30" i="19"/>
  <c r="Q30" i="19" s="1"/>
  <c r="K30" i="19"/>
  <c r="L30" i="19" s="1"/>
  <c r="M30" i="19" s="1"/>
  <c r="AE18" i="19"/>
  <c r="P18" i="19"/>
  <c r="Q18" i="19" s="1"/>
  <c r="K18" i="19"/>
  <c r="L18" i="19" s="1"/>
  <c r="M18" i="19" s="1"/>
  <c r="AE38" i="19"/>
  <c r="Z38" i="19"/>
  <c r="AA38" i="19" s="1"/>
  <c r="AB38" i="19" s="1"/>
  <c r="U38" i="19"/>
  <c r="V38" i="19" s="1"/>
  <c r="W38" i="19" s="1"/>
  <c r="P38" i="19"/>
  <c r="Q38" i="19" s="1"/>
  <c r="R38" i="19" s="1"/>
  <c r="AE35" i="19"/>
  <c r="Z35" i="19"/>
  <c r="AA35" i="19" s="1"/>
  <c r="AB35" i="19" s="1"/>
  <c r="U35" i="19"/>
  <c r="V35" i="19" s="1"/>
  <c r="W35" i="19" s="1"/>
  <c r="P35" i="19"/>
  <c r="Q35" i="19" s="1"/>
  <c r="R35" i="19" s="1"/>
  <c r="K35" i="19"/>
  <c r="L35" i="19" s="1"/>
  <c r="M35" i="19" s="1"/>
  <c r="AE22" i="19"/>
  <c r="AF22" i="19" s="1"/>
  <c r="Z22" i="19"/>
  <c r="AA22" i="19" s="1"/>
  <c r="AB22" i="19" s="1"/>
  <c r="U22" i="19"/>
  <c r="V22" i="19" s="1"/>
  <c r="W22" i="19" s="1"/>
  <c r="P22" i="19"/>
  <c r="Q22" i="19" s="1"/>
  <c r="R22" i="19" s="1"/>
  <c r="K22" i="19"/>
  <c r="L22" i="19" s="1"/>
  <c r="M22" i="19" s="1"/>
  <c r="P39" i="19"/>
  <c r="Q39" i="19" s="1"/>
  <c r="Q41" i="19" s="1"/>
  <c r="AE25" i="19"/>
  <c r="Z25" i="19"/>
  <c r="AA25" i="19" s="1"/>
  <c r="AB25" i="19" s="1"/>
  <c r="U25" i="19"/>
  <c r="V25" i="19" s="1"/>
  <c r="W25" i="19" s="1"/>
  <c r="K25" i="19"/>
  <c r="L25" i="19" s="1"/>
  <c r="M25" i="19" s="1"/>
  <c r="AE24" i="19"/>
  <c r="AF24" i="19" s="1"/>
  <c r="Z24" i="19"/>
  <c r="AA24" i="19" s="1"/>
  <c r="AB24" i="19" s="1"/>
  <c r="U24" i="19"/>
  <c r="V24" i="19" s="1"/>
  <c r="W24" i="19" s="1"/>
  <c r="P24" i="19"/>
  <c r="Q24" i="19" s="1"/>
  <c r="R24" i="19" s="1"/>
  <c r="K24" i="19"/>
  <c r="L24" i="19" s="1"/>
  <c r="M24" i="19" s="1"/>
  <c r="AE32" i="19"/>
  <c r="AF20" i="19" s="1"/>
  <c r="Z32" i="19"/>
  <c r="AA32" i="19" s="1"/>
  <c r="AB32" i="19" s="1"/>
  <c r="U32" i="19"/>
  <c r="V32" i="19" s="1"/>
  <c r="W32" i="19" s="1"/>
  <c r="P32" i="19"/>
  <c r="Q32" i="19" s="1"/>
  <c r="R32" i="19" s="1"/>
  <c r="K32" i="19"/>
  <c r="L32" i="19" s="1"/>
  <c r="M32" i="19" s="1"/>
  <c r="AE27" i="19"/>
  <c r="AF27" i="19" s="1"/>
  <c r="AG27" i="19" s="1"/>
  <c r="U27" i="19"/>
  <c r="V27" i="19" s="1"/>
  <c r="W27" i="19" s="1"/>
  <c r="P27" i="19"/>
  <c r="Q27" i="19" s="1"/>
  <c r="R27" i="19" s="1"/>
  <c r="AE23" i="19"/>
  <c r="Z23" i="19"/>
  <c r="AA23" i="19" s="1"/>
  <c r="AB23" i="19" s="1"/>
  <c r="U23" i="19"/>
  <c r="V23" i="19" s="1"/>
  <c r="W23" i="19" s="1"/>
  <c r="P23" i="19"/>
  <c r="Q23" i="19" s="1"/>
  <c r="R23" i="19" s="1"/>
  <c r="K23" i="19"/>
  <c r="L23" i="19" s="1"/>
  <c r="M23" i="19" s="1"/>
  <c r="AE26" i="19"/>
  <c r="Z26" i="19"/>
  <c r="AA26" i="19" s="1"/>
  <c r="U26" i="19"/>
  <c r="V26" i="19" s="1"/>
  <c r="W26" i="19" s="1"/>
  <c r="P26" i="19"/>
  <c r="Q26" i="19" s="1"/>
  <c r="R26" i="19" s="1"/>
  <c r="K26" i="19"/>
  <c r="L26" i="19" s="1"/>
  <c r="M26" i="19" s="1"/>
  <c r="AE45" i="19"/>
  <c r="AF16" i="19" s="1"/>
  <c r="Z45" i="19"/>
  <c r="AA45" i="19" s="1"/>
  <c r="AB45" i="19" s="1"/>
  <c r="U45" i="19"/>
  <c r="V45" i="19" s="1"/>
  <c r="W45" i="19" s="1"/>
  <c r="P45" i="19"/>
  <c r="Q45" i="19" s="1"/>
  <c r="R45" i="19" s="1"/>
  <c r="K45" i="19"/>
  <c r="L45" i="19" s="1"/>
  <c r="M45" i="19" s="1"/>
  <c r="AF14" i="19"/>
  <c r="AF15" i="19" s="1"/>
  <c r="AE31" i="19"/>
  <c r="AF31" i="19" s="1"/>
  <c r="Z31" i="19"/>
  <c r="AA31" i="19" s="1"/>
  <c r="AB31" i="19" s="1"/>
  <c r="U31" i="19"/>
  <c r="V31" i="19" s="1"/>
  <c r="W31" i="19" s="1"/>
  <c r="P31" i="19"/>
  <c r="Q31" i="19" s="1"/>
  <c r="R31" i="19" s="1"/>
  <c r="K31" i="19"/>
  <c r="L31" i="19" s="1"/>
  <c r="M31" i="19" s="1"/>
  <c r="P42" i="19"/>
  <c r="Q42" i="19" s="1"/>
  <c r="AE37" i="19"/>
  <c r="Z37" i="19"/>
  <c r="AA37" i="19" s="1"/>
  <c r="AB37" i="19" s="1"/>
  <c r="U37" i="19"/>
  <c r="V37" i="19" s="1"/>
  <c r="W37" i="19" s="1"/>
  <c r="P37" i="19"/>
  <c r="Q37" i="19" s="1"/>
  <c r="R37" i="19" s="1"/>
  <c r="K37" i="19"/>
  <c r="L37" i="19" s="1"/>
  <c r="M37" i="19" s="1"/>
  <c r="AE10" i="19"/>
  <c r="Z10" i="19"/>
  <c r="AA10" i="19" s="1"/>
  <c r="AB10" i="19" s="1"/>
  <c r="U10" i="19"/>
  <c r="V10" i="19" s="1"/>
  <c r="W10" i="19" s="1"/>
  <c r="P10" i="19"/>
  <c r="Q10" i="19" s="1"/>
  <c r="R10" i="19" s="1"/>
  <c r="K10" i="19"/>
  <c r="L10" i="19" s="1"/>
  <c r="M10" i="19" s="1"/>
  <c r="AE4" i="19"/>
  <c r="Z4" i="19"/>
  <c r="AA4" i="19" s="1"/>
  <c r="AB4" i="19" s="1"/>
  <c r="U4" i="19"/>
  <c r="V4" i="19" s="1"/>
  <c r="W4" i="19" s="1"/>
  <c r="P4" i="19"/>
  <c r="Q4" i="19" s="1"/>
  <c r="R4" i="19" s="1"/>
  <c r="K4" i="19"/>
  <c r="L4" i="19" s="1"/>
  <c r="M4" i="19" s="1"/>
  <c r="AE7" i="19"/>
  <c r="AE8" i="19" s="1"/>
  <c r="Z7" i="19"/>
  <c r="AA7" i="19" s="1"/>
  <c r="AB7" i="19" s="1"/>
  <c r="AB8" i="19" s="1"/>
  <c r="U7" i="19"/>
  <c r="V7" i="19" s="1"/>
  <c r="W7" i="19" s="1"/>
  <c r="W8" i="19" s="1"/>
  <c r="AE9" i="19"/>
  <c r="Z9" i="19"/>
  <c r="AA9" i="19" s="1"/>
  <c r="AB9" i="19" s="1"/>
  <c r="U9" i="19"/>
  <c r="V9" i="19" s="1"/>
  <c r="W9" i="19" s="1"/>
  <c r="P9" i="19"/>
  <c r="Q9" i="19" s="1"/>
  <c r="R9" i="19" s="1"/>
  <c r="K9" i="19"/>
  <c r="L9" i="19" s="1"/>
  <c r="M9" i="19" s="1"/>
  <c r="AE3" i="19"/>
  <c r="AF6" i="19" s="1"/>
  <c r="Z3" i="19"/>
  <c r="AA3" i="19" s="1"/>
  <c r="AB3" i="19" s="1"/>
  <c r="U3" i="19"/>
  <c r="V3" i="19" s="1"/>
  <c r="W3" i="19" s="1"/>
  <c r="P3" i="19"/>
  <c r="Q3" i="19" s="1"/>
  <c r="R3" i="19" s="1"/>
  <c r="K3" i="19"/>
  <c r="L3" i="19" s="1"/>
  <c r="M3" i="19" s="1"/>
  <c r="AE5" i="19"/>
  <c r="AF5" i="19" s="1"/>
  <c r="Z5" i="19"/>
  <c r="AA5" i="19" s="1"/>
  <c r="AB5" i="19" s="1"/>
  <c r="U5" i="19"/>
  <c r="V5" i="19" s="1"/>
  <c r="W5" i="19" s="1"/>
  <c r="P5" i="19"/>
  <c r="Q5" i="19" s="1"/>
  <c r="R5" i="19" s="1"/>
  <c r="K5" i="19"/>
  <c r="L5" i="19" s="1"/>
  <c r="M5" i="19" s="1"/>
  <c r="P6" i="19"/>
  <c r="Q6" i="19" s="1"/>
  <c r="Q8" i="19" s="1"/>
  <c r="K6" i="19"/>
  <c r="L6" i="19" s="1"/>
  <c r="M6" i="19" s="1"/>
  <c r="M8" i="19" s="1"/>
  <c r="Z16" i="19"/>
  <c r="AA16" i="19" s="1"/>
  <c r="U16" i="19"/>
  <c r="V16" i="19" s="1"/>
  <c r="W16" i="19" s="1"/>
  <c r="P16" i="19"/>
  <c r="Q16" i="19" s="1"/>
  <c r="R16" i="19" s="1"/>
  <c r="AJ118" i="1"/>
  <c r="AI118" i="1"/>
  <c r="AJ117" i="1"/>
  <c r="AI117" i="1"/>
  <c r="AJ116" i="1"/>
  <c r="AI116" i="1"/>
  <c r="AJ115" i="1"/>
  <c r="AI115" i="1"/>
  <c r="AJ114" i="1"/>
  <c r="AI114" i="1"/>
  <c r="AJ113" i="1"/>
  <c r="AI113" i="1"/>
  <c r="AJ112" i="1"/>
  <c r="AI112" i="1"/>
  <c r="AJ111" i="1"/>
  <c r="AI111" i="1"/>
  <c r="AJ110" i="1"/>
  <c r="AI110" i="1"/>
  <c r="AJ109" i="1"/>
  <c r="AI109" i="1"/>
  <c r="AJ108" i="1"/>
  <c r="AI108" i="1"/>
  <c r="AJ107" i="1"/>
  <c r="AI107" i="1"/>
  <c r="AJ106" i="1"/>
  <c r="AI106" i="1"/>
  <c r="AJ105" i="1"/>
  <c r="AI105" i="1"/>
  <c r="AJ104" i="1"/>
  <c r="AI104" i="1"/>
  <c r="AJ103" i="1"/>
  <c r="AI103" i="1"/>
  <c r="AJ102" i="1"/>
  <c r="AI102" i="1"/>
  <c r="AJ101" i="1"/>
  <c r="AI101" i="1"/>
  <c r="AJ100" i="1"/>
  <c r="AI100" i="1"/>
  <c r="AJ99" i="1"/>
  <c r="AI99" i="1"/>
  <c r="AJ98" i="1"/>
  <c r="AI98" i="1"/>
  <c r="AJ97" i="1"/>
  <c r="AI97" i="1"/>
  <c r="AJ96" i="1"/>
  <c r="AI96" i="1"/>
  <c r="AJ95" i="1"/>
  <c r="AI95" i="1"/>
  <c r="AJ94" i="1"/>
  <c r="AI94" i="1"/>
  <c r="AJ93" i="1"/>
  <c r="AI93" i="1"/>
  <c r="AJ92" i="1"/>
  <c r="AI92" i="1"/>
  <c r="AJ91" i="1"/>
  <c r="AI91" i="1"/>
  <c r="AJ90" i="1"/>
  <c r="AI90" i="1"/>
  <c r="AJ89" i="1"/>
  <c r="AI89" i="1"/>
  <c r="AJ88" i="1"/>
  <c r="AI88" i="1"/>
  <c r="AJ87" i="1"/>
  <c r="AI87" i="1"/>
  <c r="AJ86" i="1"/>
  <c r="AI86" i="1"/>
  <c r="AJ85" i="1"/>
  <c r="AI85" i="1"/>
  <c r="AJ84" i="1"/>
  <c r="AI84" i="1"/>
  <c r="AJ83" i="1"/>
  <c r="AI83" i="1"/>
  <c r="AJ82" i="1"/>
  <c r="AI82" i="1"/>
  <c r="AJ81" i="1"/>
  <c r="AI81" i="1"/>
  <c r="AJ80" i="1"/>
  <c r="AI80" i="1"/>
  <c r="AJ79" i="1"/>
  <c r="AI79" i="1"/>
  <c r="AJ78" i="1"/>
  <c r="AI78" i="1"/>
  <c r="AJ77" i="1"/>
  <c r="AI77" i="1"/>
  <c r="AJ76" i="1"/>
  <c r="AI76" i="1"/>
  <c r="AJ75" i="1"/>
  <c r="AI75" i="1"/>
  <c r="AJ74" i="1"/>
  <c r="AI74" i="1"/>
  <c r="AJ73" i="1"/>
  <c r="AI73" i="1"/>
  <c r="AJ72" i="1"/>
  <c r="AI72" i="1"/>
  <c r="AJ71" i="1"/>
  <c r="AI71" i="1"/>
  <c r="AJ70" i="1"/>
  <c r="AI70" i="1"/>
  <c r="AJ69" i="1"/>
  <c r="AI69" i="1"/>
  <c r="AJ68" i="1"/>
  <c r="AI68" i="1"/>
  <c r="AJ67" i="1"/>
  <c r="AI67" i="1"/>
  <c r="AJ66" i="1"/>
  <c r="AI66" i="1"/>
  <c r="AJ65" i="1"/>
  <c r="AI65" i="1"/>
  <c r="AJ64" i="1"/>
  <c r="AI64" i="1"/>
  <c r="AJ63" i="1"/>
  <c r="AI63" i="1"/>
  <c r="AJ62" i="1"/>
  <c r="AI62" i="1"/>
  <c r="AJ61" i="1"/>
  <c r="AI61" i="1"/>
  <c r="AJ60" i="1"/>
  <c r="AI60" i="1"/>
  <c r="AJ59" i="1"/>
  <c r="AI59" i="1"/>
  <c r="AJ58" i="1"/>
  <c r="AI58" i="1"/>
  <c r="AJ57" i="1"/>
  <c r="AI57" i="1"/>
  <c r="AJ56" i="1"/>
  <c r="AI56" i="1"/>
  <c r="AJ55" i="1"/>
  <c r="AI55" i="1"/>
  <c r="AJ54" i="1"/>
  <c r="AI54" i="1"/>
  <c r="AJ53" i="1"/>
  <c r="AI53" i="1"/>
  <c r="AJ52" i="1"/>
  <c r="AI52" i="1"/>
  <c r="AJ51" i="1"/>
  <c r="AI51" i="1"/>
  <c r="AJ50" i="1"/>
  <c r="AI50" i="1"/>
  <c r="AJ49" i="1"/>
  <c r="AI49" i="1"/>
  <c r="AJ48" i="1"/>
  <c r="AI48" i="1"/>
  <c r="AJ47" i="1"/>
  <c r="AI47" i="1"/>
  <c r="AJ46" i="1"/>
  <c r="AI46" i="1"/>
  <c r="AJ45" i="1"/>
  <c r="AI45" i="1"/>
  <c r="AJ44" i="1"/>
  <c r="AI44" i="1"/>
  <c r="AJ43" i="1"/>
  <c r="AI43" i="1"/>
  <c r="AJ42" i="1"/>
  <c r="AI42" i="1"/>
  <c r="AJ41" i="1"/>
  <c r="AI41" i="1"/>
  <c r="AJ40" i="1"/>
  <c r="AI40" i="1"/>
  <c r="AJ39" i="1"/>
  <c r="AI39" i="1"/>
  <c r="AJ38" i="1"/>
  <c r="AI38" i="1"/>
  <c r="AJ37" i="1"/>
  <c r="AI37" i="1"/>
  <c r="AJ36" i="1"/>
  <c r="AI36" i="1"/>
  <c r="AJ35" i="1"/>
  <c r="AI35" i="1"/>
  <c r="AJ34" i="1"/>
  <c r="AI34" i="1"/>
  <c r="AJ33" i="1"/>
  <c r="AI33" i="1"/>
  <c r="AJ32" i="1"/>
  <c r="AI32" i="1"/>
  <c r="AJ31" i="1"/>
  <c r="AI31" i="1"/>
  <c r="AJ30" i="1"/>
  <c r="AI30" i="1"/>
  <c r="AJ29" i="1"/>
  <c r="AI29" i="1"/>
  <c r="AJ28" i="1"/>
  <c r="AI28" i="1"/>
  <c r="AJ27" i="1"/>
  <c r="AI27" i="1"/>
  <c r="AJ26" i="1"/>
  <c r="AI26" i="1"/>
  <c r="AJ25" i="1"/>
  <c r="AI25" i="1"/>
  <c r="AJ24" i="1"/>
  <c r="AI24" i="1"/>
  <c r="AJ23" i="1"/>
  <c r="AI23" i="1"/>
  <c r="AJ22" i="1"/>
  <c r="AI22" i="1"/>
  <c r="AJ21" i="1"/>
  <c r="AI21" i="1"/>
  <c r="AJ20" i="1"/>
  <c r="AI20" i="1"/>
  <c r="AJ19" i="1"/>
  <c r="AI19" i="1"/>
  <c r="AJ18" i="1"/>
  <c r="AI18" i="1"/>
  <c r="AJ17" i="1"/>
  <c r="AI17" i="1"/>
  <c r="AJ16" i="1"/>
  <c r="AI16" i="1"/>
  <c r="AJ15" i="1"/>
  <c r="AI15" i="1"/>
  <c r="AJ14" i="1"/>
  <c r="AI14" i="1"/>
  <c r="AJ13" i="1"/>
  <c r="AI13" i="1"/>
  <c r="AJ12" i="1"/>
  <c r="AI12" i="1"/>
  <c r="AJ11" i="1"/>
  <c r="AI11" i="1"/>
  <c r="AJ10" i="1"/>
  <c r="AI10" i="1"/>
  <c r="AJ9" i="1"/>
  <c r="AI9" i="1"/>
  <c r="AJ8" i="1"/>
  <c r="AI8" i="1"/>
  <c r="AJ7" i="1"/>
  <c r="AI7" i="1"/>
  <c r="AJ6" i="1"/>
  <c r="AI6" i="1"/>
  <c r="AJ5" i="1"/>
  <c r="AI5" i="1"/>
  <c r="AJ4" i="1"/>
  <c r="AI4" i="1"/>
  <c r="AJ3" i="1"/>
  <c r="AI3" i="1"/>
  <c r="AG118" i="1"/>
  <c r="AF118" i="1"/>
  <c r="AE118" i="1"/>
  <c r="AG117" i="1"/>
  <c r="AF117" i="1"/>
  <c r="AE117" i="1"/>
  <c r="AG116" i="1"/>
  <c r="AF116" i="1"/>
  <c r="AE116" i="1"/>
  <c r="AG115" i="1"/>
  <c r="AF115" i="1"/>
  <c r="AE115" i="1"/>
  <c r="AG114" i="1"/>
  <c r="AF114" i="1"/>
  <c r="AE114" i="1"/>
  <c r="AG113" i="1"/>
  <c r="AF113" i="1"/>
  <c r="AE113" i="1"/>
  <c r="AG112" i="1"/>
  <c r="AF112" i="1"/>
  <c r="AE112" i="1"/>
  <c r="AG110" i="1"/>
  <c r="AF110" i="1"/>
  <c r="AE110" i="1"/>
  <c r="AG109" i="1"/>
  <c r="AF109" i="1"/>
  <c r="AE109" i="1"/>
  <c r="AG108" i="1"/>
  <c r="AF108" i="1"/>
  <c r="AE108" i="1"/>
  <c r="AG107" i="1"/>
  <c r="AF107" i="1"/>
  <c r="AE107" i="1"/>
  <c r="AG106" i="1"/>
  <c r="AF106" i="1"/>
  <c r="AE106" i="1"/>
  <c r="AG105" i="1"/>
  <c r="AF105" i="1"/>
  <c r="AE105" i="1"/>
  <c r="AG103" i="1"/>
  <c r="AF103" i="1"/>
  <c r="AE103" i="1"/>
  <c r="AG102" i="1"/>
  <c r="AF102" i="1"/>
  <c r="AE102" i="1"/>
  <c r="AG101" i="1"/>
  <c r="AF101" i="1"/>
  <c r="AE101" i="1"/>
  <c r="AG100" i="1"/>
  <c r="AF100" i="1"/>
  <c r="AE100" i="1"/>
  <c r="AG99" i="1"/>
  <c r="AF99" i="1"/>
  <c r="AE99" i="1"/>
  <c r="AG98" i="1"/>
  <c r="AF98" i="1"/>
  <c r="AE98" i="1"/>
  <c r="AG97" i="1"/>
  <c r="AF97" i="1"/>
  <c r="AE97" i="1"/>
  <c r="AG95" i="1"/>
  <c r="AF95" i="1"/>
  <c r="AE95" i="1"/>
  <c r="AG94" i="1"/>
  <c r="AF94" i="1"/>
  <c r="AE94" i="1"/>
  <c r="AG93" i="1"/>
  <c r="AF93" i="1"/>
  <c r="AE93" i="1"/>
  <c r="AG92" i="1"/>
  <c r="AF92" i="1"/>
  <c r="AE92" i="1"/>
  <c r="AG91" i="1"/>
  <c r="AF91" i="1"/>
  <c r="AE91" i="1"/>
  <c r="AG90" i="1"/>
  <c r="AF90" i="1"/>
  <c r="AE90" i="1"/>
  <c r="AG89" i="1"/>
  <c r="AF89" i="1"/>
  <c r="AE89" i="1"/>
  <c r="AG88" i="1"/>
  <c r="AF88" i="1"/>
  <c r="AE88" i="1"/>
  <c r="AG87" i="1"/>
  <c r="AF87" i="1"/>
  <c r="AE87" i="1"/>
  <c r="AG86" i="1"/>
  <c r="AF86" i="1"/>
  <c r="AE86" i="1"/>
  <c r="AG85" i="1"/>
  <c r="AF85" i="1"/>
  <c r="AE85" i="1"/>
  <c r="AG83" i="1"/>
  <c r="AF83" i="1"/>
  <c r="AE83" i="1"/>
  <c r="AG82" i="1"/>
  <c r="AF82" i="1"/>
  <c r="AE82" i="1"/>
  <c r="AG81" i="1"/>
  <c r="AF81" i="1"/>
  <c r="AE81" i="1"/>
  <c r="AG80" i="1"/>
  <c r="AF80" i="1"/>
  <c r="AE80" i="1"/>
  <c r="AG79" i="1"/>
  <c r="AF79" i="1"/>
  <c r="AE79" i="1"/>
  <c r="AG78" i="1"/>
  <c r="AF78" i="1"/>
  <c r="AE78" i="1"/>
  <c r="AG76" i="1"/>
  <c r="AF76" i="1"/>
  <c r="AE76" i="1"/>
  <c r="AG75" i="1"/>
  <c r="AF75" i="1"/>
  <c r="AE75" i="1"/>
  <c r="AG73" i="1"/>
  <c r="AF73" i="1"/>
  <c r="AE73" i="1"/>
  <c r="AG72" i="1"/>
  <c r="AF72" i="1"/>
  <c r="AE72" i="1"/>
  <c r="AG71" i="1"/>
  <c r="AF71" i="1"/>
  <c r="AE71" i="1"/>
  <c r="AG70" i="1"/>
  <c r="AF70" i="1"/>
  <c r="AE70" i="1"/>
  <c r="AG68" i="1"/>
  <c r="AF68" i="1"/>
  <c r="AE68" i="1"/>
  <c r="AG67" i="1"/>
  <c r="AF67" i="1"/>
  <c r="AE67" i="1"/>
  <c r="AG66" i="1"/>
  <c r="AF66" i="1"/>
  <c r="AE66" i="1"/>
  <c r="AG65" i="1"/>
  <c r="AF65" i="1"/>
  <c r="AE65" i="1"/>
  <c r="AG64" i="1"/>
  <c r="AF64" i="1"/>
  <c r="AE64" i="1"/>
  <c r="AG63" i="1"/>
  <c r="AF63" i="1"/>
  <c r="AE63" i="1"/>
  <c r="AG62" i="1"/>
  <c r="AF62" i="1"/>
  <c r="AE62" i="1"/>
  <c r="AG61" i="1"/>
  <c r="AF61" i="1"/>
  <c r="AE61" i="1"/>
  <c r="AG60" i="1"/>
  <c r="AF60" i="1"/>
  <c r="AE60" i="1"/>
  <c r="AG59" i="1"/>
  <c r="AF59" i="1"/>
  <c r="AE59" i="1"/>
  <c r="AG58" i="1"/>
  <c r="AF58" i="1"/>
  <c r="AE58" i="1"/>
  <c r="AG57" i="1"/>
  <c r="AF57" i="1"/>
  <c r="AE57" i="1"/>
  <c r="AG56" i="1"/>
  <c r="AF56" i="1"/>
  <c r="AE56" i="1"/>
  <c r="AG55" i="1"/>
  <c r="AF55" i="1"/>
  <c r="AE55" i="1"/>
  <c r="AG54" i="1"/>
  <c r="AF54" i="1"/>
  <c r="AE54" i="1"/>
  <c r="AG53" i="1"/>
  <c r="AF53" i="1"/>
  <c r="AE53" i="1"/>
  <c r="AG51" i="1"/>
  <c r="AF51" i="1"/>
  <c r="AE51" i="1"/>
  <c r="AG49" i="1"/>
  <c r="AF49" i="1"/>
  <c r="AE49" i="1"/>
  <c r="AG48" i="1"/>
  <c r="AF48" i="1"/>
  <c r="AE48" i="1"/>
  <c r="AG47" i="1"/>
  <c r="AF47" i="1"/>
  <c r="AE47" i="1"/>
  <c r="AG46" i="1"/>
  <c r="AF46" i="1"/>
  <c r="AE46" i="1"/>
  <c r="AG45" i="1"/>
  <c r="AF45" i="1"/>
  <c r="AE45" i="1"/>
  <c r="AG44" i="1"/>
  <c r="AF44" i="1"/>
  <c r="AE44" i="1"/>
  <c r="AG43" i="1"/>
  <c r="AF43" i="1"/>
  <c r="AE43" i="1"/>
  <c r="AG42" i="1"/>
  <c r="AF42" i="1"/>
  <c r="AE42" i="1"/>
  <c r="AG41" i="1"/>
  <c r="AF41" i="1"/>
  <c r="AE41" i="1"/>
  <c r="AG40" i="1"/>
  <c r="AF40" i="1"/>
  <c r="AE40" i="1"/>
  <c r="AG39" i="1"/>
  <c r="AF39" i="1"/>
  <c r="AE39" i="1"/>
  <c r="AG38" i="1"/>
  <c r="AF38" i="1"/>
  <c r="AE38" i="1"/>
  <c r="AG37" i="1"/>
  <c r="AF37" i="1"/>
  <c r="AE37" i="1"/>
  <c r="AG35" i="1"/>
  <c r="AF35" i="1"/>
  <c r="AE35" i="1"/>
  <c r="AG34" i="1"/>
  <c r="AF34" i="1"/>
  <c r="AE34" i="1"/>
  <c r="AG30" i="1"/>
  <c r="AF30" i="1"/>
  <c r="AE30" i="1"/>
  <c r="AG29" i="1"/>
  <c r="AF29" i="1"/>
  <c r="AE29" i="1"/>
  <c r="AG27" i="1"/>
  <c r="AF27" i="1"/>
  <c r="AE27" i="1"/>
  <c r="AG25" i="1"/>
  <c r="AF25" i="1"/>
  <c r="AE25" i="1"/>
  <c r="AG24" i="1"/>
  <c r="AF24" i="1"/>
  <c r="AE24" i="1"/>
  <c r="AG23" i="1"/>
  <c r="AF23" i="1"/>
  <c r="AE23" i="1"/>
  <c r="AG22" i="1"/>
  <c r="AF22" i="1"/>
  <c r="AE22" i="1"/>
  <c r="AG20" i="1"/>
  <c r="AF20" i="1"/>
  <c r="AE20" i="1"/>
  <c r="AG19" i="1"/>
  <c r="AF19" i="1"/>
  <c r="AE19" i="1"/>
  <c r="AG18" i="1"/>
  <c r="AF18" i="1"/>
  <c r="AE18" i="1"/>
  <c r="AG17" i="1"/>
  <c r="AF17" i="1"/>
  <c r="AE17" i="1"/>
  <c r="AG16" i="1"/>
  <c r="AF16" i="1"/>
  <c r="AE16" i="1"/>
  <c r="AG15" i="1"/>
  <c r="AF15" i="1"/>
  <c r="AE15" i="1"/>
  <c r="AG14" i="1"/>
  <c r="AF14" i="1"/>
  <c r="AE14" i="1"/>
  <c r="AG13" i="1"/>
  <c r="AF13" i="1"/>
  <c r="AE13" i="1"/>
  <c r="AG11" i="1"/>
  <c r="AF11" i="1"/>
  <c r="AE11" i="1"/>
  <c r="AG10" i="1"/>
  <c r="AF10" i="1"/>
  <c r="AE10" i="1"/>
  <c r="AG9" i="1"/>
  <c r="AF9" i="1"/>
  <c r="AE9" i="1"/>
  <c r="AG8" i="1"/>
  <c r="AF8" i="1"/>
  <c r="AE8" i="1"/>
  <c r="AG7" i="1"/>
  <c r="AF7" i="1"/>
  <c r="AE7" i="1"/>
  <c r="AG6" i="1"/>
  <c r="AF6" i="1"/>
  <c r="AE6" i="1"/>
  <c r="AG5" i="1"/>
  <c r="AF5" i="1"/>
  <c r="AE5" i="1"/>
  <c r="AB118" i="1"/>
  <c r="AA118" i="1"/>
  <c r="Z118" i="1"/>
  <c r="AB117" i="1"/>
  <c r="AA117" i="1"/>
  <c r="Z117" i="1"/>
  <c r="AB116" i="1"/>
  <c r="AA116" i="1"/>
  <c r="Z116" i="1"/>
  <c r="AB115" i="1"/>
  <c r="AA115" i="1"/>
  <c r="Z115" i="1"/>
  <c r="AB113" i="1"/>
  <c r="AA113" i="1"/>
  <c r="Z113" i="1"/>
  <c r="AB112" i="1"/>
  <c r="AA112" i="1"/>
  <c r="Z112" i="1"/>
  <c r="AB110" i="1"/>
  <c r="AA110" i="1"/>
  <c r="Z110" i="1"/>
  <c r="AB109" i="1"/>
  <c r="AA109" i="1"/>
  <c r="Z109" i="1"/>
  <c r="AB108" i="1"/>
  <c r="AA108" i="1"/>
  <c r="Z108" i="1"/>
  <c r="AB107" i="1"/>
  <c r="AA107" i="1"/>
  <c r="Z107" i="1"/>
  <c r="AB106" i="1"/>
  <c r="AA106" i="1"/>
  <c r="Z106" i="1"/>
  <c r="AB104" i="1"/>
  <c r="AA104" i="1"/>
  <c r="Z104" i="1"/>
  <c r="AB103" i="1"/>
  <c r="AA103" i="1"/>
  <c r="Z103" i="1"/>
  <c r="AB102" i="1"/>
  <c r="AA102" i="1"/>
  <c r="Z102" i="1"/>
  <c r="AB101" i="1"/>
  <c r="AA101" i="1"/>
  <c r="Z101" i="1"/>
  <c r="AB100" i="1"/>
  <c r="AA100" i="1"/>
  <c r="Z100" i="1"/>
  <c r="AB99" i="1"/>
  <c r="AA99" i="1"/>
  <c r="Z99" i="1"/>
  <c r="AB98" i="1"/>
  <c r="AA98" i="1"/>
  <c r="Z98" i="1"/>
  <c r="AB97" i="1"/>
  <c r="AA97" i="1"/>
  <c r="Z97" i="1"/>
  <c r="AB96" i="1"/>
  <c r="AA96" i="1"/>
  <c r="Z96" i="1"/>
  <c r="AB95" i="1"/>
  <c r="AA95" i="1"/>
  <c r="Z95" i="1"/>
  <c r="AB94" i="1"/>
  <c r="AA94" i="1"/>
  <c r="Z94" i="1"/>
  <c r="AB93" i="1"/>
  <c r="AA93" i="1"/>
  <c r="Z93" i="1"/>
  <c r="AB92" i="1"/>
  <c r="AA92" i="1"/>
  <c r="Z92" i="1"/>
  <c r="AB91" i="1"/>
  <c r="AA91" i="1"/>
  <c r="Z91" i="1"/>
  <c r="AB90" i="1"/>
  <c r="AA90" i="1"/>
  <c r="Z90" i="1"/>
  <c r="AB89" i="1"/>
  <c r="AA89" i="1"/>
  <c r="Z89" i="1"/>
  <c r="AB88" i="1"/>
  <c r="AA88" i="1"/>
  <c r="Z88" i="1"/>
  <c r="AB87" i="1"/>
  <c r="AA87" i="1"/>
  <c r="Z87" i="1"/>
  <c r="AB86" i="1"/>
  <c r="AA86" i="1"/>
  <c r="Z86" i="1"/>
  <c r="AB85" i="1"/>
  <c r="AA85" i="1"/>
  <c r="Z85" i="1"/>
  <c r="AB83" i="1"/>
  <c r="AA83" i="1"/>
  <c r="Z83" i="1"/>
  <c r="AB82" i="1"/>
  <c r="AA82" i="1"/>
  <c r="Z82" i="1"/>
  <c r="AB81" i="1"/>
  <c r="AA81" i="1"/>
  <c r="Z81" i="1"/>
  <c r="AB80" i="1"/>
  <c r="AA80" i="1"/>
  <c r="Z80" i="1"/>
  <c r="AB79" i="1"/>
  <c r="AA79" i="1"/>
  <c r="Z79" i="1"/>
  <c r="AB78" i="1"/>
  <c r="AA78" i="1"/>
  <c r="Z78" i="1"/>
  <c r="AB76" i="1"/>
  <c r="AA76" i="1"/>
  <c r="Z76" i="1"/>
  <c r="AB75" i="1"/>
  <c r="AA75" i="1"/>
  <c r="Z75" i="1"/>
  <c r="AB74" i="1"/>
  <c r="AA74" i="1"/>
  <c r="Z74" i="1"/>
  <c r="AB73" i="1"/>
  <c r="AA73" i="1"/>
  <c r="Z73" i="1"/>
  <c r="AB72" i="1"/>
  <c r="AA72" i="1"/>
  <c r="Z72" i="1"/>
  <c r="AB71" i="1"/>
  <c r="AA71" i="1"/>
  <c r="Z71" i="1"/>
  <c r="AB70" i="1"/>
  <c r="AA70" i="1"/>
  <c r="Z70" i="1"/>
  <c r="AB67" i="1"/>
  <c r="AA67" i="1"/>
  <c r="Z67" i="1"/>
  <c r="AB66" i="1"/>
  <c r="AA66" i="1"/>
  <c r="Z66" i="1"/>
  <c r="AB65" i="1"/>
  <c r="AA65" i="1"/>
  <c r="Z65" i="1"/>
  <c r="AB64" i="1"/>
  <c r="AA64" i="1"/>
  <c r="Z64" i="1"/>
  <c r="AB63" i="1"/>
  <c r="AA63" i="1"/>
  <c r="Z63" i="1"/>
  <c r="AB62" i="1"/>
  <c r="AA62" i="1"/>
  <c r="Z62" i="1"/>
  <c r="AB61" i="1"/>
  <c r="AA61" i="1"/>
  <c r="Z61" i="1"/>
  <c r="AB60" i="1"/>
  <c r="AA60" i="1"/>
  <c r="Z60" i="1"/>
  <c r="AB59" i="1"/>
  <c r="AA59" i="1"/>
  <c r="Z59" i="1"/>
  <c r="AB58" i="1"/>
  <c r="AA58" i="1"/>
  <c r="Z58" i="1"/>
  <c r="AB57" i="1"/>
  <c r="AA57" i="1"/>
  <c r="Z57" i="1"/>
  <c r="AB56" i="1"/>
  <c r="AA56" i="1"/>
  <c r="Z56" i="1"/>
  <c r="AB55" i="1"/>
  <c r="AA55" i="1"/>
  <c r="Z55" i="1"/>
  <c r="AB53" i="1"/>
  <c r="AA53" i="1"/>
  <c r="Z53" i="1"/>
  <c r="AB51" i="1"/>
  <c r="AA51" i="1"/>
  <c r="Z51" i="1"/>
  <c r="AB49" i="1"/>
  <c r="AA49" i="1"/>
  <c r="Z49" i="1"/>
  <c r="AB48" i="1"/>
  <c r="AA48" i="1"/>
  <c r="Z48" i="1"/>
  <c r="AB47" i="1"/>
  <c r="AA47" i="1"/>
  <c r="Z47" i="1"/>
  <c r="AB46" i="1"/>
  <c r="AA46" i="1"/>
  <c r="Z46" i="1"/>
  <c r="AB45" i="1"/>
  <c r="AA45" i="1"/>
  <c r="Z45" i="1"/>
  <c r="AB44" i="1"/>
  <c r="AA44" i="1"/>
  <c r="Z44" i="1"/>
  <c r="AB43" i="1"/>
  <c r="AA43" i="1"/>
  <c r="Z43" i="1"/>
  <c r="AB42" i="1"/>
  <c r="AA42" i="1"/>
  <c r="Z42" i="1"/>
  <c r="AB41" i="1"/>
  <c r="AA41" i="1"/>
  <c r="Z41" i="1"/>
  <c r="AB40" i="1"/>
  <c r="AA40" i="1"/>
  <c r="Z40" i="1"/>
  <c r="AB39" i="1"/>
  <c r="AA39" i="1"/>
  <c r="Z39" i="1"/>
  <c r="AB38" i="1"/>
  <c r="AA38" i="1"/>
  <c r="Z38" i="1"/>
  <c r="AB37" i="1"/>
  <c r="AA37" i="1"/>
  <c r="Z37" i="1"/>
  <c r="AB35" i="1"/>
  <c r="AA35" i="1"/>
  <c r="Z35" i="1"/>
  <c r="AB31" i="1"/>
  <c r="AA31" i="1"/>
  <c r="Z31" i="1"/>
  <c r="AB30" i="1"/>
  <c r="AA30" i="1"/>
  <c r="Z30" i="1"/>
  <c r="AB26" i="1"/>
  <c r="AA26" i="1"/>
  <c r="Z26" i="1"/>
  <c r="AB24" i="1"/>
  <c r="AA24" i="1"/>
  <c r="Z24" i="1"/>
  <c r="AB23" i="1"/>
  <c r="AA23" i="1"/>
  <c r="Z23" i="1"/>
  <c r="AB22" i="1"/>
  <c r="AA22" i="1"/>
  <c r="Z22" i="1"/>
  <c r="AB20" i="1"/>
  <c r="AA20" i="1"/>
  <c r="Z20" i="1"/>
  <c r="AB19" i="1"/>
  <c r="AA19" i="1"/>
  <c r="Z19" i="1"/>
  <c r="AB18" i="1"/>
  <c r="AA18" i="1"/>
  <c r="Z18" i="1"/>
  <c r="AB16" i="1"/>
  <c r="AA16" i="1"/>
  <c r="Z16" i="1"/>
  <c r="AB15" i="1"/>
  <c r="AA15" i="1"/>
  <c r="Z15" i="1"/>
  <c r="AB14" i="1"/>
  <c r="AA14" i="1"/>
  <c r="Z14" i="1"/>
  <c r="AB13" i="1"/>
  <c r="AA13" i="1"/>
  <c r="Z13" i="1"/>
  <c r="AB11" i="1"/>
  <c r="AA11" i="1"/>
  <c r="Z11" i="1"/>
  <c r="AB10" i="1"/>
  <c r="AA10" i="1"/>
  <c r="Z10" i="1"/>
  <c r="AB9" i="1"/>
  <c r="AA9" i="1"/>
  <c r="Z9" i="1"/>
  <c r="AB8" i="1"/>
  <c r="AA8" i="1"/>
  <c r="Z8" i="1"/>
  <c r="AB7" i="1"/>
  <c r="AA7" i="1"/>
  <c r="Z7" i="1"/>
  <c r="AB6" i="1"/>
  <c r="AA6" i="1"/>
  <c r="Z6" i="1"/>
  <c r="AB5" i="1"/>
  <c r="AA5" i="1"/>
  <c r="Z5" i="1"/>
  <c r="AB3" i="1"/>
  <c r="AA3" i="1"/>
  <c r="Z3" i="1"/>
  <c r="W118" i="1"/>
  <c r="V118" i="1"/>
  <c r="U118" i="1"/>
  <c r="W117" i="1"/>
  <c r="V117" i="1"/>
  <c r="U117" i="1"/>
  <c r="W116" i="1"/>
  <c r="V116" i="1"/>
  <c r="U116" i="1"/>
  <c r="W115" i="1"/>
  <c r="V115" i="1"/>
  <c r="U115" i="1"/>
  <c r="W114" i="1"/>
  <c r="V114" i="1"/>
  <c r="U114" i="1"/>
  <c r="W113" i="1"/>
  <c r="V113" i="1"/>
  <c r="U113" i="1"/>
  <c r="W112" i="1"/>
  <c r="V112" i="1"/>
  <c r="U112" i="1"/>
  <c r="W110" i="1"/>
  <c r="V110" i="1"/>
  <c r="U110" i="1"/>
  <c r="W109" i="1"/>
  <c r="V109" i="1"/>
  <c r="U109" i="1"/>
  <c r="W108" i="1"/>
  <c r="V108" i="1"/>
  <c r="U108" i="1"/>
  <c r="W107" i="1"/>
  <c r="V107" i="1"/>
  <c r="U107" i="1"/>
  <c r="W106" i="1"/>
  <c r="V106" i="1"/>
  <c r="U106" i="1"/>
  <c r="W104" i="1"/>
  <c r="V104" i="1"/>
  <c r="U104" i="1"/>
  <c r="W103" i="1"/>
  <c r="V103" i="1"/>
  <c r="U103" i="1"/>
  <c r="W102" i="1"/>
  <c r="V102" i="1"/>
  <c r="U102" i="1"/>
  <c r="W101" i="1"/>
  <c r="V101" i="1"/>
  <c r="U101" i="1"/>
  <c r="W100" i="1"/>
  <c r="V100" i="1"/>
  <c r="U100" i="1"/>
  <c r="W99" i="1"/>
  <c r="V99" i="1"/>
  <c r="U99" i="1"/>
  <c r="W98" i="1"/>
  <c r="V98" i="1"/>
  <c r="U98" i="1"/>
  <c r="W97" i="1"/>
  <c r="V97" i="1"/>
  <c r="U97" i="1"/>
  <c r="W96" i="1"/>
  <c r="V96" i="1"/>
  <c r="U96" i="1"/>
  <c r="W95" i="1"/>
  <c r="V95" i="1"/>
  <c r="U95" i="1"/>
  <c r="W94" i="1"/>
  <c r="V94" i="1"/>
  <c r="U94" i="1"/>
  <c r="W93" i="1"/>
  <c r="V93" i="1"/>
  <c r="U93" i="1"/>
  <c r="W92" i="1"/>
  <c r="V92" i="1"/>
  <c r="U92" i="1"/>
  <c r="W91" i="1"/>
  <c r="V91" i="1"/>
  <c r="U91" i="1"/>
  <c r="W90" i="1"/>
  <c r="V90" i="1"/>
  <c r="U90" i="1"/>
  <c r="W89" i="1"/>
  <c r="V89" i="1"/>
  <c r="U89" i="1"/>
  <c r="W88" i="1"/>
  <c r="V88" i="1"/>
  <c r="U88" i="1"/>
  <c r="W87" i="1"/>
  <c r="V87" i="1"/>
  <c r="U87" i="1"/>
  <c r="W86" i="1"/>
  <c r="V86" i="1"/>
  <c r="U86" i="1"/>
  <c r="W85" i="1"/>
  <c r="V85" i="1"/>
  <c r="U85" i="1"/>
  <c r="W83" i="1"/>
  <c r="V83" i="1"/>
  <c r="U83" i="1"/>
  <c r="W82" i="1"/>
  <c r="V82" i="1"/>
  <c r="U82" i="1"/>
  <c r="W81" i="1"/>
  <c r="V81" i="1"/>
  <c r="U81" i="1"/>
  <c r="W80" i="1"/>
  <c r="V80" i="1"/>
  <c r="U80" i="1"/>
  <c r="W79" i="1"/>
  <c r="V79" i="1"/>
  <c r="U79" i="1"/>
  <c r="W78" i="1"/>
  <c r="V78" i="1"/>
  <c r="U78" i="1"/>
  <c r="W77" i="1"/>
  <c r="V77" i="1"/>
  <c r="U77" i="1"/>
  <c r="W76" i="1"/>
  <c r="V76" i="1"/>
  <c r="U76" i="1"/>
  <c r="W75" i="1"/>
  <c r="V75" i="1"/>
  <c r="U75" i="1"/>
  <c r="W74" i="1"/>
  <c r="V74" i="1"/>
  <c r="U74" i="1"/>
  <c r="W73" i="1"/>
  <c r="V73" i="1"/>
  <c r="U73" i="1"/>
  <c r="W72" i="1"/>
  <c r="V72" i="1"/>
  <c r="U72" i="1"/>
  <c r="W71" i="1"/>
  <c r="V71" i="1"/>
  <c r="U71" i="1"/>
  <c r="W70" i="1"/>
  <c r="V70" i="1"/>
  <c r="U70" i="1"/>
  <c r="W67" i="1"/>
  <c r="V67" i="1"/>
  <c r="U67" i="1"/>
  <c r="W66" i="1"/>
  <c r="V66" i="1"/>
  <c r="U66" i="1"/>
  <c r="W65" i="1"/>
  <c r="V65" i="1"/>
  <c r="U65" i="1"/>
  <c r="W64" i="1"/>
  <c r="V64" i="1"/>
  <c r="U64" i="1"/>
  <c r="W63" i="1"/>
  <c r="V63" i="1"/>
  <c r="U63" i="1"/>
  <c r="W62" i="1"/>
  <c r="V62" i="1"/>
  <c r="U62" i="1"/>
  <c r="W61" i="1"/>
  <c r="V61" i="1"/>
  <c r="U61" i="1"/>
  <c r="W60" i="1"/>
  <c r="V60" i="1"/>
  <c r="U60" i="1"/>
  <c r="W59" i="1"/>
  <c r="V59" i="1"/>
  <c r="U59" i="1"/>
  <c r="W58" i="1"/>
  <c r="V58" i="1"/>
  <c r="U58" i="1"/>
  <c r="W57" i="1"/>
  <c r="V57" i="1"/>
  <c r="U57" i="1"/>
  <c r="W56" i="1"/>
  <c r="V56" i="1"/>
  <c r="U56" i="1"/>
  <c r="W55" i="1"/>
  <c r="V55" i="1"/>
  <c r="U55" i="1"/>
  <c r="W53" i="1"/>
  <c r="V53" i="1"/>
  <c r="U53" i="1"/>
  <c r="W51" i="1"/>
  <c r="V51" i="1"/>
  <c r="U51" i="1"/>
  <c r="W49" i="1"/>
  <c r="V49" i="1"/>
  <c r="U49" i="1"/>
  <c r="W48" i="1"/>
  <c r="V48" i="1"/>
  <c r="U48" i="1"/>
  <c r="W47" i="1"/>
  <c r="V47" i="1"/>
  <c r="U47" i="1"/>
  <c r="W46" i="1"/>
  <c r="V46" i="1"/>
  <c r="U46" i="1"/>
  <c r="W45" i="1"/>
  <c r="V45" i="1"/>
  <c r="U45" i="1"/>
  <c r="W44" i="1"/>
  <c r="V44" i="1"/>
  <c r="U44" i="1"/>
  <c r="W43" i="1"/>
  <c r="V43" i="1"/>
  <c r="U43" i="1"/>
  <c r="W42" i="1"/>
  <c r="V42" i="1"/>
  <c r="U42" i="1"/>
  <c r="W41" i="1"/>
  <c r="V41" i="1"/>
  <c r="U41" i="1"/>
  <c r="W40" i="1"/>
  <c r="V40" i="1"/>
  <c r="U40" i="1"/>
  <c r="W39" i="1"/>
  <c r="V39" i="1"/>
  <c r="U39" i="1"/>
  <c r="W38" i="1"/>
  <c r="V38" i="1"/>
  <c r="U38" i="1"/>
  <c r="W37" i="1"/>
  <c r="V37" i="1"/>
  <c r="U37" i="1"/>
  <c r="W36" i="1"/>
  <c r="V36" i="1"/>
  <c r="U36" i="1"/>
  <c r="W35" i="1"/>
  <c r="V35" i="1"/>
  <c r="U35" i="1"/>
  <c r="W30" i="1"/>
  <c r="V30" i="1"/>
  <c r="U30" i="1"/>
  <c r="W29" i="1"/>
  <c r="V29" i="1"/>
  <c r="U29" i="1"/>
  <c r="W28" i="1"/>
  <c r="V28" i="1"/>
  <c r="U28" i="1"/>
  <c r="W26" i="1"/>
  <c r="V26" i="1"/>
  <c r="U26" i="1"/>
  <c r="W24" i="1"/>
  <c r="V24" i="1"/>
  <c r="U24" i="1"/>
  <c r="W23" i="1"/>
  <c r="V23" i="1"/>
  <c r="U23" i="1"/>
  <c r="W22" i="1"/>
  <c r="V22" i="1"/>
  <c r="U22" i="1"/>
  <c r="W20" i="1"/>
  <c r="V20" i="1"/>
  <c r="U20" i="1"/>
  <c r="W19" i="1"/>
  <c r="V19" i="1"/>
  <c r="U19" i="1"/>
  <c r="W18" i="1"/>
  <c r="V18" i="1"/>
  <c r="U18" i="1"/>
  <c r="W17" i="1"/>
  <c r="V17" i="1"/>
  <c r="U17" i="1"/>
  <c r="W16" i="1"/>
  <c r="V16" i="1"/>
  <c r="U16" i="1"/>
  <c r="W15" i="1"/>
  <c r="V15" i="1"/>
  <c r="U15" i="1"/>
  <c r="W14" i="1"/>
  <c r="V14" i="1"/>
  <c r="U14" i="1"/>
  <c r="W13" i="1"/>
  <c r="V13" i="1"/>
  <c r="U13" i="1"/>
  <c r="W11" i="1"/>
  <c r="V11" i="1"/>
  <c r="U11" i="1"/>
  <c r="W10" i="1"/>
  <c r="V10" i="1"/>
  <c r="U10" i="1"/>
  <c r="W9" i="1"/>
  <c r="V9" i="1"/>
  <c r="U9" i="1"/>
  <c r="W8" i="1"/>
  <c r="V8" i="1"/>
  <c r="U8" i="1"/>
  <c r="W7" i="1"/>
  <c r="V7" i="1"/>
  <c r="U7" i="1"/>
  <c r="W6" i="1"/>
  <c r="V6" i="1"/>
  <c r="U6" i="1"/>
  <c r="W5" i="1"/>
  <c r="V5" i="1"/>
  <c r="U5" i="1"/>
  <c r="W3" i="1"/>
  <c r="V3" i="1"/>
  <c r="U3" i="1"/>
  <c r="R118" i="1"/>
  <c r="Q118" i="1"/>
  <c r="P118" i="1"/>
  <c r="R117" i="1"/>
  <c r="Q117" i="1"/>
  <c r="P117" i="1"/>
  <c r="R116" i="1"/>
  <c r="Q116" i="1"/>
  <c r="P116" i="1"/>
  <c r="R115" i="1"/>
  <c r="Q115" i="1"/>
  <c r="P115" i="1"/>
  <c r="R114" i="1"/>
  <c r="Q114" i="1"/>
  <c r="P114" i="1"/>
  <c r="R113" i="1"/>
  <c r="Q113" i="1"/>
  <c r="P113" i="1"/>
  <c r="R112" i="1"/>
  <c r="Q112" i="1"/>
  <c r="P112" i="1"/>
  <c r="R110" i="1"/>
  <c r="Q110" i="1"/>
  <c r="P110" i="1"/>
  <c r="R109" i="1"/>
  <c r="Q109" i="1"/>
  <c r="P109" i="1"/>
  <c r="R107" i="1"/>
  <c r="Q107" i="1"/>
  <c r="P107" i="1"/>
  <c r="R106" i="1"/>
  <c r="Q106" i="1"/>
  <c r="P106" i="1"/>
  <c r="R103" i="1"/>
  <c r="Q103" i="1"/>
  <c r="P103" i="1"/>
  <c r="R102" i="1"/>
  <c r="Q102" i="1"/>
  <c r="P102" i="1"/>
  <c r="R101" i="1"/>
  <c r="Q101" i="1"/>
  <c r="P101" i="1"/>
  <c r="R100" i="1"/>
  <c r="Q100" i="1"/>
  <c r="P100" i="1"/>
  <c r="R99" i="1"/>
  <c r="Q99" i="1"/>
  <c r="P99" i="1"/>
  <c r="R98" i="1"/>
  <c r="Q98" i="1"/>
  <c r="P98" i="1"/>
  <c r="R97" i="1"/>
  <c r="Q97" i="1"/>
  <c r="P97" i="1"/>
  <c r="R96" i="1"/>
  <c r="Q96" i="1"/>
  <c r="P96" i="1"/>
  <c r="R95" i="1"/>
  <c r="Q95" i="1"/>
  <c r="P95" i="1"/>
  <c r="R94" i="1"/>
  <c r="Q94" i="1"/>
  <c r="P94" i="1"/>
  <c r="R93" i="1"/>
  <c r="Q93" i="1"/>
  <c r="P93" i="1"/>
  <c r="R92" i="1"/>
  <c r="Q92" i="1"/>
  <c r="P92" i="1"/>
  <c r="R91" i="1"/>
  <c r="Q91" i="1"/>
  <c r="P91" i="1"/>
  <c r="R90" i="1"/>
  <c r="Q90" i="1"/>
  <c r="P90" i="1"/>
  <c r="R89" i="1"/>
  <c r="Q89" i="1"/>
  <c r="P89" i="1"/>
  <c r="R88" i="1"/>
  <c r="Q88" i="1"/>
  <c r="P88" i="1"/>
  <c r="R87" i="1"/>
  <c r="Q87" i="1"/>
  <c r="P87" i="1"/>
  <c r="R86" i="1"/>
  <c r="Q86" i="1"/>
  <c r="P86" i="1"/>
  <c r="R85" i="1"/>
  <c r="Q85" i="1"/>
  <c r="P85" i="1"/>
  <c r="R84" i="1"/>
  <c r="Q84" i="1"/>
  <c r="P84" i="1"/>
  <c r="R82" i="1"/>
  <c r="Q82" i="1"/>
  <c r="P82" i="1"/>
  <c r="R81" i="1"/>
  <c r="Q81" i="1"/>
  <c r="P81" i="1"/>
  <c r="R80" i="1"/>
  <c r="Q80" i="1"/>
  <c r="P80" i="1"/>
  <c r="R79" i="1"/>
  <c r="Q79" i="1"/>
  <c r="P79" i="1"/>
  <c r="R78" i="1"/>
  <c r="Q78" i="1"/>
  <c r="P78" i="1"/>
  <c r="R77" i="1"/>
  <c r="Q77" i="1"/>
  <c r="P77" i="1"/>
  <c r="R76" i="1"/>
  <c r="Q76" i="1"/>
  <c r="P76" i="1"/>
  <c r="R75" i="1"/>
  <c r="Q75" i="1"/>
  <c r="P75" i="1"/>
  <c r="R74" i="1"/>
  <c r="Q74" i="1"/>
  <c r="P74" i="1"/>
  <c r="R73" i="1"/>
  <c r="Q73" i="1"/>
  <c r="P73" i="1"/>
  <c r="R72" i="1"/>
  <c r="Q72" i="1"/>
  <c r="P72" i="1"/>
  <c r="R71" i="1"/>
  <c r="Q71" i="1"/>
  <c r="P71" i="1"/>
  <c r="R70" i="1"/>
  <c r="Q70" i="1"/>
  <c r="P70" i="1"/>
  <c r="R67" i="1"/>
  <c r="Q67" i="1"/>
  <c r="P67" i="1"/>
  <c r="R66" i="1"/>
  <c r="Q66" i="1"/>
  <c r="P66" i="1"/>
  <c r="R65" i="1"/>
  <c r="Q65" i="1"/>
  <c r="P65" i="1"/>
  <c r="R64" i="1"/>
  <c r="Q64" i="1"/>
  <c r="P64" i="1"/>
  <c r="R63" i="1"/>
  <c r="Q63" i="1"/>
  <c r="P63" i="1"/>
  <c r="R62" i="1"/>
  <c r="Q62" i="1"/>
  <c r="P62" i="1"/>
  <c r="R61" i="1"/>
  <c r="Q61" i="1"/>
  <c r="P61" i="1"/>
  <c r="R60" i="1"/>
  <c r="Q60" i="1"/>
  <c r="P60" i="1"/>
  <c r="R59" i="1"/>
  <c r="Q59" i="1"/>
  <c r="P59" i="1"/>
  <c r="R58" i="1"/>
  <c r="Q58" i="1"/>
  <c r="P58" i="1"/>
  <c r="R57" i="1"/>
  <c r="Q57" i="1"/>
  <c r="P57" i="1"/>
  <c r="R56" i="1"/>
  <c r="Q56" i="1"/>
  <c r="P56" i="1"/>
  <c r="R55" i="1"/>
  <c r="Q55" i="1"/>
  <c r="P55" i="1"/>
  <c r="R53" i="1"/>
  <c r="Q53" i="1"/>
  <c r="P53" i="1"/>
  <c r="R52" i="1"/>
  <c r="Q52" i="1"/>
  <c r="P52" i="1"/>
  <c r="R51" i="1"/>
  <c r="Q51" i="1"/>
  <c r="P51" i="1"/>
  <c r="R50" i="1"/>
  <c r="Q50" i="1"/>
  <c r="P50" i="1"/>
  <c r="R49" i="1"/>
  <c r="Q49" i="1"/>
  <c r="P49" i="1"/>
  <c r="R48" i="1"/>
  <c r="Q48" i="1"/>
  <c r="P48" i="1"/>
  <c r="R47" i="1"/>
  <c r="Q47" i="1"/>
  <c r="P47" i="1"/>
  <c r="R45" i="1"/>
  <c r="Q45" i="1"/>
  <c r="P45" i="1"/>
  <c r="R44" i="1"/>
  <c r="Q44" i="1"/>
  <c r="P44" i="1"/>
  <c r="R43" i="1"/>
  <c r="Q43" i="1"/>
  <c r="P43" i="1"/>
  <c r="R42" i="1"/>
  <c r="Q42" i="1"/>
  <c r="P42" i="1"/>
  <c r="R40" i="1"/>
  <c r="Q40" i="1"/>
  <c r="P40" i="1"/>
  <c r="R39" i="1"/>
  <c r="Q39" i="1"/>
  <c r="P39" i="1"/>
  <c r="R38" i="1"/>
  <c r="Q38" i="1"/>
  <c r="P38" i="1"/>
  <c r="R37" i="1"/>
  <c r="Q37" i="1"/>
  <c r="P37" i="1"/>
  <c r="R36" i="1"/>
  <c r="Q36" i="1"/>
  <c r="P36" i="1"/>
  <c r="R35" i="1"/>
  <c r="Q35" i="1"/>
  <c r="P35" i="1"/>
  <c r="R34" i="1"/>
  <c r="Q34" i="1"/>
  <c r="P34" i="1"/>
  <c r="R33" i="1"/>
  <c r="Q33" i="1"/>
  <c r="P33" i="1"/>
  <c r="R32" i="1"/>
  <c r="Q32" i="1"/>
  <c r="P32" i="1"/>
  <c r="R29" i="1"/>
  <c r="Q29" i="1"/>
  <c r="P29" i="1"/>
  <c r="R26" i="1"/>
  <c r="Q26" i="1"/>
  <c r="P26" i="1"/>
  <c r="R25" i="1"/>
  <c r="Q25" i="1"/>
  <c r="P25" i="1"/>
  <c r="R24" i="1"/>
  <c r="Q24" i="1"/>
  <c r="P24" i="1"/>
  <c r="R23" i="1"/>
  <c r="Q23" i="1"/>
  <c r="P23" i="1"/>
  <c r="R22" i="1"/>
  <c r="Q22" i="1"/>
  <c r="P22" i="1"/>
  <c r="R21" i="1"/>
  <c r="Q21" i="1"/>
  <c r="P21" i="1"/>
  <c r="R19" i="1"/>
  <c r="Q19" i="1"/>
  <c r="P19" i="1"/>
  <c r="R18" i="1"/>
  <c r="Q18" i="1"/>
  <c r="P18" i="1"/>
  <c r="R17" i="1"/>
  <c r="Q17" i="1"/>
  <c r="P17" i="1"/>
  <c r="R16" i="1"/>
  <c r="Q16" i="1"/>
  <c r="P16" i="1"/>
  <c r="R15" i="1"/>
  <c r="Q15" i="1"/>
  <c r="P15" i="1"/>
  <c r="R14" i="1"/>
  <c r="Q14" i="1"/>
  <c r="P14" i="1"/>
  <c r="R13" i="1"/>
  <c r="Q13" i="1"/>
  <c r="P13" i="1"/>
  <c r="R12" i="1"/>
  <c r="Q12" i="1"/>
  <c r="P12" i="1"/>
  <c r="R11" i="1"/>
  <c r="Q11" i="1"/>
  <c r="P11" i="1"/>
  <c r="R10" i="1"/>
  <c r="Q10" i="1"/>
  <c r="P10" i="1"/>
  <c r="R9" i="1"/>
  <c r="Q9" i="1"/>
  <c r="P9" i="1"/>
  <c r="R7" i="1"/>
  <c r="Q7" i="1"/>
  <c r="P7" i="1"/>
  <c r="R6" i="1"/>
  <c r="Q6" i="1"/>
  <c r="P6" i="1"/>
  <c r="R5" i="1"/>
  <c r="Q5" i="1"/>
  <c r="P5" i="1"/>
  <c r="R4" i="1"/>
  <c r="Q4" i="1"/>
  <c r="P4" i="1"/>
  <c r="R3" i="1"/>
  <c r="Q3" i="1"/>
  <c r="P3" i="1"/>
  <c r="M118" i="1"/>
  <c r="L118" i="1"/>
  <c r="K118" i="1"/>
  <c r="M117" i="1"/>
  <c r="L117" i="1"/>
  <c r="K117" i="1"/>
  <c r="M116" i="1"/>
  <c r="L116" i="1"/>
  <c r="K116" i="1"/>
  <c r="M115" i="1"/>
  <c r="L115" i="1"/>
  <c r="K115" i="1"/>
  <c r="M114" i="1"/>
  <c r="L114" i="1"/>
  <c r="K114" i="1"/>
  <c r="M113" i="1"/>
  <c r="L113" i="1"/>
  <c r="K113" i="1"/>
  <c r="M112" i="1"/>
  <c r="L112" i="1"/>
  <c r="K112" i="1"/>
  <c r="M111" i="1"/>
  <c r="L111" i="1"/>
  <c r="K111" i="1"/>
  <c r="M110" i="1"/>
  <c r="L110" i="1"/>
  <c r="K110" i="1"/>
  <c r="M109" i="1"/>
  <c r="L109" i="1"/>
  <c r="K109" i="1"/>
  <c r="M107" i="1"/>
  <c r="L107" i="1"/>
  <c r="K107" i="1"/>
  <c r="M106" i="1"/>
  <c r="L106" i="1"/>
  <c r="K106" i="1"/>
  <c r="M103" i="1"/>
  <c r="L103" i="1"/>
  <c r="K103" i="1"/>
  <c r="M102" i="1"/>
  <c r="L102" i="1"/>
  <c r="K102" i="1"/>
  <c r="M101" i="1"/>
  <c r="L101" i="1"/>
  <c r="K101" i="1"/>
  <c r="M100" i="1"/>
  <c r="L100" i="1"/>
  <c r="K100" i="1"/>
  <c r="M99" i="1"/>
  <c r="L99" i="1"/>
  <c r="K99" i="1"/>
  <c r="M98" i="1"/>
  <c r="L98" i="1"/>
  <c r="K98" i="1"/>
  <c r="M97" i="1"/>
  <c r="L97" i="1"/>
  <c r="K97" i="1"/>
  <c r="M95" i="1"/>
  <c r="L95" i="1"/>
  <c r="K95" i="1"/>
  <c r="M94" i="1"/>
  <c r="L94" i="1"/>
  <c r="K94" i="1"/>
  <c r="M93" i="1"/>
  <c r="L93" i="1"/>
  <c r="K93" i="1"/>
  <c r="M92" i="1"/>
  <c r="L92" i="1"/>
  <c r="K92" i="1"/>
  <c r="M91" i="1"/>
  <c r="L91" i="1"/>
  <c r="K91" i="1"/>
  <c r="M90" i="1"/>
  <c r="L90" i="1"/>
  <c r="K90" i="1"/>
  <c r="M89" i="1"/>
  <c r="L89" i="1"/>
  <c r="K89" i="1"/>
  <c r="M88" i="1"/>
  <c r="L88" i="1"/>
  <c r="K88" i="1"/>
  <c r="M87" i="1"/>
  <c r="L87" i="1"/>
  <c r="K87" i="1"/>
  <c r="M86" i="1"/>
  <c r="L86" i="1"/>
  <c r="K86" i="1"/>
  <c r="M85" i="1"/>
  <c r="L85" i="1"/>
  <c r="K85" i="1"/>
  <c r="M84" i="1"/>
  <c r="L84" i="1"/>
  <c r="K84" i="1"/>
  <c r="M82" i="1"/>
  <c r="L82" i="1"/>
  <c r="K82" i="1"/>
  <c r="M81" i="1"/>
  <c r="L81" i="1"/>
  <c r="K81" i="1"/>
  <c r="M80" i="1"/>
  <c r="L80" i="1"/>
  <c r="K80" i="1"/>
  <c r="M79" i="1"/>
  <c r="L79" i="1"/>
  <c r="K79" i="1"/>
  <c r="M78" i="1"/>
  <c r="L78" i="1"/>
  <c r="K78" i="1"/>
  <c r="M77" i="1"/>
  <c r="L77" i="1"/>
  <c r="K77" i="1"/>
  <c r="M76" i="1"/>
  <c r="L76" i="1"/>
  <c r="K76" i="1"/>
  <c r="M75" i="1"/>
  <c r="L75" i="1"/>
  <c r="K75" i="1"/>
  <c r="M74" i="1"/>
  <c r="L74" i="1"/>
  <c r="K74" i="1"/>
  <c r="M73" i="1"/>
  <c r="L73" i="1"/>
  <c r="K73" i="1"/>
  <c r="M72" i="1"/>
  <c r="L72" i="1"/>
  <c r="K72" i="1"/>
  <c r="M71" i="1"/>
  <c r="L71" i="1"/>
  <c r="K71" i="1"/>
  <c r="M70" i="1"/>
  <c r="L70" i="1"/>
  <c r="K70" i="1"/>
  <c r="M69" i="1"/>
  <c r="L69" i="1"/>
  <c r="K69" i="1"/>
  <c r="M67" i="1"/>
  <c r="L67" i="1"/>
  <c r="K67" i="1"/>
  <c r="M66" i="1"/>
  <c r="L66" i="1"/>
  <c r="K66" i="1"/>
  <c r="M65" i="1"/>
  <c r="L65" i="1"/>
  <c r="K65" i="1"/>
  <c r="M64" i="1"/>
  <c r="L64" i="1"/>
  <c r="K64" i="1"/>
  <c r="M63" i="1"/>
  <c r="L63" i="1"/>
  <c r="K63" i="1"/>
  <c r="M62" i="1"/>
  <c r="L62" i="1"/>
  <c r="K62" i="1"/>
  <c r="M61" i="1"/>
  <c r="L61" i="1"/>
  <c r="K61" i="1"/>
  <c r="M60" i="1"/>
  <c r="L60" i="1"/>
  <c r="K60" i="1"/>
  <c r="M59" i="1"/>
  <c r="L59" i="1"/>
  <c r="K59" i="1"/>
  <c r="M58" i="1"/>
  <c r="L58" i="1"/>
  <c r="K58" i="1"/>
  <c r="M57" i="1"/>
  <c r="L57" i="1"/>
  <c r="K57" i="1"/>
  <c r="M56" i="1"/>
  <c r="L56" i="1"/>
  <c r="K56" i="1"/>
  <c r="M55" i="1"/>
  <c r="L55" i="1"/>
  <c r="K55" i="1"/>
  <c r="M53" i="1"/>
  <c r="L53" i="1"/>
  <c r="K53" i="1"/>
  <c r="M51" i="1"/>
  <c r="L51" i="1"/>
  <c r="K51" i="1"/>
  <c r="M50" i="1"/>
  <c r="L50" i="1"/>
  <c r="K50" i="1"/>
  <c r="M49" i="1"/>
  <c r="L49" i="1"/>
  <c r="K49" i="1"/>
  <c r="M48" i="1"/>
  <c r="L48" i="1"/>
  <c r="K48" i="1"/>
  <c r="M47" i="1"/>
  <c r="L47" i="1"/>
  <c r="K47" i="1"/>
  <c r="M45" i="1"/>
  <c r="L45" i="1"/>
  <c r="K45" i="1"/>
  <c r="M44" i="1"/>
  <c r="L44" i="1"/>
  <c r="K44" i="1"/>
  <c r="M43" i="1"/>
  <c r="L43" i="1"/>
  <c r="K43" i="1"/>
  <c r="M40" i="1"/>
  <c r="L40" i="1"/>
  <c r="K40" i="1"/>
  <c r="M39" i="1"/>
  <c r="L39" i="1"/>
  <c r="K39" i="1"/>
  <c r="M38" i="1"/>
  <c r="L38" i="1"/>
  <c r="K38" i="1"/>
  <c r="M37" i="1"/>
  <c r="L37" i="1"/>
  <c r="K37" i="1"/>
  <c r="M36" i="1"/>
  <c r="L36" i="1"/>
  <c r="K36" i="1"/>
  <c r="M35" i="1"/>
  <c r="L35" i="1"/>
  <c r="K35" i="1"/>
  <c r="M34" i="1"/>
  <c r="L34" i="1"/>
  <c r="K34" i="1"/>
  <c r="M33" i="1"/>
  <c r="L33" i="1"/>
  <c r="K33" i="1"/>
  <c r="M32" i="1"/>
  <c r="L32" i="1"/>
  <c r="K32" i="1"/>
  <c r="M29" i="1"/>
  <c r="L29" i="1"/>
  <c r="K29" i="1"/>
  <c r="M26" i="1"/>
  <c r="L26" i="1"/>
  <c r="K26" i="1"/>
  <c r="M25" i="1"/>
  <c r="L25" i="1"/>
  <c r="K25" i="1"/>
  <c r="M23" i="1"/>
  <c r="L23" i="1"/>
  <c r="K23" i="1"/>
  <c r="M22" i="1"/>
  <c r="L22" i="1"/>
  <c r="K22" i="1"/>
  <c r="M20" i="1"/>
  <c r="L20" i="1"/>
  <c r="K20" i="1"/>
  <c r="M19" i="1"/>
  <c r="L19" i="1"/>
  <c r="K19" i="1"/>
  <c r="M18" i="1"/>
  <c r="L18" i="1"/>
  <c r="K18" i="1"/>
  <c r="M16" i="1"/>
  <c r="L16" i="1"/>
  <c r="K16" i="1"/>
  <c r="M15" i="1"/>
  <c r="L15" i="1"/>
  <c r="K15" i="1"/>
  <c r="M14" i="1"/>
  <c r="L14" i="1"/>
  <c r="K14" i="1"/>
  <c r="M13" i="1"/>
  <c r="L13" i="1"/>
  <c r="K13" i="1"/>
  <c r="M11" i="1"/>
  <c r="L11" i="1"/>
  <c r="K11" i="1"/>
  <c r="M10" i="1"/>
  <c r="L10" i="1"/>
  <c r="K10" i="1"/>
  <c r="M9" i="1"/>
  <c r="L9" i="1"/>
  <c r="K9" i="1"/>
  <c r="M7" i="1"/>
  <c r="L7" i="1"/>
  <c r="K7" i="1"/>
  <c r="M6" i="1"/>
  <c r="L6" i="1"/>
  <c r="K6" i="1"/>
  <c r="M5" i="1"/>
  <c r="L5" i="1"/>
  <c r="K5" i="1"/>
  <c r="M4" i="1"/>
  <c r="L4" i="1"/>
  <c r="K4" i="1"/>
  <c r="AJ4" i="95" l="1"/>
  <c r="AI15" i="95"/>
  <c r="AG15" i="95"/>
  <c r="AJ15" i="95" s="1"/>
  <c r="AI17" i="95"/>
  <c r="AG17" i="95"/>
  <c r="AJ17" i="95" s="1"/>
  <c r="R116" i="95"/>
  <c r="AI116" i="95"/>
  <c r="AI6" i="95"/>
  <c r="AG6" i="95"/>
  <c r="AJ6" i="95" s="1"/>
  <c r="W10" i="95"/>
  <c r="AJ10" i="95" s="1"/>
  <c r="AI10" i="95"/>
  <c r="AI11" i="95"/>
  <c r="AG11" i="95"/>
  <c r="AJ11" i="95" s="1"/>
  <c r="AI19" i="95"/>
  <c r="AG19" i="95"/>
  <c r="AJ19" i="95" s="1"/>
  <c r="AI30" i="95"/>
  <c r="AG30" i="95"/>
  <c r="AJ30" i="95" s="1"/>
  <c r="AI12" i="95"/>
  <c r="R12" i="95"/>
  <c r="AJ12" i="95" s="1"/>
  <c r="R56" i="95"/>
  <c r="AJ56" i="95" s="1"/>
  <c r="AI56" i="95"/>
  <c r="AI95" i="95"/>
  <c r="AG95" i="95"/>
  <c r="AJ95" i="95" s="1"/>
  <c r="AI71" i="95"/>
  <c r="AG71" i="95"/>
  <c r="AJ71" i="95" s="1"/>
  <c r="AJ116" i="95"/>
  <c r="AI14" i="95"/>
  <c r="AG14" i="95"/>
  <c r="AJ14" i="95" s="1"/>
  <c r="AJ107" i="95"/>
  <c r="AI3" i="95"/>
  <c r="AB3" i="95"/>
  <c r="AJ3" i="95" s="1"/>
  <c r="AI16" i="95"/>
  <c r="AG16" i="95"/>
  <c r="AJ16" i="95" s="1"/>
  <c r="AI18" i="95"/>
  <c r="AG18" i="95"/>
  <c r="AJ18" i="95" s="1"/>
  <c r="AI5" i="95"/>
  <c r="AG5" i="95"/>
  <c r="AJ5" i="95" s="1"/>
  <c r="AI7" i="95"/>
  <c r="AG7" i="95"/>
  <c r="AJ7" i="95" s="1"/>
  <c r="AI20" i="95"/>
  <c r="AG20" i="95"/>
  <c r="AJ20" i="95" s="1"/>
  <c r="AI24" i="95"/>
  <c r="AG24" i="95"/>
  <c r="AJ24" i="95" s="1"/>
  <c r="AB38" i="95"/>
  <c r="AI38" i="95"/>
  <c r="AI80" i="95"/>
  <c r="AG80" i="95"/>
  <c r="AJ80" i="95" s="1"/>
  <c r="AI9" i="95"/>
  <c r="AI13" i="95"/>
  <c r="AG13" i="95"/>
  <c r="AJ13" i="95" s="1"/>
  <c r="AI21" i="95"/>
  <c r="R21" i="95"/>
  <c r="AJ21" i="95" s="1"/>
  <c r="AG41" i="95"/>
  <c r="AJ41" i="95" s="1"/>
  <c r="AI41" i="95"/>
  <c r="AI36" i="95"/>
  <c r="W36" i="95"/>
  <c r="AJ36" i="95" s="1"/>
  <c r="AJ37" i="95"/>
  <c r="AI55" i="95"/>
  <c r="AI61" i="95"/>
  <c r="AI104" i="95"/>
  <c r="AB104" i="95"/>
  <c r="AJ104" i="95" s="1"/>
  <c r="AJ114" i="95"/>
  <c r="AJ22" i="95"/>
  <c r="AI37" i="95"/>
  <c r="AI49" i="95"/>
  <c r="AG49" i="95"/>
  <c r="AJ49" i="95" s="1"/>
  <c r="AJ55" i="95"/>
  <c r="AI59" i="95"/>
  <c r="AG59" i="95"/>
  <c r="AJ59" i="95" s="1"/>
  <c r="AI77" i="95"/>
  <c r="AJ85" i="95"/>
  <c r="AI101" i="95"/>
  <c r="AG101" i="95"/>
  <c r="AJ101" i="95" s="1"/>
  <c r="AI109" i="95"/>
  <c r="AG109" i="95"/>
  <c r="AJ109" i="95" s="1"/>
  <c r="AG54" i="95"/>
  <c r="AJ54" i="95" s="1"/>
  <c r="AI64" i="95"/>
  <c r="AG64" i="95"/>
  <c r="AJ64" i="95" s="1"/>
  <c r="AI85" i="95"/>
  <c r="AI96" i="95"/>
  <c r="AJ97" i="95"/>
  <c r="AJ106" i="95"/>
  <c r="AI44" i="95"/>
  <c r="AG44" i="95"/>
  <c r="AJ44" i="95" s="1"/>
  <c r="AI63" i="95"/>
  <c r="AG63" i="95"/>
  <c r="AJ63" i="95" s="1"/>
  <c r="AI108" i="95"/>
  <c r="AG108" i="95"/>
  <c r="AJ108" i="95" s="1"/>
  <c r="AG8" i="95"/>
  <c r="AJ8" i="95" s="1"/>
  <c r="W28" i="95"/>
  <c r="AJ28" i="95" s="1"/>
  <c r="AI33" i="95"/>
  <c r="R33" i="95"/>
  <c r="AJ33" i="95" s="1"/>
  <c r="AI47" i="95"/>
  <c r="AI50" i="95"/>
  <c r="R50" i="95"/>
  <c r="AJ50" i="95" s="1"/>
  <c r="AJ73" i="95"/>
  <c r="AI88" i="95"/>
  <c r="AG88" i="95"/>
  <c r="AJ88" i="95" s="1"/>
  <c r="AI92" i="95"/>
  <c r="AI35" i="95"/>
  <c r="AG35" i="95"/>
  <c r="AJ35" i="95" s="1"/>
  <c r="AI52" i="95"/>
  <c r="R52" i="95"/>
  <c r="AJ52" i="95" s="1"/>
  <c r="AI73" i="95"/>
  <c r="AI87" i="95"/>
  <c r="AG87" i="95"/>
  <c r="AJ87" i="95" s="1"/>
  <c r="AI40" i="95"/>
  <c r="AI58" i="95"/>
  <c r="AI62" i="95"/>
  <c r="AG62" i="95"/>
  <c r="AJ62" i="95" s="1"/>
  <c r="AI66" i="95"/>
  <c r="AI67" i="95"/>
  <c r="AI100" i="95"/>
  <c r="AI112" i="95"/>
  <c r="AG112" i="95"/>
  <c r="AJ112" i="95" s="1"/>
  <c r="AJ38" i="95"/>
  <c r="AI39" i="95"/>
  <c r="AG40" i="95"/>
  <c r="AJ40" i="95" s="1"/>
  <c r="AI57" i="95"/>
  <c r="AG66" i="95"/>
  <c r="AJ66" i="95" s="1"/>
  <c r="AJ67" i="95"/>
  <c r="AI115" i="95"/>
  <c r="AG115" i="95"/>
  <c r="AJ115" i="95" s="1"/>
  <c r="AI43" i="95"/>
  <c r="AG43" i="95"/>
  <c r="AJ43" i="95" s="1"/>
  <c r="AI65" i="95"/>
  <c r="AG65" i="95"/>
  <c r="AJ65" i="95" s="1"/>
  <c r="AI75" i="95"/>
  <c r="AI86" i="95"/>
  <c r="AG86" i="95"/>
  <c r="AJ86" i="95" s="1"/>
  <c r="AI99" i="95"/>
  <c r="AI110" i="95"/>
  <c r="AG110" i="95"/>
  <c r="AJ110" i="95" s="1"/>
  <c r="AG9" i="95"/>
  <c r="AJ9" i="95" s="1"/>
  <c r="AI26" i="95"/>
  <c r="AB26" i="95"/>
  <c r="AJ26" i="95" s="1"/>
  <c r="AI42" i="95"/>
  <c r="AG42" i="95"/>
  <c r="AJ42" i="95" s="1"/>
  <c r="AJ46" i="95"/>
  <c r="AI68" i="95"/>
  <c r="AI76" i="95"/>
  <c r="AG90" i="95"/>
  <c r="AJ90" i="95" s="1"/>
  <c r="AJ91" i="95"/>
  <c r="AI98" i="95"/>
  <c r="AG103" i="95"/>
  <c r="AJ103" i="95" s="1"/>
  <c r="AI107" i="95"/>
  <c r="AJ23" i="95"/>
  <c r="AI29" i="95"/>
  <c r="AG29" i="95"/>
  <c r="AJ29" i="95" s="1"/>
  <c r="AI74" i="95"/>
  <c r="AB74" i="95"/>
  <c r="AJ74" i="95" s="1"/>
  <c r="AI79" i="95"/>
  <c r="AG79" i="95"/>
  <c r="AJ79" i="95" s="1"/>
  <c r="AI89" i="95"/>
  <c r="AG89" i="95"/>
  <c r="AJ89" i="95" s="1"/>
  <c r="AI32" i="95"/>
  <c r="R32" i="95"/>
  <c r="AJ32" i="95" s="1"/>
  <c r="AG34" i="95"/>
  <c r="AJ34" i="95" s="1"/>
  <c r="AI53" i="95"/>
  <c r="AG53" i="95"/>
  <c r="AJ53" i="95" s="1"/>
  <c r="AI60" i="95"/>
  <c r="AJ61" i="95"/>
  <c r="AI70" i="95"/>
  <c r="AI102" i="95"/>
  <c r="M111" i="95"/>
  <c r="AJ111" i="95" s="1"/>
  <c r="AI114" i="95"/>
  <c r="AI118" i="95"/>
  <c r="AG48" i="95"/>
  <c r="AJ48" i="95" s="1"/>
  <c r="AG57" i="95"/>
  <c r="AJ57" i="95" s="1"/>
  <c r="M69" i="95"/>
  <c r="AJ69" i="95" s="1"/>
  <c r="AG78" i="95"/>
  <c r="AJ78" i="95" s="1"/>
  <c r="AG93" i="95"/>
  <c r="AJ93" i="95" s="1"/>
  <c r="AG99" i="95"/>
  <c r="AJ99" i="95" s="1"/>
  <c r="AG117" i="95"/>
  <c r="AJ117" i="95" s="1"/>
  <c r="AG45" i="95"/>
  <c r="AJ45" i="95" s="1"/>
  <c r="AG60" i="95"/>
  <c r="AJ60" i="95" s="1"/>
  <c r="AG72" i="95"/>
  <c r="AJ72" i="95" s="1"/>
  <c r="AG75" i="95"/>
  <c r="AJ75" i="95" s="1"/>
  <c r="AG81" i="95"/>
  <c r="AJ81" i="95" s="1"/>
  <c r="R84" i="95"/>
  <c r="AJ84" i="95" s="1"/>
  <c r="AG102" i="95"/>
  <c r="AJ102" i="95" s="1"/>
  <c r="AG58" i="95"/>
  <c r="AJ58" i="95" s="1"/>
  <c r="AG70" i="95"/>
  <c r="AJ70" i="95" s="1"/>
  <c r="AG94" i="95"/>
  <c r="AJ94" i="95" s="1"/>
  <c r="AG100" i="95"/>
  <c r="AJ100" i="95" s="1"/>
  <c r="AG118" i="95"/>
  <c r="AJ118" i="95" s="1"/>
  <c r="AG39" i="95"/>
  <c r="AJ39" i="95" s="1"/>
  <c r="AG51" i="95"/>
  <c r="AJ51" i="95" s="1"/>
  <c r="AI7" i="35"/>
  <c r="AG10" i="35"/>
  <c r="AJ10" i="35" s="1"/>
  <c r="AI10" i="35"/>
  <c r="AI16" i="35"/>
  <c r="AG16" i="35"/>
  <c r="AJ16" i="35" s="1"/>
  <c r="AG35" i="35"/>
  <c r="AJ35" i="35" s="1"/>
  <c r="AI35" i="35"/>
  <c r="AJ38" i="35"/>
  <c r="AI49" i="35"/>
  <c r="AG49" i="35"/>
  <c r="AJ49" i="35" s="1"/>
  <c r="R67" i="35"/>
  <c r="AI67" i="35"/>
  <c r="AI70" i="35"/>
  <c r="AG70" i="35"/>
  <c r="AJ70" i="35" s="1"/>
  <c r="AI12" i="35"/>
  <c r="R12" i="35"/>
  <c r="AJ12" i="35" s="1"/>
  <c r="AI18" i="35"/>
  <c r="AG18" i="35"/>
  <c r="AJ18" i="35" s="1"/>
  <c r="AB81" i="35"/>
  <c r="AI81" i="35"/>
  <c r="AI39" i="35"/>
  <c r="AG39" i="35"/>
  <c r="AJ39" i="35" s="1"/>
  <c r="AI9" i="35"/>
  <c r="AB9" i="35"/>
  <c r="AJ50" i="35"/>
  <c r="AB73" i="35"/>
  <c r="AJ73" i="35" s="1"/>
  <c r="AI73" i="35"/>
  <c r="AI117" i="35"/>
  <c r="AG117" i="35"/>
  <c r="AJ117" i="35" s="1"/>
  <c r="AJ19" i="35"/>
  <c r="AI6" i="35"/>
  <c r="AG6" i="35"/>
  <c r="AJ6" i="35" s="1"/>
  <c r="AI37" i="35"/>
  <c r="AB37" i="35"/>
  <c r="AJ37" i="35" s="1"/>
  <c r="AJ9" i="35"/>
  <c r="AI15" i="35"/>
  <c r="AG15" i="35"/>
  <c r="AJ15" i="35" s="1"/>
  <c r="AI17" i="35"/>
  <c r="AG17" i="35"/>
  <c r="AJ17" i="35" s="1"/>
  <c r="AI24" i="35"/>
  <c r="AI29" i="35"/>
  <c r="AG29" i="35"/>
  <c r="AJ29" i="35" s="1"/>
  <c r="AI36" i="35"/>
  <c r="AB75" i="35"/>
  <c r="AI75" i="35"/>
  <c r="AI102" i="35"/>
  <c r="AB102" i="35"/>
  <c r="AJ102" i="35" s="1"/>
  <c r="AI3" i="35"/>
  <c r="AB3" i="35"/>
  <c r="AJ3" i="35" s="1"/>
  <c r="AJ36" i="35"/>
  <c r="AI42" i="35"/>
  <c r="AG42" i="35"/>
  <c r="AJ42" i="35" s="1"/>
  <c r="AB60" i="35"/>
  <c r="AJ60" i="35" s="1"/>
  <c r="AI60" i="35"/>
  <c r="AJ8" i="35"/>
  <c r="AB30" i="35"/>
  <c r="AJ30" i="35" s="1"/>
  <c r="AI30" i="35"/>
  <c r="AI53" i="35"/>
  <c r="AG53" i="35"/>
  <c r="AJ53" i="35" s="1"/>
  <c r="AJ67" i="35"/>
  <c r="AJ14" i="35"/>
  <c r="AJ22" i="35"/>
  <c r="AJ23" i="35"/>
  <c r="R4" i="35"/>
  <c r="AJ4" i="35" s="1"/>
  <c r="AI4" i="35"/>
  <c r="AJ46" i="35"/>
  <c r="R21" i="35"/>
  <c r="AJ21" i="35" s="1"/>
  <c r="AI21" i="35"/>
  <c r="AI79" i="35"/>
  <c r="AG79" i="35"/>
  <c r="AJ79" i="35" s="1"/>
  <c r="AI22" i="35"/>
  <c r="AI34" i="35"/>
  <c r="AI55" i="35"/>
  <c r="AI58" i="35"/>
  <c r="AI63" i="35"/>
  <c r="AG63" i="35"/>
  <c r="AJ63" i="35" s="1"/>
  <c r="AI65" i="35"/>
  <c r="AI66" i="35"/>
  <c r="AI89" i="35"/>
  <c r="AI90" i="35"/>
  <c r="AJ109" i="35"/>
  <c r="AJ34" i="35"/>
  <c r="AI40" i="35"/>
  <c r="AI51" i="35"/>
  <c r="AG51" i="35"/>
  <c r="AJ51" i="35" s="1"/>
  <c r="AJ58" i="35"/>
  <c r="AJ65" i="35"/>
  <c r="AJ80" i="35"/>
  <c r="AJ81" i="35"/>
  <c r="AB82" i="35"/>
  <c r="AJ82" i="35" s="1"/>
  <c r="AI82" i="35"/>
  <c r="AI87" i="35"/>
  <c r="AG87" i="35"/>
  <c r="AJ87" i="35" s="1"/>
  <c r="AJ89" i="35"/>
  <c r="AJ101" i="35"/>
  <c r="AG7" i="35"/>
  <c r="AJ7" i="35" s="1"/>
  <c r="AG13" i="35"/>
  <c r="AJ13" i="35" s="1"/>
  <c r="AG24" i="35"/>
  <c r="AJ24" i="35" s="1"/>
  <c r="AI25" i="35"/>
  <c r="AI27" i="35"/>
  <c r="AG40" i="35"/>
  <c r="AJ40" i="35" s="1"/>
  <c r="AI62" i="35"/>
  <c r="AI64" i="35"/>
  <c r="AI88" i="35"/>
  <c r="W106" i="35"/>
  <c r="AJ106" i="35" s="1"/>
  <c r="AI33" i="35"/>
  <c r="R33" i="35"/>
  <c r="AJ33" i="35" s="1"/>
  <c r="AJ64" i="35"/>
  <c r="AI78" i="35"/>
  <c r="AG78" i="35"/>
  <c r="AJ78" i="35" s="1"/>
  <c r="AI86" i="35"/>
  <c r="AG86" i="35"/>
  <c r="AJ86" i="35" s="1"/>
  <c r="AJ88" i="35"/>
  <c r="AI91" i="35"/>
  <c r="AJ95" i="35"/>
  <c r="AJ116" i="35"/>
  <c r="AG5" i="35"/>
  <c r="AJ5" i="35" s="1"/>
  <c r="AG11" i="35"/>
  <c r="AJ11" i="35" s="1"/>
  <c r="AB46" i="35"/>
  <c r="AJ77" i="35"/>
  <c r="AJ84" i="35"/>
  <c r="AI104" i="35"/>
  <c r="AB104" i="35"/>
  <c r="AJ104" i="35" s="1"/>
  <c r="AJ107" i="35"/>
  <c r="AB115" i="35"/>
  <c r="AJ115" i="35" s="1"/>
  <c r="AI116" i="35"/>
  <c r="AJ47" i="35"/>
  <c r="AI48" i="35"/>
  <c r="AG48" i="35"/>
  <c r="AJ48" i="35" s="1"/>
  <c r="AI77" i="35"/>
  <c r="AI84" i="35"/>
  <c r="AI85" i="35"/>
  <c r="AI100" i="35"/>
  <c r="AG100" i="35"/>
  <c r="AJ100" i="35" s="1"/>
  <c r="AI107" i="35"/>
  <c r="AI19" i="35"/>
  <c r="AI47" i="35"/>
  <c r="AG85" i="35"/>
  <c r="AJ85" i="35" s="1"/>
  <c r="AI114" i="35"/>
  <c r="AJ20" i="35"/>
  <c r="AJ44" i="35"/>
  <c r="AJ74" i="35"/>
  <c r="AJ75" i="35"/>
  <c r="AB76" i="35"/>
  <c r="AJ76" i="35" s="1"/>
  <c r="AI76" i="35"/>
  <c r="AI94" i="35"/>
  <c r="AG94" i="35"/>
  <c r="AJ94" i="35" s="1"/>
  <c r="AI99" i="35"/>
  <c r="AG99" i="35"/>
  <c r="AJ99" i="35" s="1"/>
  <c r="AG41" i="35"/>
  <c r="AJ41" i="35" s="1"/>
  <c r="AG45" i="35"/>
  <c r="AJ45" i="35" s="1"/>
  <c r="AG71" i="35"/>
  <c r="AJ71" i="35" s="1"/>
  <c r="AG72" i="35"/>
  <c r="AJ72" i="35" s="1"/>
  <c r="AJ98" i="35"/>
  <c r="AI110" i="35"/>
  <c r="AG110" i="35"/>
  <c r="AJ110" i="35" s="1"/>
  <c r="AJ113" i="35"/>
  <c r="AI43" i="35"/>
  <c r="AJ56" i="35"/>
  <c r="AI57" i="35"/>
  <c r="AG57" i="35"/>
  <c r="AJ57" i="35" s="1"/>
  <c r="AI69" i="35"/>
  <c r="M69" i="35"/>
  <c r="AJ69" i="35" s="1"/>
  <c r="AI93" i="35"/>
  <c r="AG93" i="35"/>
  <c r="AJ93" i="35" s="1"/>
  <c r="AJ97" i="35"/>
  <c r="AI98" i="35"/>
  <c r="AJ112" i="35"/>
  <c r="AI113" i="35"/>
  <c r="AB26" i="35"/>
  <c r="AJ26" i="35" s="1"/>
  <c r="R32" i="35"/>
  <c r="AJ32" i="35" s="1"/>
  <c r="AI38" i="35"/>
  <c r="AG43" i="35"/>
  <c r="AJ43" i="35" s="1"/>
  <c r="AI56" i="35"/>
  <c r="AG59" i="35"/>
  <c r="AJ59" i="35" s="1"/>
  <c r="AJ83" i="35"/>
  <c r="AJ92" i="35"/>
  <c r="AI83" i="35"/>
  <c r="AI92" i="35"/>
  <c r="AI96" i="35"/>
  <c r="AI103" i="35"/>
  <c r="AI108" i="35"/>
  <c r="AG108" i="35"/>
  <c r="AJ108" i="35" s="1"/>
  <c r="AI109" i="35"/>
  <c r="AI111" i="35"/>
  <c r="AI118" i="35"/>
  <c r="AG118" i="35"/>
  <c r="AJ118" i="35" s="1"/>
  <c r="Q121" i="19"/>
  <c r="P121" i="19"/>
  <c r="AA121" i="19"/>
  <c r="K106" i="19"/>
  <c r="Z121" i="19"/>
  <c r="L121" i="19"/>
  <c r="U99" i="19"/>
  <c r="K121" i="19"/>
  <c r="V106" i="19"/>
  <c r="V121" i="19"/>
  <c r="M99" i="19"/>
  <c r="Q106" i="19"/>
  <c r="W87" i="19"/>
  <c r="P106" i="19"/>
  <c r="AE73" i="19"/>
  <c r="AB87" i="19"/>
  <c r="AA106" i="19"/>
  <c r="AE87" i="19"/>
  <c r="AB99" i="19"/>
  <c r="Z106" i="19"/>
  <c r="L106" i="19"/>
  <c r="AE65" i="19"/>
  <c r="U87" i="19"/>
  <c r="Q99" i="19"/>
  <c r="P99" i="19"/>
  <c r="AA99" i="19"/>
  <c r="K87" i="19"/>
  <c r="Z99" i="19"/>
  <c r="L99" i="19"/>
  <c r="K99" i="19"/>
  <c r="R73" i="19"/>
  <c r="V99" i="19"/>
  <c r="W73" i="19"/>
  <c r="Z65" i="19"/>
  <c r="Z69" i="19"/>
  <c r="Q87" i="19"/>
  <c r="P87" i="19"/>
  <c r="AA87" i="19"/>
  <c r="Z87" i="19"/>
  <c r="M73" i="19"/>
  <c r="L87" i="19"/>
  <c r="V87" i="19"/>
  <c r="Q73" i="19"/>
  <c r="P73" i="19"/>
  <c r="AA73" i="19"/>
  <c r="U73" i="19"/>
  <c r="Z73" i="19"/>
  <c r="L73" i="19"/>
  <c r="K73" i="19"/>
  <c r="V73" i="19"/>
  <c r="U69" i="19"/>
  <c r="AF69" i="19"/>
  <c r="V65" i="19"/>
  <c r="AE69" i="19"/>
  <c r="U65" i="19"/>
  <c r="Q69" i="19"/>
  <c r="P69" i="19"/>
  <c r="AA69" i="19"/>
  <c r="L69" i="19"/>
  <c r="K69" i="19"/>
  <c r="V69" i="19"/>
  <c r="AG51" i="19"/>
  <c r="Q54" i="19"/>
  <c r="U41" i="19"/>
  <c r="U54" i="19"/>
  <c r="Q65" i="19"/>
  <c r="P65" i="19"/>
  <c r="AA65" i="19"/>
  <c r="L65" i="19"/>
  <c r="K65" i="19"/>
  <c r="AF11" i="19"/>
  <c r="AI11" i="19" s="1"/>
  <c r="U51" i="19"/>
  <c r="P54" i="19"/>
  <c r="AF18" i="19"/>
  <c r="AI18" i="19" s="1"/>
  <c r="AA54" i="19"/>
  <c r="AF81" i="19"/>
  <c r="AG81" i="19" s="1"/>
  <c r="AJ81" i="19" s="1"/>
  <c r="Z54" i="19"/>
  <c r="L54" i="19"/>
  <c r="K54" i="19"/>
  <c r="V54" i="19"/>
  <c r="AF41" i="19"/>
  <c r="AE51" i="19"/>
  <c r="AF51" i="19"/>
  <c r="Q51" i="19"/>
  <c r="P51" i="19"/>
  <c r="Z51" i="19"/>
  <c r="K51" i="19"/>
  <c r="V51" i="19"/>
  <c r="U15" i="19"/>
  <c r="AF21" i="19"/>
  <c r="AG21" i="19" s="1"/>
  <c r="AJ21" i="19" s="1"/>
  <c r="AF78" i="19"/>
  <c r="AI78" i="19" s="1"/>
  <c r="P41" i="19"/>
  <c r="V41" i="19"/>
  <c r="AF86" i="19"/>
  <c r="U8" i="19"/>
  <c r="Q15" i="19"/>
  <c r="P15" i="19"/>
  <c r="AA15" i="19"/>
  <c r="Z15" i="19"/>
  <c r="L15" i="19"/>
  <c r="AF7" i="19"/>
  <c r="AF8" i="19" s="1"/>
  <c r="K15" i="19"/>
  <c r="V15" i="19"/>
  <c r="AF125" i="19"/>
  <c r="AG125" i="19" s="1"/>
  <c r="AJ125" i="19" s="1"/>
  <c r="AF37" i="19"/>
  <c r="AG37" i="19" s="1"/>
  <c r="AJ37" i="19" s="1"/>
  <c r="AF84" i="19"/>
  <c r="AI84" i="19" s="1"/>
  <c r="AF95" i="19"/>
  <c r="AG95" i="19" s="1"/>
  <c r="AJ95" i="19" s="1"/>
  <c r="P8" i="19"/>
  <c r="AA8" i="19"/>
  <c r="Z8" i="19"/>
  <c r="AI44" i="19"/>
  <c r="L8" i="19"/>
  <c r="K8" i="19"/>
  <c r="V8" i="19"/>
  <c r="AF19" i="19"/>
  <c r="AI19" i="19" s="1"/>
  <c r="AF26" i="19"/>
  <c r="AI26" i="19" s="1"/>
  <c r="AF52" i="19"/>
  <c r="AI52" i="19" s="1"/>
  <c r="AI43" i="19"/>
  <c r="AF63" i="19"/>
  <c r="AF114" i="19"/>
  <c r="AG114" i="19" s="1"/>
  <c r="AJ114" i="19" s="1"/>
  <c r="AF120" i="19"/>
  <c r="AI120" i="19" s="1"/>
  <c r="AF56" i="19"/>
  <c r="AG56" i="19" s="1"/>
  <c r="AJ56" i="19" s="1"/>
  <c r="AF91" i="19"/>
  <c r="AG91" i="19" s="1"/>
  <c r="AJ91" i="19" s="1"/>
  <c r="AF94" i="19"/>
  <c r="AG94" i="19" s="1"/>
  <c r="AJ94" i="19" s="1"/>
  <c r="AF105" i="19"/>
  <c r="AI105" i="19" s="1"/>
  <c r="AF32" i="19"/>
  <c r="AG32" i="19" s="1"/>
  <c r="AJ32" i="19" s="1"/>
  <c r="AF46" i="19"/>
  <c r="AG46" i="19" s="1"/>
  <c r="AJ46" i="19" s="1"/>
  <c r="AG76" i="19"/>
  <c r="AJ76" i="19" s="1"/>
  <c r="AI76" i="19"/>
  <c r="AJ66" i="19"/>
  <c r="R30" i="19"/>
  <c r="AI30" i="19"/>
  <c r="AF62" i="19"/>
  <c r="AI62" i="19" s="1"/>
  <c r="AF128" i="19"/>
  <c r="AG128" i="19" s="1"/>
  <c r="AJ128" i="19" s="1"/>
  <c r="AJ61" i="19"/>
  <c r="AF64" i="19"/>
  <c r="AG64" i="19" s="1"/>
  <c r="AJ64" i="19" s="1"/>
  <c r="AF117" i="19"/>
  <c r="AI117" i="19" s="1"/>
  <c r="AF103" i="19"/>
  <c r="AI103" i="19" s="1"/>
  <c r="AF29" i="19"/>
  <c r="AI29" i="19" s="1"/>
  <c r="AF60" i="19"/>
  <c r="AF70" i="19"/>
  <c r="AF98" i="19"/>
  <c r="AI98" i="19" s="1"/>
  <c r="AF108" i="19"/>
  <c r="AI108" i="19" s="1"/>
  <c r="AF119" i="19"/>
  <c r="AF10" i="19"/>
  <c r="AG10" i="19" s="1"/>
  <c r="AJ10" i="19" s="1"/>
  <c r="AF45" i="19"/>
  <c r="AG45" i="19" s="1"/>
  <c r="AJ45" i="19" s="1"/>
  <c r="AF72" i="19"/>
  <c r="AI72" i="19" s="1"/>
  <c r="AI115" i="19"/>
  <c r="AF48" i="19"/>
  <c r="AI48" i="19" s="1"/>
  <c r="AJ96" i="19"/>
  <c r="AF97" i="19"/>
  <c r="AF104" i="19"/>
  <c r="AF129" i="19"/>
  <c r="AG129" i="19" s="1"/>
  <c r="AJ129" i="19" s="1"/>
  <c r="AI12" i="19"/>
  <c r="AI59" i="19"/>
  <c r="AJ67" i="19"/>
  <c r="AF101" i="19"/>
  <c r="AG101" i="19" s="1"/>
  <c r="AJ101" i="19" s="1"/>
  <c r="AF9" i="19"/>
  <c r="AI9" i="19" s="1"/>
  <c r="AF25" i="19"/>
  <c r="AG25" i="19" s="1"/>
  <c r="AJ25" i="19" s="1"/>
  <c r="AI33" i="19"/>
  <c r="AI36" i="19"/>
  <c r="AF47" i="19"/>
  <c r="AG47" i="19" s="1"/>
  <c r="AJ47" i="19" s="1"/>
  <c r="AG59" i="19"/>
  <c r="AJ59" i="19" s="1"/>
  <c r="AI67" i="19"/>
  <c r="AF71" i="19"/>
  <c r="AF75" i="19"/>
  <c r="AG75" i="19" s="1"/>
  <c r="AJ75" i="19" s="1"/>
  <c r="AF89" i="19"/>
  <c r="AI89" i="19" s="1"/>
  <c r="AF110" i="19"/>
  <c r="AI110" i="19" s="1"/>
  <c r="AF112" i="19"/>
  <c r="AI112" i="19" s="1"/>
  <c r="AF118" i="19"/>
  <c r="AG118" i="19" s="1"/>
  <c r="AJ118" i="19" s="1"/>
  <c r="AF131" i="19"/>
  <c r="AG131" i="19" s="1"/>
  <c r="AJ131" i="19" s="1"/>
  <c r="AJ40" i="19"/>
  <c r="AI55" i="19"/>
  <c r="M50" i="19"/>
  <c r="AI16" i="19"/>
  <c r="AG16" i="19"/>
  <c r="AI34" i="19"/>
  <c r="R36" i="19"/>
  <c r="AJ34" i="19" s="1"/>
  <c r="AI5" i="19"/>
  <c r="AI24" i="19"/>
  <c r="AI28" i="19"/>
  <c r="AI3" i="19"/>
  <c r="AB16" i="19"/>
  <c r="AJ3" i="19" s="1"/>
  <c r="AI20" i="19"/>
  <c r="AG20" i="19"/>
  <c r="AI35" i="19"/>
  <c r="R20" i="19"/>
  <c r="AJ35" i="19" s="1"/>
  <c r="AI39" i="19"/>
  <c r="AI14" i="19"/>
  <c r="AI22" i="19"/>
  <c r="AI17" i="19"/>
  <c r="AB26" i="19"/>
  <c r="AJ17" i="19" s="1"/>
  <c r="AI27" i="19"/>
  <c r="R18" i="19"/>
  <c r="AI4" i="19"/>
  <c r="R6" i="19"/>
  <c r="AI23" i="19"/>
  <c r="R39" i="19"/>
  <c r="AJ27" i="19"/>
  <c r="AI6" i="19"/>
  <c r="AG6" i="19"/>
  <c r="AI13" i="19"/>
  <c r="R42" i="19"/>
  <c r="AJ13" i="19" s="1"/>
  <c r="AB49" i="19"/>
  <c r="AI49" i="19"/>
  <c r="AG14" i="19"/>
  <c r="AG24" i="19"/>
  <c r="AJ24" i="19" s="1"/>
  <c r="AG39" i="19"/>
  <c r="AG41" i="19" s="1"/>
  <c r="AG44" i="19"/>
  <c r="AJ44" i="19" s="1"/>
  <c r="AI50" i="19"/>
  <c r="AI53" i="19"/>
  <c r="AI96" i="19"/>
  <c r="AI38" i="19"/>
  <c r="AG5" i="19"/>
  <c r="AJ5" i="19" s="1"/>
  <c r="AG12" i="19"/>
  <c r="AJ12" i="19" s="1"/>
  <c r="AG22" i="19"/>
  <c r="AJ22" i="19" s="1"/>
  <c r="W33" i="19"/>
  <c r="AJ38" i="19" s="1"/>
  <c r="AI40" i="19"/>
  <c r="AI107" i="19"/>
  <c r="AB102" i="19"/>
  <c r="AJ107" i="19" s="1"/>
  <c r="AI42" i="19"/>
  <c r="AI68" i="19"/>
  <c r="AG68" i="19"/>
  <c r="AG69" i="19" s="1"/>
  <c r="AI80" i="19"/>
  <c r="AI100" i="19"/>
  <c r="AG100" i="19"/>
  <c r="AJ100" i="19" s="1"/>
  <c r="AI113" i="19"/>
  <c r="AG36" i="19"/>
  <c r="AG42" i="19"/>
  <c r="AG43" i="19"/>
  <c r="AJ43" i="19" s="1"/>
  <c r="AI61" i="19"/>
  <c r="AJ80" i="19"/>
  <c r="AI83" i="19"/>
  <c r="AI90" i="19"/>
  <c r="AJ109" i="19"/>
  <c r="AJ113" i="19"/>
  <c r="AI116" i="19"/>
  <c r="AG116" i="19"/>
  <c r="AJ116" i="19" s="1"/>
  <c r="AI130" i="19"/>
  <c r="AG130" i="19"/>
  <c r="AJ130" i="19" s="1"/>
  <c r="AI58" i="19"/>
  <c r="AG58" i="19"/>
  <c r="AJ58" i="19" s="1"/>
  <c r="AI77" i="19"/>
  <c r="M68" i="19"/>
  <c r="AJ77" i="19" s="1"/>
  <c r="AI82" i="19"/>
  <c r="AB79" i="19"/>
  <c r="AJ82" i="19" s="1"/>
  <c r="AJ83" i="19"/>
  <c r="AJ85" i="19"/>
  <c r="AJ90" i="19"/>
  <c r="AJ92" i="19"/>
  <c r="AI109" i="19"/>
  <c r="AI122" i="19"/>
  <c r="AI127" i="19"/>
  <c r="AG127" i="19"/>
  <c r="AJ127" i="19" s="1"/>
  <c r="AI74" i="19"/>
  <c r="AG74" i="19"/>
  <c r="AJ74" i="19" s="1"/>
  <c r="AI79" i="19"/>
  <c r="AG79" i="19"/>
  <c r="AI85" i="19"/>
  <c r="AI92" i="19"/>
  <c r="AI31" i="19"/>
  <c r="AG31" i="19"/>
  <c r="AJ31" i="19" s="1"/>
  <c r="AI102" i="19"/>
  <c r="AI123" i="19"/>
  <c r="M123" i="19"/>
  <c r="AJ123" i="19" s="1"/>
  <c r="AB30" i="19"/>
  <c r="AJ28" i="19" s="1"/>
  <c r="AI57" i="19"/>
  <c r="R53" i="19"/>
  <c r="AJ57" i="19" s="1"/>
  <c r="AI93" i="19"/>
  <c r="AI111" i="19"/>
  <c r="AG111" i="19"/>
  <c r="AJ126" i="19"/>
  <c r="AI66" i="19"/>
  <c r="AI88" i="19"/>
  <c r="AG88" i="19"/>
  <c r="AJ88" i="19" s="1"/>
  <c r="AJ93" i="19"/>
  <c r="AI126" i="19"/>
  <c r="AB111" i="19"/>
  <c r="AJ115" i="19" s="1"/>
  <c r="AG122" i="19"/>
  <c r="AJ122" i="19" s="1"/>
  <c r="AF121" i="19" l="1"/>
  <c r="AI104" i="19"/>
  <c r="AI106" i="19" s="1"/>
  <c r="AF106" i="19"/>
  <c r="AI97" i="19"/>
  <c r="AI99" i="19" s="1"/>
  <c r="AF99" i="19"/>
  <c r="AG86" i="19"/>
  <c r="AF87" i="19"/>
  <c r="AG18" i="19"/>
  <c r="AJ18" i="19" s="1"/>
  <c r="AG71" i="19"/>
  <c r="AF73" i="19"/>
  <c r="AI54" i="19"/>
  <c r="AG84" i="19"/>
  <c r="AJ84" i="19" s="1"/>
  <c r="AI69" i="19"/>
  <c r="M69" i="19"/>
  <c r="AG78" i="19"/>
  <c r="AJ78" i="19" s="1"/>
  <c r="AG63" i="19"/>
  <c r="AF65" i="19"/>
  <c r="R54" i="19"/>
  <c r="AG98" i="19"/>
  <c r="AJ98" i="19" s="1"/>
  <c r="AI51" i="19"/>
  <c r="AG52" i="19"/>
  <c r="AF54" i="19"/>
  <c r="AI86" i="19"/>
  <c r="AI87" i="19" s="1"/>
  <c r="AI95" i="19"/>
  <c r="AG11" i="19"/>
  <c r="AJ11" i="19" s="1"/>
  <c r="AI21" i="19"/>
  <c r="AI81" i="19"/>
  <c r="AI32" i="19"/>
  <c r="AI7" i="19"/>
  <c r="AI8" i="19" s="1"/>
  <c r="AI41" i="19"/>
  <c r="AI37" i="19"/>
  <c r="AJ55" i="19"/>
  <c r="M51" i="19"/>
  <c r="AI128" i="19"/>
  <c r="AJ49" i="19"/>
  <c r="AB51" i="19"/>
  <c r="AI25" i="19"/>
  <c r="AJ50" i="19"/>
  <c r="AG48" i="19"/>
  <c r="AJ48" i="19" s="1"/>
  <c r="AG9" i="19"/>
  <c r="AJ9" i="19" s="1"/>
  <c r="AJ23" i="19"/>
  <c r="R41" i="19"/>
  <c r="AG103" i="19"/>
  <c r="AJ103" i="19" s="1"/>
  <c r="AI15" i="19"/>
  <c r="AI131" i="19"/>
  <c r="AG7" i="19"/>
  <c r="AJ7" i="19" s="1"/>
  <c r="AI71" i="19"/>
  <c r="AI73" i="19" s="1"/>
  <c r="AJ39" i="19"/>
  <c r="AJ41" i="19" s="1"/>
  <c r="AJ14" i="19"/>
  <c r="AJ15" i="19" s="1"/>
  <c r="AG15" i="19"/>
  <c r="AI118" i="19"/>
  <c r="AI125" i="19"/>
  <c r="AG120" i="19"/>
  <c r="AJ120" i="19" s="1"/>
  <c r="AG62" i="19"/>
  <c r="AJ62" i="19" s="1"/>
  <c r="AI45" i="19"/>
  <c r="AI91" i="19"/>
  <c r="AG19" i="19"/>
  <c r="AJ19" i="19" s="1"/>
  <c r="AG26" i="19"/>
  <c r="AJ26" i="19" s="1"/>
  <c r="AG29" i="19"/>
  <c r="AJ29" i="19" s="1"/>
  <c r="AI114" i="19"/>
  <c r="AI129" i="19"/>
  <c r="AI56" i="19"/>
  <c r="AJ6" i="19"/>
  <c r="AJ16" i="19"/>
  <c r="AG108" i="19"/>
  <c r="AJ108" i="19" s="1"/>
  <c r="AJ20" i="19"/>
  <c r="AI63" i="19"/>
  <c r="AI46" i="19"/>
  <c r="AJ53" i="19"/>
  <c r="AJ42" i="19"/>
  <c r="AI47" i="19"/>
  <c r="AJ4" i="19"/>
  <c r="R8" i="19"/>
  <c r="AJ102" i="19"/>
  <c r="AG104" i="19"/>
  <c r="AI64" i="19"/>
  <c r="AJ111" i="19"/>
  <c r="AG110" i="19"/>
  <c r="AJ110" i="19" s="1"/>
  <c r="AJ36" i="19"/>
  <c r="AG117" i="19"/>
  <c r="AJ117" i="19" s="1"/>
  <c r="AG72" i="19"/>
  <c r="AJ72" i="19" s="1"/>
  <c r="AG89" i="19"/>
  <c r="AJ89" i="19" s="1"/>
  <c r="AI94" i="19"/>
  <c r="AI101" i="19"/>
  <c r="AG105" i="19"/>
  <c r="AJ105" i="19" s="1"/>
  <c r="AG112" i="19"/>
  <c r="AJ112" i="19" s="1"/>
  <c r="AG97" i="19"/>
  <c r="AJ68" i="19"/>
  <c r="AJ69" i="19" s="1"/>
  <c r="AJ79" i="19"/>
  <c r="AI75" i="19"/>
  <c r="AI10" i="19"/>
  <c r="AJ33" i="19"/>
  <c r="AI119" i="19"/>
  <c r="AI121" i="19" s="1"/>
  <c r="AG119" i="19"/>
  <c r="AI70" i="19"/>
  <c r="AG70" i="19"/>
  <c r="AJ70" i="19" s="1"/>
  <c r="AI60" i="19"/>
  <c r="AG60" i="19"/>
  <c r="AJ60" i="19" s="1"/>
  <c r="AJ30" i="19"/>
  <c r="AJ119" i="19" l="1"/>
  <c r="AJ121" i="19" s="1"/>
  <c r="AG121" i="19"/>
  <c r="AJ104" i="19"/>
  <c r="AJ106" i="19" s="1"/>
  <c r="AG106" i="19"/>
  <c r="AJ97" i="19"/>
  <c r="AJ99" i="19" s="1"/>
  <c r="AG99" i="19"/>
  <c r="AJ86" i="19"/>
  <c r="AJ87" i="19" s="1"/>
  <c r="AG87" i="19"/>
  <c r="AI65" i="19"/>
  <c r="AJ71" i="19"/>
  <c r="AJ73" i="19" s="1"/>
  <c r="AG73" i="19"/>
  <c r="AJ63" i="19"/>
  <c r="AJ65" i="19" s="1"/>
  <c r="AG65" i="19"/>
  <c r="AJ52" i="19"/>
  <c r="AJ54" i="19" s="1"/>
  <c r="AG54" i="19"/>
  <c r="AJ51" i="19"/>
  <c r="AJ8" i="19"/>
  <c r="AG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Vicentiu MINCIOR</author>
  </authors>
  <commentList>
    <comment ref="J1" authorId="0" shapeId="0" xr:uid="{677F36F0-7169-4FF1-A84C-F4BC2F59F06D}">
      <text>
        <r>
          <rPr>
            <sz val="10"/>
            <color indexed="81"/>
            <rFont val="Tahoma"/>
            <family val="2"/>
          </rPr>
          <t>Perioada pentru introducere date: 
2022-09-02:2022-09-08</t>
        </r>
      </text>
    </comment>
    <comment ref="O1" authorId="0" shapeId="0" xr:uid="{06D8E531-B7AD-410E-8AEC-9465CAB56416}">
      <text>
        <r>
          <rPr>
            <sz val="10"/>
            <color indexed="81"/>
            <rFont val="Tahoma"/>
            <family val="2"/>
          </rPr>
          <t>Perioada pentru introducere date: 
2022-09-09:2022-09-15</t>
        </r>
      </text>
    </comment>
    <comment ref="T1" authorId="0" shapeId="0" xr:uid="{E56DA8B8-8BAA-4419-9150-27922B8A9252}">
      <text>
        <r>
          <rPr>
            <sz val="10"/>
            <color indexed="81"/>
            <rFont val="Tahoma"/>
            <family val="2"/>
          </rPr>
          <t>Perioada pentru introducere date: 
2022-09-16:2022-09-22</t>
        </r>
      </text>
    </comment>
    <comment ref="Y1" authorId="0" shapeId="0" xr:uid="{44E92A35-2B51-4D4B-990E-DE147D6C4650}">
      <text>
        <r>
          <rPr>
            <sz val="10"/>
            <color indexed="81"/>
            <rFont val="Tahoma"/>
            <family val="2"/>
          </rPr>
          <t>Perioada pentru introducere date: 
2022-09-23:2022-09-29</t>
        </r>
      </text>
    </comment>
    <comment ref="AD1" authorId="0" shapeId="0" xr:uid="{68543137-5F82-49F4-AEEE-11271F26CE9B}">
      <text>
        <r>
          <rPr>
            <sz val="10"/>
            <color indexed="81"/>
            <rFont val="Tahoma"/>
            <family val="2"/>
          </rPr>
          <t>Perioada pentru introducere date: 
2022-09-30:2022-10-06</t>
        </r>
      </text>
    </comment>
    <comment ref="O3" authorId="0" shapeId="0" xr:uid="{D8E77DCD-B896-4F25-A7DB-735935E30B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 
__________________________________________________________________
</t>
        </r>
        <r>
          <rPr>
            <sz val="10"/>
            <color indexed="12"/>
            <rFont val="Tahoma"/>
            <family val="2"/>
          </rPr>
          <t xml:space="preserve">  </t>
        </r>
        <r>
          <rPr>
            <sz val="10"/>
            <color indexed="81"/>
            <rFont val="Tahoma"/>
            <family val="2"/>
          </rPr>
          <t xml:space="preserve"> 2022-09-09 05:25:00 </t>
        </r>
        <r>
          <rPr>
            <b/>
            <sz val="10"/>
            <color indexed="81"/>
            <rFont val="Tahoma"/>
            <family val="2"/>
          </rPr>
          <t xml:space="preserve">= 34460 - Referinta </t>
        </r>
        <r>
          <rPr>
            <sz val="10"/>
            <color indexed="81"/>
            <rFont val="Tahoma"/>
            <family val="2"/>
          </rPr>
          <t xml:space="preserve">* Bucuresti Km Auto Vanzari (Responses)
   2022-09-12 08:36:00 </t>
        </r>
        <r>
          <rPr>
            <b/>
            <sz val="10"/>
            <color indexed="81"/>
            <rFont val="Tahoma"/>
            <family val="2"/>
          </rPr>
          <t xml:space="preserve">= 34460 - Normal </t>
        </r>
        <r>
          <rPr>
            <sz val="10"/>
            <color indexed="81"/>
            <rFont val="Tahoma"/>
            <family val="2"/>
          </rPr>
          <t xml:space="preserve">* Bucuresti Km Auto Vanzari (Responses)
</t>
        </r>
      </text>
    </comment>
    <comment ref="T3" authorId="0" shapeId="0" xr:uid="{5E95EE96-0947-4320-9557-75E6A65F473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 
__________________________________________________________________
</t>
        </r>
        <r>
          <rPr>
            <sz val="10"/>
            <color indexed="12"/>
            <rFont val="Tahoma"/>
            <family val="2"/>
          </rPr>
          <t xml:space="preserve">  </t>
        </r>
        <r>
          <rPr>
            <sz val="10"/>
            <color indexed="81"/>
            <rFont val="Tahoma"/>
            <family val="2"/>
          </rPr>
          <t xml:space="preserve"> 2022-09-16 07:11:00 </t>
        </r>
        <r>
          <rPr>
            <b/>
            <sz val="10"/>
            <color indexed="81"/>
            <rFont val="Tahoma"/>
            <family val="2"/>
          </rPr>
          <t xml:space="preserve">= 34705 - Referinta </t>
        </r>
        <r>
          <rPr>
            <sz val="10"/>
            <color indexed="81"/>
            <rFont val="Tahoma"/>
            <family val="2"/>
          </rPr>
          <t xml:space="preserve">* Bucuresti Km Auto Vanzari (Responses)
   2022-09-19 07:05:00 </t>
        </r>
        <r>
          <rPr>
            <b/>
            <sz val="10"/>
            <color indexed="81"/>
            <rFont val="Tahoma"/>
            <family val="2"/>
          </rPr>
          <t xml:space="preserve">= 34705 - Normal </t>
        </r>
        <r>
          <rPr>
            <sz val="10"/>
            <color indexed="81"/>
            <rFont val="Tahoma"/>
            <family val="2"/>
          </rPr>
          <t xml:space="preserve">* Bucuresti Km Auto Vanzari (Responses)
</t>
        </r>
      </text>
    </comment>
    <comment ref="Y3" authorId="0" shapeId="0" xr:uid="{DF9EA9AB-02F8-43A9-BA3A-A3A30C538C6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 
__________________________________________________________________
</t>
        </r>
        <r>
          <rPr>
            <sz val="10"/>
            <color indexed="12"/>
            <rFont val="Tahoma"/>
            <family val="2"/>
          </rPr>
          <t xml:space="preserve">  </t>
        </r>
        <r>
          <rPr>
            <sz val="10"/>
            <color indexed="81"/>
            <rFont val="Tahoma"/>
            <family val="2"/>
          </rPr>
          <t xml:space="preserve"> 2022-09-24 05:05:00 </t>
        </r>
        <r>
          <rPr>
            <b/>
            <sz val="10"/>
            <color indexed="81"/>
            <rFont val="Tahoma"/>
            <family val="2"/>
          </rPr>
          <t xml:space="preserve">= 34814 - Referinta </t>
        </r>
        <r>
          <rPr>
            <sz val="10"/>
            <color indexed="81"/>
            <rFont val="Tahoma"/>
            <family val="2"/>
          </rPr>
          <t xml:space="preserve">* Bucuresti Km Auto Vanzari (Responses)
   2022-09-26 07:21:00 </t>
        </r>
        <r>
          <rPr>
            <b/>
            <sz val="10"/>
            <color indexed="81"/>
            <rFont val="Tahoma"/>
            <family val="2"/>
          </rPr>
          <t xml:space="preserve">= 34834 - Normal </t>
        </r>
        <r>
          <rPr>
            <sz val="10"/>
            <color indexed="81"/>
            <rFont val="Tahoma"/>
            <family val="2"/>
          </rPr>
          <t xml:space="preserve">* Bucuresti Km Auto Vanzari (Responses)
</t>
        </r>
      </text>
    </comment>
    <comment ref="J4" authorId="0" shapeId="0" xr:uid="{571894B8-64E1-4D28-9549-8D932F61F3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2022-09-02 16:20:48 </t>
        </r>
        <r>
          <rPr>
            <b/>
            <sz val="10"/>
            <color indexed="81"/>
            <rFont val="Tahoma"/>
            <family val="2"/>
          </rPr>
          <t xml:space="preserve">= 83826 - Referinta </t>
        </r>
        <r>
          <rPr>
            <sz val="10"/>
            <color indexed="81"/>
            <rFont val="Tahoma"/>
            <family val="2"/>
          </rPr>
          <t xml:space="preserve">* Brasov Km Auto (Responses)
   2022-09-06 02:00:00 </t>
        </r>
        <r>
          <rPr>
            <b/>
            <sz val="10"/>
            <color indexed="81"/>
            <rFont val="Tahoma"/>
            <family val="2"/>
          </rPr>
          <t xml:space="preserve">= 83971 - Normal </t>
        </r>
        <r>
          <rPr>
            <sz val="10"/>
            <color indexed="81"/>
            <rFont val="Tahoma"/>
            <family val="2"/>
          </rPr>
          <t xml:space="preserve">* Brasov Km Auto (Responses)
</t>
        </r>
      </text>
    </comment>
    <comment ref="O4" authorId="0" shapeId="0" xr:uid="{4CCBFD10-9898-430E-9B03-36A6853442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2022-09-09 08:00:00 </t>
        </r>
        <r>
          <rPr>
            <b/>
            <sz val="10"/>
            <color indexed="81"/>
            <rFont val="Tahoma"/>
            <family val="2"/>
          </rPr>
          <t xml:space="preserve">= 84140 - Referinta </t>
        </r>
        <r>
          <rPr>
            <sz val="10"/>
            <color indexed="81"/>
            <rFont val="Tahoma"/>
            <family val="2"/>
          </rPr>
          <t xml:space="preserve">* Brasov Km Auto (Responses)
   2022-09-11 01:00:00 </t>
        </r>
        <r>
          <rPr>
            <b/>
            <sz val="10"/>
            <color indexed="81"/>
            <rFont val="Tahoma"/>
            <family val="2"/>
          </rPr>
          <t xml:space="preserve">= 84144 - Normal </t>
        </r>
        <r>
          <rPr>
            <sz val="10"/>
            <color indexed="81"/>
            <rFont val="Tahoma"/>
            <family val="2"/>
          </rPr>
          <t xml:space="preserve">* Brasov Km Auto (Responses)
</t>
        </r>
      </text>
    </comment>
    <comment ref="J5" authorId="0" shapeId="0" xr:uid="{8E59FAFB-272E-4244-817B-C1259CFF55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15:45:07 </t>
        </r>
        <r>
          <rPr>
            <b/>
            <sz val="10"/>
            <color indexed="81"/>
            <rFont val="Tahoma"/>
            <family val="2"/>
          </rPr>
          <t xml:space="preserve">= 322516 - Referinta </t>
        </r>
        <r>
          <rPr>
            <sz val="10"/>
            <color indexed="81"/>
            <rFont val="Tahoma"/>
            <family val="2"/>
          </rPr>
          <t xml:space="preserve">* Brasov Km Auto (Responses)
   2022-09-05 08:10:38 </t>
        </r>
        <r>
          <rPr>
            <b/>
            <sz val="10"/>
            <color indexed="81"/>
            <rFont val="Tahoma"/>
            <family val="2"/>
          </rPr>
          <t xml:space="preserve">= 322532 - Normal </t>
        </r>
        <r>
          <rPr>
            <sz val="10"/>
            <color indexed="81"/>
            <rFont val="Tahoma"/>
            <family val="2"/>
          </rPr>
          <t xml:space="preserve">* Brasov Km Auto (Responses)
</t>
        </r>
      </text>
    </comment>
    <comment ref="O5" authorId="0" shapeId="0" xr:uid="{D0657DAE-1FFF-46A0-8A1E-EDB6B53832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2022-09-09 15:38:43 </t>
        </r>
        <r>
          <rPr>
            <b/>
            <sz val="10"/>
            <color indexed="81"/>
            <rFont val="Tahoma"/>
            <family val="2"/>
          </rPr>
          <t xml:space="preserve">= 323428 - Referinta </t>
        </r>
        <r>
          <rPr>
            <sz val="10"/>
            <color indexed="81"/>
            <rFont val="Tahoma"/>
            <family val="2"/>
          </rPr>
          <t xml:space="preserve">* Brasov Km Auto (Responses)
   2022-09-12 08:39:25 </t>
        </r>
        <r>
          <rPr>
            <b/>
            <sz val="10"/>
            <color indexed="81"/>
            <rFont val="Tahoma"/>
            <family val="2"/>
          </rPr>
          <t xml:space="preserve">= 323442 - Normal </t>
        </r>
        <r>
          <rPr>
            <sz val="10"/>
            <color indexed="81"/>
            <rFont val="Tahoma"/>
            <family val="2"/>
          </rPr>
          <t xml:space="preserve">* Brasov Km Auto (Responses)
</t>
        </r>
      </text>
    </comment>
    <comment ref="T5" authorId="0" shapeId="0" xr:uid="{7E343AB9-86BC-4047-817E-D97102FB6B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2022-09-16 18:24:22 </t>
        </r>
        <r>
          <rPr>
            <b/>
            <sz val="10"/>
            <color indexed="81"/>
            <rFont val="Tahoma"/>
            <family val="2"/>
          </rPr>
          <t xml:space="preserve">= 324370 - Referinta </t>
        </r>
        <r>
          <rPr>
            <sz val="10"/>
            <color indexed="81"/>
            <rFont val="Tahoma"/>
            <family val="2"/>
          </rPr>
          <t xml:space="preserve">* Brasov Km Auto (Responses)
   2022-09-20 08:30:38 </t>
        </r>
        <r>
          <rPr>
            <b/>
            <sz val="10"/>
            <color indexed="81"/>
            <rFont val="Tahoma"/>
            <family val="2"/>
          </rPr>
          <t xml:space="preserve">= 324370 - Normal </t>
        </r>
        <r>
          <rPr>
            <sz val="10"/>
            <color indexed="81"/>
            <rFont val="Tahoma"/>
            <family val="2"/>
          </rPr>
          <t xml:space="preserve">* Brasov Km Auto (Responses)
</t>
        </r>
      </text>
    </comment>
    <comment ref="Y5" authorId="0" shapeId="0" xr:uid="{A6AB720C-2CFC-4512-B535-E3FD4E1FED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2022-09-23 15:39:44 </t>
        </r>
        <r>
          <rPr>
            <b/>
            <sz val="10"/>
            <color indexed="81"/>
            <rFont val="Tahoma"/>
            <family val="2"/>
          </rPr>
          <t xml:space="preserve">= 325052 - Referinta </t>
        </r>
        <r>
          <rPr>
            <sz val="10"/>
            <color indexed="81"/>
            <rFont val="Tahoma"/>
            <family val="2"/>
          </rPr>
          <t xml:space="preserve">* Brasov Km Auto (Responses)
   2022-09-26 08:17:56 </t>
        </r>
        <r>
          <rPr>
            <b/>
            <sz val="10"/>
            <color indexed="81"/>
            <rFont val="Tahoma"/>
            <family val="2"/>
          </rPr>
          <t xml:space="preserve">= 325052 - Normal </t>
        </r>
        <r>
          <rPr>
            <sz val="10"/>
            <color indexed="81"/>
            <rFont val="Tahoma"/>
            <family val="2"/>
          </rPr>
          <t xml:space="preserve">* Brasov Km Auto (Responses)
</t>
        </r>
      </text>
    </comment>
    <comment ref="AD5" authorId="0" shapeId="0" xr:uid="{9D239380-9312-486B-9821-11FC271880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2022-09-30 15:26:51 </t>
        </r>
        <r>
          <rPr>
            <b/>
            <sz val="10"/>
            <color indexed="81"/>
            <rFont val="Tahoma"/>
            <family val="2"/>
          </rPr>
          <t xml:space="preserve">= 326137 - Referinta </t>
        </r>
        <r>
          <rPr>
            <sz val="10"/>
            <color indexed="81"/>
            <rFont val="Tahoma"/>
            <family val="2"/>
          </rPr>
          <t xml:space="preserve">* Brasov Km Auto (Responses)
   2022-10-03 08:15:36 </t>
        </r>
        <r>
          <rPr>
            <b/>
            <sz val="10"/>
            <color indexed="81"/>
            <rFont val="Tahoma"/>
            <family val="2"/>
          </rPr>
          <t xml:space="preserve">= 326137 - Normal </t>
        </r>
        <r>
          <rPr>
            <sz val="10"/>
            <color indexed="81"/>
            <rFont val="Tahoma"/>
            <family val="2"/>
          </rPr>
          <t xml:space="preserve">* Brasov Km Auto (Responses)
</t>
        </r>
      </text>
    </comment>
    <comment ref="J6" authorId="0" shapeId="0" xr:uid="{79F2B6A5-9A25-4C78-9BFE-20C4170FD5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16:00:08 </t>
        </r>
        <r>
          <rPr>
            <b/>
            <sz val="10"/>
            <color indexed="81"/>
            <rFont val="Tahoma"/>
            <family val="2"/>
          </rPr>
          <t xml:space="preserve">= 117761 - Referinta </t>
        </r>
        <r>
          <rPr>
            <sz val="10"/>
            <color indexed="81"/>
            <rFont val="Tahoma"/>
            <family val="2"/>
          </rPr>
          <t xml:space="preserve">* Brasov Km Auto (Responses)
   2022-09-05 07:28:09 </t>
        </r>
        <r>
          <rPr>
            <b/>
            <sz val="10"/>
            <color indexed="81"/>
            <rFont val="Tahoma"/>
            <family val="2"/>
          </rPr>
          <t xml:space="preserve">= 117772 - Normal </t>
        </r>
        <r>
          <rPr>
            <sz val="10"/>
            <color indexed="81"/>
            <rFont val="Tahoma"/>
            <family val="2"/>
          </rPr>
          <t xml:space="preserve">* Brasov Km Auto (Responses)
</t>
        </r>
      </text>
    </comment>
    <comment ref="O6" authorId="0" shapeId="0" xr:uid="{EEAA62C1-4FC7-4C8A-872A-2E2F1A6C53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04:54:00 </t>
        </r>
        <r>
          <rPr>
            <b/>
            <sz val="10"/>
            <color indexed="81"/>
            <rFont val="Tahoma"/>
            <family val="2"/>
          </rPr>
          <t xml:space="preserve">= 118136 - Referinta </t>
        </r>
        <r>
          <rPr>
            <sz val="10"/>
            <color indexed="81"/>
            <rFont val="Tahoma"/>
            <family val="2"/>
          </rPr>
          <t xml:space="preserve">* Brasov Km Auto (Responses)
   2022-09-12 07:32:00 </t>
        </r>
        <r>
          <rPr>
            <b/>
            <sz val="10"/>
            <color indexed="81"/>
            <rFont val="Tahoma"/>
            <family val="2"/>
          </rPr>
          <t xml:space="preserve">= 118175 - Normal </t>
        </r>
        <r>
          <rPr>
            <sz val="10"/>
            <color indexed="81"/>
            <rFont val="Tahoma"/>
            <family val="2"/>
          </rPr>
          <t xml:space="preserve">* Brasov Km Auto (Responses)
</t>
        </r>
      </text>
    </comment>
    <comment ref="T6" authorId="0" shapeId="0" xr:uid="{2A01FF61-34F1-4097-B437-162F52220B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04:51:00 </t>
        </r>
        <r>
          <rPr>
            <b/>
            <sz val="10"/>
            <color indexed="81"/>
            <rFont val="Tahoma"/>
            <family val="2"/>
          </rPr>
          <t xml:space="preserve">= 118526 - Referinta </t>
        </r>
        <r>
          <rPr>
            <sz val="10"/>
            <color indexed="81"/>
            <rFont val="Tahoma"/>
            <family val="2"/>
          </rPr>
          <t xml:space="preserve">* Brasov Km Auto (Responses)
   2022-09-19 07:32:00 </t>
        </r>
        <r>
          <rPr>
            <b/>
            <sz val="10"/>
            <color indexed="81"/>
            <rFont val="Tahoma"/>
            <family val="2"/>
          </rPr>
          <t xml:space="preserve">= 119002 - Normal </t>
        </r>
        <r>
          <rPr>
            <sz val="10"/>
            <color indexed="81"/>
            <rFont val="Tahoma"/>
            <family val="2"/>
          </rPr>
          <t xml:space="preserve">* Brasov Km Auto (Responses)
</t>
        </r>
      </text>
    </comment>
    <comment ref="Y6" authorId="0" shapeId="0" xr:uid="{935AE43F-A904-4776-9BF2-A30FB2AEB7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07:08:00 </t>
        </r>
        <r>
          <rPr>
            <b/>
            <sz val="10"/>
            <color indexed="81"/>
            <rFont val="Tahoma"/>
            <family val="2"/>
          </rPr>
          <t xml:space="preserve">= 119331 - Referinta </t>
        </r>
        <r>
          <rPr>
            <sz val="10"/>
            <color indexed="81"/>
            <rFont val="Tahoma"/>
            <family val="2"/>
          </rPr>
          <t xml:space="preserve">* Brasov Km Auto (Responses)
   2022-09-26 07:04:00 </t>
        </r>
        <r>
          <rPr>
            <b/>
            <sz val="10"/>
            <color indexed="81"/>
            <rFont val="Tahoma"/>
            <family val="2"/>
          </rPr>
          <t xml:space="preserve">= 119402 - Normal </t>
        </r>
        <r>
          <rPr>
            <sz val="10"/>
            <color indexed="81"/>
            <rFont val="Tahoma"/>
            <family val="2"/>
          </rPr>
          <t xml:space="preserve">* Brasov Km Auto (Responses)
</t>
        </r>
      </text>
    </comment>
    <comment ref="AD6" authorId="0" shapeId="0" xr:uid="{1D68E59E-60E7-44E3-96D9-61A2C1D523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__________________________________________________________________
</t>
        </r>
        <r>
          <rPr>
            <sz val="10"/>
            <color indexed="12"/>
            <rFont val="Tahoma"/>
            <family val="2"/>
          </rPr>
          <t xml:space="preserve">  </t>
        </r>
        <r>
          <rPr>
            <sz val="10"/>
            <color indexed="81"/>
            <rFont val="Tahoma"/>
            <family val="2"/>
          </rPr>
          <t xml:space="preserve"> 2022-09-30 21:15:37 </t>
        </r>
        <r>
          <rPr>
            <b/>
            <sz val="10"/>
            <color indexed="81"/>
            <rFont val="Tahoma"/>
            <family val="2"/>
          </rPr>
          <t xml:space="preserve">= 119781 - Referinta </t>
        </r>
        <r>
          <rPr>
            <sz val="10"/>
            <color indexed="81"/>
            <rFont val="Tahoma"/>
            <family val="2"/>
          </rPr>
          <t xml:space="preserve">* Brasov Km Auto (Responses)
</t>
        </r>
      </text>
    </comment>
    <comment ref="J7" authorId="0" shapeId="0" xr:uid="{2BF4AA46-C5DE-48E5-A7C5-403EC78593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18:14:19 </t>
        </r>
        <r>
          <rPr>
            <b/>
            <sz val="10"/>
            <color indexed="81"/>
            <rFont val="Tahoma"/>
            <family val="2"/>
          </rPr>
          <t xml:space="preserve">= 79613 - Referinta </t>
        </r>
        <r>
          <rPr>
            <sz val="10"/>
            <color indexed="81"/>
            <rFont val="Tahoma"/>
            <family val="2"/>
          </rPr>
          <t xml:space="preserve">* Brasov Km Auto (Responses)
   2022-09-05 08:55:28 </t>
        </r>
        <r>
          <rPr>
            <b/>
            <sz val="10"/>
            <color indexed="81"/>
            <rFont val="Tahoma"/>
            <family val="2"/>
          </rPr>
          <t xml:space="preserve">= 79665 - Normal </t>
        </r>
        <r>
          <rPr>
            <sz val="10"/>
            <color indexed="81"/>
            <rFont val="Tahoma"/>
            <family val="2"/>
          </rPr>
          <t xml:space="preserve">* Brasov Km Auto (Responses)
</t>
        </r>
      </text>
    </comment>
    <comment ref="O7" authorId="0" shapeId="0" xr:uid="{1320466F-1B2F-4241-B4E2-4FC7A617876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2022-09-10 11:11:02 </t>
        </r>
        <r>
          <rPr>
            <b/>
            <sz val="10"/>
            <color indexed="81"/>
            <rFont val="Tahoma"/>
            <family val="2"/>
          </rPr>
          <t xml:space="preserve">= 79980 - Referinta </t>
        </r>
        <r>
          <rPr>
            <sz val="10"/>
            <color indexed="81"/>
            <rFont val="Tahoma"/>
            <family val="2"/>
          </rPr>
          <t xml:space="preserve">* Brasov Km Auto (Responses)
   2022-09-12 05:00:00 </t>
        </r>
        <r>
          <rPr>
            <b/>
            <sz val="10"/>
            <color indexed="81"/>
            <rFont val="Tahoma"/>
            <family val="2"/>
          </rPr>
          <t xml:space="preserve">= 80000 - Normal </t>
        </r>
        <r>
          <rPr>
            <sz val="10"/>
            <color indexed="81"/>
            <rFont val="Tahoma"/>
            <family val="2"/>
          </rPr>
          <t xml:space="preserve">* Brasov Km Auto (Responses)
</t>
        </r>
      </text>
    </comment>
    <comment ref="T7" authorId="0" shapeId="0" xr:uid="{75125E12-A47A-434F-8014-13434A78D0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2022-09-16 21:11:35 </t>
        </r>
        <r>
          <rPr>
            <b/>
            <sz val="10"/>
            <color indexed="81"/>
            <rFont val="Tahoma"/>
            <family val="2"/>
          </rPr>
          <t xml:space="preserve">= 80162 - Referinta </t>
        </r>
        <r>
          <rPr>
            <sz val="10"/>
            <color indexed="81"/>
            <rFont val="Tahoma"/>
            <family val="2"/>
          </rPr>
          <t xml:space="preserve">* Brasov Km Auto (Responses)
   2022-09-19 09:28:23 </t>
        </r>
        <r>
          <rPr>
            <b/>
            <sz val="10"/>
            <color indexed="81"/>
            <rFont val="Tahoma"/>
            <family val="2"/>
          </rPr>
          <t xml:space="preserve">= 80213 - Normal </t>
        </r>
        <r>
          <rPr>
            <sz val="10"/>
            <color indexed="81"/>
            <rFont val="Tahoma"/>
            <family val="2"/>
          </rPr>
          <t xml:space="preserve">* Brasov Km Auto (Responses)
</t>
        </r>
      </text>
    </comment>
    <comment ref="Y7" authorId="0" shapeId="0" xr:uid="{95D0D111-2847-4A91-85A9-277AE34E5F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2022-09-23 21:11:25 </t>
        </r>
        <r>
          <rPr>
            <b/>
            <sz val="10"/>
            <color indexed="81"/>
            <rFont val="Tahoma"/>
            <family val="2"/>
          </rPr>
          <t xml:space="preserve">= 80655 - Referinta </t>
        </r>
        <r>
          <rPr>
            <sz val="10"/>
            <color indexed="81"/>
            <rFont val="Tahoma"/>
            <family val="2"/>
          </rPr>
          <t xml:space="preserve">* Brasov Km Auto (Responses)
   2022-09-26 11:53:49 </t>
        </r>
        <r>
          <rPr>
            <b/>
            <sz val="10"/>
            <color indexed="81"/>
            <rFont val="Tahoma"/>
            <family val="2"/>
          </rPr>
          <t xml:space="preserve">= 81044 - Normal </t>
        </r>
        <r>
          <rPr>
            <sz val="10"/>
            <color indexed="81"/>
            <rFont val="Tahoma"/>
            <family val="2"/>
          </rPr>
          <t xml:space="preserve">* Brasov Km Auto (Responses)
</t>
        </r>
      </text>
    </comment>
    <comment ref="AD7" authorId="0" shapeId="0" xr:uid="{8AEC3A8E-3F75-452D-BAAE-741383F9E0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2022-09-30 21:06:16 </t>
        </r>
        <r>
          <rPr>
            <b/>
            <sz val="10"/>
            <color indexed="81"/>
            <rFont val="Tahoma"/>
            <family val="2"/>
          </rPr>
          <t xml:space="preserve">= 81587 - Referinta </t>
        </r>
        <r>
          <rPr>
            <sz val="10"/>
            <color indexed="81"/>
            <rFont val="Tahoma"/>
            <family val="2"/>
          </rPr>
          <t xml:space="preserve">* Brasov Km Auto (Responses)
   2022-10-03 18:53:48 </t>
        </r>
        <r>
          <rPr>
            <b/>
            <sz val="10"/>
            <color indexed="81"/>
            <rFont val="Tahoma"/>
            <family val="2"/>
          </rPr>
          <t xml:space="preserve">= 81591 - Normal </t>
        </r>
        <r>
          <rPr>
            <sz val="10"/>
            <color indexed="81"/>
            <rFont val="Tahoma"/>
            <family val="2"/>
          </rPr>
          <t xml:space="preserve">* Brasov Km Auto (Responses)
</t>
        </r>
      </text>
    </comment>
    <comment ref="T8" authorId="0" shapeId="0" xr:uid="{5A4BDB34-988F-4087-903F-458ADD3ECEE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2022-09-16 16:56:09 </t>
        </r>
        <r>
          <rPr>
            <b/>
            <sz val="10"/>
            <color indexed="81"/>
            <rFont val="Tahoma"/>
            <family val="2"/>
          </rPr>
          <t xml:space="preserve">= 33459 - Referinta </t>
        </r>
        <r>
          <rPr>
            <sz val="10"/>
            <color indexed="81"/>
            <rFont val="Tahoma"/>
            <family val="2"/>
          </rPr>
          <t xml:space="preserve">* Brasov Km Auto (Responses)
   2022-09-19 08:00:00 </t>
        </r>
        <r>
          <rPr>
            <b/>
            <sz val="10"/>
            <color indexed="81"/>
            <rFont val="Tahoma"/>
            <family val="2"/>
          </rPr>
          <t xml:space="preserve">= 33481 - Normal </t>
        </r>
        <r>
          <rPr>
            <sz val="10"/>
            <color indexed="81"/>
            <rFont val="Tahoma"/>
            <family val="2"/>
          </rPr>
          <t xml:space="preserve">* Brasov Km Auto (Responses)
</t>
        </r>
      </text>
    </comment>
    <comment ref="Y8" authorId="0" shapeId="0" xr:uid="{6E99BCB8-F490-47A8-B885-07220B6EDAB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2022-09-23 05:00:00 </t>
        </r>
        <r>
          <rPr>
            <b/>
            <sz val="10"/>
            <color indexed="81"/>
            <rFont val="Tahoma"/>
            <family val="2"/>
          </rPr>
          <t xml:space="preserve">= 33881 - Referinta </t>
        </r>
        <r>
          <rPr>
            <sz val="10"/>
            <color indexed="81"/>
            <rFont val="Tahoma"/>
            <family val="2"/>
          </rPr>
          <t xml:space="preserve">* Brasov Km Auto (Responses)
   2022-09-26 08:40:00 </t>
        </r>
        <r>
          <rPr>
            <b/>
            <sz val="10"/>
            <color indexed="81"/>
            <rFont val="Tahoma"/>
            <family val="2"/>
          </rPr>
          <t xml:space="preserve">= 33881 - Normal </t>
        </r>
        <r>
          <rPr>
            <sz val="10"/>
            <color indexed="81"/>
            <rFont val="Tahoma"/>
            <family val="2"/>
          </rPr>
          <t xml:space="preserve">* Brasov Km Auto (Responses)
</t>
        </r>
      </text>
    </comment>
    <comment ref="AD8" authorId="0" shapeId="0" xr:uid="{FFCEC63A-12E7-4C19-97CB-F1044641F6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34033 - Referinta </t>
        </r>
        <r>
          <rPr>
            <sz val="10"/>
            <color indexed="81"/>
            <rFont val="Tahoma"/>
            <family val="2"/>
          </rPr>
          <t xml:space="preserve">* Brasov Km Auto (Responses)
   2022-10-03 08:00:00 </t>
        </r>
        <r>
          <rPr>
            <b/>
            <sz val="10"/>
            <color indexed="81"/>
            <rFont val="Tahoma"/>
            <family val="2"/>
          </rPr>
          <t xml:space="preserve">= 34033 - Normal </t>
        </r>
        <r>
          <rPr>
            <sz val="10"/>
            <color indexed="81"/>
            <rFont val="Tahoma"/>
            <family val="2"/>
          </rPr>
          <t xml:space="preserve">* Brasov Km Auto (Responses)
</t>
        </r>
      </text>
    </comment>
    <comment ref="J9" authorId="0" shapeId="0" xr:uid="{64069CE8-9EBC-4A14-A378-EC424EF92D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16:54:58 </t>
        </r>
        <r>
          <rPr>
            <b/>
            <sz val="10"/>
            <color indexed="81"/>
            <rFont val="Tahoma"/>
            <family val="2"/>
          </rPr>
          <t xml:space="preserve">= 104308 - Referinta </t>
        </r>
        <r>
          <rPr>
            <sz val="10"/>
            <color indexed="81"/>
            <rFont val="Tahoma"/>
            <family val="2"/>
          </rPr>
          <t xml:space="preserve">* Brasov Km Auto (Responses)
   2022-09-05 07:58:28 </t>
        </r>
        <r>
          <rPr>
            <b/>
            <sz val="10"/>
            <color indexed="81"/>
            <rFont val="Tahoma"/>
            <family val="2"/>
          </rPr>
          <t xml:space="preserve">= 104329 - Normal </t>
        </r>
        <r>
          <rPr>
            <sz val="10"/>
            <color indexed="81"/>
            <rFont val="Tahoma"/>
            <family val="2"/>
          </rPr>
          <t xml:space="preserve">* Brasov Km Auto (Responses)
</t>
        </r>
      </text>
    </comment>
    <comment ref="O9" authorId="0" shapeId="0" xr:uid="{0C9B7074-6948-4663-AB29-D36C2BB433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06:42:00 </t>
        </r>
        <r>
          <rPr>
            <b/>
            <sz val="10"/>
            <color indexed="81"/>
            <rFont val="Tahoma"/>
            <family val="2"/>
          </rPr>
          <t xml:space="preserve">= 104554 - Referinta </t>
        </r>
        <r>
          <rPr>
            <sz val="10"/>
            <color indexed="81"/>
            <rFont val="Tahoma"/>
            <family val="2"/>
          </rPr>
          <t xml:space="preserve">* Brasov Km Auto (Responses)
   2022-09-12 08:00:00 </t>
        </r>
        <r>
          <rPr>
            <b/>
            <sz val="10"/>
            <color indexed="81"/>
            <rFont val="Tahoma"/>
            <family val="2"/>
          </rPr>
          <t xml:space="preserve">= 104574 - Normal </t>
        </r>
        <r>
          <rPr>
            <sz val="10"/>
            <color indexed="81"/>
            <rFont val="Tahoma"/>
            <family val="2"/>
          </rPr>
          <t xml:space="preserve">* Brasov Km Auto (Responses)
</t>
        </r>
      </text>
    </comment>
    <comment ref="T9" authorId="0" shapeId="0" xr:uid="{94E1195C-B577-4C0C-8735-944DF2956F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__________________________________________________________________
</t>
        </r>
        <r>
          <rPr>
            <sz val="10"/>
            <color indexed="12"/>
            <rFont val="Tahoma"/>
            <family val="2"/>
          </rPr>
          <t xml:space="preserve">  </t>
        </r>
        <r>
          <rPr>
            <sz val="10"/>
            <color indexed="81"/>
            <rFont val="Tahoma"/>
            <family val="2"/>
          </rPr>
          <t xml:space="preserve"> 2022-09-16 05:17:00 </t>
        </r>
        <r>
          <rPr>
            <b/>
            <sz val="10"/>
            <color indexed="81"/>
            <rFont val="Tahoma"/>
            <family val="2"/>
          </rPr>
          <t xml:space="preserve">= 104558 - Referinta </t>
        </r>
        <r>
          <rPr>
            <sz val="10"/>
            <color indexed="81"/>
            <rFont val="Tahoma"/>
            <family val="2"/>
          </rPr>
          <t xml:space="preserve">* Brasov Km Auto (Responses)
   2022-09-20 07:54:00 </t>
        </r>
        <r>
          <rPr>
            <b/>
            <sz val="10"/>
            <color indexed="81"/>
            <rFont val="Tahoma"/>
            <family val="2"/>
          </rPr>
          <t xml:space="preserve">= 104578 - Normal </t>
        </r>
        <r>
          <rPr>
            <sz val="10"/>
            <color indexed="81"/>
            <rFont val="Tahoma"/>
            <family val="2"/>
          </rPr>
          <t xml:space="preserve">* Brasov Km Auto (Responses)
</t>
        </r>
      </text>
    </comment>
    <comment ref="Y9" authorId="0" shapeId="0" xr:uid="{554E4D8C-D2FD-4590-A9CB-BB161D7F9A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__________________________________________________________________
</t>
        </r>
        <r>
          <rPr>
            <sz val="10"/>
            <color indexed="12"/>
            <rFont val="Tahoma"/>
            <family val="2"/>
          </rPr>
          <t xml:space="preserve">  </t>
        </r>
        <r>
          <rPr>
            <sz val="10"/>
            <color indexed="81"/>
            <rFont val="Tahoma"/>
            <family val="2"/>
          </rPr>
          <t xml:space="preserve"> 2022-09-23 17:04:34 </t>
        </r>
        <r>
          <rPr>
            <b/>
            <sz val="10"/>
            <color indexed="81"/>
            <rFont val="Tahoma"/>
            <family val="2"/>
          </rPr>
          <t xml:space="preserve">= 104693 - Referinta </t>
        </r>
        <r>
          <rPr>
            <sz val="10"/>
            <color indexed="81"/>
            <rFont val="Tahoma"/>
            <family val="2"/>
          </rPr>
          <t xml:space="preserve">* Brasov Km Auto (Responses)
   2022-09-26 08:22:43 </t>
        </r>
        <r>
          <rPr>
            <b/>
            <sz val="10"/>
            <color indexed="81"/>
            <rFont val="Tahoma"/>
            <family val="2"/>
          </rPr>
          <t xml:space="preserve">= 104710 - Normal </t>
        </r>
        <r>
          <rPr>
            <sz val="10"/>
            <color indexed="81"/>
            <rFont val="Tahoma"/>
            <family val="2"/>
          </rPr>
          <t xml:space="preserve">* Brasov Km Auto (Responses)
</t>
        </r>
      </text>
    </comment>
    <comment ref="AD9" authorId="0" shapeId="0" xr:uid="{2F558B90-8E77-4ABB-A5F6-19651283A88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__________________________________________________________________
</t>
        </r>
        <r>
          <rPr>
            <sz val="10"/>
            <color indexed="12"/>
            <rFont val="Tahoma"/>
            <family val="2"/>
          </rPr>
          <t xml:space="preserve">  </t>
        </r>
        <r>
          <rPr>
            <sz val="10"/>
            <color indexed="81"/>
            <rFont val="Tahoma"/>
            <family val="2"/>
          </rPr>
          <t xml:space="preserve"> 2022-09-30 18:30:07 </t>
        </r>
        <r>
          <rPr>
            <b/>
            <sz val="10"/>
            <color indexed="81"/>
            <rFont val="Tahoma"/>
            <family val="2"/>
          </rPr>
          <t xml:space="preserve">= 104962 - Referinta </t>
        </r>
        <r>
          <rPr>
            <sz val="10"/>
            <color indexed="81"/>
            <rFont val="Tahoma"/>
            <family val="2"/>
          </rPr>
          <t xml:space="preserve">* Brasov Km Auto (Responses)
   2022-10-03 07:49:12 </t>
        </r>
        <r>
          <rPr>
            <b/>
            <sz val="10"/>
            <color indexed="81"/>
            <rFont val="Tahoma"/>
            <family val="2"/>
          </rPr>
          <t xml:space="preserve">= 104980 - Normal </t>
        </r>
        <r>
          <rPr>
            <sz val="10"/>
            <color indexed="81"/>
            <rFont val="Tahoma"/>
            <family val="2"/>
          </rPr>
          <t xml:space="preserve">* Brasov Km Auto (Responses)
</t>
        </r>
      </text>
    </comment>
    <comment ref="J10" authorId="0" shapeId="0" xr:uid="{C86525AF-F796-405F-A88B-5B1BCC0A6B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08:00:00 </t>
        </r>
        <r>
          <rPr>
            <b/>
            <sz val="10"/>
            <color indexed="81"/>
            <rFont val="Tahoma"/>
            <family val="2"/>
          </rPr>
          <t xml:space="preserve">= 132321 - Referinta </t>
        </r>
        <r>
          <rPr>
            <sz val="10"/>
            <color indexed="81"/>
            <rFont val="Tahoma"/>
            <family val="2"/>
          </rPr>
          <t xml:space="preserve">* Brasov Km Auto (Responses)
   2022-09-06 08:15:19 </t>
        </r>
        <r>
          <rPr>
            <b/>
            <sz val="10"/>
            <color indexed="81"/>
            <rFont val="Tahoma"/>
            <family val="2"/>
          </rPr>
          <t xml:space="preserve">= 132341 - Normal </t>
        </r>
        <r>
          <rPr>
            <sz val="10"/>
            <color indexed="81"/>
            <rFont val="Tahoma"/>
            <family val="2"/>
          </rPr>
          <t xml:space="preserve">* Brasov Km Auto (Responses)
</t>
        </r>
      </text>
    </comment>
    <comment ref="O10" authorId="0" shapeId="0" xr:uid="{2FFC0F29-2371-488D-9E21-23EB12D296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2022-09-09 16:50:34 </t>
        </r>
        <r>
          <rPr>
            <b/>
            <sz val="10"/>
            <color indexed="81"/>
            <rFont val="Tahoma"/>
            <family val="2"/>
          </rPr>
          <t xml:space="preserve">= 132550 - Referinta </t>
        </r>
        <r>
          <rPr>
            <sz val="10"/>
            <color indexed="81"/>
            <rFont val="Tahoma"/>
            <family val="2"/>
          </rPr>
          <t xml:space="preserve">* Brasov Km Auto (Responses)
   2022-09-12 07:13:34 </t>
        </r>
        <r>
          <rPr>
            <b/>
            <sz val="10"/>
            <color indexed="81"/>
            <rFont val="Tahoma"/>
            <family val="2"/>
          </rPr>
          <t xml:space="preserve">= 132573 - Normal </t>
        </r>
        <r>
          <rPr>
            <sz val="10"/>
            <color indexed="81"/>
            <rFont val="Tahoma"/>
            <family val="2"/>
          </rPr>
          <t xml:space="preserve">* Brasov Km Auto (Responses)
</t>
        </r>
      </text>
    </comment>
    <comment ref="T10" authorId="0" shapeId="0" xr:uid="{7FBCC2F6-7DBA-4614-BDDF-3BA14359FB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2022-09-16 16:26:40 </t>
        </r>
        <r>
          <rPr>
            <b/>
            <sz val="10"/>
            <color indexed="81"/>
            <rFont val="Tahoma"/>
            <family val="2"/>
          </rPr>
          <t xml:space="preserve">= 132995 - Referinta </t>
        </r>
        <r>
          <rPr>
            <sz val="10"/>
            <color indexed="81"/>
            <rFont val="Tahoma"/>
            <family val="2"/>
          </rPr>
          <t xml:space="preserve">* Brasov Km Auto (Responses)
   2022-09-19 07:22:14 </t>
        </r>
        <r>
          <rPr>
            <b/>
            <sz val="10"/>
            <color indexed="81"/>
            <rFont val="Tahoma"/>
            <family val="2"/>
          </rPr>
          <t xml:space="preserve">= 132997 - Normal </t>
        </r>
        <r>
          <rPr>
            <sz val="10"/>
            <color indexed="81"/>
            <rFont val="Tahoma"/>
            <family val="2"/>
          </rPr>
          <t xml:space="preserve">* Brasov Km Auto (Responses)
</t>
        </r>
      </text>
    </comment>
    <comment ref="Y10" authorId="0" shapeId="0" xr:uid="{2E9A760C-B4B1-4318-83E3-AC2621C607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2022-09-23 16:29:20 </t>
        </r>
        <r>
          <rPr>
            <b/>
            <sz val="10"/>
            <color indexed="81"/>
            <rFont val="Tahoma"/>
            <family val="2"/>
          </rPr>
          <t xml:space="preserve">= 133180 - Referinta </t>
        </r>
        <r>
          <rPr>
            <sz val="10"/>
            <color indexed="81"/>
            <rFont val="Tahoma"/>
            <family val="2"/>
          </rPr>
          <t xml:space="preserve">* Brasov Km Auto (Responses)
   2022-09-26 07:23:52 </t>
        </r>
        <r>
          <rPr>
            <b/>
            <sz val="10"/>
            <color indexed="81"/>
            <rFont val="Tahoma"/>
            <family val="2"/>
          </rPr>
          <t xml:space="preserve">= 133191 - Normal </t>
        </r>
        <r>
          <rPr>
            <sz val="10"/>
            <color indexed="81"/>
            <rFont val="Tahoma"/>
            <family val="2"/>
          </rPr>
          <t xml:space="preserve">* Brasov Km Auto (Responses)
</t>
        </r>
      </text>
    </comment>
    <comment ref="AD10" authorId="0" shapeId="0" xr:uid="{A9D5101C-EEC4-4D3B-80B6-682E811FE8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2022-09-30 16:38:32 </t>
        </r>
        <r>
          <rPr>
            <b/>
            <sz val="10"/>
            <color indexed="81"/>
            <rFont val="Tahoma"/>
            <family val="2"/>
          </rPr>
          <t xml:space="preserve">= 133503 - Referinta </t>
        </r>
        <r>
          <rPr>
            <sz val="10"/>
            <color indexed="81"/>
            <rFont val="Tahoma"/>
            <family val="2"/>
          </rPr>
          <t xml:space="preserve">* Brasov Km Auto (Responses)
   2022-10-03 07:26:35 </t>
        </r>
        <r>
          <rPr>
            <b/>
            <sz val="10"/>
            <color indexed="81"/>
            <rFont val="Tahoma"/>
            <family val="2"/>
          </rPr>
          <t xml:space="preserve">= 133525 - Normal </t>
        </r>
        <r>
          <rPr>
            <sz val="10"/>
            <color indexed="81"/>
            <rFont val="Tahoma"/>
            <family val="2"/>
          </rPr>
          <t xml:space="preserve">* Brasov Km Auto (Responses)
</t>
        </r>
      </text>
    </comment>
    <comment ref="J11" authorId="0" shapeId="0" xr:uid="{F23FC047-0AE7-400F-91D1-2E4EAE6375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15:29:10 </t>
        </r>
        <r>
          <rPr>
            <b/>
            <sz val="10"/>
            <color indexed="81"/>
            <rFont val="Tahoma"/>
            <family val="2"/>
          </rPr>
          <t xml:space="preserve">= 6829 - Referinta </t>
        </r>
        <r>
          <rPr>
            <sz val="10"/>
            <color indexed="81"/>
            <rFont val="Tahoma"/>
            <family val="2"/>
          </rPr>
          <t xml:space="preserve">* Bucuresti Km Auto Tesa (Responses)
   2022-09-05 16:42:09 </t>
        </r>
        <r>
          <rPr>
            <b/>
            <sz val="10"/>
            <color indexed="81"/>
            <rFont val="Tahoma"/>
            <family val="2"/>
          </rPr>
          <t xml:space="preserve">= 6829 - Normal </t>
        </r>
        <r>
          <rPr>
            <sz val="10"/>
            <color indexed="81"/>
            <rFont val="Tahoma"/>
            <family val="2"/>
          </rPr>
          <t xml:space="preserve">* Bucuresti Km Auto Tesa (Responses)
</t>
        </r>
      </text>
    </comment>
    <comment ref="O11" authorId="0" shapeId="0" xr:uid="{97ECF398-AD6F-408A-8B4A-A61C28A493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2022-09-09 08:00:00 </t>
        </r>
        <r>
          <rPr>
            <b/>
            <sz val="10"/>
            <color indexed="81"/>
            <rFont val="Tahoma"/>
            <family val="2"/>
          </rPr>
          <t xml:space="preserve">= 6850 - Referinta </t>
        </r>
        <r>
          <rPr>
            <sz val="10"/>
            <color indexed="81"/>
            <rFont val="Tahoma"/>
            <family val="2"/>
          </rPr>
          <t xml:space="preserve">* Bucuresti Km Auto Tesa (Responses)
   2022-09-14 12:36:14 </t>
        </r>
        <r>
          <rPr>
            <b/>
            <sz val="10"/>
            <color indexed="81"/>
            <rFont val="Tahoma"/>
            <family val="2"/>
          </rPr>
          <t xml:space="preserve">= 6856 - Normal </t>
        </r>
        <r>
          <rPr>
            <sz val="10"/>
            <color indexed="81"/>
            <rFont val="Tahoma"/>
            <family val="2"/>
          </rPr>
          <t xml:space="preserve">* Bucuresti Km Auto Tesa (Responses)
</t>
        </r>
      </text>
    </comment>
    <comment ref="T11" authorId="0" shapeId="0" xr:uid="{C343CD15-C146-4927-8242-9EE90421F6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2022-09-16 04:08:00 </t>
        </r>
        <r>
          <rPr>
            <b/>
            <sz val="10"/>
            <color indexed="81"/>
            <rFont val="Tahoma"/>
            <family val="2"/>
          </rPr>
          <t xml:space="preserve">= 6928 - Referinta </t>
        </r>
        <r>
          <rPr>
            <sz val="10"/>
            <color indexed="81"/>
            <rFont val="Tahoma"/>
            <family val="2"/>
          </rPr>
          <t xml:space="preserve">* Bucuresti Km Auto Tesa (Responses)
   2022-09-19 07:24:00 </t>
        </r>
        <r>
          <rPr>
            <b/>
            <sz val="10"/>
            <color indexed="81"/>
            <rFont val="Tahoma"/>
            <family val="2"/>
          </rPr>
          <t xml:space="preserve">= 7522 - Interes serviciu </t>
        </r>
        <r>
          <rPr>
            <sz val="10"/>
            <color indexed="81"/>
            <rFont val="Tahoma"/>
            <family val="2"/>
          </rPr>
          <t xml:space="preserve">* Bucuresti Km Auto Tesa (Responses)
   2022-09-19 14:23:18 </t>
        </r>
        <r>
          <rPr>
            <b/>
            <sz val="10"/>
            <color indexed="81"/>
            <rFont val="Tahoma"/>
            <family val="2"/>
          </rPr>
          <t xml:space="preserve">= 7522 - Interes serviciu </t>
        </r>
        <r>
          <rPr>
            <sz val="10"/>
            <color indexed="81"/>
            <rFont val="Tahoma"/>
            <family val="2"/>
          </rPr>
          <t xml:space="preserve">* Bucuresti Km Auto Tesa (Responses)
</t>
        </r>
      </text>
    </comment>
    <comment ref="Y11" authorId="0" shapeId="0" xr:uid="{BDC14187-018C-43FC-9273-5E908BDB7CA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2022-09-23 04:30:00 </t>
        </r>
        <r>
          <rPr>
            <b/>
            <sz val="10"/>
            <color indexed="81"/>
            <rFont val="Tahoma"/>
            <family val="2"/>
          </rPr>
          <t xml:space="preserve">= 7669 - Referinta </t>
        </r>
        <r>
          <rPr>
            <sz val="10"/>
            <color indexed="81"/>
            <rFont val="Tahoma"/>
            <family val="2"/>
          </rPr>
          <t xml:space="preserve">* Bucuresti Km Auto Tesa (Responses)
   2022-09-26 17:11:53 </t>
        </r>
        <r>
          <rPr>
            <b/>
            <sz val="10"/>
            <color indexed="81"/>
            <rFont val="Tahoma"/>
            <family val="2"/>
          </rPr>
          <t xml:space="preserve">= 7669 - Normal </t>
        </r>
        <r>
          <rPr>
            <sz val="10"/>
            <color indexed="81"/>
            <rFont val="Tahoma"/>
            <family val="2"/>
          </rPr>
          <t xml:space="preserve">* Bucuresti Km Auto Tesa (Responses)
</t>
        </r>
      </text>
    </comment>
    <comment ref="AD11" authorId="0" shapeId="0" xr:uid="{3375AA88-B35C-470B-B46E-CAAF1770F7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2022-09-30 20:18:03 </t>
        </r>
        <r>
          <rPr>
            <b/>
            <sz val="10"/>
            <color indexed="81"/>
            <rFont val="Tahoma"/>
            <family val="2"/>
          </rPr>
          <t xml:space="preserve">= 7687 - Referinta </t>
        </r>
        <r>
          <rPr>
            <sz val="10"/>
            <color indexed="81"/>
            <rFont val="Tahoma"/>
            <family val="2"/>
          </rPr>
          <t xml:space="preserve">* Bucuresti Km Auto Tesa (Responses)
   2022-10-03 10:21:34 </t>
        </r>
        <r>
          <rPr>
            <b/>
            <sz val="10"/>
            <color indexed="81"/>
            <rFont val="Tahoma"/>
            <family val="2"/>
          </rPr>
          <t xml:space="preserve">= 7687 - Normal </t>
        </r>
        <r>
          <rPr>
            <sz val="10"/>
            <color indexed="81"/>
            <rFont val="Tahoma"/>
            <family val="2"/>
          </rPr>
          <t xml:space="preserve">* Bucuresti Km Auto Tesa (Responses)
</t>
        </r>
      </text>
    </comment>
    <comment ref="O12" authorId="0" shapeId="0" xr:uid="{0B00E5AB-F21F-4576-980C-59140425DC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B-182-CLT</t>
        </r>
        <r>
          <rPr>
            <b/>
            <sz val="10"/>
            <color indexed="12"/>
            <rFont val="Tahoma"/>
            <family val="2"/>
          </rPr>
          <t xml:space="preserve"> - Salajan Cristian : 
__________________________________________________________________
</t>
        </r>
        <r>
          <rPr>
            <sz val="10"/>
            <color indexed="12"/>
            <rFont val="Tahoma"/>
            <family val="2"/>
          </rPr>
          <t xml:space="preserve">  </t>
        </r>
        <r>
          <rPr>
            <sz val="10"/>
            <color indexed="81"/>
            <rFont val="Tahoma"/>
            <family val="2"/>
          </rPr>
          <t xml:space="preserve"> 2022-09-10 02:17:00 </t>
        </r>
        <r>
          <rPr>
            <b/>
            <sz val="10"/>
            <color indexed="81"/>
            <rFont val="Tahoma"/>
            <family val="2"/>
          </rPr>
          <t xml:space="preserve">= 104278 - Referinta </t>
        </r>
        <r>
          <rPr>
            <sz val="10"/>
            <color indexed="81"/>
            <rFont val="Tahoma"/>
            <family val="2"/>
          </rPr>
          <t xml:space="preserve">* Bucuresti Km Auto Tesa (Responses)
</t>
        </r>
      </text>
    </comment>
    <comment ref="J13" authorId="0" shapeId="0" xr:uid="{028F55E2-57F8-40AF-AFD9-315E5E5641B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11:23:16 </t>
        </r>
        <r>
          <rPr>
            <b/>
            <sz val="10"/>
            <color indexed="81"/>
            <rFont val="Tahoma"/>
            <family val="2"/>
          </rPr>
          <t xml:space="preserve">= 208664 - Referinta </t>
        </r>
        <r>
          <rPr>
            <sz val="10"/>
            <color indexed="81"/>
            <rFont val="Tahoma"/>
            <family val="2"/>
          </rPr>
          <t xml:space="preserve">* Bucuresti Km Auto Tesa (Responses)
   2022-09-05 06:52:33 </t>
        </r>
        <r>
          <rPr>
            <b/>
            <sz val="10"/>
            <color indexed="81"/>
            <rFont val="Tahoma"/>
            <family val="2"/>
          </rPr>
          <t xml:space="preserve">= 208704 - Normal </t>
        </r>
        <r>
          <rPr>
            <sz val="10"/>
            <color indexed="81"/>
            <rFont val="Tahoma"/>
            <family val="2"/>
          </rPr>
          <t xml:space="preserve">* Bucuresti Km Auto Tesa (Responses)
</t>
        </r>
      </text>
    </comment>
    <comment ref="O13" authorId="0" shapeId="0" xr:uid="{8F7EC44B-310A-422A-8FBF-9C30114B490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2022-09-11 10:10:00 </t>
        </r>
        <r>
          <rPr>
            <b/>
            <sz val="10"/>
            <color indexed="81"/>
            <rFont val="Tahoma"/>
            <family val="2"/>
          </rPr>
          <t xml:space="preserve">= 209261 - Referinta </t>
        </r>
        <r>
          <rPr>
            <sz val="10"/>
            <color indexed="81"/>
            <rFont val="Tahoma"/>
            <family val="2"/>
          </rPr>
          <t xml:space="preserve">* Bucuresti Km Auto Tesa (Responses)
   2022-09-12 06:52:58 </t>
        </r>
        <r>
          <rPr>
            <b/>
            <sz val="10"/>
            <color indexed="81"/>
            <rFont val="Tahoma"/>
            <family val="2"/>
          </rPr>
          <t xml:space="preserve">= 209287 - Normal </t>
        </r>
        <r>
          <rPr>
            <sz val="10"/>
            <color indexed="81"/>
            <rFont val="Tahoma"/>
            <family val="2"/>
          </rPr>
          <t xml:space="preserve">* Bucuresti Km Auto Tesa (Responses)
</t>
        </r>
      </text>
    </comment>
    <comment ref="T13" authorId="0" shapeId="0" xr:uid="{62A13081-3864-4D13-A4CD-146FB703C5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2022-09-17 08:17:12 </t>
        </r>
        <r>
          <rPr>
            <b/>
            <sz val="10"/>
            <color indexed="81"/>
            <rFont val="Tahoma"/>
            <family val="2"/>
          </rPr>
          <t xml:space="preserve">= 209856 - Referinta </t>
        </r>
        <r>
          <rPr>
            <sz val="10"/>
            <color indexed="81"/>
            <rFont val="Tahoma"/>
            <family val="2"/>
          </rPr>
          <t xml:space="preserve">* Bucuresti Km Auto Tesa (Responses)
   2022-09-19 07:17:15 </t>
        </r>
        <r>
          <rPr>
            <b/>
            <sz val="10"/>
            <color indexed="81"/>
            <rFont val="Tahoma"/>
            <family val="2"/>
          </rPr>
          <t xml:space="preserve">= 209933 - Normal </t>
        </r>
        <r>
          <rPr>
            <sz val="10"/>
            <color indexed="81"/>
            <rFont val="Tahoma"/>
            <family val="2"/>
          </rPr>
          <t xml:space="preserve">* Bucuresti Km Auto Tesa (Responses)
</t>
        </r>
      </text>
    </comment>
    <comment ref="Y13" authorId="0" shapeId="0" xr:uid="{0EC19A51-EE8E-4EA5-BB04-92089EC713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2022-09-23 08:00:00 </t>
        </r>
        <r>
          <rPr>
            <b/>
            <sz val="10"/>
            <color indexed="81"/>
            <rFont val="Tahoma"/>
            <family val="2"/>
          </rPr>
          <t xml:space="preserve">= 210500 - Referinta </t>
        </r>
        <r>
          <rPr>
            <sz val="10"/>
            <color indexed="81"/>
            <rFont val="Tahoma"/>
            <family val="2"/>
          </rPr>
          <t xml:space="preserve">* Bucuresti Km Auto Tesa (Responses)
   2022-09-26 08:00:00 </t>
        </r>
        <r>
          <rPr>
            <b/>
            <sz val="10"/>
            <color indexed="81"/>
            <rFont val="Tahoma"/>
            <family val="2"/>
          </rPr>
          <t xml:space="preserve">= 210590 - Normal </t>
        </r>
        <r>
          <rPr>
            <sz val="10"/>
            <color indexed="81"/>
            <rFont val="Tahoma"/>
            <family val="2"/>
          </rPr>
          <t xml:space="preserve">* Bucuresti Km Auto Tesa (Responses)
</t>
        </r>
      </text>
    </comment>
    <comment ref="AD13" authorId="0" shapeId="0" xr:uid="{DA9477B7-D477-4050-833D-65E667E412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2022-10-01 10:05:08 </t>
        </r>
        <r>
          <rPr>
            <b/>
            <sz val="10"/>
            <color indexed="81"/>
            <rFont val="Tahoma"/>
            <family val="2"/>
          </rPr>
          <t xml:space="preserve">= 211085 - Referinta </t>
        </r>
        <r>
          <rPr>
            <sz val="10"/>
            <color indexed="81"/>
            <rFont val="Tahoma"/>
            <family val="2"/>
          </rPr>
          <t xml:space="preserve">* Bucuresti Km Auto Tesa (Responses)
   2022-10-03 07:04:43 </t>
        </r>
        <r>
          <rPr>
            <b/>
            <sz val="10"/>
            <color indexed="81"/>
            <rFont val="Tahoma"/>
            <family val="2"/>
          </rPr>
          <t xml:space="preserve">= 211216 - Normal </t>
        </r>
        <r>
          <rPr>
            <sz val="10"/>
            <color indexed="81"/>
            <rFont val="Tahoma"/>
            <family val="2"/>
          </rPr>
          <t xml:space="preserve">* Bucuresti Km Auto Tesa (Responses)
</t>
        </r>
      </text>
    </comment>
    <comment ref="J14" authorId="0" shapeId="0" xr:uid="{F640884B-9BA3-487D-B6C8-CFFD3D691E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17:56:41 </t>
        </r>
        <r>
          <rPr>
            <b/>
            <sz val="10"/>
            <color indexed="81"/>
            <rFont val="Tahoma"/>
            <family val="2"/>
          </rPr>
          <t xml:space="preserve">= 26282 - Referinta </t>
        </r>
        <r>
          <rPr>
            <sz val="10"/>
            <color indexed="81"/>
            <rFont val="Tahoma"/>
            <family val="2"/>
          </rPr>
          <t xml:space="preserve">* Bucuresti Km Auto Tesa (Responses)
   2022-09-05 17:02:44 </t>
        </r>
        <r>
          <rPr>
            <b/>
            <sz val="10"/>
            <color indexed="81"/>
            <rFont val="Tahoma"/>
            <family val="2"/>
          </rPr>
          <t xml:space="preserve">= 26282 - Normal </t>
        </r>
        <r>
          <rPr>
            <sz val="10"/>
            <color indexed="81"/>
            <rFont val="Tahoma"/>
            <family val="2"/>
          </rPr>
          <t xml:space="preserve">* Bucuresti Km Auto Tesa (Responses)
</t>
        </r>
      </text>
    </comment>
    <comment ref="O14" authorId="0" shapeId="0" xr:uid="{DA968458-11B4-4C5F-BA64-5E570DF552A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2022-09-09 19:03:45 </t>
        </r>
        <r>
          <rPr>
            <b/>
            <sz val="10"/>
            <color indexed="81"/>
            <rFont val="Tahoma"/>
            <family val="2"/>
          </rPr>
          <t xml:space="preserve">= 26525 - Referinta </t>
        </r>
        <r>
          <rPr>
            <sz val="10"/>
            <color indexed="81"/>
            <rFont val="Tahoma"/>
            <family val="2"/>
          </rPr>
          <t xml:space="preserve">* Bucuresti Km Auto Tesa (Responses)
   2022-09-12 06:57:56 </t>
        </r>
        <r>
          <rPr>
            <b/>
            <sz val="10"/>
            <color indexed="81"/>
            <rFont val="Tahoma"/>
            <family val="2"/>
          </rPr>
          <t xml:space="preserve">= 26525 - Normal </t>
        </r>
        <r>
          <rPr>
            <sz val="10"/>
            <color indexed="81"/>
            <rFont val="Tahoma"/>
            <family val="2"/>
          </rPr>
          <t xml:space="preserve">* Bucuresti Km Auto Tesa (Responses)
</t>
        </r>
      </text>
    </comment>
    <comment ref="T14" authorId="0" shapeId="0" xr:uid="{8CDB549B-AA5F-4875-A2C9-8892E96979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2022-09-16 17:17:58 </t>
        </r>
        <r>
          <rPr>
            <b/>
            <sz val="10"/>
            <color indexed="81"/>
            <rFont val="Tahoma"/>
            <family val="2"/>
          </rPr>
          <t xml:space="preserve">= 26760 - Referinta </t>
        </r>
        <r>
          <rPr>
            <sz val="10"/>
            <color indexed="81"/>
            <rFont val="Tahoma"/>
            <family val="2"/>
          </rPr>
          <t xml:space="preserve">* Bucuresti Km Auto Tesa (Responses)
   2022-09-19 06:26:07 </t>
        </r>
        <r>
          <rPr>
            <b/>
            <sz val="10"/>
            <color indexed="81"/>
            <rFont val="Tahoma"/>
            <family val="2"/>
          </rPr>
          <t xml:space="preserve">= 26760 - Normal </t>
        </r>
        <r>
          <rPr>
            <sz val="10"/>
            <color indexed="81"/>
            <rFont val="Tahoma"/>
            <family val="2"/>
          </rPr>
          <t xml:space="preserve">* Bucuresti Km Auto Tesa (Responses)
</t>
        </r>
      </text>
    </comment>
    <comment ref="Y14" authorId="0" shapeId="0" xr:uid="{0E615618-46E5-41FF-B1D8-E71FA45C02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2022-09-23 17:00:52 </t>
        </r>
        <r>
          <rPr>
            <b/>
            <sz val="10"/>
            <color indexed="81"/>
            <rFont val="Tahoma"/>
            <family val="2"/>
          </rPr>
          <t xml:space="preserve">= 27078 - Referinta </t>
        </r>
        <r>
          <rPr>
            <sz val="10"/>
            <color indexed="81"/>
            <rFont val="Tahoma"/>
            <family val="2"/>
          </rPr>
          <t xml:space="preserve">* Bucuresti Km Auto Tesa (Responses)
   2022-09-26 06:34:31 </t>
        </r>
        <r>
          <rPr>
            <b/>
            <sz val="10"/>
            <color indexed="81"/>
            <rFont val="Tahoma"/>
            <family val="2"/>
          </rPr>
          <t xml:space="preserve">= 27078 - Normal </t>
        </r>
        <r>
          <rPr>
            <sz val="10"/>
            <color indexed="81"/>
            <rFont val="Tahoma"/>
            <family val="2"/>
          </rPr>
          <t xml:space="preserve">* Bucuresti Km Auto Tesa (Responses)
</t>
        </r>
      </text>
    </comment>
    <comment ref="AD14" authorId="0" shapeId="0" xr:uid="{F14314B6-4382-41BB-9D73-51A97A7603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2022-09-30 17:31:34 </t>
        </r>
        <r>
          <rPr>
            <b/>
            <sz val="10"/>
            <color indexed="81"/>
            <rFont val="Tahoma"/>
            <family val="2"/>
          </rPr>
          <t xml:space="preserve">= 27349 - Referinta </t>
        </r>
        <r>
          <rPr>
            <sz val="10"/>
            <color indexed="81"/>
            <rFont val="Tahoma"/>
            <family val="2"/>
          </rPr>
          <t xml:space="preserve">* Bucuresti Km Auto Tesa (Responses)
   2022-10-03 06:41:24 </t>
        </r>
        <r>
          <rPr>
            <b/>
            <sz val="10"/>
            <color indexed="81"/>
            <rFont val="Tahoma"/>
            <family val="2"/>
          </rPr>
          <t xml:space="preserve">= 27349 - Normal </t>
        </r>
        <r>
          <rPr>
            <sz val="10"/>
            <color indexed="81"/>
            <rFont val="Tahoma"/>
            <family val="2"/>
          </rPr>
          <t xml:space="preserve">* Bucuresti Km Auto Tesa (Responses)
</t>
        </r>
      </text>
    </comment>
    <comment ref="J15" authorId="0" shapeId="0" xr:uid="{9CD31406-9DCA-40E5-8A56-2743D740A5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17:29:02 </t>
        </r>
        <r>
          <rPr>
            <b/>
            <sz val="10"/>
            <color indexed="81"/>
            <rFont val="Tahoma"/>
            <family val="2"/>
          </rPr>
          <t xml:space="preserve">= 181118 - Referinta </t>
        </r>
        <r>
          <rPr>
            <sz val="10"/>
            <color indexed="81"/>
            <rFont val="Tahoma"/>
            <family val="2"/>
          </rPr>
          <t xml:space="preserve">* Bucuresti Km Auto Tesa (Responses)
   2022-09-05 07:28:15 </t>
        </r>
        <r>
          <rPr>
            <b/>
            <sz val="10"/>
            <color indexed="81"/>
            <rFont val="Tahoma"/>
            <family val="2"/>
          </rPr>
          <t xml:space="preserve">= 181143 - Normal </t>
        </r>
        <r>
          <rPr>
            <sz val="10"/>
            <color indexed="81"/>
            <rFont val="Tahoma"/>
            <family val="2"/>
          </rPr>
          <t xml:space="preserve">* Bucuresti Km Auto Tesa (Responses)
</t>
        </r>
      </text>
    </comment>
    <comment ref="O15" authorId="0" shapeId="0" xr:uid="{06328662-BCFF-4699-A266-ACA66CCB42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2022-09-09 16:55:20 </t>
        </r>
        <r>
          <rPr>
            <b/>
            <sz val="10"/>
            <color indexed="81"/>
            <rFont val="Tahoma"/>
            <family val="2"/>
          </rPr>
          <t xml:space="preserve">= 181344 - Referinta </t>
        </r>
        <r>
          <rPr>
            <sz val="10"/>
            <color indexed="81"/>
            <rFont val="Tahoma"/>
            <family val="2"/>
          </rPr>
          <t xml:space="preserve">* Bucuresti Km Auto Tesa (Responses)
   2022-09-12 06:42:27 </t>
        </r>
        <r>
          <rPr>
            <b/>
            <sz val="10"/>
            <color indexed="81"/>
            <rFont val="Tahoma"/>
            <family val="2"/>
          </rPr>
          <t xml:space="preserve">= 181344 - Normal </t>
        </r>
        <r>
          <rPr>
            <sz val="10"/>
            <color indexed="81"/>
            <rFont val="Tahoma"/>
            <family val="2"/>
          </rPr>
          <t xml:space="preserve">* Bucuresti Km Auto Tesa (Responses)
</t>
        </r>
      </text>
    </comment>
    <comment ref="T15" authorId="0" shapeId="0" xr:uid="{225E1E52-41ED-4220-8D36-D827E842A1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2022-09-16 17:22:15 </t>
        </r>
        <r>
          <rPr>
            <b/>
            <sz val="10"/>
            <color indexed="81"/>
            <rFont val="Tahoma"/>
            <family val="2"/>
          </rPr>
          <t xml:space="preserve">= 181527 - Referinta </t>
        </r>
        <r>
          <rPr>
            <sz val="10"/>
            <color indexed="81"/>
            <rFont val="Tahoma"/>
            <family val="2"/>
          </rPr>
          <t xml:space="preserve">* Bucuresti Km Auto Tesa (Responses)
   2022-09-19 06:43:34 </t>
        </r>
        <r>
          <rPr>
            <b/>
            <sz val="10"/>
            <color indexed="81"/>
            <rFont val="Tahoma"/>
            <family val="2"/>
          </rPr>
          <t xml:space="preserve">= 181527 - Normal </t>
        </r>
        <r>
          <rPr>
            <sz val="10"/>
            <color indexed="81"/>
            <rFont val="Tahoma"/>
            <family val="2"/>
          </rPr>
          <t xml:space="preserve">* Bucuresti Km Auto Tesa (Responses)
</t>
        </r>
      </text>
    </comment>
    <comment ref="Y15" authorId="0" shapeId="0" xr:uid="{B23F0C5E-5ECC-4FDE-9B50-F211DAB0D7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2022-09-23 17:32:46 </t>
        </r>
        <r>
          <rPr>
            <b/>
            <sz val="10"/>
            <color indexed="81"/>
            <rFont val="Tahoma"/>
            <family val="2"/>
          </rPr>
          <t xml:space="preserve">= 181753 - Referinta </t>
        </r>
        <r>
          <rPr>
            <sz val="10"/>
            <color indexed="81"/>
            <rFont val="Tahoma"/>
            <family val="2"/>
          </rPr>
          <t xml:space="preserve">* Bucuresti Km Auto Tesa (Responses)
   2022-09-26 06:49:25 </t>
        </r>
        <r>
          <rPr>
            <b/>
            <sz val="10"/>
            <color indexed="81"/>
            <rFont val="Tahoma"/>
            <family val="2"/>
          </rPr>
          <t xml:space="preserve">= 181753 - Normal </t>
        </r>
        <r>
          <rPr>
            <sz val="10"/>
            <color indexed="81"/>
            <rFont val="Tahoma"/>
            <family val="2"/>
          </rPr>
          <t xml:space="preserve">* Bucuresti Km Auto Tesa (Responses)
</t>
        </r>
      </text>
    </comment>
    <comment ref="AD15" authorId="0" shapeId="0" xr:uid="{8C8BF94F-3D41-45F5-A6B2-9D19F1CC63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2022-09-30 17:23:28 </t>
        </r>
        <r>
          <rPr>
            <b/>
            <sz val="10"/>
            <color indexed="81"/>
            <rFont val="Tahoma"/>
            <family val="2"/>
          </rPr>
          <t xml:space="preserve">= 181973 - Referinta </t>
        </r>
        <r>
          <rPr>
            <sz val="10"/>
            <color indexed="81"/>
            <rFont val="Tahoma"/>
            <family val="2"/>
          </rPr>
          <t xml:space="preserve">* Bucuresti Km Auto Tesa (Responses)
   2022-10-03 06:57:24 </t>
        </r>
        <r>
          <rPr>
            <b/>
            <sz val="10"/>
            <color indexed="81"/>
            <rFont val="Tahoma"/>
            <family val="2"/>
          </rPr>
          <t xml:space="preserve">= 181974 - Normal </t>
        </r>
        <r>
          <rPr>
            <sz val="10"/>
            <color indexed="81"/>
            <rFont val="Tahoma"/>
            <family val="2"/>
          </rPr>
          <t xml:space="preserve">* Bucuresti Km Auto Tesa (Responses)
</t>
        </r>
      </text>
    </comment>
    <comment ref="J16" authorId="0" shapeId="0" xr:uid="{C3AFA530-68B5-40A4-96EF-C4072D0B3B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14:21:48 </t>
        </r>
        <r>
          <rPr>
            <b/>
            <sz val="10"/>
            <color indexed="81"/>
            <rFont val="Tahoma"/>
            <family val="2"/>
          </rPr>
          <t xml:space="preserve">= 133898 - Referinta </t>
        </r>
        <r>
          <rPr>
            <sz val="10"/>
            <color indexed="81"/>
            <rFont val="Tahoma"/>
            <family val="2"/>
          </rPr>
          <t xml:space="preserve">* Bucuresti Km Auto Tesa (Responses)
   2022-09-05 07:50:08 </t>
        </r>
        <r>
          <rPr>
            <b/>
            <sz val="10"/>
            <color indexed="81"/>
            <rFont val="Tahoma"/>
            <family val="2"/>
          </rPr>
          <t xml:space="preserve">= 133898 - Normal </t>
        </r>
        <r>
          <rPr>
            <sz val="10"/>
            <color indexed="81"/>
            <rFont val="Tahoma"/>
            <family val="2"/>
          </rPr>
          <t xml:space="preserve">* Bucuresti Km Auto Tesa (Responses)
</t>
        </r>
      </text>
    </comment>
    <comment ref="O16" authorId="0" shapeId="0" xr:uid="{FEE63E1D-2657-4FA8-B39A-EEC0BD45F5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2022-09-09 08:14:44 </t>
        </r>
        <r>
          <rPr>
            <b/>
            <sz val="10"/>
            <color indexed="81"/>
            <rFont val="Tahoma"/>
            <family val="2"/>
          </rPr>
          <t xml:space="preserve">= 133932 - Referinta </t>
        </r>
        <r>
          <rPr>
            <sz val="10"/>
            <color indexed="81"/>
            <rFont val="Tahoma"/>
            <family val="2"/>
          </rPr>
          <t xml:space="preserve">* Bucuresti Km Auto Tesa (Responses)
   2022-09-12 07:52:50 </t>
        </r>
        <r>
          <rPr>
            <b/>
            <sz val="10"/>
            <color indexed="81"/>
            <rFont val="Tahoma"/>
            <family val="2"/>
          </rPr>
          <t xml:space="preserve">= 133932 - Normal </t>
        </r>
        <r>
          <rPr>
            <sz val="10"/>
            <color indexed="81"/>
            <rFont val="Tahoma"/>
            <family val="2"/>
          </rPr>
          <t xml:space="preserve">* Bucuresti Km Auto Tesa (Responses)
</t>
        </r>
      </text>
    </comment>
    <comment ref="T16" authorId="0" shapeId="0" xr:uid="{65BF1B94-5C35-4087-8782-968E83901F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2022-09-16 15:00:01 </t>
        </r>
        <r>
          <rPr>
            <b/>
            <sz val="10"/>
            <color indexed="81"/>
            <rFont val="Tahoma"/>
            <family val="2"/>
          </rPr>
          <t xml:space="preserve">= 134009 - Referinta </t>
        </r>
        <r>
          <rPr>
            <sz val="10"/>
            <color indexed="81"/>
            <rFont val="Tahoma"/>
            <family val="2"/>
          </rPr>
          <t xml:space="preserve">* Bucuresti Km Auto Tesa (Responses)
   2022-09-19 07:42:39 </t>
        </r>
        <r>
          <rPr>
            <b/>
            <sz val="10"/>
            <color indexed="81"/>
            <rFont val="Tahoma"/>
            <family val="2"/>
          </rPr>
          <t xml:space="preserve">= 134009 - Normal </t>
        </r>
        <r>
          <rPr>
            <sz val="10"/>
            <color indexed="81"/>
            <rFont val="Tahoma"/>
            <family val="2"/>
          </rPr>
          <t xml:space="preserve">* Bucuresti Km Auto Tesa (Responses)
</t>
        </r>
      </text>
    </comment>
    <comment ref="Y16" authorId="0" shapeId="0" xr:uid="{76159F48-776F-495D-990D-79D4FA8C07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2022-09-23 17:44:10 </t>
        </r>
        <r>
          <rPr>
            <b/>
            <sz val="10"/>
            <color indexed="81"/>
            <rFont val="Tahoma"/>
            <family val="2"/>
          </rPr>
          <t xml:space="preserve">= 134058 - Referinta </t>
        </r>
        <r>
          <rPr>
            <sz val="10"/>
            <color indexed="81"/>
            <rFont val="Tahoma"/>
            <family val="2"/>
          </rPr>
          <t xml:space="preserve">* Bucuresti Km Auto Tesa (Responses)
   2022-09-26 08:32:24 </t>
        </r>
        <r>
          <rPr>
            <b/>
            <sz val="10"/>
            <color indexed="81"/>
            <rFont val="Tahoma"/>
            <family val="2"/>
          </rPr>
          <t xml:space="preserve">= 134058 - Normal </t>
        </r>
        <r>
          <rPr>
            <sz val="10"/>
            <color indexed="81"/>
            <rFont val="Tahoma"/>
            <family val="2"/>
          </rPr>
          <t xml:space="preserve">* Bucuresti Km Auto Tesa (Responses)
</t>
        </r>
      </text>
    </comment>
    <comment ref="AD16" authorId="0" shapeId="0" xr:uid="{0F96B962-C046-425B-80F0-6AB7FF04B5F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2022-09-30 14:04:36 </t>
        </r>
        <r>
          <rPr>
            <b/>
            <sz val="10"/>
            <color indexed="81"/>
            <rFont val="Tahoma"/>
            <family val="2"/>
          </rPr>
          <t xml:space="preserve">= 134116 - Referinta </t>
        </r>
        <r>
          <rPr>
            <sz val="10"/>
            <color indexed="81"/>
            <rFont val="Tahoma"/>
            <family val="2"/>
          </rPr>
          <t xml:space="preserve">* Bucuresti Km Auto Tesa (Responses)
   2022-10-03 08:00:40 </t>
        </r>
        <r>
          <rPr>
            <b/>
            <sz val="10"/>
            <color indexed="81"/>
            <rFont val="Tahoma"/>
            <family val="2"/>
          </rPr>
          <t xml:space="preserve">= 134116 - Normal </t>
        </r>
        <r>
          <rPr>
            <sz val="10"/>
            <color indexed="81"/>
            <rFont val="Tahoma"/>
            <family val="2"/>
          </rPr>
          <t xml:space="preserve">* Bucuresti Km Auto Tesa (Responses)
</t>
        </r>
      </text>
    </comment>
    <comment ref="O17" authorId="0" shapeId="0" xr:uid="{8E41456F-C8F2-45D2-9CD4-EAD4CF56AE0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 
__________________________________________________________________
</t>
        </r>
        <r>
          <rPr>
            <sz val="10"/>
            <color indexed="12"/>
            <rFont val="Tahoma"/>
            <family val="2"/>
          </rPr>
          <t xml:space="preserve">  </t>
        </r>
        <r>
          <rPr>
            <sz val="10"/>
            <color indexed="81"/>
            <rFont val="Tahoma"/>
            <family val="2"/>
          </rPr>
          <t xml:space="preserve"> 2022-09-09 16:37:17 </t>
        </r>
        <r>
          <rPr>
            <b/>
            <sz val="10"/>
            <color indexed="81"/>
            <rFont val="Tahoma"/>
            <family val="2"/>
          </rPr>
          <t xml:space="preserve">= 19416 - Referinta </t>
        </r>
        <r>
          <rPr>
            <sz val="10"/>
            <color indexed="81"/>
            <rFont val="Tahoma"/>
            <family val="2"/>
          </rPr>
          <t xml:space="preserve">* Bucuresti Km Auto Vanzari (Responses)
   2022-09-13 07:49:18 </t>
        </r>
        <r>
          <rPr>
            <b/>
            <sz val="10"/>
            <color indexed="81"/>
            <rFont val="Tahoma"/>
            <family val="2"/>
          </rPr>
          <t xml:space="preserve">= 19416 - Normal </t>
        </r>
        <r>
          <rPr>
            <sz val="10"/>
            <color indexed="81"/>
            <rFont val="Tahoma"/>
            <family val="2"/>
          </rPr>
          <t xml:space="preserve">* Bucuresti Km Auto Vanzari (Responses)
</t>
        </r>
      </text>
    </comment>
    <comment ref="T17" authorId="0" shapeId="0" xr:uid="{574A03C0-3E4B-4E4B-9A6F-8038E6043D4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 
__________________________________________________________________
</t>
        </r>
        <r>
          <rPr>
            <sz val="10"/>
            <color indexed="12"/>
            <rFont val="Tahoma"/>
            <family val="2"/>
          </rPr>
          <t xml:space="preserve">  </t>
        </r>
        <r>
          <rPr>
            <sz val="10"/>
            <color indexed="81"/>
            <rFont val="Tahoma"/>
            <family val="2"/>
          </rPr>
          <t xml:space="preserve"> 2022-09-16 16:04:56 </t>
        </r>
        <r>
          <rPr>
            <b/>
            <sz val="10"/>
            <color indexed="81"/>
            <rFont val="Tahoma"/>
            <family val="2"/>
          </rPr>
          <t xml:space="preserve">= 20329 - Referinta </t>
        </r>
        <r>
          <rPr>
            <sz val="10"/>
            <color indexed="81"/>
            <rFont val="Tahoma"/>
            <family val="2"/>
          </rPr>
          <t xml:space="preserve">* Bucuresti Km Auto Vanzari (Responses)
   2022-09-19 07:28:39 </t>
        </r>
        <r>
          <rPr>
            <b/>
            <sz val="10"/>
            <color indexed="81"/>
            <rFont val="Tahoma"/>
            <family val="2"/>
          </rPr>
          <t xml:space="preserve">= 20329 - Normal </t>
        </r>
        <r>
          <rPr>
            <sz val="10"/>
            <color indexed="81"/>
            <rFont val="Tahoma"/>
            <family val="2"/>
          </rPr>
          <t xml:space="preserve">* Bucuresti Km Auto Vanzari (Responses)
</t>
        </r>
      </text>
    </comment>
    <comment ref="AD17" authorId="0" shapeId="0" xr:uid="{917EC07B-8413-4B08-958B-F90C43A14D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 
__________________________________________________________________
</t>
        </r>
        <r>
          <rPr>
            <sz val="10"/>
            <color indexed="12"/>
            <rFont val="Tahoma"/>
            <family val="2"/>
          </rPr>
          <t xml:space="preserve">  </t>
        </r>
        <r>
          <rPr>
            <sz val="10"/>
            <color indexed="81"/>
            <rFont val="Tahoma"/>
            <family val="2"/>
          </rPr>
          <t xml:space="preserve"> 2022-10-02 02:58:00 </t>
        </r>
        <r>
          <rPr>
            <b/>
            <sz val="10"/>
            <color indexed="81"/>
            <rFont val="Tahoma"/>
            <family val="2"/>
          </rPr>
          <t xml:space="preserve">= 21182 - Referinta </t>
        </r>
        <r>
          <rPr>
            <sz val="10"/>
            <color indexed="81"/>
            <rFont val="Tahoma"/>
            <family val="2"/>
          </rPr>
          <t xml:space="preserve">* Bucuresti Km Auto Vanzari (Responses)
   2022-10-03 07:26:59 </t>
        </r>
        <r>
          <rPr>
            <b/>
            <sz val="10"/>
            <color indexed="81"/>
            <rFont val="Tahoma"/>
            <family val="2"/>
          </rPr>
          <t xml:space="preserve">= 21182 - Normal </t>
        </r>
        <r>
          <rPr>
            <sz val="10"/>
            <color indexed="81"/>
            <rFont val="Tahoma"/>
            <family val="2"/>
          </rPr>
          <t xml:space="preserve">* Bucuresti Km Auto Vanzari (Responses)
</t>
        </r>
      </text>
    </comment>
    <comment ref="J18" authorId="0" shapeId="0" xr:uid="{C07F89E1-93A6-4565-A49E-4FDDC8F8A6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15:28:16 </t>
        </r>
        <r>
          <rPr>
            <b/>
            <sz val="10"/>
            <color indexed="81"/>
            <rFont val="Tahoma"/>
            <family val="2"/>
          </rPr>
          <t xml:space="preserve">= 3894 - Referinta </t>
        </r>
        <r>
          <rPr>
            <sz val="10"/>
            <color indexed="81"/>
            <rFont val="Tahoma"/>
            <family val="2"/>
          </rPr>
          <t xml:space="preserve">* Bucuresti Marfa Km Auto (Responses)
   2022-09-05 07:36:42 </t>
        </r>
        <r>
          <rPr>
            <b/>
            <sz val="10"/>
            <color indexed="81"/>
            <rFont val="Tahoma"/>
            <family val="2"/>
          </rPr>
          <t xml:space="preserve">= 3894 - Normal </t>
        </r>
        <r>
          <rPr>
            <sz val="10"/>
            <color indexed="81"/>
            <rFont val="Tahoma"/>
            <family val="2"/>
          </rPr>
          <t xml:space="preserve">* Bucuresti Marfa Km Auto (Responses)
</t>
        </r>
      </text>
    </comment>
    <comment ref="O18" authorId="0" shapeId="0" xr:uid="{0B8F39EF-9A50-4A22-9C1C-D4955D8B767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16:17:35 </t>
        </r>
        <r>
          <rPr>
            <b/>
            <sz val="10"/>
            <color indexed="81"/>
            <rFont val="Tahoma"/>
            <family val="2"/>
          </rPr>
          <t xml:space="preserve">= 4449 - Referinta </t>
        </r>
        <r>
          <rPr>
            <sz val="10"/>
            <color indexed="81"/>
            <rFont val="Tahoma"/>
            <family val="2"/>
          </rPr>
          <t xml:space="preserve">* Bucuresti Marfa Km Auto (Responses)
   2022-09-12 07:28:01 </t>
        </r>
        <r>
          <rPr>
            <b/>
            <sz val="10"/>
            <color indexed="81"/>
            <rFont val="Tahoma"/>
            <family val="2"/>
          </rPr>
          <t xml:space="preserve">= 4449 - Normal </t>
        </r>
        <r>
          <rPr>
            <sz val="10"/>
            <color indexed="81"/>
            <rFont val="Tahoma"/>
            <family val="2"/>
          </rPr>
          <t xml:space="preserve">* Bucuresti Marfa Km Auto (Responses)
</t>
        </r>
      </text>
    </comment>
    <comment ref="T18" authorId="0" shapeId="0" xr:uid="{6BA1ADD6-A9B3-4687-9EB9-116F24FCCC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16:41:58 </t>
        </r>
        <r>
          <rPr>
            <b/>
            <sz val="10"/>
            <color indexed="81"/>
            <rFont val="Tahoma"/>
            <family val="2"/>
          </rPr>
          <t xml:space="preserve">= 4658 - Referinta </t>
        </r>
        <r>
          <rPr>
            <sz val="10"/>
            <color indexed="81"/>
            <rFont val="Tahoma"/>
            <family val="2"/>
          </rPr>
          <t xml:space="preserve">* Bucuresti Marfa Km Auto (Responses)
   2022-09-19 11:06:20 </t>
        </r>
        <r>
          <rPr>
            <b/>
            <sz val="10"/>
            <color indexed="81"/>
            <rFont val="Tahoma"/>
            <family val="2"/>
          </rPr>
          <t xml:space="preserve">= 4658 - Normal </t>
        </r>
        <r>
          <rPr>
            <sz val="10"/>
            <color indexed="81"/>
            <rFont val="Tahoma"/>
            <family val="2"/>
          </rPr>
          <t xml:space="preserve">* Bucuresti Marfa Km Auto (Responses)
</t>
        </r>
      </text>
    </comment>
    <comment ref="Y18" authorId="0" shapeId="0" xr:uid="{C8D7D049-BB2B-47A9-8132-229123A3DC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__________________________________________________________________
</t>
        </r>
        <r>
          <rPr>
            <sz val="10"/>
            <color indexed="12"/>
            <rFont val="Tahoma"/>
            <family val="2"/>
          </rPr>
          <t xml:space="preserve">  </t>
        </r>
        <r>
          <rPr>
            <sz val="10"/>
            <color indexed="81"/>
            <rFont val="Tahoma"/>
            <family val="2"/>
          </rPr>
          <t xml:space="preserve"> 2022-09-23 16:21:34 </t>
        </r>
        <r>
          <rPr>
            <b/>
            <sz val="10"/>
            <color indexed="81"/>
            <rFont val="Tahoma"/>
            <family val="2"/>
          </rPr>
          <t xml:space="preserve">= 4940 - Referinta </t>
        </r>
        <r>
          <rPr>
            <sz val="10"/>
            <color indexed="81"/>
            <rFont val="Tahoma"/>
            <family val="2"/>
          </rPr>
          <t xml:space="preserve">* Bucuresti Marfa Km Auto (Responses)
   2022-09-26 07:33:01 </t>
        </r>
        <r>
          <rPr>
            <b/>
            <sz val="10"/>
            <color indexed="81"/>
            <rFont val="Tahoma"/>
            <family val="2"/>
          </rPr>
          <t xml:space="preserve">= 4940 - Normal </t>
        </r>
        <r>
          <rPr>
            <sz val="10"/>
            <color indexed="81"/>
            <rFont val="Tahoma"/>
            <family val="2"/>
          </rPr>
          <t xml:space="preserve">* Bucuresti Marfa Km Auto (Responses)
</t>
        </r>
      </text>
    </comment>
    <comment ref="AD18" authorId="0" shapeId="0" xr:uid="{8E2804CB-F3FF-48AA-AA05-B9D50C7B06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15:38:57 </t>
        </r>
        <r>
          <rPr>
            <b/>
            <sz val="10"/>
            <color indexed="81"/>
            <rFont val="Tahoma"/>
            <family val="2"/>
          </rPr>
          <t xml:space="preserve">= 5277 - Referinta </t>
        </r>
        <r>
          <rPr>
            <sz val="10"/>
            <color indexed="81"/>
            <rFont val="Tahoma"/>
            <family val="2"/>
          </rPr>
          <t xml:space="preserve">* Bucuresti Marfa Km Auto (Responses)
   2022-10-03 07:35:15 </t>
        </r>
        <r>
          <rPr>
            <b/>
            <sz val="10"/>
            <color indexed="81"/>
            <rFont val="Tahoma"/>
            <family val="2"/>
          </rPr>
          <t xml:space="preserve">= 5277 - Normal </t>
        </r>
        <r>
          <rPr>
            <sz val="10"/>
            <color indexed="81"/>
            <rFont val="Tahoma"/>
            <family val="2"/>
          </rPr>
          <t xml:space="preserve">* Bucuresti Marfa Km Auto (Responses)
</t>
        </r>
      </text>
    </comment>
    <comment ref="J19" authorId="0" shapeId="0" xr:uid="{14C6DD23-A8F0-4942-8B6D-A92EFB7B57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16:08:54 </t>
        </r>
        <r>
          <rPr>
            <b/>
            <sz val="10"/>
            <color indexed="81"/>
            <rFont val="Tahoma"/>
            <family val="2"/>
          </rPr>
          <t xml:space="preserve">= 3892 - Referinta </t>
        </r>
        <r>
          <rPr>
            <sz val="10"/>
            <color indexed="81"/>
            <rFont val="Tahoma"/>
            <family val="2"/>
          </rPr>
          <t xml:space="preserve">* Bucuresti Marfa Km Auto (Responses)
   2022-09-05 07:06:50 </t>
        </r>
        <r>
          <rPr>
            <b/>
            <sz val="10"/>
            <color indexed="81"/>
            <rFont val="Tahoma"/>
            <family val="2"/>
          </rPr>
          <t xml:space="preserve">= 3895 - Interes Serviciu </t>
        </r>
        <r>
          <rPr>
            <sz val="10"/>
            <color indexed="81"/>
            <rFont val="Tahoma"/>
            <family val="2"/>
          </rPr>
          <t xml:space="preserve">* Bucuresti Marfa Km Auto (Responses)
</t>
        </r>
      </text>
    </comment>
    <comment ref="O19" authorId="0" shapeId="0" xr:uid="{191889A4-106C-49EE-97D4-5904F2A124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16:20:48 </t>
        </r>
        <r>
          <rPr>
            <b/>
            <sz val="10"/>
            <color indexed="81"/>
            <rFont val="Tahoma"/>
            <family val="2"/>
          </rPr>
          <t xml:space="preserve">= 4223 - Referinta </t>
        </r>
        <r>
          <rPr>
            <sz val="10"/>
            <color indexed="81"/>
            <rFont val="Tahoma"/>
            <family val="2"/>
          </rPr>
          <t xml:space="preserve">* Bucuresti Marfa Km Auto (Responses)
   2022-09-12 06:57:59 </t>
        </r>
        <r>
          <rPr>
            <b/>
            <sz val="10"/>
            <color indexed="81"/>
            <rFont val="Tahoma"/>
            <family val="2"/>
          </rPr>
          <t xml:space="preserve">= 4223 - Interes serviciu </t>
        </r>
        <r>
          <rPr>
            <sz val="10"/>
            <color indexed="81"/>
            <rFont val="Tahoma"/>
            <family val="2"/>
          </rPr>
          <t xml:space="preserve">* Bucuresti Marfa Km Auto (Responses)
</t>
        </r>
      </text>
    </comment>
    <comment ref="T19" authorId="0" shapeId="0" xr:uid="{308A4500-11AD-4A4E-AD17-8AC4E8B3F4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__________________________________________________________________
</t>
        </r>
        <r>
          <rPr>
            <sz val="10"/>
            <color indexed="12"/>
            <rFont val="Tahoma"/>
            <family val="2"/>
          </rPr>
          <t xml:space="preserve">  </t>
        </r>
        <r>
          <rPr>
            <sz val="10"/>
            <color indexed="81"/>
            <rFont val="Tahoma"/>
            <family val="2"/>
          </rPr>
          <t xml:space="preserve"> 2022-09-16 15:55:32 </t>
        </r>
        <r>
          <rPr>
            <b/>
            <sz val="10"/>
            <color indexed="81"/>
            <rFont val="Tahoma"/>
            <family val="2"/>
          </rPr>
          <t xml:space="preserve">= 4581 - Referinta </t>
        </r>
        <r>
          <rPr>
            <sz val="10"/>
            <color indexed="81"/>
            <rFont val="Tahoma"/>
            <family val="2"/>
          </rPr>
          <t xml:space="preserve">* Bucuresti Marfa Km Auto (Responses)
   2022-09-19 07:05:29 </t>
        </r>
        <r>
          <rPr>
            <b/>
            <sz val="10"/>
            <color indexed="81"/>
            <rFont val="Tahoma"/>
            <family val="2"/>
          </rPr>
          <t xml:space="preserve">= 4581 - Normal </t>
        </r>
        <r>
          <rPr>
            <sz val="10"/>
            <color indexed="81"/>
            <rFont val="Tahoma"/>
            <family val="2"/>
          </rPr>
          <t xml:space="preserve">* Bucuresti Marfa Km Auto (Responses)
</t>
        </r>
      </text>
    </comment>
    <comment ref="Y19" authorId="0" shapeId="0" xr:uid="{7DE7AC6A-7C63-442E-A418-EBDAD97957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__________________________________________________________________
</t>
        </r>
        <r>
          <rPr>
            <sz val="10"/>
            <color indexed="12"/>
            <rFont val="Tahoma"/>
            <family val="2"/>
          </rPr>
          <t xml:space="preserve">  </t>
        </r>
        <r>
          <rPr>
            <sz val="10"/>
            <color indexed="81"/>
            <rFont val="Tahoma"/>
            <family val="2"/>
          </rPr>
          <t xml:space="preserve"> 2022-09-23 16:26:09 </t>
        </r>
        <r>
          <rPr>
            <b/>
            <sz val="10"/>
            <color indexed="81"/>
            <rFont val="Tahoma"/>
            <family val="2"/>
          </rPr>
          <t xml:space="preserve">= 4931 - Referinta </t>
        </r>
        <r>
          <rPr>
            <sz val="10"/>
            <color indexed="81"/>
            <rFont val="Tahoma"/>
            <family val="2"/>
          </rPr>
          <t xml:space="preserve">* Bucuresti Marfa Km Auto (Responses)
   2022-09-26 07:11:03 </t>
        </r>
        <r>
          <rPr>
            <b/>
            <sz val="10"/>
            <color indexed="81"/>
            <rFont val="Tahoma"/>
            <family val="2"/>
          </rPr>
          <t xml:space="preserve">= 4931 - Normal </t>
        </r>
        <r>
          <rPr>
            <sz val="10"/>
            <color indexed="81"/>
            <rFont val="Tahoma"/>
            <family val="2"/>
          </rPr>
          <t xml:space="preserve">* Bucuresti Marfa Km Auto (Responses)
</t>
        </r>
      </text>
    </comment>
    <comment ref="AD19" authorId="0" shapeId="0" xr:uid="{C4BAE65C-EAB9-4C5B-A599-D564165D14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__________________________________________________________________
</t>
        </r>
        <r>
          <rPr>
            <sz val="10"/>
            <color indexed="12"/>
            <rFont val="Tahoma"/>
            <family val="2"/>
          </rPr>
          <t xml:space="preserve">  </t>
        </r>
        <r>
          <rPr>
            <sz val="10"/>
            <color indexed="81"/>
            <rFont val="Tahoma"/>
            <family val="2"/>
          </rPr>
          <t xml:space="preserve"> 2022-09-30 16:35:20 </t>
        </r>
        <r>
          <rPr>
            <b/>
            <sz val="10"/>
            <color indexed="81"/>
            <rFont val="Tahoma"/>
            <family val="2"/>
          </rPr>
          <t xml:space="preserve">= 5217 - Referinta </t>
        </r>
        <r>
          <rPr>
            <sz val="10"/>
            <color indexed="81"/>
            <rFont val="Tahoma"/>
            <family val="2"/>
          </rPr>
          <t xml:space="preserve">* Bucuresti Marfa Km Auto (Responses)
   2022-10-03 08:23:31 </t>
        </r>
        <r>
          <rPr>
            <b/>
            <sz val="10"/>
            <color indexed="81"/>
            <rFont val="Tahoma"/>
            <family val="2"/>
          </rPr>
          <t xml:space="preserve">= 5217 - Normal </t>
        </r>
        <r>
          <rPr>
            <sz val="10"/>
            <color indexed="81"/>
            <rFont val="Tahoma"/>
            <family val="2"/>
          </rPr>
          <t xml:space="preserve">* Bucuresti Marfa Km Auto (Responses)
</t>
        </r>
      </text>
    </comment>
    <comment ref="J20" authorId="0" shapeId="0" xr:uid="{E9D4A349-75B0-4B28-84E7-004EAE0A6F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18:17:46 </t>
        </r>
        <r>
          <rPr>
            <b/>
            <sz val="10"/>
            <color indexed="81"/>
            <rFont val="Tahoma"/>
            <family val="2"/>
          </rPr>
          <t xml:space="preserve">= 5105 - Referinta </t>
        </r>
        <r>
          <rPr>
            <sz val="10"/>
            <color indexed="81"/>
            <rFont val="Tahoma"/>
            <family val="2"/>
          </rPr>
          <t xml:space="preserve">* Bucuresti Marfa Km Auto (Responses)
   2022-09-05 08:42:26 </t>
        </r>
        <r>
          <rPr>
            <b/>
            <sz val="10"/>
            <color indexed="81"/>
            <rFont val="Tahoma"/>
            <family val="2"/>
          </rPr>
          <t xml:space="preserve">= 5105 - Normal </t>
        </r>
        <r>
          <rPr>
            <sz val="10"/>
            <color indexed="81"/>
            <rFont val="Tahoma"/>
            <family val="2"/>
          </rPr>
          <t xml:space="preserve">* Bucuresti Marfa Km Auto (Responses)
</t>
        </r>
      </text>
    </comment>
    <comment ref="T20" authorId="0" shapeId="0" xr:uid="{40059FDE-896A-48BF-8BC6-9C7DBE3F071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__________________________________________________________________
</t>
        </r>
        <r>
          <rPr>
            <sz val="10"/>
            <color indexed="12"/>
            <rFont val="Tahoma"/>
            <family val="2"/>
          </rPr>
          <t xml:space="preserve">  </t>
        </r>
        <r>
          <rPr>
            <sz val="10"/>
            <color indexed="81"/>
            <rFont val="Tahoma"/>
            <family val="2"/>
          </rPr>
          <t xml:space="preserve"> 2022-09-16 17:21:53 </t>
        </r>
        <r>
          <rPr>
            <b/>
            <sz val="10"/>
            <color indexed="81"/>
            <rFont val="Tahoma"/>
            <family val="2"/>
          </rPr>
          <t xml:space="preserve">= 6098 - Referinta </t>
        </r>
        <r>
          <rPr>
            <sz val="10"/>
            <color indexed="81"/>
            <rFont val="Tahoma"/>
            <family val="2"/>
          </rPr>
          <t xml:space="preserve">* Bucuresti Marfa Km Auto (Responses)
   2022-09-19 08:38:21 </t>
        </r>
        <r>
          <rPr>
            <b/>
            <sz val="10"/>
            <color indexed="81"/>
            <rFont val="Tahoma"/>
            <family val="2"/>
          </rPr>
          <t xml:space="preserve">= 6098 - Normal </t>
        </r>
        <r>
          <rPr>
            <sz val="10"/>
            <color indexed="81"/>
            <rFont val="Tahoma"/>
            <family val="2"/>
          </rPr>
          <t xml:space="preserve">* Bucuresti Marfa Km Auto (Responses)
   2022-09-19 11:33:04 </t>
        </r>
        <r>
          <rPr>
            <b/>
            <sz val="10"/>
            <color indexed="81"/>
            <rFont val="Tahoma"/>
            <family val="2"/>
          </rPr>
          <t xml:space="preserve">= 6120 - Normal </t>
        </r>
        <r>
          <rPr>
            <sz val="10"/>
            <color indexed="81"/>
            <rFont val="Tahoma"/>
            <family val="2"/>
          </rPr>
          <t xml:space="preserve">* Bucuresti Marfa Km Auto (Responses)
</t>
        </r>
      </text>
    </comment>
    <comment ref="Y20" authorId="0" shapeId="0" xr:uid="{71AF01A3-EFD7-471B-BA70-C21CA30F03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__________________________________________________________________
</t>
        </r>
        <r>
          <rPr>
            <sz val="10"/>
            <color indexed="12"/>
            <rFont val="Tahoma"/>
            <family val="2"/>
          </rPr>
          <t xml:space="preserve">  </t>
        </r>
        <r>
          <rPr>
            <sz val="10"/>
            <color indexed="81"/>
            <rFont val="Tahoma"/>
            <family val="2"/>
          </rPr>
          <t xml:space="preserve"> 2022-09-23 19:33:08 </t>
        </r>
        <r>
          <rPr>
            <b/>
            <sz val="10"/>
            <color indexed="81"/>
            <rFont val="Tahoma"/>
            <family val="2"/>
          </rPr>
          <t xml:space="preserve">= 6627 - Referinta </t>
        </r>
        <r>
          <rPr>
            <sz val="10"/>
            <color indexed="81"/>
            <rFont val="Tahoma"/>
            <family val="2"/>
          </rPr>
          <t xml:space="preserve">* Bucuresti Marfa Km Auto (Responses)
   2022-09-26 08:42:17 </t>
        </r>
        <r>
          <rPr>
            <b/>
            <sz val="10"/>
            <color indexed="81"/>
            <rFont val="Tahoma"/>
            <family val="2"/>
          </rPr>
          <t xml:space="preserve">= 6627 - Normal </t>
        </r>
        <r>
          <rPr>
            <sz val="10"/>
            <color indexed="81"/>
            <rFont val="Tahoma"/>
            <family val="2"/>
          </rPr>
          <t xml:space="preserve">* Bucuresti Marfa Km Auto (Responses)
</t>
        </r>
      </text>
    </comment>
    <comment ref="AD20" authorId="0" shapeId="0" xr:uid="{66D75A0A-5D9A-46CA-A647-847F6694F2D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__________________________________________________________________
</t>
        </r>
        <r>
          <rPr>
            <sz val="10"/>
            <color indexed="12"/>
            <rFont val="Tahoma"/>
            <family val="2"/>
          </rPr>
          <t xml:space="preserve">  </t>
        </r>
        <r>
          <rPr>
            <sz val="10"/>
            <color indexed="81"/>
            <rFont val="Tahoma"/>
            <family val="2"/>
          </rPr>
          <t xml:space="preserve"> 2022-09-30 17:36:07 </t>
        </r>
        <r>
          <rPr>
            <b/>
            <sz val="10"/>
            <color indexed="81"/>
            <rFont val="Tahoma"/>
            <family val="2"/>
          </rPr>
          <t xml:space="preserve">= 6979 - Referinta </t>
        </r>
        <r>
          <rPr>
            <sz val="10"/>
            <color indexed="81"/>
            <rFont val="Tahoma"/>
            <family val="2"/>
          </rPr>
          <t xml:space="preserve">* Bucuresti Marfa Km Auto (Responses)
   2022-10-03 08:49:17 </t>
        </r>
        <r>
          <rPr>
            <b/>
            <sz val="10"/>
            <color indexed="81"/>
            <rFont val="Tahoma"/>
            <family val="2"/>
          </rPr>
          <t xml:space="preserve">= 6979 - Normal </t>
        </r>
        <r>
          <rPr>
            <sz val="10"/>
            <color indexed="81"/>
            <rFont val="Tahoma"/>
            <family val="2"/>
          </rPr>
          <t xml:space="preserve">* Bucuresti Marfa Km Auto (Responses)
</t>
        </r>
      </text>
    </comment>
    <comment ref="O21" authorId="0" shapeId="0" xr:uid="{9C4E9DFC-3585-4BFB-8E44-999DF5C2CB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Radu Paul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17:38:46 </t>
        </r>
        <r>
          <rPr>
            <b/>
            <sz val="10"/>
            <color indexed="81"/>
            <rFont val="Tahoma"/>
            <family val="2"/>
          </rPr>
          <t xml:space="preserve">= 5683 - Referinta </t>
        </r>
        <r>
          <rPr>
            <sz val="10"/>
            <color indexed="81"/>
            <rFont val="Tahoma"/>
            <family val="2"/>
          </rPr>
          <t xml:space="preserve">* Bucuresti Marfa Km Auto (Responses)
   2022-09-12 09:37:13 </t>
        </r>
        <r>
          <rPr>
            <b/>
            <sz val="10"/>
            <color indexed="81"/>
            <rFont val="Tahoma"/>
            <family val="2"/>
          </rPr>
          <t xml:space="preserve">= 5720 - Normal </t>
        </r>
        <r>
          <rPr>
            <sz val="10"/>
            <color indexed="81"/>
            <rFont val="Tahoma"/>
            <family val="2"/>
          </rPr>
          <t xml:space="preserve">* Bucuresti Marfa Km Auto (Responses)
</t>
        </r>
      </text>
    </comment>
    <comment ref="J22" authorId="0" shapeId="0" xr:uid="{E192A012-6491-4C71-8DA6-6BD0D87224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08:56:30 </t>
        </r>
        <r>
          <rPr>
            <b/>
            <sz val="10"/>
            <color indexed="81"/>
            <rFont val="Tahoma"/>
            <family val="2"/>
          </rPr>
          <t xml:space="preserve">= 107939 - Referinta </t>
        </r>
        <r>
          <rPr>
            <sz val="10"/>
            <color indexed="81"/>
            <rFont val="Tahoma"/>
            <family val="2"/>
          </rPr>
          <t xml:space="preserve">* Bucuresti Km Auto Vanzari (Responses)
   2022-09-05 08:57:24 </t>
        </r>
        <r>
          <rPr>
            <b/>
            <sz val="10"/>
            <color indexed="81"/>
            <rFont val="Tahoma"/>
            <family val="2"/>
          </rPr>
          <t xml:space="preserve">= 108024 - Normal </t>
        </r>
        <r>
          <rPr>
            <sz val="10"/>
            <color indexed="81"/>
            <rFont val="Tahoma"/>
            <family val="2"/>
          </rPr>
          <t xml:space="preserve">* Bucuresti Km Auto Vanzari (Responses)
</t>
        </r>
      </text>
    </comment>
    <comment ref="O22" authorId="0" shapeId="0" xr:uid="{93BCFACC-3EFA-4BEC-8C4F-57BF6328AC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__________________________________________________________________
</t>
        </r>
        <r>
          <rPr>
            <sz val="10"/>
            <color indexed="12"/>
            <rFont val="Tahoma"/>
            <family val="2"/>
          </rPr>
          <t xml:space="preserve">  </t>
        </r>
        <r>
          <rPr>
            <sz val="10"/>
            <color indexed="81"/>
            <rFont val="Tahoma"/>
            <family val="2"/>
          </rPr>
          <t xml:space="preserve"> 2022-09-09 03:30:00 </t>
        </r>
        <r>
          <rPr>
            <b/>
            <sz val="10"/>
            <color indexed="81"/>
            <rFont val="Tahoma"/>
            <family val="2"/>
          </rPr>
          <t xml:space="preserve">= 108180 - Referinta </t>
        </r>
        <r>
          <rPr>
            <sz val="10"/>
            <color indexed="81"/>
            <rFont val="Tahoma"/>
            <family val="2"/>
          </rPr>
          <t xml:space="preserve">* Bucuresti Km Auto Vanzari (Responses)
   2022-09-12 08:00:00 </t>
        </r>
        <r>
          <rPr>
            <b/>
            <sz val="10"/>
            <color indexed="81"/>
            <rFont val="Tahoma"/>
            <family val="2"/>
          </rPr>
          <t xml:space="preserve">= 108239 - Normal </t>
        </r>
        <r>
          <rPr>
            <sz val="10"/>
            <color indexed="81"/>
            <rFont val="Tahoma"/>
            <family val="2"/>
          </rPr>
          <t xml:space="preserve">* Bucuresti Km Auto Vanzari (Responses)
</t>
        </r>
      </text>
    </comment>
    <comment ref="T22" authorId="0" shapeId="0" xr:uid="{8DEBD99A-5731-44E8-A60D-A5EBC723CC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__________________________________________________________________
</t>
        </r>
        <r>
          <rPr>
            <sz val="10"/>
            <color indexed="12"/>
            <rFont val="Tahoma"/>
            <family val="2"/>
          </rPr>
          <t xml:space="preserve">  </t>
        </r>
        <r>
          <rPr>
            <sz val="10"/>
            <color indexed="81"/>
            <rFont val="Tahoma"/>
            <family val="2"/>
          </rPr>
          <t xml:space="preserve"> 2022-09-17 11:00:00 </t>
        </r>
        <r>
          <rPr>
            <b/>
            <sz val="10"/>
            <color indexed="81"/>
            <rFont val="Tahoma"/>
            <family val="2"/>
          </rPr>
          <t xml:space="preserve">= 108394 - Referinta </t>
        </r>
        <r>
          <rPr>
            <sz val="10"/>
            <color indexed="81"/>
            <rFont val="Tahoma"/>
            <family val="2"/>
          </rPr>
          <t xml:space="preserve">* Bucuresti Km Auto Vanzari (Responses)
   2022-09-19 08:05:00 </t>
        </r>
        <r>
          <rPr>
            <b/>
            <sz val="10"/>
            <color indexed="81"/>
            <rFont val="Tahoma"/>
            <family val="2"/>
          </rPr>
          <t xml:space="preserve">= 108411 - Normal </t>
        </r>
        <r>
          <rPr>
            <sz val="10"/>
            <color indexed="81"/>
            <rFont val="Tahoma"/>
            <family val="2"/>
          </rPr>
          <t xml:space="preserve">* Bucuresti Km Auto Vanzari (Responses)
</t>
        </r>
      </text>
    </comment>
    <comment ref="Y22" authorId="0" shapeId="0" xr:uid="{3CA4EE7A-4AEF-418A-95CD-38CBC015369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__________________________________________________________________
</t>
        </r>
        <r>
          <rPr>
            <sz val="10"/>
            <color indexed="12"/>
            <rFont val="Tahoma"/>
            <family val="2"/>
          </rPr>
          <t xml:space="preserve">  </t>
        </r>
        <r>
          <rPr>
            <sz val="10"/>
            <color indexed="81"/>
            <rFont val="Tahoma"/>
            <family val="2"/>
          </rPr>
          <t xml:space="preserve"> 2022-09-23 07:00:00 </t>
        </r>
        <r>
          <rPr>
            <b/>
            <sz val="10"/>
            <color indexed="81"/>
            <rFont val="Tahoma"/>
            <family val="2"/>
          </rPr>
          <t xml:space="preserve">= 108600 - Referinta </t>
        </r>
        <r>
          <rPr>
            <sz val="10"/>
            <color indexed="81"/>
            <rFont val="Tahoma"/>
            <family val="2"/>
          </rPr>
          <t xml:space="preserve">* Bucuresti Km Auto Vanzari (Responses)
   2022-09-26 10:00:00 </t>
        </r>
        <r>
          <rPr>
            <b/>
            <sz val="10"/>
            <color indexed="81"/>
            <rFont val="Tahoma"/>
            <family val="2"/>
          </rPr>
          <t xml:space="preserve">= 108617 - Normal </t>
        </r>
        <r>
          <rPr>
            <sz val="10"/>
            <color indexed="81"/>
            <rFont val="Tahoma"/>
            <family val="2"/>
          </rPr>
          <t xml:space="preserve">* Bucuresti Km Auto Vanzari (Responses)
</t>
        </r>
      </text>
    </comment>
    <comment ref="AD22" authorId="0" shapeId="0" xr:uid="{78DF1F1C-1DD4-46E8-8381-A0020EC6B24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09:00:00 </t>
        </r>
        <r>
          <rPr>
            <b/>
            <sz val="10"/>
            <color indexed="81"/>
            <rFont val="Tahoma"/>
            <family val="2"/>
          </rPr>
          <t xml:space="preserve">= 108848 - Referinta </t>
        </r>
        <r>
          <rPr>
            <sz val="10"/>
            <color indexed="81"/>
            <rFont val="Tahoma"/>
            <family val="2"/>
          </rPr>
          <t xml:space="preserve">* Bucuresti Km Auto Vanzari (Responses)
</t>
        </r>
      </text>
    </comment>
    <comment ref="J23" authorId="0" shapeId="0" xr:uid="{F9ABBFF3-B0A0-4340-92AD-213C47C522D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2022-09-06 08:11:48 </t>
        </r>
        <r>
          <rPr>
            <b/>
            <sz val="10"/>
            <color indexed="81"/>
            <rFont val="Tahoma"/>
            <family val="2"/>
          </rPr>
          <t xml:space="preserve">= 30135 - Referinta </t>
        </r>
        <r>
          <rPr>
            <sz val="10"/>
            <color indexed="81"/>
            <rFont val="Tahoma"/>
            <family val="2"/>
          </rPr>
          <t xml:space="preserve">* Bucuresti Marfa Km Auto (Responses)
</t>
        </r>
      </text>
    </comment>
    <comment ref="O23" authorId="0" shapeId="0" xr:uid="{EBA522E2-C7FC-4151-B8C7-33A82E8AA1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20:49:38 </t>
        </r>
        <r>
          <rPr>
            <b/>
            <sz val="10"/>
            <color indexed="81"/>
            <rFont val="Tahoma"/>
            <family val="2"/>
          </rPr>
          <t xml:space="preserve">= 30676 - Referinta </t>
        </r>
        <r>
          <rPr>
            <sz val="10"/>
            <color indexed="81"/>
            <rFont val="Tahoma"/>
            <family val="2"/>
          </rPr>
          <t xml:space="preserve">* Bucuresti Marfa Km Auto (Responses)
   2022-09-12 07:44:56 </t>
        </r>
        <r>
          <rPr>
            <b/>
            <sz val="10"/>
            <color indexed="81"/>
            <rFont val="Tahoma"/>
            <family val="2"/>
          </rPr>
          <t xml:space="preserve">= 30676 - Normal </t>
        </r>
        <r>
          <rPr>
            <sz val="10"/>
            <color indexed="81"/>
            <rFont val="Tahoma"/>
            <family val="2"/>
          </rPr>
          <t xml:space="preserve">* Bucuresti Marfa Km Auto (Responses)
</t>
        </r>
      </text>
    </comment>
    <comment ref="T23" authorId="0" shapeId="0" xr:uid="{532A14E6-7764-455A-9B42-65F788B640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07:43:37 </t>
        </r>
        <r>
          <rPr>
            <b/>
            <sz val="10"/>
            <color indexed="81"/>
            <rFont val="Tahoma"/>
            <family val="2"/>
          </rPr>
          <t xml:space="preserve">= 30922 - Referinta </t>
        </r>
        <r>
          <rPr>
            <sz val="10"/>
            <color indexed="81"/>
            <rFont val="Tahoma"/>
            <family val="2"/>
          </rPr>
          <t xml:space="preserve">* Bucuresti Marfa Km Auto (Responses)
</t>
        </r>
      </text>
    </comment>
    <comment ref="Y23" authorId="0" shapeId="0" xr:uid="{2CAE786B-EDB2-40BE-9B45-8BF686FDE3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2022-09-26 08:30:55 </t>
        </r>
        <r>
          <rPr>
            <b/>
            <sz val="10"/>
            <color indexed="81"/>
            <rFont val="Tahoma"/>
            <family val="2"/>
          </rPr>
          <t xml:space="preserve">= 31513 - Referinta </t>
        </r>
        <r>
          <rPr>
            <sz val="10"/>
            <color indexed="81"/>
            <rFont val="Tahoma"/>
            <family val="2"/>
          </rPr>
          <t xml:space="preserve">* Bucuresti Marfa Km Auto (Responses)
   2022-09-26 08:35:00 </t>
        </r>
        <r>
          <rPr>
            <b/>
            <sz val="10"/>
            <color indexed="81"/>
            <rFont val="Tahoma"/>
            <family val="2"/>
          </rPr>
          <t xml:space="preserve">= 31513 - Normal </t>
        </r>
        <r>
          <rPr>
            <sz val="10"/>
            <color indexed="81"/>
            <rFont val="Tahoma"/>
            <family val="2"/>
          </rPr>
          <t xml:space="preserve">* Bucuresti Marfa Km Auto (Responses)
</t>
        </r>
      </text>
    </comment>
    <comment ref="AD23" authorId="0" shapeId="0" xr:uid="{8D77E324-F522-43B4-A8DE-7698517857B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__________________________________________________________________
</t>
        </r>
        <r>
          <rPr>
            <sz val="10"/>
            <color indexed="12"/>
            <rFont val="Tahoma"/>
            <family val="2"/>
          </rPr>
          <t xml:space="preserve">  </t>
        </r>
        <r>
          <rPr>
            <sz val="10"/>
            <color indexed="81"/>
            <rFont val="Tahoma"/>
            <family val="2"/>
          </rPr>
          <t xml:space="preserve"> 2022-10-01 15:57:05 </t>
        </r>
        <r>
          <rPr>
            <b/>
            <sz val="10"/>
            <color indexed="81"/>
            <rFont val="Tahoma"/>
            <family val="2"/>
          </rPr>
          <t xml:space="preserve">= 32485 - Referinta </t>
        </r>
        <r>
          <rPr>
            <sz val="10"/>
            <color indexed="81"/>
            <rFont val="Tahoma"/>
            <family val="2"/>
          </rPr>
          <t xml:space="preserve">* Bucuresti Marfa Km Auto (Responses)
   2022-10-03 07:51:23 </t>
        </r>
        <r>
          <rPr>
            <b/>
            <sz val="10"/>
            <color indexed="81"/>
            <rFont val="Tahoma"/>
            <family val="2"/>
          </rPr>
          <t xml:space="preserve">= 32485 - Normal </t>
        </r>
        <r>
          <rPr>
            <sz val="10"/>
            <color indexed="81"/>
            <rFont val="Tahoma"/>
            <family val="2"/>
          </rPr>
          <t xml:space="preserve">* Bucuresti Marfa Km Auto (Responses)
</t>
        </r>
      </text>
    </comment>
    <comment ref="O24" authorId="0" shapeId="0" xr:uid="{DF8B40BA-F5BB-4C99-813E-851EF2C3D7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__________________________________________________________________
</t>
        </r>
        <r>
          <rPr>
            <sz val="10"/>
            <color indexed="12"/>
            <rFont val="Tahoma"/>
            <family val="2"/>
          </rPr>
          <t xml:space="preserve">  </t>
        </r>
        <r>
          <rPr>
            <sz val="10"/>
            <color indexed="81"/>
            <rFont val="Tahoma"/>
            <family val="2"/>
          </rPr>
          <t xml:space="preserve"> 2022-09-09 03:30:00 </t>
        </r>
        <r>
          <rPr>
            <b/>
            <sz val="10"/>
            <color indexed="81"/>
            <rFont val="Tahoma"/>
            <family val="2"/>
          </rPr>
          <t xml:space="preserve">= 129037 - Referinta </t>
        </r>
        <r>
          <rPr>
            <sz val="10"/>
            <color indexed="81"/>
            <rFont val="Tahoma"/>
            <family val="2"/>
          </rPr>
          <t xml:space="preserve">* Bucuresti Marfa Km Auto (Responses)
   2022-09-12 07:50:00 </t>
        </r>
        <r>
          <rPr>
            <b/>
            <sz val="10"/>
            <color indexed="81"/>
            <rFont val="Tahoma"/>
            <family val="2"/>
          </rPr>
          <t xml:space="preserve">= 129037 - Normal </t>
        </r>
        <r>
          <rPr>
            <sz val="10"/>
            <color indexed="81"/>
            <rFont val="Tahoma"/>
            <family val="2"/>
          </rPr>
          <t xml:space="preserve">* Bucuresti Marfa Km Auto (Responses)
</t>
        </r>
      </text>
    </comment>
    <comment ref="T24" authorId="0" shapeId="0" xr:uid="{373B66CD-CA96-4229-93D8-C76CD444A4D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__________________________________________________________________
</t>
        </r>
        <r>
          <rPr>
            <sz val="10"/>
            <color indexed="12"/>
            <rFont val="Tahoma"/>
            <family val="2"/>
          </rPr>
          <t xml:space="preserve">  </t>
        </r>
        <r>
          <rPr>
            <sz val="10"/>
            <color indexed="81"/>
            <rFont val="Tahoma"/>
            <family val="2"/>
          </rPr>
          <t xml:space="preserve"> 2022-09-17 20:53:24 </t>
        </r>
        <r>
          <rPr>
            <b/>
            <sz val="10"/>
            <color indexed="81"/>
            <rFont val="Tahoma"/>
            <family val="2"/>
          </rPr>
          <t xml:space="preserve">= 129270 - Referinta </t>
        </r>
        <r>
          <rPr>
            <sz val="10"/>
            <color indexed="81"/>
            <rFont val="Tahoma"/>
            <family val="2"/>
          </rPr>
          <t xml:space="preserve">* Bucuresti Marfa Km Auto (Responses)
</t>
        </r>
      </text>
    </comment>
    <comment ref="Y24" authorId="0" shapeId="0" xr:uid="{52D3249E-F573-4820-9A31-21E79395D6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04:00:00 </t>
        </r>
        <r>
          <rPr>
            <b/>
            <sz val="10"/>
            <color indexed="81"/>
            <rFont val="Tahoma"/>
            <family val="2"/>
          </rPr>
          <t xml:space="preserve">= 129535 - Referinta </t>
        </r>
        <r>
          <rPr>
            <sz val="10"/>
            <color indexed="81"/>
            <rFont val="Tahoma"/>
            <family val="2"/>
          </rPr>
          <t xml:space="preserve">* Bucuresti Marfa Km Auto (Responses)
   2022-09-26 08:00:00 </t>
        </r>
        <r>
          <rPr>
            <b/>
            <sz val="10"/>
            <color indexed="81"/>
            <rFont val="Tahoma"/>
            <family val="2"/>
          </rPr>
          <t xml:space="preserve">= 129535 - Normal </t>
        </r>
        <r>
          <rPr>
            <sz val="10"/>
            <color indexed="81"/>
            <rFont val="Tahoma"/>
            <family val="2"/>
          </rPr>
          <t xml:space="preserve">* Bucuresti Marfa Km Auto (Responses)
</t>
        </r>
      </text>
    </comment>
    <comment ref="AD24" authorId="0" shapeId="0" xr:uid="{F6A7112C-0F08-4320-BA7B-F052A3BBC0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07:46:24 </t>
        </r>
        <r>
          <rPr>
            <b/>
            <sz val="10"/>
            <color indexed="81"/>
            <rFont val="Tahoma"/>
            <family val="2"/>
          </rPr>
          <t xml:space="preserve">= 129750 - Referinta </t>
        </r>
        <r>
          <rPr>
            <sz val="10"/>
            <color indexed="81"/>
            <rFont val="Tahoma"/>
            <family val="2"/>
          </rPr>
          <t xml:space="preserve">* Bucuresti Marfa Km Auto (Responses)
</t>
        </r>
      </text>
    </comment>
    <comment ref="J25" authorId="0" shapeId="0" xr:uid="{C78494DE-84C4-473C-84C3-C6223A4556D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15:38:31 </t>
        </r>
        <r>
          <rPr>
            <b/>
            <sz val="10"/>
            <color indexed="81"/>
            <rFont val="Tahoma"/>
            <family val="2"/>
          </rPr>
          <t xml:space="preserve">= 60485 - Referinta </t>
        </r>
        <r>
          <rPr>
            <sz val="10"/>
            <color indexed="81"/>
            <rFont val="Tahoma"/>
            <family val="2"/>
          </rPr>
          <t xml:space="preserve">* Bucuresti Km Auto Vanzari (Responses)
   2022-09-05 07:35:45 </t>
        </r>
        <r>
          <rPr>
            <b/>
            <sz val="10"/>
            <color indexed="81"/>
            <rFont val="Tahoma"/>
            <family val="2"/>
          </rPr>
          <t xml:space="preserve">= 60825 - Normal </t>
        </r>
        <r>
          <rPr>
            <sz val="10"/>
            <color indexed="81"/>
            <rFont val="Tahoma"/>
            <family val="2"/>
          </rPr>
          <t xml:space="preserve">* Bucuresti Km Auto Vanzari (Responses)
</t>
        </r>
      </text>
    </comment>
    <comment ref="O25" authorId="0" shapeId="0" xr:uid="{2E1DF54E-E22F-4D11-B92B-CF06B44E17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05:00:00 </t>
        </r>
        <r>
          <rPr>
            <b/>
            <sz val="10"/>
            <color indexed="81"/>
            <rFont val="Tahoma"/>
            <family val="2"/>
          </rPr>
          <t xml:space="preserve">= 61089 - Referinta </t>
        </r>
        <r>
          <rPr>
            <sz val="10"/>
            <color indexed="81"/>
            <rFont val="Tahoma"/>
            <family val="2"/>
          </rPr>
          <t xml:space="preserve">* Bucuresti Km Auto Vanzari (Responses)
   2022-09-12 07:30:00 </t>
        </r>
        <r>
          <rPr>
            <b/>
            <sz val="10"/>
            <color indexed="81"/>
            <rFont val="Tahoma"/>
            <family val="2"/>
          </rPr>
          <t xml:space="preserve">= 61287 - Normal </t>
        </r>
        <r>
          <rPr>
            <sz val="10"/>
            <color indexed="81"/>
            <rFont val="Tahoma"/>
            <family val="2"/>
          </rPr>
          <t xml:space="preserve">* Bucuresti Km Auto Vanzari (Responses)
</t>
        </r>
      </text>
    </comment>
    <comment ref="AD25" authorId="0" shapeId="0" xr:uid="{48259552-DD9C-46F3-846D-1D7E87741F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03:30:00 </t>
        </r>
        <r>
          <rPr>
            <b/>
            <sz val="10"/>
            <color indexed="81"/>
            <rFont val="Tahoma"/>
            <family val="2"/>
          </rPr>
          <t xml:space="preserve">= 62464 - Referinta </t>
        </r>
        <r>
          <rPr>
            <sz val="10"/>
            <color indexed="81"/>
            <rFont val="Tahoma"/>
            <family val="2"/>
          </rPr>
          <t xml:space="preserve">* Bucuresti Km Auto Vanzari (Responses)
   2022-10-03 07:35:00 </t>
        </r>
        <r>
          <rPr>
            <b/>
            <sz val="10"/>
            <color indexed="81"/>
            <rFont val="Tahoma"/>
            <family val="2"/>
          </rPr>
          <t xml:space="preserve">= 62791 - Normal </t>
        </r>
        <r>
          <rPr>
            <sz val="10"/>
            <color indexed="81"/>
            <rFont val="Tahoma"/>
            <family val="2"/>
          </rPr>
          <t xml:space="preserve">* Bucuresti Km Auto Vanzari (Responses)
</t>
        </r>
      </text>
    </comment>
    <comment ref="J26" authorId="0" shapeId="0" xr:uid="{F416ABF9-0B43-45CA-B077-4C817BBDB7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17:07:49 </t>
        </r>
        <r>
          <rPr>
            <b/>
            <sz val="10"/>
            <color indexed="81"/>
            <rFont val="Tahoma"/>
            <family val="2"/>
          </rPr>
          <t xml:space="preserve">= 22165 - Referinta </t>
        </r>
        <r>
          <rPr>
            <sz val="10"/>
            <color indexed="81"/>
            <rFont val="Tahoma"/>
            <family val="2"/>
          </rPr>
          <t xml:space="preserve">* Bucuresti Marfa Km Auto (Responses)
   2022-09-05 10:51:02 </t>
        </r>
        <r>
          <rPr>
            <b/>
            <sz val="10"/>
            <color indexed="81"/>
            <rFont val="Tahoma"/>
            <family val="2"/>
          </rPr>
          <t xml:space="preserve">= 22165 - Normal </t>
        </r>
        <r>
          <rPr>
            <sz val="10"/>
            <color indexed="81"/>
            <rFont val="Tahoma"/>
            <family val="2"/>
          </rPr>
          <t xml:space="preserve">* Bucuresti Marfa Km Auto (Responses)
</t>
        </r>
      </text>
    </comment>
    <comment ref="O26" authorId="0" shapeId="0" xr:uid="{64484917-D07E-48C6-9299-161F4A3B03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14:42:47 </t>
        </r>
        <r>
          <rPr>
            <b/>
            <sz val="10"/>
            <color indexed="81"/>
            <rFont val="Tahoma"/>
            <family val="2"/>
          </rPr>
          <t xml:space="preserve">= 22476 - Referinta </t>
        </r>
        <r>
          <rPr>
            <sz val="10"/>
            <color indexed="81"/>
            <rFont val="Tahoma"/>
            <family val="2"/>
          </rPr>
          <t xml:space="preserve">* Bucuresti Marfa Km Auto (Responses)
   2022-09-12 08:24:02 </t>
        </r>
        <r>
          <rPr>
            <b/>
            <sz val="10"/>
            <color indexed="81"/>
            <rFont val="Tahoma"/>
            <family val="2"/>
          </rPr>
          <t xml:space="preserve">= 22476 - Normal </t>
        </r>
        <r>
          <rPr>
            <sz val="10"/>
            <color indexed="81"/>
            <rFont val="Tahoma"/>
            <family val="2"/>
          </rPr>
          <t xml:space="preserve">* Bucuresti Marfa Km Auto (Responses)
</t>
        </r>
      </text>
    </comment>
    <comment ref="T26" authorId="0" shapeId="0" xr:uid="{24AD8EA0-D7D3-40DF-8C1E-456F2C6416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03:30:00 </t>
        </r>
        <r>
          <rPr>
            <b/>
            <sz val="10"/>
            <color indexed="81"/>
            <rFont val="Tahoma"/>
            <family val="2"/>
          </rPr>
          <t xml:space="preserve">= 23209 - Referinta </t>
        </r>
        <r>
          <rPr>
            <sz val="10"/>
            <color indexed="81"/>
            <rFont val="Tahoma"/>
            <family val="2"/>
          </rPr>
          <t xml:space="preserve">* Bucuresti Marfa Km Auto (Responses)
   2022-09-19 09:18:47 </t>
        </r>
        <r>
          <rPr>
            <b/>
            <sz val="10"/>
            <color indexed="81"/>
            <rFont val="Tahoma"/>
            <family val="2"/>
          </rPr>
          <t xml:space="preserve">= 23209 - Normal </t>
        </r>
        <r>
          <rPr>
            <sz val="10"/>
            <color indexed="81"/>
            <rFont val="Tahoma"/>
            <family val="2"/>
          </rPr>
          <t xml:space="preserve">* Bucuresti Marfa Km Auto (Responses)
</t>
        </r>
      </text>
    </comment>
    <comment ref="Y26" authorId="0" shapeId="0" xr:uid="{DABB8CB3-453C-41E0-80B3-AC0A07F3C9A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__________________________________________________________________
</t>
        </r>
        <r>
          <rPr>
            <sz val="10"/>
            <color indexed="12"/>
            <rFont val="Tahoma"/>
            <family val="2"/>
          </rPr>
          <t xml:space="preserve">  </t>
        </r>
        <r>
          <rPr>
            <sz val="10"/>
            <color indexed="81"/>
            <rFont val="Tahoma"/>
            <family val="2"/>
          </rPr>
          <t xml:space="preserve"> 2022-09-23 03:30:00 </t>
        </r>
        <r>
          <rPr>
            <b/>
            <sz val="10"/>
            <color indexed="81"/>
            <rFont val="Tahoma"/>
            <family val="2"/>
          </rPr>
          <t xml:space="preserve">= 23765 - Referinta </t>
        </r>
        <r>
          <rPr>
            <sz val="10"/>
            <color indexed="81"/>
            <rFont val="Tahoma"/>
            <family val="2"/>
          </rPr>
          <t xml:space="preserve">* Bucuresti Marfa Km Auto (Responses)
   2022-09-26 09:30:00 </t>
        </r>
        <r>
          <rPr>
            <b/>
            <sz val="10"/>
            <color indexed="81"/>
            <rFont val="Tahoma"/>
            <family val="2"/>
          </rPr>
          <t xml:space="preserve">= 23765 - Normal </t>
        </r>
        <r>
          <rPr>
            <sz val="10"/>
            <color indexed="81"/>
            <rFont val="Tahoma"/>
            <family val="2"/>
          </rPr>
          <t xml:space="preserve">* Bucuresti Marfa Km Auto (Responses)
</t>
        </r>
      </text>
    </comment>
    <comment ref="AD27" authorId="0" shapeId="0" xr:uid="{4368995F-E291-49EC-A4CE-AED9544378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Barascu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08:25:00 </t>
        </r>
        <r>
          <rPr>
            <b/>
            <sz val="10"/>
            <color indexed="81"/>
            <rFont val="Tahoma"/>
            <family val="2"/>
          </rPr>
          <t xml:space="preserve">= 46045 - Referinta </t>
        </r>
        <r>
          <rPr>
            <sz val="10"/>
            <color indexed="81"/>
            <rFont val="Tahoma"/>
            <family val="2"/>
          </rPr>
          <t xml:space="preserve">* Bucuresti Marfa Km Auto (Responses)
</t>
        </r>
      </text>
    </comment>
    <comment ref="T28" authorId="0" shapeId="0" xr:uid="{1E944A9F-B931-4B73-9D0A-FD12A36C6C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Radu Paul : 
__________________________________________________________________
</t>
        </r>
        <r>
          <rPr>
            <sz val="10"/>
            <color indexed="12"/>
            <rFont val="Tahoma"/>
            <family val="2"/>
          </rPr>
          <t xml:space="preserve">  </t>
        </r>
        <r>
          <rPr>
            <sz val="10"/>
            <color indexed="81"/>
            <rFont val="Tahoma"/>
            <family val="2"/>
          </rPr>
          <t xml:space="preserve"> 2022-09-16 16:42:52 </t>
        </r>
        <r>
          <rPr>
            <b/>
            <sz val="10"/>
            <color indexed="81"/>
            <rFont val="Tahoma"/>
            <family val="2"/>
          </rPr>
          <t xml:space="preserve">= 45569 - Referinta </t>
        </r>
        <r>
          <rPr>
            <sz val="10"/>
            <color indexed="81"/>
            <rFont val="Tahoma"/>
            <family val="2"/>
          </rPr>
          <t xml:space="preserve">* Bucuresti Marfa Km Auto (Responses)
   2022-09-19 09:02:42 </t>
        </r>
        <r>
          <rPr>
            <b/>
            <sz val="10"/>
            <color indexed="81"/>
            <rFont val="Tahoma"/>
            <family val="2"/>
          </rPr>
          <t xml:space="preserve">= 45593 - Normal </t>
        </r>
        <r>
          <rPr>
            <sz val="10"/>
            <color indexed="81"/>
            <rFont val="Tahoma"/>
            <family val="2"/>
          </rPr>
          <t xml:space="preserve">* Bucuresti Marfa Km Auto (Responses)
</t>
        </r>
      </text>
    </comment>
    <comment ref="J29" authorId="0" shapeId="0" xr:uid="{DC2215F4-527D-42C3-84F6-F30607A11A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15:07:59 </t>
        </r>
        <r>
          <rPr>
            <b/>
            <sz val="10"/>
            <color indexed="81"/>
            <rFont val="Tahoma"/>
            <family val="2"/>
          </rPr>
          <t xml:space="preserve">= 20859 - Referinta </t>
        </r>
        <r>
          <rPr>
            <sz val="10"/>
            <color indexed="81"/>
            <rFont val="Tahoma"/>
            <family val="2"/>
          </rPr>
          <t xml:space="preserve">* Bucuresti Marfa Km Auto (Responses)
   2022-09-05 06:53:22 </t>
        </r>
        <r>
          <rPr>
            <b/>
            <sz val="10"/>
            <color indexed="81"/>
            <rFont val="Tahoma"/>
            <family val="2"/>
          </rPr>
          <t xml:space="preserve">= 20859 - Normal </t>
        </r>
        <r>
          <rPr>
            <sz val="10"/>
            <color indexed="81"/>
            <rFont val="Tahoma"/>
            <family val="2"/>
          </rPr>
          <t xml:space="preserve">* Bucuresti Marfa Km Auto (Responses)
</t>
        </r>
      </text>
    </comment>
    <comment ref="O29" authorId="0" shapeId="0" xr:uid="{7A07E6B8-1507-4811-B91C-8E7D84E309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03:00:00 </t>
        </r>
        <r>
          <rPr>
            <b/>
            <sz val="10"/>
            <color indexed="81"/>
            <rFont val="Tahoma"/>
            <family val="2"/>
          </rPr>
          <t xml:space="preserve">= 21149 - Referinta </t>
        </r>
        <r>
          <rPr>
            <sz val="10"/>
            <color indexed="81"/>
            <rFont val="Tahoma"/>
            <family val="2"/>
          </rPr>
          <t xml:space="preserve">* Bucuresti Marfa Km Auto (Responses)
   2022-09-12 07:51:00 </t>
        </r>
        <r>
          <rPr>
            <b/>
            <sz val="10"/>
            <color indexed="81"/>
            <rFont val="Tahoma"/>
            <family val="2"/>
          </rPr>
          <t xml:space="preserve">= 21149 - Normal </t>
        </r>
        <r>
          <rPr>
            <sz val="10"/>
            <color indexed="81"/>
            <rFont val="Tahoma"/>
            <family val="2"/>
          </rPr>
          <t xml:space="preserve">* Bucuresti Marfa Km Auto (Responses)
</t>
        </r>
      </text>
    </comment>
    <comment ref="T29" authorId="0" shapeId="0" xr:uid="{D56AC70B-01BD-4FB3-B0FA-6A6D52AFC4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__________________________________________________________________
</t>
        </r>
        <r>
          <rPr>
            <sz val="10"/>
            <color indexed="12"/>
            <rFont val="Tahoma"/>
            <family val="2"/>
          </rPr>
          <t xml:space="preserve">  </t>
        </r>
        <r>
          <rPr>
            <sz val="10"/>
            <color indexed="81"/>
            <rFont val="Tahoma"/>
            <family val="2"/>
          </rPr>
          <t xml:space="preserve"> 2022-09-16 03:10:00 </t>
        </r>
        <r>
          <rPr>
            <b/>
            <sz val="10"/>
            <color indexed="81"/>
            <rFont val="Tahoma"/>
            <family val="2"/>
          </rPr>
          <t xml:space="preserve">= 21485 - Referinta </t>
        </r>
        <r>
          <rPr>
            <sz val="10"/>
            <color indexed="81"/>
            <rFont val="Tahoma"/>
            <family val="2"/>
          </rPr>
          <t xml:space="preserve">* Bucuresti Marfa Km Auto (Responses)
   2022-09-19 07:00:00 </t>
        </r>
        <r>
          <rPr>
            <b/>
            <sz val="10"/>
            <color indexed="81"/>
            <rFont val="Tahoma"/>
            <family val="2"/>
          </rPr>
          <t xml:space="preserve">= 21485 - Normal </t>
        </r>
        <r>
          <rPr>
            <sz val="10"/>
            <color indexed="81"/>
            <rFont val="Tahoma"/>
            <family val="2"/>
          </rPr>
          <t xml:space="preserve">* Bucuresti Marfa Km Auto (Responses)
</t>
        </r>
      </text>
    </comment>
    <comment ref="AD29" authorId="0" shapeId="0" xr:uid="{FD607491-D673-4248-BDF2-B0B8EC86DE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__________________________________________________________________
</t>
        </r>
        <r>
          <rPr>
            <sz val="10"/>
            <color indexed="12"/>
            <rFont val="Tahoma"/>
            <family val="2"/>
          </rPr>
          <t xml:space="preserve">  </t>
        </r>
        <r>
          <rPr>
            <sz val="10"/>
            <color indexed="81"/>
            <rFont val="Tahoma"/>
            <family val="2"/>
          </rPr>
          <t xml:space="preserve"> 2022-09-30 15:10:54 </t>
        </r>
        <r>
          <rPr>
            <b/>
            <sz val="10"/>
            <color indexed="81"/>
            <rFont val="Tahoma"/>
            <family val="2"/>
          </rPr>
          <t xml:space="preserve">= 21818 - Referinta </t>
        </r>
        <r>
          <rPr>
            <sz val="10"/>
            <color indexed="81"/>
            <rFont val="Tahoma"/>
            <family val="2"/>
          </rPr>
          <t xml:space="preserve">* Bucuresti Marfa Km Auto (Responses)
   2022-10-03 06:59:57 </t>
        </r>
        <r>
          <rPr>
            <b/>
            <sz val="10"/>
            <color indexed="81"/>
            <rFont val="Tahoma"/>
            <family val="2"/>
          </rPr>
          <t xml:space="preserve">= 21818 - Normal </t>
        </r>
        <r>
          <rPr>
            <sz val="10"/>
            <color indexed="81"/>
            <rFont val="Tahoma"/>
            <family val="2"/>
          </rPr>
          <t xml:space="preserve">* Bucuresti Marfa Km Auto (Responses)
</t>
        </r>
      </text>
    </comment>
    <comment ref="T30" authorId="0" shapeId="0" xr:uid="{E67D45A9-743F-4310-B038-B88543428D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17:17:26 </t>
        </r>
        <r>
          <rPr>
            <b/>
            <sz val="10"/>
            <color indexed="81"/>
            <rFont val="Tahoma"/>
            <family val="2"/>
          </rPr>
          <t xml:space="preserve">= 18512 - Referinta </t>
        </r>
        <r>
          <rPr>
            <sz val="10"/>
            <color indexed="81"/>
            <rFont val="Tahoma"/>
            <family val="2"/>
          </rPr>
          <t xml:space="preserve">* Bucuresti Marfa Km Auto (Responses)
</t>
        </r>
      </text>
    </comment>
    <comment ref="Y30" authorId="0" shapeId="0" xr:uid="{262E9114-F32D-4118-8991-D5ECBCEE8CC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 
__________________________________________________________________
</t>
        </r>
        <r>
          <rPr>
            <sz val="10"/>
            <color indexed="12"/>
            <rFont val="Tahoma"/>
            <family val="2"/>
          </rPr>
          <t xml:space="preserve">  </t>
        </r>
        <r>
          <rPr>
            <sz val="10"/>
            <color indexed="81"/>
            <rFont val="Tahoma"/>
            <family val="2"/>
          </rPr>
          <t xml:space="preserve"> 2022-09-23 18:19:52 </t>
        </r>
        <r>
          <rPr>
            <b/>
            <sz val="10"/>
            <color indexed="81"/>
            <rFont val="Tahoma"/>
            <family val="2"/>
          </rPr>
          <t xml:space="preserve">= 18931 - Referinta </t>
        </r>
        <r>
          <rPr>
            <sz val="10"/>
            <color indexed="81"/>
            <rFont val="Tahoma"/>
            <family val="2"/>
          </rPr>
          <t xml:space="preserve">* Bucuresti Marfa Km Auto (Responses)
   2022-09-26 08:55:28 </t>
        </r>
        <r>
          <rPr>
            <b/>
            <sz val="10"/>
            <color indexed="81"/>
            <rFont val="Tahoma"/>
            <family val="2"/>
          </rPr>
          <t xml:space="preserve">= 18931 - Normal </t>
        </r>
        <r>
          <rPr>
            <sz val="10"/>
            <color indexed="81"/>
            <rFont val="Tahoma"/>
            <family val="2"/>
          </rPr>
          <t xml:space="preserve">* Bucuresti Marfa Km Auto (Responses)
</t>
        </r>
      </text>
    </comment>
    <comment ref="AD30" authorId="0" shapeId="0" xr:uid="{A8E667AD-D24D-4FA7-85F6-07AE041807A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09:08:05 </t>
        </r>
        <r>
          <rPr>
            <b/>
            <sz val="10"/>
            <color indexed="81"/>
            <rFont val="Tahoma"/>
            <family val="2"/>
          </rPr>
          <t xml:space="preserve">= 19269 - Referinta </t>
        </r>
        <r>
          <rPr>
            <sz val="10"/>
            <color indexed="81"/>
            <rFont val="Tahoma"/>
            <family val="2"/>
          </rPr>
          <t xml:space="preserve">* Bucuresti Marfa Km Auto (Responses)
</t>
        </r>
      </text>
    </comment>
    <comment ref="Y31" authorId="0" shapeId="0" xr:uid="{F2128D6B-DD56-4520-AE31-DD743BE748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Andrei Rus : 
__________________________________________________________________
</t>
        </r>
        <r>
          <rPr>
            <sz val="10"/>
            <color indexed="12"/>
            <rFont val="Tahoma"/>
            <family val="2"/>
          </rPr>
          <t xml:space="preserve">  </t>
        </r>
        <r>
          <rPr>
            <sz val="10"/>
            <color indexed="81"/>
            <rFont val="Tahoma"/>
            <family val="2"/>
          </rPr>
          <t xml:space="preserve"> 2022-09-23 05:20:00 </t>
        </r>
        <r>
          <rPr>
            <b/>
            <sz val="10"/>
            <color indexed="81"/>
            <rFont val="Tahoma"/>
            <family val="2"/>
          </rPr>
          <t xml:space="preserve">= 23194 - Referinta </t>
        </r>
        <r>
          <rPr>
            <sz val="10"/>
            <color indexed="81"/>
            <rFont val="Tahoma"/>
            <family val="2"/>
          </rPr>
          <t xml:space="preserve">* Bucuresti Marfa Km Auto (Responses)
   2022-09-26 08:02:10 </t>
        </r>
        <r>
          <rPr>
            <b/>
            <sz val="10"/>
            <color indexed="81"/>
            <rFont val="Tahoma"/>
            <family val="2"/>
          </rPr>
          <t xml:space="preserve">= 23194 - Normal </t>
        </r>
        <r>
          <rPr>
            <sz val="10"/>
            <color indexed="81"/>
            <rFont val="Tahoma"/>
            <family val="2"/>
          </rPr>
          <t xml:space="preserve">* Bucuresti Marfa Km Auto (Responses)
</t>
        </r>
      </text>
    </comment>
    <comment ref="J32" authorId="0" shapeId="0" xr:uid="{6030815B-4DD2-4BC5-8FAB-9B82BA4F52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16:33:13 </t>
        </r>
        <r>
          <rPr>
            <b/>
            <sz val="10"/>
            <color indexed="81"/>
            <rFont val="Tahoma"/>
            <family val="2"/>
          </rPr>
          <t xml:space="preserve">= 22013 - Referinta </t>
        </r>
        <r>
          <rPr>
            <sz val="10"/>
            <color indexed="81"/>
            <rFont val="Tahoma"/>
            <family val="2"/>
          </rPr>
          <t xml:space="preserve">* Bucuresti Marfa Km Auto (Responses)
   2022-09-05 09:16:23 </t>
        </r>
        <r>
          <rPr>
            <b/>
            <sz val="10"/>
            <color indexed="81"/>
            <rFont val="Tahoma"/>
            <family val="2"/>
          </rPr>
          <t xml:space="preserve">= 22013 - Normal </t>
        </r>
        <r>
          <rPr>
            <sz val="10"/>
            <color indexed="81"/>
            <rFont val="Tahoma"/>
            <family val="2"/>
          </rPr>
          <t xml:space="preserve">* Bucuresti Marfa Km Auto (Responses)
</t>
        </r>
      </text>
    </comment>
    <comment ref="O32" authorId="0" shapeId="0" xr:uid="{77EF4B16-1AC1-4194-9173-8D4F8157B6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04:45:00 </t>
        </r>
        <r>
          <rPr>
            <b/>
            <sz val="10"/>
            <color indexed="81"/>
            <rFont val="Tahoma"/>
            <family val="2"/>
          </rPr>
          <t xml:space="preserve">= 22532 - Referinta </t>
        </r>
        <r>
          <rPr>
            <sz val="10"/>
            <color indexed="81"/>
            <rFont val="Tahoma"/>
            <family val="2"/>
          </rPr>
          <t xml:space="preserve">* Bucuresti Marfa Km Auto (Responses)
   2022-09-12 07:50:00 </t>
        </r>
        <r>
          <rPr>
            <b/>
            <sz val="10"/>
            <color indexed="81"/>
            <rFont val="Tahoma"/>
            <family val="2"/>
          </rPr>
          <t xml:space="preserve">= 22532 - Normal </t>
        </r>
        <r>
          <rPr>
            <sz val="10"/>
            <color indexed="81"/>
            <rFont val="Tahoma"/>
            <family val="2"/>
          </rPr>
          <t xml:space="preserve">* Bucuresti Marfa Km Auto (Responses)
   2022-09-15 09:30:00 </t>
        </r>
        <r>
          <rPr>
            <b/>
            <sz val="10"/>
            <color indexed="81"/>
            <rFont val="Tahoma"/>
            <family val="2"/>
          </rPr>
          <t xml:space="preserve">= 22839 - Concediu </t>
        </r>
        <r>
          <rPr>
            <sz val="10"/>
            <color indexed="81"/>
            <rFont val="Tahoma"/>
            <family val="2"/>
          </rPr>
          <t xml:space="preserve">* Bucuresti Marfa Km Auto (Responses)
</t>
        </r>
      </text>
    </comment>
    <comment ref="J33" authorId="0" shapeId="0" xr:uid="{C166374E-3899-408B-BA98-38CA8E8E6F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15:16:30 </t>
        </r>
        <r>
          <rPr>
            <b/>
            <sz val="10"/>
            <color indexed="81"/>
            <rFont val="Tahoma"/>
            <family val="2"/>
          </rPr>
          <t xml:space="preserve">= 215633 - Referinta </t>
        </r>
        <r>
          <rPr>
            <sz val="10"/>
            <color indexed="81"/>
            <rFont val="Tahoma"/>
            <family val="2"/>
          </rPr>
          <t xml:space="preserve">* Sibiu Km Auto (Responses)
   2022-09-02 15:17:19 </t>
        </r>
        <r>
          <rPr>
            <b/>
            <sz val="10"/>
            <color indexed="81"/>
            <rFont val="Tahoma"/>
            <family val="2"/>
          </rPr>
          <t xml:space="preserve">= 215633 - Normal </t>
        </r>
        <r>
          <rPr>
            <sz val="10"/>
            <color indexed="81"/>
            <rFont val="Tahoma"/>
            <family val="2"/>
          </rPr>
          <t xml:space="preserve">* Sibiu Km Auto (Responses)
   2022-09-06 11:42:02 </t>
        </r>
        <r>
          <rPr>
            <b/>
            <sz val="10"/>
            <color indexed="81"/>
            <rFont val="Tahoma"/>
            <family val="2"/>
          </rPr>
          <t xml:space="preserve">= 215767 - Normal </t>
        </r>
        <r>
          <rPr>
            <sz val="10"/>
            <color indexed="81"/>
            <rFont val="Tahoma"/>
            <family val="2"/>
          </rPr>
          <t xml:space="preserve">* Sibiu Km Auto (Responses)
   2022-09-06 11:42:31 </t>
        </r>
        <r>
          <rPr>
            <b/>
            <sz val="10"/>
            <color indexed="81"/>
            <rFont val="Tahoma"/>
            <family val="2"/>
          </rPr>
          <t xml:space="preserve">= 215767 - Normal </t>
        </r>
        <r>
          <rPr>
            <sz val="10"/>
            <color indexed="81"/>
            <rFont val="Tahoma"/>
            <family val="2"/>
          </rPr>
          <t xml:space="preserve">* Sibiu Km Auto (Responses)
</t>
        </r>
      </text>
    </comment>
    <comment ref="O33" authorId="0" shapeId="0" xr:uid="{64B512BA-1323-4396-9842-FF19AAD7D0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216055 - Referinta </t>
        </r>
        <r>
          <rPr>
            <sz val="10"/>
            <color indexed="81"/>
            <rFont val="Tahoma"/>
            <family val="2"/>
          </rPr>
          <t xml:space="preserve">* Sibiu Km Auto (Responses)
   2022-09-12 09:21:35 </t>
        </r>
        <r>
          <rPr>
            <b/>
            <sz val="10"/>
            <color indexed="81"/>
            <rFont val="Tahoma"/>
            <family val="2"/>
          </rPr>
          <t xml:space="preserve">= 216055 - Normal </t>
        </r>
        <r>
          <rPr>
            <sz val="10"/>
            <color indexed="81"/>
            <rFont val="Tahoma"/>
            <family val="2"/>
          </rPr>
          <t xml:space="preserve">* Sibiu Km Auto (Responses)
</t>
        </r>
      </text>
    </comment>
    <comment ref="J34" authorId="0" shapeId="0" xr:uid="{59D2E297-9C16-4CD9-B49B-DBBE899BBD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07:50:58 </t>
        </r>
        <r>
          <rPr>
            <b/>
            <sz val="10"/>
            <color indexed="81"/>
            <rFont val="Tahoma"/>
            <family val="2"/>
          </rPr>
          <t xml:space="preserve">= 34145 - Referinta </t>
        </r>
        <r>
          <rPr>
            <sz val="10"/>
            <color indexed="81"/>
            <rFont val="Tahoma"/>
            <family val="2"/>
          </rPr>
          <t xml:space="preserve">* Bucuresti Marfa Km Auto (Responses)
</t>
        </r>
      </text>
    </comment>
    <comment ref="O34" authorId="0" shapeId="0" xr:uid="{7F817AC8-E740-4853-A666-39DDD15341B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08:39:47 </t>
        </r>
        <r>
          <rPr>
            <b/>
            <sz val="10"/>
            <color indexed="81"/>
            <rFont val="Tahoma"/>
            <family val="2"/>
          </rPr>
          <t xml:space="preserve">= 34755 - Referinta </t>
        </r>
        <r>
          <rPr>
            <sz val="10"/>
            <color indexed="81"/>
            <rFont val="Tahoma"/>
            <family val="2"/>
          </rPr>
          <t xml:space="preserve">* Bucuresti Marfa Km Auto (Responses)
</t>
        </r>
      </text>
    </comment>
    <comment ref="AD34" authorId="0" shapeId="0" xr:uid="{91FA9005-F772-43FF-AB70-3B8D717399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 
__________________________________________________________________
</t>
        </r>
        <r>
          <rPr>
            <sz val="10"/>
            <color indexed="12"/>
            <rFont val="Tahoma"/>
            <family val="2"/>
          </rPr>
          <t xml:space="preserve">  </t>
        </r>
        <r>
          <rPr>
            <sz val="10"/>
            <color indexed="81"/>
            <rFont val="Tahoma"/>
            <family val="2"/>
          </rPr>
          <t xml:space="preserve"> 2022-09-30 03:16:00 </t>
        </r>
        <r>
          <rPr>
            <b/>
            <sz val="10"/>
            <color indexed="81"/>
            <rFont val="Tahoma"/>
            <family val="2"/>
          </rPr>
          <t xml:space="preserve">= 35820 - Referinta </t>
        </r>
        <r>
          <rPr>
            <sz val="10"/>
            <color indexed="81"/>
            <rFont val="Tahoma"/>
            <family val="2"/>
          </rPr>
          <t xml:space="preserve">* Bucuresti Marfa Km Auto (Responses)
   2022-10-03 08:30:00 </t>
        </r>
        <r>
          <rPr>
            <b/>
            <sz val="10"/>
            <color indexed="81"/>
            <rFont val="Tahoma"/>
            <family val="2"/>
          </rPr>
          <t xml:space="preserve">= 35820 - Normal </t>
        </r>
        <r>
          <rPr>
            <sz val="10"/>
            <color indexed="81"/>
            <rFont val="Tahoma"/>
            <family val="2"/>
          </rPr>
          <t xml:space="preserve">* Bucuresti Marfa Km Auto (Responses)
</t>
        </r>
      </text>
    </comment>
    <comment ref="J35" authorId="0" shapeId="0" xr:uid="{364A7921-4603-4CD0-91F8-CAFEEFBB3C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16:57:43 </t>
        </r>
        <r>
          <rPr>
            <b/>
            <sz val="10"/>
            <color indexed="81"/>
            <rFont val="Tahoma"/>
            <family val="2"/>
          </rPr>
          <t xml:space="preserve">= 17272 - Referinta </t>
        </r>
        <r>
          <rPr>
            <sz val="10"/>
            <color indexed="81"/>
            <rFont val="Tahoma"/>
            <family val="2"/>
          </rPr>
          <t xml:space="preserve">* Bucuresti Km Auto Vanzari (Responses)
</t>
        </r>
      </text>
    </comment>
    <comment ref="O35" authorId="0" shapeId="0" xr:uid="{4AE70685-343C-4C23-83EA-9034FBA34B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__________________________________________________________________
</t>
        </r>
        <r>
          <rPr>
            <sz val="10"/>
            <color indexed="12"/>
            <rFont val="Tahoma"/>
            <family val="2"/>
          </rPr>
          <t xml:space="preserve">  </t>
        </r>
        <r>
          <rPr>
            <sz val="10"/>
            <color indexed="81"/>
            <rFont val="Tahoma"/>
            <family val="2"/>
          </rPr>
          <t xml:space="preserve"> 2022-09-09 19:50:31 </t>
        </r>
        <r>
          <rPr>
            <b/>
            <sz val="10"/>
            <color indexed="81"/>
            <rFont val="Tahoma"/>
            <family val="2"/>
          </rPr>
          <t xml:space="preserve">= 17548 - Referinta </t>
        </r>
        <r>
          <rPr>
            <sz val="10"/>
            <color indexed="81"/>
            <rFont val="Tahoma"/>
            <family val="2"/>
          </rPr>
          <t xml:space="preserve">* Bucuresti Km Auto Vanzari (Responses)
   2022-09-12 08:28:00 </t>
        </r>
        <r>
          <rPr>
            <b/>
            <sz val="10"/>
            <color indexed="81"/>
            <rFont val="Tahoma"/>
            <family val="2"/>
          </rPr>
          <t xml:space="preserve">= 17629 - Normal </t>
        </r>
        <r>
          <rPr>
            <sz val="10"/>
            <color indexed="81"/>
            <rFont val="Tahoma"/>
            <family val="2"/>
          </rPr>
          <t xml:space="preserve">* Bucuresti Km Auto Vanzari (Responses)
   2022-09-14 08:05:00 </t>
        </r>
        <r>
          <rPr>
            <b/>
            <sz val="10"/>
            <color indexed="81"/>
            <rFont val="Tahoma"/>
            <family val="2"/>
          </rPr>
          <t xml:space="preserve">= 17653 - Concediu </t>
        </r>
        <r>
          <rPr>
            <sz val="10"/>
            <color indexed="81"/>
            <rFont val="Tahoma"/>
            <family val="2"/>
          </rPr>
          <t xml:space="preserve">* Bucuresti Km Auto Vanzari (Responses)
</t>
        </r>
      </text>
    </comment>
    <comment ref="T35" authorId="0" shapeId="0" xr:uid="{D3C0BEE0-3F0A-44C5-815D-10316CAE18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08:12:00 </t>
        </r>
        <r>
          <rPr>
            <b/>
            <sz val="10"/>
            <color indexed="81"/>
            <rFont val="Tahoma"/>
            <family val="2"/>
          </rPr>
          <t xml:space="preserve">= 17662 - Referinta </t>
        </r>
        <r>
          <rPr>
            <sz val="10"/>
            <color indexed="81"/>
            <rFont val="Tahoma"/>
            <family val="2"/>
          </rPr>
          <t xml:space="preserve">* Bucuresti Km Auto Vanzari (Responses)
</t>
        </r>
      </text>
    </comment>
    <comment ref="Y35" authorId="0" shapeId="0" xr:uid="{66452F4C-A64F-4697-8825-EB7FCF36187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__________________________________________________________________
</t>
        </r>
        <r>
          <rPr>
            <sz val="10"/>
            <color indexed="12"/>
            <rFont val="Tahoma"/>
            <family val="2"/>
          </rPr>
          <t xml:space="preserve">  </t>
        </r>
        <r>
          <rPr>
            <sz val="10"/>
            <color indexed="81"/>
            <rFont val="Tahoma"/>
            <family val="2"/>
          </rPr>
          <t xml:space="preserve"> 2022-09-23 04:12:00 </t>
        </r>
        <r>
          <rPr>
            <b/>
            <sz val="10"/>
            <color indexed="81"/>
            <rFont val="Tahoma"/>
            <family val="2"/>
          </rPr>
          <t xml:space="preserve">= 17806 - Referinta </t>
        </r>
        <r>
          <rPr>
            <sz val="10"/>
            <color indexed="81"/>
            <rFont val="Tahoma"/>
            <family val="2"/>
          </rPr>
          <t xml:space="preserve">* Bucuresti Km Auto Vanzari (Responses)
   2022-09-26 08:00:00 </t>
        </r>
        <r>
          <rPr>
            <b/>
            <sz val="10"/>
            <color indexed="81"/>
            <rFont val="Tahoma"/>
            <family val="2"/>
          </rPr>
          <t xml:space="preserve">= 17815 - Normal </t>
        </r>
        <r>
          <rPr>
            <sz val="10"/>
            <color indexed="81"/>
            <rFont val="Tahoma"/>
            <family val="2"/>
          </rPr>
          <t xml:space="preserve">* Bucuresti Km Auto Vanzari (Responses)
</t>
        </r>
      </text>
    </comment>
    <comment ref="AD35" authorId="0" shapeId="0" xr:uid="{A3B2BE1A-A709-47D4-9560-2198281127A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__________________________________________________________________
</t>
        </r>
        <r>
          <rPr>
            <sz val="10"/>
            <color indexed="12"/>
            <rFont val="Tahoma"/>
            <family val="2"/>
          </rPr>
          <t xml:space="preserve">  </t>
        </r>
        <r>
          <rPr>
            <sz val="10"/>
            <color indexed="81"/>
            <rFont val="Tahoma"/>
            <family val="2"/>
          </rPr>
          <t xml:space="preserve"> 2022-09-30 05:48:00 </t>
        </r>
        <r>
          <rPr>
            <b/>
            <sz val="10"/>
            <color indexed="81"/>
            <rFont val="Tahoma"/>
            <family val="2"/>
          </rPr>
          <t xml:space="preserve">= 17971 - Referinta </t>
        </r>
        <r>
          <rPr>
            <sz val="10"/>
            <color indexed="81"/>
            <rFont val="Tahoma"/>
            <family val="2"/>
          </rPr>
          <t xml:space="preserve">* Bucuresti Km Auto Vanzari (Responses)
   2022-10-03 08:27:00 </t>
        </r>
        <r>
          <rPr>
            <b/>
            <sz val="10"/>
            <color indexed="81"/>
            <rFont val="Tahoma"/>
            <family val="2"/>
          </rPr>
          <t xml:space="preserve">= 17980 - Normal </t>
        </r>
        <r>
          <rPr>
            <sz val="10"/>
            <color indexed="81"/>
            <rFont val="Tahoma"/>
            <family val="2"/>
          </rPr>
          <t xml:space="preserve">* Bucuresti Km Auto Vanzari (Responses)
</t>
        </r>
      </text>
    </comment>
    <comment ref="J36" authorId="0" shapeId="0" xr:uid="{D8C4BFE6-8B27-4E11-8E7F-86202F08674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16:01:26 </t>
        </r>
        <r>
          <rPr>
            <b/>
            <sz val="10"/>
            <color indexed="81"/>
            <rFont val="Tahoma"/>
            <family val="2"/>
          </rPr>
          <t xml:space="preserve">= 144035 - Referinta </t>
        </r>
        <r>
          <rPr>
            <sz val="10"/>
            <color indexed="81"/>
            <rFont val="Tahoma"/>
            <family val="2"/>
          </rPr>
          <t xml:space="preserve">* Bucuresti Km Auto Vanzari (Responses)
   2022-09-05 17:42:45 </t>
        </r>
        <r>
          <rPr>
            <b/>
            <sz val="10"/>
            <color indexed="81"/>
            <rFont val="Tahoma"/>
            <family val="2"/>
          </rPr>
          <t xml:space="preserve">= 144095 - Normal </t>
        </r>
        <r>
          <rPr>
            <sz val="10"/>
            <color indexed="81"/>
            <rFont val="Tahoma"/>
            <family val="2"/>
          </rPr>
          <t xml:space="preserve">* Bucuresti Km Auto Vanzari (Responses)
</t>
        </r>
      </text>
    </comment>
    <comment ref="O36" authorId="0" shapeId="0" xr:uid="{14DC9B11-792F-4BFC-B521-FEA1FAE215D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03:47:00 </t>
        </r>
        <r>
          <rPr>
            <b/>
            <sz val="10"/>
            <color indexed="81"/>
            <rFont val="Tahoma"/>
            <family val="2"/>
          </rPr>
          <t xml:space="preserve">= 144179 - Referinta </t>
        </r>
        <r>
          <rPr>
            <sz val="10"/>
            <color indexed="81"/>
            <rFont val="Tahoma"/>
            <family val="2"/>
          </rPr>
          <t xml:space="preserve">* Bucuresti Km Auto Vanzari (Responses)
   2022-09-12 08:04:00 </t>
        </r>
        <r>
          <rPr>
            <b/>
            <sz val="10"/>
            <color indexed="81"/>
            <rFont val="Tahoma"/>
            <family val="2"/>
          </rPr>
          <t xml:space="preserve">= 144297 - Normal </t>
        </r>
        <r>
          <rPr>
            <sz val="10"/>
            <color indexed="81"/>
            <rFont val="Tahoma"/>
            <family val="2"/>
          </rPr>
          <t xml:space="preserve">* Bucuresti Km Auto Vanzari (Responses)
</t>
        </r>
      </text>
    </comment>
    <comment ref="T36" authorId="0" shapeId="0" xr:uid="{3356E19B-ADFD-495B-A984-13B5A35A5D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04:14:00 </t>
        </r>
        <r>
          <rPr>
            <b/>
            <sz val="10"/>
            <color indexed="81"/>
            <rFont val="Tahoma"/>
            <family val="2"/>
          </rPr>
          <t xml:space="preserve">= 144387 - Referinta </t>
        </r>
        <r>
          <rPr>
            <sz val="10"/>
            <color indexed="81"/>
            <rFont val="Tahoma"/>
            <family val="2"/>
          </rPr>
          <t xml:space="preserve">* Bucuresti Km Auto Vanzari (Responses)
   2022-09-19 07:28:00 </t>
        </r>
        <r>
          <rPr>
            <b/>
            <sz val="10"/>
            <color indexed="81"/>
            <rFont val="Tahoma"/>
            <family val="2"/>
          </rPr>
          <t xml:space="preserve">= 144462 - Normal </t>
        </r>
        <r>
          <rPr>
            <sz val="10"/>
            <color indexed="81"/>
            <rFont val="Tahoma"/>
            <family val="2"/>
          </rPr>
          <t xml:space="preserve">* Bucuresti Km Auto Vanzari (Responses)
</t>
        </r>
      </text>
    </comment>
    <comment ref="J37" authorId="0" shapeId="0" xr:uid="{493A4B76-63EA-437E-89C7-7C018C1000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15:52:19 </t>
        </r>
        <r>
          <rPr>
            <b/>
            <sz val="10"/>
            <color indexed="81"/>
            <rFont val="Tahoma"/>
            <family val="2"/>
          </rPr>
          <t xml:space="preserve">= 14007 - Referinta </t>
        </r>
        <r>
          <rPr>
            <sz val="10"/>
            <color indexed="81"/>
            <rFont val="Tahoma"/>
            <family val="2"/>
          </rPr>
          <t xml:space="preserve">* Bucuresti Km Auto Vanzari (Responses)
   2022-09-05 07:24:37 </t>
        </r>
        <r>
          <rPr>
            <b/>
            <sz val="10"/>
            <color indexed="81"/>
            <rFont val="Tahoma"/>
            <family val="2"/>
          </rPr>
          <t xml:space="preserve">= 14024 - Interes Serviciu </t>
        </r>
        <r>
          <rPr>
            <sz val="10"/>
            <color indexed="81"/>
            <rFont val="Tahoma"/>
            <family val="2"/>
          </rPr>
          <t xml:space="preserve">* Bucuresti Km Auto Vanzari (Responses)
</t>
        </r>
      </text>
    </comment>
    <comment ref="O37" authorId="0" shapeId="0" xr:uid="{96D67F4A-C75E-401A-9E66-88106AD519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2022-09-09 15:50:02 </t>
        </r>
        <r>
          <rPr>
            <b/>
            <sz val="10"/>
            <color indexed="81"/>
            <rFont val="Tahoma"/>
            <family val="2"/>
          </rPr>
          <t xml:space="preserve">= 14259 - Referinta </t>
        </r>
        <r>
          <rPr>
            <sz val="10"/>
            <color indexed="81"/>
            <rFont val="Tahoma"/>
            <family val="2"/>
          </rPr>
          <t xml:space="preserve">* Bucuresti Km Auto Vanzari (Responses)
   2022-09-12 07:25:21 </t>
        </r>
        <r>
          <rPr>
            <b/>
            <sz val="10"/>
            <color indexed="81"/>
            <rFont val="Tahoma"/>
            <family val="2"/>
          </rPr>
          <t xml:space="preserve">= 14276 - Normal </t>
        </r>
        <r>
          <rPr>
            <sz val="10"/>
            <color indexed="81"/>
            <rFont val="Tahoma"/>
            <family val="2"/>
          </rPr>
          <t xml:space="preserve">* Bucuresti Km Auto Vanzari (Responses)
</t>
        </r>
      </text>
    </comment>
    <comment ref="T37" authorId="0" shapeId="0" xr:uid="{75583F0F-567C-4B4C-B417-090C47E0D7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2022-09-16 18:41:22 </t>
        </r>
        <r>
          <rPr>
            <b/>
            <sz val="10"/>
            <color indexed="81"/>
            <rFont val="Tahoma"/>
            <family val="2"/>
          </rPr>
          <t xml:space="preserve">= 14628 - Referinta </t>
        </r>
        <r>
          <rPr>
            <sz val="10"/>
            <color indexed="81"/>
            <rFont val="Tahoma"/>
            <family val="2"/>
          </rPr>
          <t xml:space="preserve">* Bucuresti Km Auto Vanzari (Responses)
   2022-09-19 08:04:37 </t>
        </r>
        <r>
          <rPr>
            <b/>
            <sz val="10"/>
            <color indexed="81"/>
            <rFont val="Tahoma"/>
            <family val="2"/>
          </rPr>
          <t xml:space="preserve">= 14645 - Normal </t>
        </r>
        <r>
          <rPr>
            <sz val="10"/>
            <color indexed="81"/>
            <rFont val="Tahoma"/>
            <family val="2"/>
          </rPr>
          <t xml:space="preserve">* Bucuresti Km Auto Vanzari (Responses)
</t>
        </r>
      </text>
    </comment>
    <comment ref="Y37" authorId="0" shapeId="0" xr:uid="{E2F71F6B-522C-4BC6-A678-9FDA1C38E90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2022-09-23 16:15:14 </t>
        </r>
        <r>
          <rPr>
            <b/>
            <sz val="10"/>
            <color indexed="81"/>
            <rFont val="Tahoma"/>
            <family val="2"/>
          </rPr>
          <t xml:space="preserve">= 15071 - Referinta </t>
        </r>
        <r>
          <rPr>
            <sz val="10"/>
            <color indexed="81"/>
            <rFont val="Tahoma"/>
            <family val="2"/>
          </rPr>
          <t xml:space="preserve">* Bucuresti Km Auto Vanzari (Responses)
   2022-09-26 07:21:02 </t>
        </r>
        <r>
          <rPr>
            <b/>
            <sz val="10"/>
            <color indexed="81"/>
            <rFont val="Tahoma"/>
            <family val="2"/>
          </rPr>
          <t xml:space="preserve">= 15087 - Normal </t>
        </r>
        <r>
          <rPr>
            <sz val="10"/>
            <color indexed="81"/>
            <rFont val="Tahoma"/>
            <family val="2"/>
          </rPr>
          <t xml:space="preserve">* Bucuresti Km Auto Vanzari (Responses)
</t>
        </r>
      </text>
    </comment>
    <comment ref="AD37" authorId="0" shapeId="0" xr:uid="{27FBBAA6-4222-4298-9CF5-664710A387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2022-09-30 16:29:37 </t>
        </r>
        <r>
          <rPr>
            <b/>
            <sz val="10"/>
            <color indexed="81"/>
            <rFont val="Tahoma"/>
            <family val="2"/>
          </rPr>
          <t xml:space="preserve">= 15323 - Referinta </t>
        </r>
        <r>
          <rPr>
            <sz val="10"/>
            <color indexed="81"/>
            <rFont val="Tahoma"/>
            <family val="2"/>
          </rPr>
          <t xml:space="preserve">* Bucuresti Km Auto Vanzari (Responses)
   2022-10-03 11:57:17 </t>
        </r>
        <r>
          <rPr>
            <b/>
            <sz val="10"/>
            <color indexed="81"/>
            <rFont val="Tahoma"/>
            <family val="2"/>
          </rPr>
          <t xml:space="preserve">= 15340 - Normal </t>
        </r>
        <r>
          <rPr>
            <sz val="10"/>
            <color indexed="81"/>
            <rFont val="Tahoma"/>
            <family val="2"/>
          </rPr>
          <t xml:space="preserve">* Bucuresti Km Auto Vanzari (Responses)
</t>
        </r>
      </text>
    </comment>
    <comment ref="J38" authorId="0" shapeId="0" xr:uid="{DA32072A-F0CE-4FB2-93FC-8E396E2BF0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2022-09-02 15:12:46 </t>
        </r>
        <r>
          <rPr>
            <b/>
            <sz val="10"/>
            <color indexed="81"/>
            <rFont val="Tahoma"/>
            <family val="2"/>
          </rPr>
          <t xml:space="preserve">= 34257 - Referinta </t>
        </r>
        <r>
          <rPr>
            <sz val="10"/>
            <color indexed="81"/>
            <rFont val="Tahoma"/>
            <family val="2"/>
          </rPr>
          <t xml:space="preserve">* Bucuresti Km Auto Vanzari (Responses)
   2022-09-06 09:55:44 </t>
        </r>
        <r>
          <rPr>
            <b/>
            <sz val="10"/>
            <color indexed="81"/>
            <rFont val="Tahoma"/>
            <family val="2"/>
          </rPr>
          <t xml:space="preserve">= 34262 - Normal </t>
        </r>
        <r>
          <rPr>
            <sz val="10"/>
            <color indexed="81"/>
            <rFont val="Tahoma"/>
            <family val="2"/>
          </rPr>
          <t xml:space="preserve">* Bucuresti Km Auto Vanzari (Responses)
</t>
        </r>
      </text>
    </comment>
    <comment ref="O38" authorId="0" shapeId="0" xr:uid="{8E1DBAB7-A567-492D-B55B-5546504FCA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08:14:29 </t>
        </r>
        <r>
          <rPr>
            <b/>
            <sz val="10"/>
            <color indexed="81"/>
            <rFont val="Tahoma"/>
            <family val="2"/>
          </rPr>
          <t xml:space="preserve">= 34456 - Referinta </t>
        </r>
        <r>
          <rPr>
            <sz val="10"/>
            <color indexed="81"/>
            <rFont val="Tahoma"/>
            <family val="2"/>
          </rPr>
          <t xml:space="preserve">* Bucuresti Km Auto Vanzari (Responses)
</t>
        </r>
      </text>
    </comment>
    <comment ref="T38" authorId="0" shapeId="0" xr:uid="{A32E3228-1842-4C48-8273-B109D26A1B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2022-09-16 16:02:44 </t>
        </r>
        <r>
          <rPr>
            <b/>
            <sz val="10"/>
            <color indexed="81"/>
            <rFont val="Tahoma"/>
            <family val="2"/>
          </rPr>
          <t xml:space="preserve">= 34656 - Referinta </t>
        </r>
        <r>
          <rPr>
            <sz val="10"/>
            <color indexed="81"/>
            <rFont val="Tahoma"/>
            <family val="2"/>
          </rPr>
          <t xml:space="preserve">* Bucuresti Km Auto Vanzari (Responses)
   2022-09-19 17:45:46 </t>
        </r>
        <r>
          <rPr>
            <b/>
            <sz val="10"/>
            <color indexed="81"/>
            <rFont val="Tahoma"/>
            <family val="2"/>
          </rPr>
          <t xml:space="preserve">= 34659 - Normal </t>
        </r>
        <r>
          <rPr>
            <sz val="10"/>
            <color indexed="81"/>
            <rFont val="Tahoma"/>
            <family val="2"/>
          </rPr>
          <t xml:space="preserve">* Bucuresti Km Auto Vanzari (Responses)
</t>
        </r>
      </text>
    </comment>
    <comment ref="Y38" authorId="0" shapeId="0" xr:uid="{54FCF059-6741-49EC-BEC0-D815057459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2022-09-23 16:10:02 </t>
        </r>
        <r>
          <rPr>
            <b/>
            <sz val="10"/>
            <color indexed="81"/>
            <rFont val="Tahoma"/>
            <family val="2"/>
          </rPr>
          <t xml:space="preserve">= 34934 - Referinta </t>
        </r>
        <r>
          <rPr>
            <sz val="10"/>
            <color indexed="81"/>
            <rFont val="Tahoma"/>
            <family val="2"/>
          </rPr>
          <t xml:space="preserve">* Bucuresti Km Auto Vanzari (Responses)
</t>
        </r>
      </text>
    </comment>
    <comment ref="AD38" authorId="0" shapeId="0" xr:uid="{91340D4A-8287-4334-B762-C0DA677EB6B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2022-09-30 18:25:22 </t>
        </r>
        <r>
          <rPr>
            <b/>
            <sz val="10"/>
            <color indexed="81"/>
            <rFont val="Tahoma"/>
            <family val="2"/>
          </rPr>
          <t xml:space="preserve">= 35191 - Referinta </t>
        </r>
        <r>
          <rPr>
            <sz val="10"/>
            <color indexed="81"/>
            <rFont val="Tahoma"/>
            <family val="2"/>
          </rPr>
          <t xml:space="preserve">* Bucuresti Km Auto Vanzari (Responses)
   2022-10-03 08:38:40 </t>
        </r>
        <r>
          <rPr>
            <b/>
            <sz val="10"/>
            <color indexed="81"/>
            <rFont val="Tahoma"/>
            <family val="2"/>
          </rPr>
          <t xml:space="preserve">= 35194 - Normal </t>
        </r>
        <r>
          <rPr>
            <sz val="10"/>
            <color indexed="81"/>
            <rFont val="Tahoma"/>
            <family val="2"/>
          </rPr>
          <t xml:space="preserve">* Bucuresti Km Auto Vanzari (Responses)
</t>
        </r>
      </text>
    </comment>
    <comment ref="J39" authorId="0" shapeId="0" xr:uid="{3C47C207-B82E-49A1-934C-3463C2FB596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17:07:14 </t>
        </r>
        <r>
          <rPr>
            <b/>
            <sz val="10"/>
            <color indexed="81"/>
            <rFont val="Tahoma"/>
            <family val="2"/>
          </rPr>
          <t xml:space="preserve">= 18328 - Referinta </t>
        </r>
        <r>
          <rPr>
            <sz val="10"/>
            <color indexed="81"/>
            <rFont val="Tahoma"/>
            <family val="2"/>
          </rPr>
          <t xml:space="preserve">* Bucuresti Km Auto Vanzari (Responses)
</t>
        </r>
      </text>
    </comment>
    <comment ref="O39" authorId="0" shapeId="0" xr:uid="{4C6CD79D-590B-4145-958F-B2AB818C783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2022-09-09 15:39:41 </t>
        </r>
        <r>
          <rPr>
            <b/>
            <sz val="10"/>
            <color indexed="81"/>
            <rFont val="Tahoma"/>
            <family val="2"/>
          </rPr>
          <t xml:space="preserve">= 18465 - Referinta </t>
        </r>
        <r>
          <rPr>
            <sz val="10"/>
            <color indexed="81"/>
            <rFont val="Tahoma"/>
            <family val="2"/>
          </rPr>
          <t xml:space="preserve">* Bucuresti Km Auto Vanzari (Responses)
   2022-09-12 08:19:00 </t>
        </r>
        <r>
          <rPr>
            <b/>
            <sz val="10"/>
            <color indexed="81"/>
            <rFont val="Tahoma"/>
            <family val="2"/>
          </rPr>
          <t xml:space="preserve">= 18473 - Normal </t>
        </r>
        <r>
          <rPr>
            <sz val="10"/>
            <color indexed="81"/>
            <rFont val="Tahoma"/>
            <family val="2"/>
          </rPr>
          <t xml:space="preserve">* Bucuresti Km Auto Vanzari (Responses)
</t>
        </r>
      </text>
    </comment>
    <comment ref="T39" authorId="0" shapeId="0" xr:uid="{19295685-C9CE-40DE-9F67-A1ECA51343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2022-09-16 16:17:02 </t>
        </r>
        <r>
          <rPr>
            <b/>
            <sz val="10"/>
            <color indexed="81"/>
            <rFont val="Tahoma"/>
            <family val="2"/>
          </rPr>
          <t xml:space="preserve">= 18586 - Referinta </t>
        </r>
        <r>
          <rPr>
            <sz val="10"/>
            <color indexed="81"/>
            <rFont val="Tahoma"/>
            <family val="2"/>
          </rPr>
          <t xml:space="preserve">* Bucuresti Km Auto Vanzari (Responses)
   2022-09-19 08:10:00 </t>
        </r>
        <r>
          <rPr>
            <b/>
            <sz val="10"/>
            <color indexed="81"/>
            <rFont val="Tahoma"/>
            <family val="2"/>
          </rPr>
          <t xml:space="preserve">= 18601 - Normal </t>
        </r>
        <r>
          <rPr>
            <sz val="10"/>
            <color indexed="81"/>
            <rFont val="Tahoma"/>
            <family val="2"/>
          </rPr>
          <t xml:space="preserve">* Bucuresti Km Auto Vanzari (Responses)
</t>
        </r>
      </text>
    </comment>
    <comment ref="Y39" authorId="0" shapeId="0" xr:uid="{84A5654C-B7B8-4AC5-B99D-2DA28FCF12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2022-09-23 03:30:00 </t>
        </r>
        <r>
          <rPr>
            <b/>
            <sz val="10"/>
            <color indexed="81"/>
            <rFont val="Tahoma"/>
            <family val="2"/>
          </rPr>
          <t xml:space="preserve">= 18727 - Referinta </t>
        </r>
        <r>
          <rPr>
            <sz val="10"/>
            <color indexed="81"/>
            <rFont val="Tahoma"/>
            <family val="2"/>
          </rPr>
          <t xml:space="preserve">* Bucuresti Km Auto Vanzari (Responses)
   2022-09-26 08:00:00 </t>
        </r>
        <r>
          <rPr>
            <b/>
            <sz val="10"/>
            <color indexed="81"/>
            <rFont val="Tahoma"/>
            <family val="2"/>
          </rPr>
          <t xml:space="preserve">= 19139 - Normal </t>
        </r>
        <r>
          <rPr>
            <sz val="10"/>
            <color indexed="81"/>
            <rFont val="Tahoma"/>
            <family val="2"/>
          </rPr>
          <t xml:space="preserve">* Bucuresti Km Auto Vanzari (Responses)
</t>
        </r>
      </text>
    </comment>
    <comment ref="AD39" authorId="0" shapeId="0" xr:uid="{22635710-4325-489A-B637-4629E993C53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2022-09-30 03:30:00 </t>
        </r>
        <r>
          <rPr>
            <b/>
            <sz val="10"/>
            <color indexed="81"/>
            <rFont val="Tahoma"/>
            <family val="2"/>
          </rPr>
          <t xml:space="preserve">= 19298 - Referinta </t>
        </r>
        <r>
          <rPr>
            <sz val="10"/>
            <color indexed="81"/>
            <rFont val="Tahoma"/>
            <family val="2"/>
          </rPr>
          <t xml:space="preserve">* Bucuresti Km Auto Vanzari (Responses)
   2022-10-03 08:00:00 </t>
        </r>
        <r>
          <rPr>
            <b/>
            <sz val="10"/>
            <color indexed="81"/>
            <rFont val="Tahoma"/>
            <family val="2"/>
          </rPr>
          <t xml:space="preserve">= 19362 - Normal </t>
        </r>
        <r>
          <rPr>
            <sz val="10"/>
            <color indexed="81"/>
            <rFont val="Tahoma"/>
            <family val="2"/>
          </rPr>
          <t xml:space="preserve">* Bucuresti Km Auto Vanzari (Responses)
</t>
        </r>
      </text>
    </comment>
    <comment ref="J40" authorId="0" shapeId="0" xr:uid="{29FE3922-CFF9-46F0-9A32-7ACC857A11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19:06:56 </t>
        </r>
        <r>
          <rPr>
            <b/>
            <sz val="10"/>
            <color indexed="81"/>
            <rFont val="Tahoma"/>
            <family val="2"/>
          </rPr>
          <t xml:space="preserve">= 130864 - Referinta </t>
        </r>
        <r>
          <rPr>
            <sz val="10"/>
            <color indexed="81"/>
            <rFont val="Tahoma"/>
            <family val="2"/>
          </rPr>
          <t xml:space="preserve">* Bucuresti Km Auto Vanzari (Responses)
   2022-09-05 07:49:13 </t>
        </r>
        <r>
          <rPr>
            <b/>
            <sz val="10"/>
            <color indexed="81"/>
            <rFont val="Tahoma"/>
            <family val="2"/>
          </rPr>
          <t xml:space="preserve">= 130881 - Normal </t>
        </r>
        <r>
          <rPr>
            <sz val="10"/>
            <color indexed="81"/>
            <rFont val="Tahoma"/>
            <family val="2"/>
          </rPr>
          <t xml:space="preserve">* Bucuresti Km Auto Vanzari (Responses)
</t>
        </r>
      </text>
    </comment>
    <comment ref="O40" authorId="0" shapeId="0" xr:uid="{6C982738-8924-4140-9E22-23A7C0128B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22:27:10 </t>
        </r>
        <r>
          <rPr>
            <b/>
            <sz val="10"/>
            <color indexed="81"/>
            <rFont val="Tahoma"/>
            <family val="2"/>
          </rPr>
          <t xml:space="preserve">= 131078 - Referinta </t>
        </r>
        <r>
          <rPr>
            <sz val="10"/>
            <color indexed="81"/>
            <rFont val="Tahoma"/>
            <family val="2"/>
          </rPr>
          <t xml:space="preserve">* Bucuresti Km Auto Vanzari (Responses)
   2022-09-12 08:02:59 </t>
        </r>
        <r>
          <rPr>
            <b/>
            <sz val="10"/>
            <color indexed="81"/>
            <rFont val="Tahoma"/>
            <family val="2"/>
          </rPr>
          <t xml:space="preserve">= 131574 - Normal </t>
        </r>
        <r>
          <rPr>
            <sz val="10"/>
            <color indexed="81"/>
            <rFont val="Tahoma"/>
            <family val="2"/>
          </rPr>
          <t xml:space="preserve">* Bucuresti Km Auto Vanzari (Responses)
</t>
        </r>
      </text>
    </comment>
    <comment ref="T40" authorId="0" shapeId="0" xr:uid="{06E161F1-56CE-410D-A90F-6EEECA3623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18:16:34 </t>
        </r>
        <r>
          <rPr>
            <b/>
            <sz val="10"/>
            <color indexed="81"/>
            <rFont val="Tahoma"/>
            <family val="2"/>
          </rPr>
          <t xml:space="preserve">= 131826 - Referinta </t>
        </r>
        <r>
          <rPr>
            <sz val="10"/>
            <color indexed="81"/>
            <rFont val="Tahoma"/>
            <family val="2"/>
          </rPr>
          <t xml:space="preserve">* Bucuresti Km Auto Vanzari (Responses)
   2022-09-19 07:52:45 </t>
        </r>
        <r>
          <rPr>
            <b/>
            <sz val="10"/>
            <color indexed="81"/>
            <rFont val="Tahoma"/>
            <family val="2"/>
          </rPr>
          <t xml:space="preserve">= 132123 - Normal </t>
        </r>
        <r>
          <rPr>
            <sz val="10"/>
            <color indexed="81"/>
            <rFont val="Tahoma"/>
            <family val="2"/>
          </rPr>
          <t xml:space="preserve">* Bucuresti Km Auto Vanzari (Responses)
</t>
        </r>
      </text>
    </comment>
    <comment ref="Y40" authorId="0" shapeId="0" xr:uid="{78E5ACAF-DADD-4EF8-B962-34E1C69A13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17:49:24 </t>
        </r>
        <r>
          <rPr>
            <b/>
            <sz val="10"/>
            <color indexed="81"/>
            <rFont val="Tahoma"/>
            <family val="2"/>
          </rPr>
          <t xml:space="preserve">= 132208 - Referinta </t>
        </r>
        <r>
          <rPr>
            <sz val="10"/>
            <color indexed="81"/>
            <rFont val="Tahoma"/>
            <family val="2"/>
          </rPr>
          <t xml:space="preserve">* Bucuresti Km Auto Vanzari (Responses)
   2022-09-26 12:38:51 </t>
        </r>
        <r>
          <rPr>
            <b/>
            <sz val="10"/>
            <color indexed="81"/>
            <rFont val="Tahoma"/>
            <family val="2"/>
          </rPr>
          <t xml:space="preserve">= 132226 - Normal </t>
        </r>
        <r>
          <rPr>
            <sz val="10"/>
            <color indexed="81"/>
            <rFont val="Tahoma"/>
            <family val="2"/>
          </rPr>
          <t xml:space="preserve">* Bucuresti Km Auto Vanzari (Responses)
</t>
        </r>
      </text>
    </comment>
    <comment ref="AD40" authorId="0" shapeId="0" xr:uid="{81B8B733-3B5B-4099-9C47-77C1208494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20:08:07 </t>
        </r>
        <r>
          <rPr>
            <b/>
            <sz val="10"/>
            <color indexed="81"/>
            <rFont val="Tahoma"/>
            <family val="2"/>
          </rPr>
          <t xml:space="preserve">= 132332 - Referinta </t>
        </r>
        <r>
          <rPr>
            <sz val="10"/>
            <color indexed="81"/>
            <rFont val="Tahoma"/>
            <family val="2"/>
          </rPr>
          <t xml:space="preserve">* Bucuresti Km Auto Vanzari (Responses)
   2022-10-03 07:31:09 </t>
        </r>
        <r>
          <rPr>
            <b/>
            <sz val="10"/>
            <color indexed="81"/>
            <rFont val="Tahoma"/>
            <family val="2"/>
          </rPr>
          <t xml:space="preserve">= 132378 - Normal </t>
        </r>
        <r>
          <rPr>
            <sz val="10"/>
            <color indexed="81"/>
            <rFont val="Tahoma"/>
            <family val="2"/>
          </rPr>
          <t xml:space="preserve">* Bucuresti Km Auto Vanzari (Responses)
</t>
        </r>
      </text>
    </comment>
    <comment ref="T41" authorId="0" shapeId="0" xr:uid="{FD967C37-FCB2-4B0A-8C4C-14B6D03DEC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11:58:00 </t>
        </r>
        <r>
          <rPr>
            <b/>
            <sz val="10"/>
            <color indexed="81"/>
            <rFont val="Tahoma"/>
            <family val="2"/>
          </rPr>
          <t xml:space="preserve">= 93398 - Referinta </t>
        </r>
        <r>
          <rPr>
            <sz val="10"/>
            <color indexed="81"/>
            <rFont val="Tahoma"/>
            <family val="2"/>
          </rPr>
          <t xml:space="preserve">* Bucuresti Km Auto Vanzari (Responses)
   2022-09-19 07:18:00 </t>
        </r>
        <r>
          <rPr>
            <b/>
            <sz val="10"/>
            <color indexed="81"/>
            <rFont val="Tahoma"/>
            <family val="2"/>
          </rPr>
          <t xml:space="preserve">= 93400 - Normal </t>
        </r>
        <r>
          <rPr>
            <sz val="10"/>
            <color indexed="81"/>
            <rFont val="Tahoma"/>
            <family val="2"/>
          </rPr>
          <t xml:space="preserve">* Bucuresti Km Auto Vanzari (Responses)
</t>
        </r>
      </text>
    </comment>
    <comment ref="Y41" authorId="0" shapeId="0" xr:uid="{D85D64C6-F224-46C8-BC65-AF1292915F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07:05:00 </t>
        </r>
        <r>
          <rPr>
            <b/>
            <sz val="10"/>
            <color indexed="81"/>
            <rFont val="Tahoma"/>
            <family val="2"/>
          </rPr>
          <t xml:space="preserve">= 93609 - Referinta </t>
        </r>
        <r>
          <rPr>
            <sz val="10"/>
            <color indexed="81"/>
            <rFont val="Tahoma"/>
            <family val="2"/>
          </rPr>
          <t xml:space="preserve">* Bucuresti Km Auto Vanzari (Responses)
   2022-09-26 08:26:00 </t>
        </r>
        <r>
          <rPr>
            <b/>
            <sz val="10"/>
            <color indexed="81"/>
            <rFont val="Tahoma"/>
            <family val="2"/>
          </rPr>
          <t xml:space="preserve">= 93672 - Normal </t>
        </r>
        <r>
          <rPr>
            <sz val="10"/>
            <color indexed="81"/>
            <rFont val="Tahoma"/>
            <family val="2"/>
          </rPr>
          <t xml:space="preserve">* Bucuresti Km Auto Vanzari (Responses)
</t>
        </r>
      </text>
    </comment>
    <comment ref="AD41" authorId="0" shapeId="0" xr:uid="{FAA97C7F-227D-42B2-8620-03A8981954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06:05:00 </t>
        </r>
        <r>
          <rPr>
            <b/>
            <sz val="10"/>
            <color indexed="81"/>
            <rFont val="Tahoma"/>
            <family val="2"/>
          </rPr>
          <t xml:space="preserve">= 94072 - Referinta </t>
        </r>
        <r>
          <rPr>
            <sz val="10"/>
            <color indexed="81"/>
            <rFont val="Tahoma"/>
            <family val="2"/>
          </rPr>
          <t xml:space="preserve">* Bucuresti Km Auto Vanzari (Responses)
   2022-10-03 07:26:00 </t>
        </r>
        <r>
          <rPr>
            <b/>
            <sz val="10"/>
            <color indexed="81"/>
            <rFont val="Tahoma"/>
            <family val="2"/>
          </rPr>
          <t xml:space="preserve">= 94162 - Normal </t>
        </r>
        <r>
          <rPr>
            <sz val="10"/>
            <color indexed="81"/>
            <rFont val="Tahoma"/>
            <family val="2"/>
          </rPr>
          <t xml:space="preserve">* Bucuresti Km Auto Vanzari (Responses)
</t>
        </r>
      </text>
    </comment>
    <comment ref="O42" authorId="0" shapeId="0" xr:uid="{4971F438-6168-4DA4-B58D-04F3D831BC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2022-09-10 01:24:00 </t>
        </r>
        <r>
          <rPr>
            <b/>
            <sz val="10"/>
            <color indexed="81"/>
            <rFont val="Tahoma"/>
            <family val="2"/>
          </rPr>
          <t xml:space="preserve">= 30385 - Referinta </t>
        </r>
        <r>
          <rPr>
            <sz val="10"/>
            <color indexed="81"/>
            <rFont val="Tahoma"/>
            <family val="2"/>
          </rPr>
          <t xml:space="preserve">* Bucuresti Km Auto Tesa (Responses)
   2022-09-11 04:57:00 </t>
        </r>
        <r>
          <rPr>
            <b/>
            <sz val="10"/>
            <color indexed="81"/>
            <rFont val="Tahoma"/>
            <family val="2"/>
          </rPr>
          <t xml:space="preserve">= 30385 - Normal </t>
        </r>
        <r>
          <rPr>
            <sz val="10"/>
            <color indexed="81"/>
            <rFont val="Tahoma"/>
            <family val="2"/>
          </rPr>
          <t xml:space="preserve">* Bucuresti Km Auto Tesa (Responses)
</t>
        </r>
      </text>
    </comment>
    <comment ref="T42" authorId="0" shapeId="0" xr:uid="{18517A32-AC12-4006-99C5-6A0CD49F6E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__________________________________________________________________
</t>
        </r>
        <r>
          <rPr>
            <sz val="10"/>
            <color indexed="12"/>
            <rFont val="Tahoma"/>
            <family val="2"/>
          </rPr>
          <t xml:space="preserve">  </t>
        </r>
        <r>
          <rPr>
            <sz val="10"/>
            <color indexed="81"/>
            <rFont val="Tahoma"/>
            <family val="2"/>
          </rPr>
          <t xml:space="preserve"> 2022-09-17 02:20:00 </t>
        </r>
        <r>
          <rPr>
            <b/>
            <sz val="10"/>
            <color indexed="81"/>
            <rFont val="Tahoma"/>
            <family val="2"/>
          </rPr>
          <t xml:space="preserve">= 30933 - Referinta </t>
        </r>
        <r>
          <rPr>
            <sz val="10"/>
            <color indexed="81"/>
            <rFont val="Tahoma"/>
            <family val="2"/>
          </rPr>
          <t xml:space="preserve">* Bucuresti Km Auto Tesa (Responses)
   2022-09-18 05:07:00 </t>
        </r>
        <r>
          <rPr>
            <b/>
            <sz val="10"/>
            <color indexed="81"/>
            <rFont val="Tahoma"/>
            <family val="2"/>
          </rPr>
          <t xml:space="preserve">= 30947 - Normal </t>
        </r>
        <r>
          <rPr>
            <sz val="10"/>
            <color indexed="81"/>
            <rFont val="Tahoma"/>
            <family val="2"/>
          </rPr>
          <t xml:space="preserve">* Bucuresti Km Auto Tesa (Responses)
</t>
        </r>
      </text>
    </comment>
    <comment ref="Y42" authorId="0" shapeId="0" xr:uid="{ABC025C3-0D0A-4A37-A3AB-E7323FC42A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__________________________________________________________________
</t>
        </r>
        <r>
          <rPr>
            <sz val="10"/>
            <color indexed="12"/>
            <rFont val="Tahoma"/>
            <family val="2"/>
          </rPr>
          <t xml:space="preserve">  </t>
        </r>
        <r>
          <rPr>
            <sz val="10"/>
            <color indexed="81"/>
            <rFont val="Tahoma"/>
            <family val="2"/>
          </rPr>
          <t xml:space="preserve"> 2022-09-23 07:52:00 </t>
        </r>
        <r>
          <rPr>
            <b/>
            <sz val="10"/>
            <color indexed="81"/>
            <rFont val="Tahoma"/>
            <family val="2"/>
          </rPr>
          <t xml:space="preserve">= 31407 - Referinta </t>
        </r>
        <r>
          <rPr>
            <sz val="10"/>
            <color indexed="81"/>
            <rFont val="Tahoma"/>
            <family val="2"/>
          </rPr>
          <t xml:space="preserve">* Bucuresti Km Auto Tesa (Responses)
   2022-09-25 04:51:00 </t>
        </r>
        <r>
          <rPr>
            <b/>
            <sz val="10"/>
            <color indexed="81"/>
            <rFont val="Tahoma"/>
            <family val="2"/>
          </rPr>
          <t xml:space="preserve">= 31414 - Normal </t>
        </r>
        <r>
          <rPr>
            <sz val="10"/>
            <color indexed="81"/>
            <rFont val="Tahoma"/>
            <family val="2"/>
          </rPr>
          <t xml:space="preserve">* Bucuresti Km Auto Tesa (Responses)
</t>
        </r>
      </text>
    </comment>
    <comment ref="AD42" authorId="0" shapeId="0" xr:uid="{28F40227-45A8-45E4-A19A-72E76FF3B4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__________________________________________________________________
</t>
        </r>
        <r>
          <rPr>
            <sz val="10"/>
            <color indexed="12"/>
            <rFont val="Tahoma"/>
            <family val="2"/>
          </rPr>
          <t xml:space="preserve">  </t>
        </r>
        <r>
          <rPr>
            <sz val="10"/>
            <color indexed="81"/>
            <rFont val="Tahoma"/>
            <family val="2"/>
          </rPr>
          <t xml:space="preserve"> 2022-10-01 12:22:00 </t>
        </r>
        <r>
          <rPr>
            <b/>
            <sz val="10"/>
            <color indexed="81"/>
            <rFont val="Tahoma"/>
            <family val="2"/>
          </rPr>
          <t xml:space="preserve">= 31747 - Referinta </t>
        </r>
        <r>
          <rPr>
            <sz val="10"/>
            <color indexed="81"/>
            <rFont val="Tahoma"/>
            <family val="2"/>
          </rPr>
          <t xml:space="preserve">* Bucuresti Km Auto Tesa (Responses)
   2022-10-02 01:51:00 </t>
        </r>
        <r>
          <rPr>
            <b/>
            <sz val="10"/>
            <color indexed="81"/>
            <rFont val="Tahoma"/>
            <family val="2"/>
          </rPr>
          <t xml:space="preserve">= 31783 - Normal </t>
        </r>
        <r>
          <rPr>
            <sz val="10"/>
            <color indexed="81"/>
            <rFont val="Tahoma"/>
            <family val="2"/>
          </rPr>
          <t xml:space="preserve">* Bucuresti Km Auto Tesa (Responses)
</t>
        </r>
      </text>
    </comment>
    <comment ref="J43" authorId="0" shapeId="0" xr:uid="{E1ACEF9C-A8E1-4453-9928-79F39CAFC3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21:48:23 </t>
        </r>
        <r>
          <rPr>
            <b/>
            <sz val="10"/>
            <color indexed="81"/>
            <rFont val="Tahoma"/>
            <family val="2"/>
          </rPr>
          <t xml:space="preserve">= 2822 - Referinta </t>
        </r>
        <r>
          <rPr>
            <sz val="10"/>
            <color indexed="81"/>
            <rFont val="Tahoma"/>
            <family val="2"/>
          </rPr>
          <t xml:space="preserve">* Bucuresti Km Auto Tesa (Responses)
   2022-09-05 08:03:18 </t>
        </r>
        <r>
          <rPr>
            <b/>
            <sz val="10"/>
            <color indexed="81"/>
            <rFont val="Tahoma"/>
            <family val="2"/>
          </rPr>
          <t xml:space="preserve">= 2842 - Normal </t>
        </r>
        <r>
          <rPr>
            <sz val="10"/>
            <color indexed="81"/>
            <rFont val="Tahoma"/>
            <family val="2"/>
          </rPr>
          <t xml:space="preserve">* Bucuresti Km Auto Tesa (Responses)
</t>
        </r>
      </text>
    </comment>
    <comment ref="O43" authorId="0" shapeId="0" xr:uid="{03B5F08D-113B-448C-A682-2262085727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2022-09-09 23:20:09 </t>
        </r>
        <r>
          <rPr>
            <b/>
            <sz val="10"/>
            <color indexed="81"/>
            <rFont val="Tahoma"/>
            <family val="2"/>
          </rPr>
          <t xml:space="preserve">= 3066 - Referinta </t>
        </r>
        <r>
          <rPr>
            <sz val="10"/>
            <color indexed="81"/>
            <rFont val="Tahoma"/>
            <family val="2"/>
          </rPr>
          <t xml:space="preserve">* Bucuresti Km Auto Tesa (Responses)
   2022-09-12 08:42:43 </t>
        </r>
        <r>
          <rPr>
            <b/>
            <sz val="10"/>
            <color indexed="81"/>
            <rFont val="Tahoma"/>
            <family val="2"/>
          </rPr>
          <t xml:space="preserve">= 3084 - Normal </t>
        </r>
        <r>
          <rPr>
            <sz val="10"/>
            <color indexed="81"/>
            <rFont val="Tahoma"/>
            <family val="2"/>
          </rPr>
          <t xml:space="preserve">* Bucuresti Km Auto Tesa (Responses)
</t>
        </r>
      </text>
    </comment>
    <comment ref="T43" authorId="0" shapeId="0" xr:uid="{2AF10129-4D34-4EA8-8D8D-8C3692960E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2022-09-16 22:16:00 </t>
        </r>
        <r>
          <rPr>
            <b/>
            <sz val="10"/>
            <color indexed="81"/>
            <rFont val="Tahoma"/>
            <family val="2"/>
          </rPr>
          <t xml:space="preserve">= 3328 - Referinta </t>
        </r>
        <r>
          <rPr>
            <sz val="10"/>
            <color indexed="81"/>
            <rFont val="Tahoma"/>
            <family val="2"/>
          </rPr>
          <t xml:space="preserve">* Bucuresti Km Auto Tesa (Responses)
   2022-09-19 08:32:51 </t>
        </r>
        <r>
          <rPr>
            <b/>
            <sz val="10"/>
            <color indexed="81"/>
            <rFont val="Tahoma"/>
            <family val="2"/>
          </rPr>
          <t xml:space="preserve">= 3344 - Normal </t>
        </r>
        <r>
          <rPr>
            <sz val="10"/>
            <color indexed="81"/>
            <rFont val="Tahoma"/>
            <family val="2"/>
          </rPr>
          <t xml:space="preserve">* Bucuresti Km Auto Tesa (Responses)
</t>
        </r>
      </text>
    </comment>
    <comment ref="Y43" authorId="0" shapeId="0" xr:uid="{7039DE5B-7928-4599-8940-12CC7B40EC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2022-09-23 23:09:25 </t>
        </r>
        <r>
          <rPr>
            <b/>
            <sz val="10"/>
            <color indexed="81"/>
            <rFont val="Tahoma"/>
            <family val="2"/>
          </rPr>
          <t xml:space="preserve">= 3697 - Referinta </t>
        </r>
        <r>
          <rPr>
            <sz val="10"/>
            <color indexed="81"/>
            <rFont val="Tahoma"/>
            <family val="2"/>
          </rPr>
          <t xml:space="preserve">* Bucuresti Km Auto Tesa (Responses)
   2022-09-26 09:21:53 </t>
        </r>
        <r>
          <rPr>
            <b/>
            <sz val="10"/>
            <color indexed="81"/>
            <rFont val="Tahoma"/>
            <family val="2"/>
          </rPr>
          <t xml:space="preserve">= 3714 - Normal </t>
        </r>
        <r>
          <rPr>
            <sz val="10"/>
            <color indexed="81"/>
            <rFont val="Tahoma"/>
            <family val="2"/>
          </rPr>
          <t xml:space="preserve">* Bucuresti Km Auto Tesa (Responses)
</t>
        </r>
      </text>
    </comment>
    <comment ref="AD43" authorId="0" shapeId="0" xr:uid="{132946D6-0A14-463A-8E02-14AB9ED12E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2022-09-30 21:02:54 </t>
        </r>
        <r>
          <rPr>
            <b/>
            <sz val="10"/>
            <color indexed="81"/>
            <rFont val="Tahoma"/>
            <family val="2"/>
          </rPr>
          <t xml:space="preserve">= 4129 - Referinta </t>
        </r>
        <r>
          <rPr>
            <sz val="10"/>
            <color indexed="81"/>
            <rFont val="Tahoma"/>
            <family val="2"/>
          </rPr>
          <t xml:space="preserve">* Bucuresti Km Auto Tesa (Responses)
   2022-10-03 20:17:20 </t>
        </r>
        <r>
          <rPr>
            <b/>
            <sz val="10"/>
            <color indexed="81"/>
            <rFont val="Tahoma"/>
            <family val="2"/>
          </rPr>
          <t xml:space="preserve">= 4147 - Normal </t>
        </r>
        <r>
          <rPr>
            <sz val="10"/>
            <color indexed="81"/>
            <rFont val="Tahoma"/>
            <family val="2"/>
          </rPr>
          <t xml:space="preserve">* Bucuresti Km Auto Tesa (Responses)
</t>
        </r>
      </text>
    </comment>
    <comment ref="J44" authorId="0" shapeId="0" xr:uid="{73FC34FB-A144-48A8-BF91-D6FE9F7D8A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2022-09-03 13:55:28 </t>
        </r>
        <r>
          <rPr>
            <b/>
            <sz val="10"/>
            <color indexed="81"/>
            <rFont val="Tahoma"/>
            <family val="2"/>
          </rPr>
          <t xml:space="preserve">= 50322 - Referinta </t>
        </r>
        <r>
          <rPr>
            <sz val="10"/>
            <color indexed="81"/>
            <rFont val="Tahoma"/>
            <family val="2"/>
          </rPr>
          <t xml:space="preserve">* Cluj &amp; Oradea Km Auto (Responses)
   2022-09-05 06:16:35 </t>
        </r>
        <r>
          <rPr>
            <b/>
            <sz val="10"/>
            <color indexed="81"/>
            <rFont val="Tahoma"/>
            <family val="2"/>
          </rPr>
          <t xml:space="preserve">= 50398 - Normal </t>
        </r>
        <r>
          <rPr>
            <sz val="10"/>
            <color indexed="81"/>
            <rFont val="Tahoma"/>
            <family val="2"/>
          </rPr>
          <t xml:space="preserve">* Cluj &amp; Oradea Km Auto (Responses)
</t>
        </r>
      </text>
    </comment>
    <comment ref="O44" authorId="0" shapeId="0" xr:uid="{94D11D5D-8D3A-4FFC-AF52-70167956B1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2022-09-09 18:42:41 </t>
        </r>
        <r>
          <rPr>
            <b/>
            <sz val="10"/>
            <color indexed="81"/>
            <rFont val="Tahoma"/>
            <family val="2"/>
          </rPr>
          <t xml:space="preserve">= 50808 - Referinta </t>
        </r>
        <r>
          <rPr>
            <sz val="10"/>
            <color indexed="81"/>
            <rFont val="Tahoma"/>
            <family val="2"/>
          </rPr>
          <t xml:space="preserve">* Cluj &amp; Oradea Km Auto (Responses)
   2022-09-12 07:08:27 </t>
        </r>
        <r>
          <rPr>
            <b/>
            <sz val="10"/>
            <color indexed="81"/>
            <rFont val="Tahoma"/>
            <family val="2"/>
          </rPr>
          <t xml:space="preserve">= 51120 - Normal </t>
        </r>
        <r>
          <rPr>
            <sz val="10"/>
            <color indexed="81"/>
            <rFont val="Tahoma"/>
            <family val="2"/>
          </rPr>
          <t xml:space="preserve">* Cluj &amp; Oradea Km Auto (Responses)
</t>
        </r>
      </text>
    </comment>
    <comment ref="T44" authorId="0" shapeId="0" xr:uid="{45B0F113-CBE5-490C-8B9C-51ADAB2204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2022-09-17 14:23:45 </t>
        </r>
        <r>
          <rPr>
            <b/>
            <sz val="10"/>
            <color indexed="81"/>
            <rFont val="Tahoma"/>
            <family val="2"/>
          </rPr>
          <t xml:space="preserve">= 51452 - Referinta </t>
        </r>
        <r>
          <rPr>
            <sz val="10"/>
            <color indexed="81"/>
            <rFont val="Tahoma"/>
            <family val="2"/>
          </rPr>
          <t xml:space="preserve">* Cluj &amp; Oradea Km Auto (Responses)
   2022-09-19 06:18:29 </t>
        </r>
        <r>
          <rPr>
            <b/>
            <sz val="10"/>
            <color indexed="81"/>
            <rFont val="Tahoma"/>
            <family val="2"/>
          </rPr>
          <t xml:space="preserve">= 51498 - Normal </t>
        </r>
        <r>
          <rPr>
            <sz val="10"/>
            <color indexed="81"/>
            <rFont val="Tahoma"/>
            <family val="2"/>
          </rPr>
          <t xml:space="preserve">* Cluj &amp; Oradea Km Auto (Responses)
</t>
        </r>
      </text>
    </comment>
    <comment ref="Y44" authorId="0" shapeId="0" xr:uid="{37ABC72C-AD5E-4366-AAF8-CC5A378D2A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2022-09-24 02:37:27 </t>
        </r>
        <r>
          <rPr>
            <b/>
            <sz val="10"/>
            <color indexed="81"/>
            <rFont val="Tahoma"/>
            <family val="2"/>
          </rPr>
          <t xml:space="preserve">= 51857 - Referinta </t>
        </r>
        <r>
          <rPr>
            <sz val="10"/>
            <color indexed="81"/>
            <rFont val="Tahoma"/>
            <family val="2"/>
          </rPr>
          <t xml:space="preserve">* Cluj &amp; Oradea Km Auto (Responses)
   2022-09-26 08:00:00 </t>
        </r>
        <r>
          <rPr>
            <b/>
            <sz val="10"/>
            <color indexed="81"/>
            <rFont val="Tahoma"/>
            <family val="2"/>
          </rPr>
          <t xml:space="preserve">= 51957 - Normal </t>
        </r>
        <r>
          <rPr>
            <sz val="10"/>
            <color indexed="81"/>
            <rFont val="Tahoma"/>
            <family val="2"/>
          </rPr>
          <t xml:space="preserve">* Cluj &amp; Oradea Km Auto (Responses)
</t>
        </r>
      </text>
    </comment>
    <comment ref="AD44" authorId="0" shapeId="0" xr:uid="{C614F84C-6BC2-4D1E-B215-4E7F3B2FE9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2022-10-01 12:48:52 </t>
        </r>
        <r>
          <rPr>
            <b/>
            <sz val="10"/>
            <color indexed="81"/>
            <rFont val="Tahoma"/>
            <family val="2"/>
          </rPr>
          <t xml:space="preserve">= 52299 - Referinta </t>
        </r>
        <r>
          <rPr>
            <sz val="10"/>
            <color indexed="81"/>
            <rFont val="Tahoma"/>
            <family val="2"/>
          </rPr>
          <t xml:space="preserve">* Cluj &amp; Oradea Km Auto (Responses)
   2022-10-03 06:45:35 </t>
        </r>
        <r>
          <rPr>
            <b/>
            <sz val="10"/>
            <color indexed="81"/>
            <rFont val="Tahoma"/>
            <family val="2"/>
          </rPr>
          <t xml:space="preserve">= 52388 - Normal </t>
        </r>
        <r>
          <rPr>
            <sz val="10"/>
            <color indexed="81"/>
            <rFont val="Tahoma"/>
            <family val="2"/>
          </rPr>
          <t xml:space="preserve">* Cluj &amp; Oradea Km Auto (Responses)
</t>
        </r>
      </text>
    </comment>
    <comment ref="J45" authorId="0" shapeId="0" xr:uid="{F2703EAB-0AEC-4E0D-8944-EDDBAD5398F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08:14:29 </t>
        </r>
        <r>
          <rPr>
            <b/>
            <sz val="10"/>
            <color indexed="81"/>
            <rFont val="Tahoma"/>
            <family val="2"/>
          </rPr>
          <t xml:space="preserve">= 35453 - Referinta </t>
        </r>
        <r>
          <rPr>
            <sz val="10"/>
            <color indexed="81"/>
            <rFont val="Tahoma"/>
            <family val="2"/>
          </rPr>
          <t xml:space="preserve">* Cluj &amp; Oradea Km Auto (Responses)
   2022-09-05 08:15:21 </t>
        </r>
        <r>
          <rPr>
            <b/>
            <sz val="10"/>
            <color indexed="81"/>
            <rFont val="Tahoma"/>
            <family val="2"/>
          </rPr>
          <t xml:space="preserve">= 35474 - Normal </t>
        </r>
        <r>
          <rPr>
            <sz val="10"/>
            <color indexed="81"/>
            <rFont val="Tahoma"/>
            <family val="2"/>
          </rPr>
          <t xml:space="preserve">* Cluj &amp; Oradea Km Auto (Responses)
</t>
        </r>
      </text>
    </comment>
    <comment ref="O45" authorId="0" shapeId="0" xr:uid="{4A1D5662-032E-4A66-8638-3B1D245029D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__________________________________________________________________
</t>
        </r>
        <r>
          <rPr>
            <sz val="10"/>
            <color indexed="12"/>
            <rFont val="Tahoma"/>
            <family val="2"/>
          </rPr>
          <t xml:space="preserve">  </t>
        </r>
        <r>
          <rPr>
            <sz val="10"/>
            <color indexed="81"/>
            <rFont val="Tahoma"/>
            <family val="2"/>
          </rPr>
          <t xml:space="preserve"> 2022-09-09 05:10:00 </t>
        </r>
        <r>
          <rPr>
            <b/>
            <sz val="10"/>
            <color indexed="81"/>
            <rFont val="Tahoma"/>
            <family val="2"/>
          </rPr>
          <t xml:space="preserve">= 35730 - Referinta </t>
        </r>
        <r>
          <rPr>
            <sz val="10"/>
            <color indexed="81"/>
            <rFont val="Tahoma"/>
            <family val="2"/>
          </rPr>
          <t xml:space="preserve">* Cluj &amp; Oradea Km Auto (Responses)
   2022-09-12 07:55:15 </t>
        </r>
        <r>
          <rPr>
            <b/>
            <sz val="10"/>
            <color indexed="81"/>
            <rFont val="Tahoma"/>
            <family val="2"/>
          </rPr>
          <t xml:space="preserve">= 35787 - Normal </t>
        </r>
        <r>
          <rPr>
            <sz val="10"/>
            <color indexed="81"/>
            <rFont val="Tahoma"/>
            <family val="2"/>
          </rPr>
          <t xml:space="preserve">* Cluj &amp; Oradea Km Auto (Responses)
</t>
        </r>
      </text>
    </comment>
    <comment ref="T45" authorId="0" shapeId="0" xr:uid="{EBE1D16D-EAFB-4514-BE0D-0F54B4477C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19:51:53 </t>
        </r>
        <r>
          <rPr>
            <b/>
            <sz val="10"/>
            <color indexed="81"/>
            <rFont val="Tahoma"/>
            <family val="2"/>
          </rPr>
          <t xml:space="preserve">= 35896 - Referinta </t>
        </r>
        <r>
          <rPr>
            <sz val="10"/>
            <color indexed="81"/>
            <rFont val="Tahoma"/>
            <family val="2"/>
          </rPr>
          <t xml:space="preserve">* Cluj &amp; Oradea Km Auto (Responses)
   2022-09-19 07:37:15 </t>
        </r>
        <r>
          <rPr>
            <b/>
            <sz val="10"/>
            <color indexed="81"/>
            <rFont val="Tahoma"/>
            <family val="2"/>
          </rPr>
          <t xml:space="preserve">= 35918 - Normal </t>
        </r>
        <r>
          <rPr>
            <sz val="10"/>
            <color indexed="81"/>
            <rFont val="Tahoma"/>
            <family val="2"/>
          </rPr>
          <t xml:space="preserve">* Cluj &amp; Oradea Km Auto (Responses)
</t>
        </r>
      </text>
    </comment>
    <comment ref="Y45" authorId="0" shapeId="0" xr:uid="{09723713-686E-4E0A-B509-A9462C66D37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18:03:34 </t>
        </r>
        <r>
          <rPr>
            <b/>
            <sz val="10"/>
            <color indexed="81"/>
            <rFont val="Tahoma"/>
            <family val="2"/>
          </rPr>
          <t xml:space="preserve">= 36149 - Referinta </t>
        </r>
        <r>
          <rPr>
            <sz val="10"/>
            <color indexed="81"/>
            <rFont val="Tahoma"/>
            <family val="2"/>
          </rPr>
          <t xml:space="preserve">* Cluj &amp; Oradea Km Auto (Responses)
   2022-09-26 07:39:11 </t>
        </r>
        <r>
          <rPr>
            <b/>
            <sz val="10"/>
            <color indexed="81"/>
            <rFont val="Tahoma"/>
            <family val="2"/>
          </rPr>
          <t xml:space="preserve">= 36173 - Normal </t>
        </r>
        <r>
          <rPr>
            <sz val="10"/>
            <color indexed="81"/>
            <rFont val="Tahoma"/>
            <family val="2"/>
          </rPr>
          <t xml:space="preserve">* Cluj &amp; Oradea Km Auto (Responses)
</t>
        </r>
      </text>
    </comment>
    <comment ref="AD45" authorId="0" shapeId="0" xr:uid="{C884A7E5-3704-4D2E-A9F1-B1C1E64C14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19:01:40 </t>
        </r>
        <r>
          <rPr>
            <b/>
            <sz val="10"/>
            <color indexed="81"/>
            <rFont val="Tahoma"/>
            <family val="2"/>
          </rPr>
          <t xml:space="preserve">= 36310 - Referinta </t>
        </r>
        <r>
          <rPr>
            <sz val="10"/>
            <color indexed="81"/>
            <rFont val="Tahoma"/>
            <family val="2"/>
          </rPr>
          <t xml:space="preserve">* Cluj &amp; Oradea Km Auto (Responses)
   2022-10-03 10:19:06 </t>
        </r>
        <r>
          <rPr>
            <b/>
            <sz val="10"/>
            <color indexed="81"/>
            <rFont val="Tahoma"/>
            <family val="2"/>
          </rPr>
          <t xml:space="preserve">= 36338 - Normal </t>
        </r>
        <r>
          <rPr>
            <sz val="10"/>
            <color indexed="81"/>
            <rFont val="Tahoma"/>
            <family val="2"/>
          </rPr>
          <t xml:space="preserve">* Cluj &amp; Oradea Km Auto (Responses)
</t>
        </r>
      </text>
    </comment>
    <comment ref="T46" authorId="0" shapeId="0" xr:uid="{DE8DB11F-E7B5-4609-B595-BB993C640A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16:30:52 </t>
        </r>
        <r>
          <rPr>
            <b/>
            <sz val="10"/>
            <color indexed="81"/>
            <rFont val="Tahoma"/>
            <family val="2"/>
          </rPr>
          <t xml:space="preserve">= 40412 - Referinta </t>
        </r>
        <r>
          <rPr>
            <sz val="10"/>
            <color indexed="81"/>
            <rFont val="Tahoma"/>
            <family val="2"/>
          </rPr>
          <t xml:space="preserve">* Cluj &amp; Oradea Km Auto (Responses)
   2022-09-19 07:35:29 </t>
        </r>
        <r>
          <rPr>
            <b/>
            <sz val="10"/>
            <color indexed="81"/>
            <rFont val="Tahoma"/>
            <family val="2"/>
          </rPr>
          <t xml:space="preserve">= 40442 - Normal </t>
        </r>
        <r>
          <rPr>
            <sz val="10"/>
            <color indexed="81"/>
            <rFont val="Tahoma"/>
            <family val="2"/>
          </rPr>
          <t xml:space="preserve">* Cluj &amp; Oradea Km Auto (Responses)
</t>
        </r>
      </text>
    </comment>
    <comment ref="Y46" authorId="0" shapeId="0" xr:uid="{A647E566-9A26-4BF3-9C62-442DEE77A98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16:57:40 </t>
        </r>
        <r>
          <rPr>
            <b/>
            <sz val="10"/>
            <color indexed="81"/>
            <rFont val="Tahoma"/>
            <family val="2"/>
          </rPr>
          <t xml:space="preserve">= 41047 - Referinta </t>
        </r>
        <r>
          <rPr>
            <sz val="10"/>
            <color indexed="81"/>
            <rFont val="Tahoma"/>
            <family val="2"/>
          </rPr>
          <t xml:space="preserve">* Cluj &amp; Oradea Km Auto (Responses)
   2022-09-26 07:37:21 </t>
        </r>
        <r>
          <rPr>
            <b/>
            <sz val="10"/>
            <color indexed="81"/>
            <rFont val="Tahoma"/>
            <family val="2"/>
          </rPr>
          <t xml:space="preserve">= 41185 - Normal </t>
        </r>
        <r>
          <rPr>
            <sz val="10"/>
            <color indexed="81"/>
            <rFont val="Tahoma"/>
            <family val="2"/>
          </rPr>
          <t xml:space="preserve">* Cluj &amp; Oradea Km Auto (Responses)
</t>
        </r>
      </text>
    </comment>
    <comment ref="AD46" authorId="0" shapeId="0" xr:uid="{27DEA20F-A351-4141-9C81-84C8955302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 
__________________________________________________________________
</t>
        </r>
        <r>
          <rPr>
            <sz val="10"/>
            <color indexed="12"/>
            <rFont val="Tahoma"/>
            <family val="2"/>
          </rPr>
          <t xml:space="preserve">  </t>
        </r>
        <r>
          <rPr>
            <sz val="10"/>
            <color indexed="81"/>
            <rFont val="Tahoma"/>
            <family val="2"/>
          </rPr>
          <t xml:space="preserve"> 2022-09-30 16:37:23 </t>
        </r>
        <r>
          <rPr>
            <b/>
            <sz val="10"/>
            <color indexed="81"/>
            <rFont val="Tahoma"/>
            <family val="2"/>
          </rPr>
          <t xml:space="preserve">= 42511 - Referinta </t>
        </r>
        <r>
          <rPr>
            <sz val="10"/>
            <color indexed="81"/>
            <rFont val="Tahoma"/>
            <family val="2"/>
          </rPr>
          <t xml:space="preserve">* Cluj &amp; Oradea Km Auto (Responses)
   2022-10-03 07:30:00 </t>
        </r>
        <r>
          <rPr>
            <b/>
            <sz val="10"/>
            <color indexed="81"/>
            <rFont val="Tahoma"/>
            <family val="2"/>
          </rPr>
          <t xml:space="preserve">= 42511 - Normal </t>
        </r>
        <r>
          <rPr>
            <sz val="10"/>
            <color indexed="81"/>
            <rFont val="Tahoma"/>
            <family val="2"/>
          </rPr>
          <t xml:space="preserve">* Cluj &amp; Oradea Km Auto (Responses)
</t>
        </r>
      </text>
    </comment>
    <comment ref="J47" authorId="0" shapeId="0" xr:uid="{C8E19BF0-EB2F-43DB-B1D1-F998323B46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16:03:07 </t>
        </r>
        <r>
          <rPr>
            <b/>
            <sz val="10"/>
            <color indexed="81"/>
            <rFont val="Tahoma"/>
            <family val="2"/>
          </rPr>
          <t xml:space="preserve">= 61147 - Referinta </t>
        </r>
        <r>
          <rPr>
            <sz val="10"/>
            <color indexed="81"/>
            <rFont val="Tahoma"/>
            <family val="2"/>
          </rPr>
          <t xml:space="preserve">* Cluj &amp; Oradea Km Auto (Responses)
   2022-09-05 08:44:09 </t>
        </r>
        <r>
          <rPr>
            <b/>
            <sz val="10"/>
            <color indexed="81"/>
            <rFont val="Tahoma"/>
            <family val="2"/>
          </rPr>
          <t xml:space="preserve">= 61147 - Normal </t>
        </r>
        <r>
          <rPr>
            <sz val="10"/>
            <color indexed="81"/>
            <rFont val="Tahoma"/>
            <family val="2"/>
          </rPr>
          <t xml:space="preserve">* Cluj &amp; Oradea Km Auto (Responses)
</t>
        </r>
      </text>
    </comment>
    <comment ref="O47" authorId="0" shapeId="0" xr:uid="{29152C0B-DBA4-4BF2-921C-F77B95DB24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20:07:36 </t>
        </r>
        <r>
          <rPr>
            <b/>
            <sz val="10"/>
            <color indexed="81"/>
            <rFont val="Tahoma"/>
            <family val="2"/>
          </rPr>
          <t xml:space="preserve">= 61544 - Referinta </t>
        </r>
        <r>
          <rPr>
            <sz val="10"/>
            <color indexed="81"/>
            <rFont val="Tahoma"/>
            <family val="2"/>
          </rPr>
          <t xml:space="preserve">* Cluj &amp; Oradea Km Auto (Responses)
   2022-09-12 08:22:49 </t>
        </r>
        <r>
          <rPr>
            <b/>
            <sz val="10"/>
            <color indexed="81"/>
            <rFont val="Tahoma"/>
            <family val="2"/>
          </rPr>
          <t xml:space="preserve">= 61567 - Normal </t>
        </r>
        <r>
          <rPr>
            <sz val="10"/>
            <color indexed="81"/>
            <rFont val="Tahoma"/>
            <family val="2"/>
          </rPr>
          <t xml:space="preserve">* Cluj &amp; Oradea Km Auto (Responses)
</t>
        </r>
      </text>
    </comment>
    <comment ref="T47" authorId="0" shapeId="0" xr:uid="{B7A4ACAF-5541-495A-9D98-0CE1E18AF6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16:20:20 </t>
        </r>
        <r>
          <rPr>
            <b/>
            <sz val="10"/>
            <color indexed="81"/>
            <rFont val="Tahoma"/>
            <family val="2"/>
          </rPr>
          <t xml:space="preserve">= 61742 - Referinta </t>
        </r>
        <r>
          <rPr>
            <sz val="10"/>
            <color indexed="81"/>
            <rFont val="Tahoma"/>
            <family val="2"/>
          </rPr>
          <t xml:space="preserve">* Cluj &amp; Oradea Km Auto (Responses)
   2022-09-19 08:27:56 </t>
        </r>
        <r>
          <rPr>
            <b/>
            <sz val="10"/>
            <color indexed="81"/>
            <rFont val="Tahoma"/>
            <family val="2"/>
          </rPr>
          <t xml:space="preserve">= 61747 - Normal </t>
        </r>
        <r>
          <rPr>
            <sz val="10"/>
            <color indexed="81"/>
            <rFont val="Tahoma"/>
            <family val="2"/>
          </rPr>
          <t xml:space="preserve">* Cluj &amp; Oradea Km Auto (Responses)
</t>
        </r>
      </text>
    </comment>
    <comment ref="Y47" authorId="0" shapeId="0" xr:uid="{732C2B2C-1B79-4A77-A242-CA86F027CD3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15:38:38 </t>
        </r>
        <r>
          <rPr>
            <b/>
            <sz val="10"/>
            <color indexed="81"/>
            <rFont val="Tahoma"/>
            <family val="2"/>
          </rPr>
          <t xml:space="preserve">= 61864 - Referinta </t>
        </r>
        <r>
          <rPr>
            <sz val="10"/>
            <color indexed="81"/>
            <rFont val="Tahoma"/>
            <family val="2"/>
          </rPr>
          <t xml:space="preserve">* Cluj &amp; Oradea Km Auto (Responses)
   2022-09-26 08:31:13 </t>
        </r>
        <r>
          <rPr>
            <b/>
            <sz val="10"/>
            <color indexed="81"/>
            <rFont val="Tahoma"/>
            <family val="2"/>
          </rPr>
          <t xml:space="preserve">= 61879 - Normal </t>
        </r>
        <r>
          <rPr>
            <sz val="10"/>
            <color indexed="81"/>
            <rFont val="Tahoma"/>
            <family val="2"/>
          </rPr>
          <t xml:space="preserve">* Cluj &amp; Oradea Km Auto (Responses)
</t>
        </r>
      </text>
    </comment>
    <comment ref="AD47" authorId="0" shapeId="0" xr:uid="{FEEAD49F-C556-4EF4-BB3B-D04D1D4A01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16:08:51 </t>
        </r>
        <r>
          <rPr>
            <b/>
            <sz val="10"/>
            <color indexed="81"/>
            <rFont val="Tahoma"/>
            <family val="2"/>
          </rPr>
          <t xml:space="preserve">= 62053 - Referinta </t>
        </r>
        <r>
          <rPr>
            <sz val="10"/>
            <color indexed="81"/>
            <rFont val="Tahoma"/>
            <family val="2"/>
          </rPr>
          <t xml:space="preserve">* Cluj &amp; Oradea Km Auto (Responses)
   2022-10-03 08:15:13 </t>
        </r>
        <r>
          <rPr>
            <b/>
            <sz val="10"/>
            <color indexed="81"/>
            <rFont val="Tahoma"/>
            <family val="2"/>
          </rPr>
          <t xml:space="preserve">= 62053 - Normal </t>
        </r>
        <r>
          <rPr>
            <sz val="10"/>
            <color indexed="81"/>
            <rFont val="Tahoma"/>
            <family val="2"/>
          </rPr>
          <t xml:space="preserve">* Cluj &amp; Oradea Km Auto (Responses)
   2022-10-06 18:56:18 </t>
        </r>
        <r>
          <rPr>
            <b/>
            <sz val="10"/>
            <color indexed="81"/>
            <rFont val="Tahoma"/>
            <family val="2"/>
          </rPr>
          <t xml:space="preserve">= 62089 - Referinta </t>
        </r>
        <r>
          <rPr>
            <sz val="10"/>
            <color indexed="81"/>
            <rFont val="Tahoma"/>
            <family val="2"/>
          </rPr>
          <t xml:space="preserve">* Cluj &amp; Oradea Km Auto (Responses)
</t>
        </r>
      </text>
    </comment>
    <comment ref="J48" authorId="0" shapeId="0" xr:uid="{262FDF00-769C-424A-A76F-F06CE832AE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16:53:17 </t>
        </r>
        <r>
          <rPr>
            <b/>
            <sz val="10"/>
            <color indexed="81"/>
            <rFont val="Tahoma"/>
            <family val="2"/>
          </rPr>
          <t xml:space="preserve">= 96562 - Referinta </t>
        </r>
        <r>
          <rPr>
            <sz val="10"/>
            <color indexed="81"/>
            <rFont val="Tahoma"/>
            <family val="2"/>
          </rPr>
          <t xml:space="preserve">* Cluj &amp; Oradea Km Auto (Responses)
   2022-09-05 07:11:12 </t>
        </r>
        <r>
          <rPr>
            <b/>
            <sz val="10"/>
            <color indexed="81"/>
            <rFont val="Tahoma"/>
            <family val="2"/>
          </rPr>
          <t xml:space="preserve">= 96605 - Normal </t>
        </r>
        <r>
          <rPr>
            <sz val="10"/>
            <color indexed="81"/>
            <rFont val="Tahoma"/>
            <family val="2"/>
          </rPr>
          <t xml:space="preserve">* Cluj &amp; Oradea Km Auto (Responses)
</t>
        </r>
      </text>
    </comment>
    <comment ref="O48" authorId="0" shapeId="0" xr:uid="{F3B71C47-2BCF-413B-BB32-B79CEF27CA0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2022-09-09 18:27:03 </t>
        </r>
        <r>
          <rPr>
            <b/>
            <sz val="10"/>
            <color indexed="81"/>
            <rFont val="Tahoma"/>
            <family val="2"/>
          </rPr>
          <t xml:space="preserve">= 97067 - Referinta </t>
        </r>
        <r>
          <rPr>
            <sz val="10"/>
            <color indexed="81"/>
            <rFont val="Tahoma"/>
            <family val="2"/>
          </rPr>
          <t xml:space="preserve">* Cluj &amp; Oradea Km Auto (Responses)
   2022-09-12 07:01:23 </t>
        </r>
        <r>
          <rPr>
            <b/>
            <sz val="10"/>
            <color indexed="81"/>
            <rFont val="Tahoma"/>
            <family val="2"/>
          </rPr>
          <t xml:space="preserve">= 97270 - Normal </t>
        </r>
        <r>
          <rPr>
            <sz val="10"/>
            <color indexed="81"/>
            <rFont val="Tahoma"/>
            <family val="2"/>
          </rPr>
          <t xml:space="preserve">* Cluj &amp; Oradea Km Auto (Responses)
</t>
        </r>
      </text>
    </comment>
    <comment ref="T48" authorId="0" shapeId="0" xr:uid="{13018EF5-1D47-40B6-ABC7-40ACB84A6B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2022-09-16 16:56:17 </t>
        </r>
        <r>
          <rPr>
            <b/>
            <sz val="10"/>
            <color indexed="81"/>
            <rFont val="Tahoma"/>
            <family val="2"/>
          </rPr>
          <t xml:space="preserve">= 97629 - Referinta </t>
        </r>
        <r>
          <rPr>
            <sz val="10"/>
            <color indexed="81"/>
            <rFont val="Tahoma"/>
            <family val="2"/>
          </rPr>
          <t xml:space="preserve">* Cluj &amp; Oradea Km Auto (Responses)
   2022-09-19 07:14:34 </t>
        </r>
        <r>
          <rPr>
            <b/>
            <sz val="10"/>
            <color indexed="81"/>
            <rFont val="Tahoma"/>
            <family val="2"/>
          </rPr>
          <t xml:space="preserve">= 97932 - Normal </t>
        </r>
        <r>
          <rPr>
            <sz val="10"/>
            <color indexed="81"/>
            <rFont val="Tahoma"/>
            <family val="2"/>
          </rPr>
          <t xml:space="preserve">* Cluj &amp; Oradea Km Auto (Responses)
</t>
        </r>
      </text>
    </comment>
    <comment ref="Y48" authorId="0" shapeId="0" xr:uid="{E61C8BBF-1CAA-4373-884A-14C93046DF0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2022-09-23 17:59:14 </t>
        </r>
        <r>
          <rPr>
            <b/>
            <sz val="10"/>
            <color indexed="81"/>
            <rFont val="Tahoma"/>
            <family val="2"/>
          </rPr>
          <t xml:space="preserve">= 98480 - Referinta </t>
        </r>
        <r>
          <rPr>
            <sz val="10"/>
            <color indexed="81"/>
            <rFont val="Tahoma"/>
            <family val="2"/>
          </rPr>
          <t xml:space="preserve">* Cluj &amp; Oradea Km Auto (Responses)
   2022-09-26 07:15:31 </t>
        </r>
        <r>
          <rPr>
            <b/>
            <sz val="10"/>
            <color indexed="81"/>
            <rFont val="Tahoma"/>
            <family val="2"/>
          </rPr>
          <t xml:space="preserve">= 98482 - Normal </t>
        </r>
        <r>
          <rPr>
            <sz val="10"/>
            <color indexed="81"/>
            <rFont val="Tahoma"/>
            <family val="2"/>
          </rPr>
          <t xml:space="preserve">* Cluj &amp; Oradea Km Auto (Responses)
</t>
        </r>
      </text>
    </comment>
    <comment ref="AD48" authorId="0" shapeId="0" xr:uid="{B089614A-552A-4738-A4BF-CE78C96A4D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2022-09-30 16:59:38 </t>
        </r>
        <r>
          <rPr>
            <b/>
            <sz val="10"/>
            <color indexed="81"/>
            <rFont val="Tahoma"/>
            <family val="2"/>
          </rPr>
          <t xml:space="preserve">= 98775 - Referinta </t>
        </r>
        <r>
          <rPr>
            <sz val="10"/>
            <color indexed="81"/>
            <rFont val="Tahoma"/>
            <family val="2"/>
          </rPr>
          <t xml:space="preserve">* Cluj &amp; Oradea Km Auto (Responses)
   2022-10-03 07:12:42 </t>
        </r>
        <r>
          <rPr>
            <b/>
            <sz val="10"/>
            <color indexed="81"/>
            <rFont val="Tahoma"/>
            <family val="2"/>
          </rPr>
          <t xml:space="preserve">= 98985 - Normal </t>
        </r>
        <r>
          <rPr>
            <sz val="10"/>
            <color indexed="81"/>
            <rFont val="Tahoma"/>
            <family val="2"/>
          </rPr>
          <t xml:space="preserve">* Cluj &amp; Oradea Km Auto (Responses)
</t>
        </r>
      </text>
    </comment>
    <comment ref="J49" authorId="0" shapeId="0" xr:uid="{7B72E1B3-0E31-4075-A0EB-280E2EDE007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15:32:03 </t>
        </r>
        <r>
          <rPr>
            <b/>
            <sz val="10"/>
            <color indexed="81"/>
            <rFont val="Tahoma"/>
            <family val="2"/>
          </rPr>
          <t xml:space="preserve">= 98529 - Referinta </t>
        </r>
        <r>
          <rPr>
            <sz val="10"/>
            <color indexed="81"/>
            <rFont val="Tahoma"/>
            <family val="2"/>
          </rPr>
          <t xml:space="preserve">* Cluj &amp; Oradea Km Auto (Responses)
   2022-09-05 08:53:36 </t>
        </r>
        <r>
          <rPr>
            <b/>
            <sz val="10"/>
            <color indexed="81"/>
            <rFont val="Tahoma"/>
            <family val="2"/>
          </rPr>
          <t xml:space="preserve">= 98529 - Normal </t>
        </r>
        <r>
          <rPr>
            <sz val="10"/>
            <color indexed="81"/>
            <rFont val="Tahoma"/>
            <family val="2"/>
          </rPr>
          <t xml:space="preserve">* Cluj &amp; Oradea Km Auto (Responses)
</t>
        </r>
      </text>
    </comment>
    <comment ref="O49" authorId="0" shapeId="0" xr:uid="{9D8B6A4C-050B-4456-9A29-3A9C52501B9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2022-09-10 16:16:43 </t>
        </r>
        <r>
          <rPr>
            <b/>
            <sz val="10"/>
            <color indexed="81"/>
            <rFont val="Tahoma"/>
            <family val="2"/>
          </rPr>
          <t xml:space="preserve">= 99370 - Referinta </t>
        </r>
        <r>
          <rPr>
            <sz val="10"/>
            <color indexed="81"/>
            <rFont val="Tahoma"/>
            <family val="2"/>
          </rPr>
          <t xml:space="preserve">* Cluj &amp; Oradea Km Auto (Responses)
   2022-09-12 08:11:32 </t>
        </r>
        <r>
          <rPr>
            <b/>
            <sz val="10"/>
            <color indexed="81"/>
            <rFont val="Tahoma"/>
            <family val="2"/>
          </rPr>
          <t xml:space="preserve">= 99371 - Normal </t>
        </r>
        <r>
          <rPr>
            <sz val="10"/>
            <color indexed="81"/>
            <rFont val="Tahoma"/>
            <family val="2"/>
          </rPr>
          <t xml:space="preserve">* Cluj &amp; Oradea Km Auto (Responses)
</t>
        </r>
      </text>
    </comment>
    <comment ref="T49" authorId="0" shapeId="0" xr:uid="{C65522A3-2994-430B-90EA-80FD959C6AB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15:48:38 </t>
        </r>
        <r>
          <rPr>
            <b/>
            <sz val="10"/>
            <color indexed="81"/>
            <rFont val="Tahoma"/>
            <family val="2"/>
          </rPr>
          <t xml:space="preserve">= 100422 - Referinta </t>
        </r>
        <r>
          <rPr>
            <sz val="10"/>
            <color indexed="81"/>
            <rFont val="Tahoma"/>
            <family val="2"/>
          </rPr>
          <t xml:space="preserve">* Cluj &amp; Oradea Km Auto (Responses)
   2022-09-19 08:30:16 </t>
        </r>
        <r>
          <rPr>
            <b/>
            <sz val="10"/>
            <color indexed="81"/>
            <rFont val="Tahoma"/>
            <family val="2"/>
          </rPr>
          <t xml:space="preserve">= 100422 - Normal </t>
        </r>
        <r>
          <rPr>
            <sz val="10"/>
            <color indexed="81"/>
            <rFont val="Tahoma"/>
            <family val="2"/>
          </rPr>
          <t xml:space="preserve">* Cluj &amp; Oradea Km Auto (Responses)
</t>
        </r>
      </text>
    </comment>
    <comment ref="Y49" authorId="0" shapeId="0" xr:uid="{10BD06F9-4DFA-4DC0-8FEA-6F267216B9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__________________________________________________________________
</t>
        </r>
        <r>
          <rPr>
            <sz val="10"/>
            <color indexed="12"/>
            <rFont val="Tahoma"/>
            <family val="2"/>
          </rPr>
          <t xml:space="preserve">  </t>
        </r>
        <r>
          <rPr>
            <sz val="10"/>
            <color indexed="81"/>
            <rFont val="Tahoma"/>
            <family val="2"/>
          </rPr>
          <t xml:space="preserve"> 2022-09-23 15:20:37 </t>
        </r>
        <r>
          <rPr>
            <b/>
            <sz val="10"/>
            <color indexed="81"/>
            <rFont val="Tahoma"/>
            <family val="2"/>
          </rPr>
          <t xml:space="preserve">= 101159 - Referinta </t>
        </r>
        <r>
          <rPr>
            <sz val="10"/>
            <color indexed="81"/>
            <rFont val="Tahoma"/>
            <family val="2"/>
          </rPr>
          <t xml:space="preserve">* Cluj &amp; Oradea Km Auto (Responses)
</t>
        </r>
      </text>
    </comment>
    <comment ref="AD49" authorId="0" shapeId="0" xr:uid="{A95970AB-AD47-4446-A511-0405759698E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__________________________________________________________________
</t>
        </r>
        <r>
          <rPr>
            <sz val="10"/>
            <color indexed="12"/>
            <rFont val="Tahoma"/>
            <family val="2"/>
          </rPr>
          <t xml:space="preserve">  </t>
        </r>
        <r>
          <rPr>
            <sz val="10"/>
            <color indexed="81"/>
            <rFont val="Tahoma"/>
            <family val="2"/>
          </rPr>
          <t xml:space="preserve"> 2022-09-30 20:34:39 </t>
        </r>
        <r>
          <rPr>
            <b/>
            <sz val="10"/>
            <color indexed="81"/>
            <rFont val="Tahoma"/>
            <family val="2"/>
          </rPr>
          <t xml:space="preserve">= 102170 - Referinta </t>
        </r>
        <r>
          <rPr>
            <sz val="10"/>
            <color indexed="81"/>
            <rFont val="Tahoma"/>
            <family val="2"/>
          </rPr>
          <t xml:space="preserve">* Cluj &amp; Oradea Km Auto (Responses)
   2022-10-03 13:04:47 </t>
        </r>
        <r>
          <rPr>
            <b/>
            <sz val="10"/>
            <color indexed="81"/>
            <rFont val="Tahoma"/>
            <family val="2"/>
          </rPr>
          <t xml:space="preserve">= 102170 - Normal </t>
        </r>
        <r>
          <rPr>
            <sz val="10"/>
            <color indexed="81"/>
            <rFont val="Tahoma"/>
            <family val="2"/>
          </rPr>
          <t xml:space="preserve">* Cluj &amp; Oradea Km Auto (Responses)
   2022-10-03 13:06:09 </t>
        </r>
        <r>
          <rPr>
            <b/>
            <sz val="10"/>
            <color indexed="81"/>
            <rFont val="Tahoma"/>
            <family val="2"/>
          </rPr>
          <t xml:space="preserve">= 102170 - Normal </t>
        </r>
        <r>
          <rPr>
            <sz val="10"/>
            <color indexed="81"/>
            <rFont val="Tahoma"/>
            <family val="2"/>
          </rPr>
          <t xml:space="preserve">* Cluj &amp; Oradea Km Auto (Responses)
</t>
        </r>
      </text>
    </comment>
    <comment ref="J50" authorId="0" shapeId="0" xr:uid="{0963F7B9-4DCF-4216-B45A-0FEBF4B7BE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16:50:55 </t>
        </r>
        <r>
          <rPr>
            <b/>
            <sz val="10"/>
            <color indexed="81"/>
            <rFont val="Tahoma"/>
            <family val="2"/>
          </rPr>
          <t xml:space="preserve">= 19919 - Referinta </t>
        </r>
        <r>
          <rPr>
            <sz val="10"/>
            <color indexed="81"/>
            <rFont val="Tahoma"/>
            <family val="2"/>
          </rPr>
          <t xml:space="preserve">* Cluj &amp; Oradea Km Auto (Responses)
   2022-09-05 07:05:41 </t>
        </r>
        <r>
          <rPr>
            <b/>
            <sz val="10"/>
            <color indexed="81"/>
            <rFont val="Tahoma"/>
            <family val="2"/>
          </rPr>
          <t xml:space="preserve">= 19919 - Normal </t>
        </r>
        <r>
          <rPr>
            <sz val="10"/>
            <color indexed="81"/>
            <rFont val="Tahoma"/>
            <family val="2"/>
          </rPr>
          <t xml:space="preserve">* Cluj &amp; Oradea Km Auto (Responses)
</t>
        </r>
      </text>
    </comment>
    <comment ref="O50" authorId="0" shapeId="0" xr:uid="{77ED16A2-D76C-4C79-B34E-609E9180A4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18:17:03 </t>
        </r>
        <r>
          <rPr>
            <b/>
            <sz val="10"/>
            <color indexed="81"/>
            <rFont val="Tahoma"/>
            <family val="2"/>
          </rPr>
          <t xml:space="preserve">= 20729 - Referinta </t>
        </r>
        <r>
          <rPr>
            <sz val="10"/>
            <color indexed="81"/>
            <rFont val="Tahoma"/>
            <family val="2"/>
          </rPr>
          <t xml:space="preserve">* Cluj &amp; Oradea Km Auto (Responses)
   2022-09-12 07:50:37 </t>
        </r>
        <r>
          <rPr>
            <b/>
            <sz val="10"/>
            <color indexed="81"/>
            <rFont val="Tahoma"/>
            <family val="2"/>
          </rPr>
          <t xml:space="preserve">= 20729 - Normal </t>
        </r>
        <r>
          <rPr>
            <sz val="10"/>
            <color indexed="81"/>
            <rFont val="Tahoma"/>
            <family val="2"/>
          </rPr>
          <t xml:space="preserve">* Cluj &amp; Oradea Km Auto (Responses)
</t>
        </r>
      </text>
    </comment>
    <comment ref="J51" authorId="0" shapeId="0" xr:uid="{BA729CAC-C8FA-4855-80CF-973EEDD2D9A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15:39:04 </t>
        </r>
        <r>
          <rPr>
            <b/>
            <sz val="10"/>
            <color indexed="81"/>
            <rFont val="Tahoma"/>
            <family val="2"/>
          </rPr>
          <t xml:space="preserve">= 198675 - Referinta </t>
        </r>
        <r>
          <rPr>
            <sz val="10"/>
            <color indexed="81"/>
            <rFont val="Tahoma"/>
            <family val="2"/>
          </rPr>
          <t xml:space="preserve">* Cluj &amp; Oradea Km Auto (Responses)
   2022-09-05 08:33:23 </t>
        </r>
        <r>
          <rPr>
            <b/>
            <sz val="10"/>
            <color indexed="81"/>
            <rFont val="Tahoma"/>
            <family val="2"/>
          </rPr>
          <t xml:space="preserve">= 198675 - Concediu </t>
        </r>
        <r>
          <rPr>
            <sz val="10"/>
            <color indexed="81"/>
            <rFont val="Tahoma"/>
            <family val="2"/>
          </rPr>
          <t xml:space="preserve">* Cluj &amp; Oradea Km Auto (Responses)
</t>
        </r>
      </text>
    </comment>
    <comment ref="O51" authorId="0" shapeId="0" xr:uid="{68E1CF89-1456-4F9E-956F-677F6927EF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08:15:03 </t>
        </r>
        <r>
          <rPr>
            <b/>
            <sz val="10"/>
            <color indexed="81"/>
            <rFont val="Tahoma"/>
            <family val="2"/>
          </rPr>
          <t xml:space="preserve">= 199311 - Referinta </t>
        </r>
        <r>
          <rPr>
            <sz val="10"/>
            <color indexed="81"/>
            <rFont val="Tahoma"/>
            <family val="2"/>
          </rPr>
          <t xml:space="preserve">* Cluj &amp; Oradea Km Auto (Responses)
</t>
        </r>
      </text>
    </comment>
    <comment ref="T51" authorId="0" shapeId="0" xr:uid="{5357F279-6F6F-4E14-9C1A-8B8ACF3F48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__________________________________________________________________
</t>
        </r>
        <r>
          <rPr>
            <sz val="10"/>
            <color indexed="12"/>
            <rFont val="Tahoma"/>
            <family val="2"/>
          </rPr>
          <t xml:space="preserve">  </t>
        </r>
        <r>
          <rPr>
            <sz val="10"/>
            <color indexed="81"/>
            <rFont val="Tahoma"/>
            <family val="2"/>
          </rPr>
          <t xml:space="preserve"> 2022-09-16 18:19:10 </t>
        </r>
        <r>
          <rPr>
            <b/>
            <sz val="10"/>
            <color indexed="81"/>
            <rFont val="Tahoma"/>
            <family val="2"/>
          </rPr>
          <t xml:space="preserve">= 199992 - Referinta </t>
        </r>
        <r>
          <rPr>
            <sz val="10"/>
            <color indexed="81"/>
            <rFont val="Tahoma"/>
            <family val="2"/>
          </rPr>
          <t xml:space="preserve">* Cluj &amp; Oradea Km Auto (Responses)
   2022-09-19 07:25:54 </t>
        </r>
        <r>
          <rPr>
            <b/>
            <sz val="10"/>
            <color indexed="81"/>
            <rFont val="Tahoma"/>
            <family val="2"/>
          </rPr>
          <t xml:space="preserve">= 199992 - Normal </t>
        </r>
        <r>
          <rPr>
            <sz val="10"/>
            <color indexed="81"/>
            <rFont val="Tahoma"/>
            <family val="2"/>
          </rPr>
          <t xml:space="preserve">* Cluj &amp; Oradea Km Auto (Responses)
</t>
        </r>
      </text>
    </comment>
    <comment ref="Y51" authorId="0" shapeId="0" xr:uid="{1FBC2AEA-6D29-4D67-A1B2-8B8E018832C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__________________________________________________________________
</t>
        </r>
        <r>
          <rPr>
            <sz val="10"/>
            <color indexed="12"/>
            <rFont val="Tahoma"/>
            <family val="2"/>
          </rPr>
          <t xml:space="preserve">  </t>
        </r>
        <r>
          <rPr>
            <sz val="10"/>
            <color indexed="81"/>
            <rFont val="Tahoma"/>
            <family val="2"/>
          </rPr>
          <t xml:space="preserve"> 2022-09-23 19:57:21 </t>
        </r>
        <r>
          <rPr>
            <b/>
            <sz val="10"/>
            <color indexed="81"/>
            <rFont val="Tahoma"/>
            <family val="2"/>
          </rPr>
          <t xml:space="preserve">= 201618 - Referinta </t>
        </r>
        <r>
          <rPr>
            <sz val="10"/>
            <color indexed="81"/>
            <rFont val="Tahoma"/>
            <family val="2"/>
          </rPr>
          <t xml:space="preserve">* Cluj &amp; Oradea Km Auto (Responses)
   2022-09-26 06:34:45 </t>
        </r>
        <r>
          <rPr>
            <b/>
            <sz val="10"/>
            <color indexed="81"/>
            <rFont val="Tahoma"/>
            <family val="2"/>
          </rPr>
          <t xml:space="preserve">= 201647 - Normal </t>
        </r>
        <r>
          <rPr>
            <sz val="10"/>
            <color indexed="81"/>
            <rFont val="Tahoma"/>
            <family val="2"/>
          </rPr>
          <t xml:space="preserve">* Cluj &amp; Oradea Km Auto (Responses)
</t>
        </r>
      </text>
    </comment>
    <comment ref="AD51" authorId="0" shapeId="0" xr:uid="{D00BDC9B-15A1-4766-80FE-2A1DA55898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__________________________________________________________________
</t>
        </r>
        <r>
          <rPr>
            <sz val="10"/>
            <color indexed="12"/>
            <rFont val="Tahoma"/>
            <family val="2"/>
          </rPr>
          <t xml:space="preserve">  </t>
        </r>
        <r>
          <rPr>
            <sz val="10"/>
            <color indexed="81"/>
            <rFont val="Tahoma"/>
            <family val="2"/>
          </rPr>
          <t xml:space="preserve"> 2022-09-30 18:37:31 </t>
        </r>
        <r>
          <rPr>
            <b/>
            <sz val="10"/>
            <color indexed="81"/>
            <rFont val="Tahoma"/>
            <family val="2"/>
          </rPr>
          <t xml:space="preserve">= 202651 - Referinta </t>
        </r>
        <r>
          <rPr>
            <sz val="10"/>
            <color indexed="81"/>
            <rFont val="Tahoma"/>
            <family val="2"/>
          </rPr>
          <t xml:space="preserve">* Cluj &amp; Oradea Km Auto (Responses)
   2022-10-03 06:29:05 </t>
        </r>
        <r>
          <rPr>
            <b/>
            <sz val="10"/>
            <color indexed="81"/>
            <rFont val="Tahoma"/>
            <family val="2"/>
          </rPr>
          <t xml:space="preserve">= 202661 - Normal </t>
        </r>
        <r>
          <rPr>
            <sz val="10"/>
            <color indexed="81"/>
            <rFont val="Tahoma"/>
            <family val="2"/>
          </rPr>
          <t xml:space="preserve">* Cluj &amp; Oradea Km Auto (Responses)
</t>
        </r>
      </text>
    </comment>
    <comment ref="O52" authorId="0" shapeId="0" xr:uid="{BCCA76D2-D23B-41E3-A69A-8491A03DEE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B-187-CLT</t>
        </r>
        <r>
          <rPr>
            <b/>
            <sz val="10"/>
            <color indexed="12"/>
            <rFont val="Tahoma"/>
            <family val="2"/>
          </rPr>
          <t xml:space="preserve"> - Marius Neaga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18:44:04 </t>
        </r>
        <r>
          <rPr>
            <b/>
            <sz val="10"/>
            <color indexed="81"/>
            <rFont val="Tahoma"/>
            <family val="2"/>
          </rPr>
          <t xml:space="preserve">= 88909 - Referinta </t>
        </r>
        <r>
          <rPr>
            <sz val="10"/>
            <color indexed="81"/>
            <rFont val="Tahoma"/>
            <family val="2"/>
          </rPr>
          <t xml:space="preserve">* Cluj &amp; Oradea Km Auto (Responses)
   2022-09-12 07:07:11 </t>
        </r>
        <r>
          <rPr>
            <b/>
            <sz val="10"/>
            <color indexed="81"/>
            <rFont val="Tahoma"/>
            <family val="2"/>
          </rPr>
          <t xml:space="preserve">= 89018 - Normal </t>
        </r>
        <r>
          <rPr>
            <sz val="10"/>
            <color indexed="81"/>
            <rFont val="Tahoma"/>
            <family val="2"/>
          </rPr>
          <t xml:space="preserve">* Cluj &amp; Oradea Km Auto (Responses)
</t>
        </r>
      </text>
    </comment>
    <comment ref="J53" authorId="0" shapeId="0" xr:uid="{D931A346-5BC7-4726-883E-47E827E8E0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19:48:57 </t>
        </r>
        <r>
          <rPr>
            <b/>
            <sz val="10"/>
            <color indexed="81"/>
            <rFont val="Tahoma"/>
            <family val="2"/>
          </rPr>
          <t xml:space="preserve">= 32531 - Referinta </t>
        </r>
        <r>
          <rPr>
            <sz val="10"/>
            <color indexed="81"/>
            <rFont val="Tahoma"/>
            <family val="2"/>
          </rPr>
          <t xml:space="preserve">* Cluj &amp; Oradea Km Auto (Responses)
   2022-09-05 07:32:22 </t>
        </r>
        <r>
          <rPr>
            <b/>
            <sz val="10"/>
            <color indexed="81"/>
            <rFont val="Tahoma"/>
            <family val="2"/>
          </rPr>
          <t xml:space="preserve">= 32531 - Normal </t>
        </r>
        <r>
          <rPr>
            <sz val="10"/>
            <color indexed="81"/>
            <rFont val="Tahoma"/>
            <family val="2"/>
          </rPr>
          <t xml:space="preserve">* Cluj &amp; Oradea Km Auto (Responses)
</t>
        </r>
      </text>
    </comment>
    <comment ref="O53" authorId="0" shapeId="0" xr:uid="{1731AE22-B3A6-430F-8B03-B92CB39F21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2022-09-09 22:02:43 </t>
        </r>
        <r>
          <rPr>
            <b/>
            <sz val="10"/>
            <color indexed="81"/>
            <rFont val="Tahoma"/>
            <family val="2"/>
          </rPr>
          <t xml:space="preserve">= 33169 - Referinta </t>
        </r>
        <r>
          <rPr>
            <sz val="10"/>
            <color indexed="81"/>
            <rFont val="Tahoma"/>
            <family val="2"/>
          </rPr>
          <t xml:space="preserve">* Cluj &amp; Oradea Km Auto (Responses)
   2022-09-12 06:49:00 </t>
        </r>
        <r>
          <rPr>
            <b/>
            <sz val="10"/>
            <color indexed="81"/>
            <rFont val="Tahoma"/>
            <family val="2"/>
          </rPr>
          <t xml:space="preserve">= 33169 - Interes serviciu </t>
        </r>
        <r>
          <rPr>
            <sz val="10"/>
            <color indexed="81"/>
            <rFont val="Tahoma"/>
            <family val="2"/>
          </rPr>
          <t xml:space="preserve">* Cluj &amp; Oradea Km Auto (Responses)
</t>
        </r>
      </text>
    </comment>
    <comment ref="T53" authorId="0" shapeId="0" xr:uid="{281BA89B-7274-4C8A-93F5-79E3715C0CC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2022-09-16 09:35:00 </t>
        </r>
        <r>
          <rPr>
            <b/>
            <sz val="10"/>
            <color indexed="81"/>
            <rFont val="Tahoma"/>
            <family val="2"/>
          </rPr>
          <t xml:space="preserve">= 33444 - Referinta </t>
        </r>
        <r>
          <rPr>
            <sz val="10"/>
            <color indexed="81"/>
            <rFont val="Tahoma"/>
            <family val="2"/>
          </rPr>
          <t xml:space="preserve">* Cluj &amp; Oradea Km Auto (Responses)
   2022-09-19 07:15:00 </t>
        </r>
        <r>
          <rPr>
            <b/>
            <sz val="10"/>
            <color indexed="81"/>
            <rFont val="Tahoma"/>
            <family val="2"/>
          </rPr>
          <t xml:space="preserve">= 33484 - Normal </t>
        </r>
        <r>
          <rPr>
            <sz val="10"/>
            <color indexed="81"/>
            <rFont val="Tahoma"/>
            <family val="2"/>
          </rPr>
          <t xml:space="preserve">* Cluj &amp; Oradea Km Auto (Responses)
</t>
        </r>
      </text>
    </comment>
    <comment ref="Y53" authorId="0" shapeId="0" xr:uid="{0176B013-D797-457F-874D-6529032A94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2022-09-23 09:55:00 </t>
        </r>
        <r>
          <rPr>
            <b/>
            <sz val="10"/>
            <color indexed="81"/>
            <rFont val="Tahoma"/>
            <family val="2"/>
          </rPr>
          <t xml:space="preserve">= 34735 - Referinta </t>
        </r>
        <r>
          <rPr>
            <sz val="10"/>
            <color indexed="81"/>
            <rFont val="Tahoma"/>
            <family val="2"/>
          </rPr>
          <t xml:space="preserve">* Cluj &amp; Oradea Km Auto (Responses)
   2022-09-26 10:20:00 </t>
        </r>
        <r>
          <rPr>
            <b/>
            <sz val="10"/>
            <color indexed="81"/>
            <rFont val="Tahoma"/>
            <family val="2"/>
          </rPr>
          <t xml:space="preserve">= 34740 - Normal </t>
        </r>
        <r>
          <rPr>
            <sz val="10"/>
            <color indexed="81"/>
            <rFont val="Tahoma"/>
            <family val="2"/>
          </rPr>
          <t xml:space="preserve">* Cluj &amp; Oradea Km Auto (Responses)
</t>
        </r>
      </text>
    </comment>
    <comment ref="AD53" authorId="0" shapeId="0" xr:uid="{B9FD17F8-C3E9-47D0-BAB8-7FE02E4F60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2022-09-30 09:28:00 </t>
        </r>
        <r>
          <rPr>
            <b/>
            <sz val="10"/>
            <color indexed="81"/>
            <rFont val="Tahoma"/>
            <family val="2"/>
          </rPr>
          <t xml:space="preserve">= 35942 - Referinta </t>
        </r>
        <r>
          <rPr>
            <sz val="10"/>
            <color indexed="81"/>
            <rFont val="Tahoma"/>
            <family val="2"/>
          </rPr>
          <t xml:space="preserve">* Cluj &amp; Oradea Km Auto (Responses)
   2022-10-03 07:00:00 </t>
        </r>
        <r>
          <rPr>
            <b/>
            <sz val="10"/>
            <color indexed="81"/>
            <rFont val="Tahoma"/>
            <family val="2"/>
          </rPr>
          <t xml:space="preserve">= 35964 - Normal </t>
        </r>
        <r>
          <rPr>
            <sz val="10"/>
            <color indexed="81"/>
            <rFont val="Tahoma"/>
            <family val="2"/>
          </rPr>
          <t xml:space="preserve">* Cluj &amp; Oradea Km Auto (Responses)
</t>
        </r>
      </text>
    </comment>
    <comment ref="AD54" authorId="0" shapeId="0" xr:uid="{6E5F11E2-E392-428A-B958-A8623DF7B1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Adrian Caba : Referinta a fost pusa automat
__________________________________________________________________
</t>
        </r>
        <r>
          <rPr>
            <sz val="10"/>
            <color indexed="12"/>
            <rFont val="Tahoma"/>
            <family val="2"/>
          </rPr>
          <t xml:space="preserve">  </t>
        </r>
        <r>
          <rPr>
            <sz val="10"/>
            <color indexed="81"/>
            <rFont val="Tahoma"/>
            <family val="2"/>
          </rPr>
          <t xml:space="preserve"> 2022-10-04 11:20:19 </t>
        </r>
        <r>
          <rPr>
            <b/>
            <sz val="10"/>
            <color indexed="81"/>
            <rFont val="Tahoma"/>
            <family val="2"/>
          </rPr>
          <t xml:space="preserve">= 32565 - Referinta </t>
        </r>
        <r>
          <rPr>
            <sz val="10"/>
            <color indexed="81"/>
            <rFont val="Tahoma"/>
            <family val="2"/>
          </rPr>
          <t xml:space="preserve">* Cluj &amp; Oradea Km Auto (Responses)
</t>
        </r>
      </text>
    </comment>
    <comment ref="J55" authorId="0" shapeId="0" xr:uid="{73B0DA23-6D5B-461D-B74A-4E0E63890B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19:51:58 </t>
        </r>
        <r>
          <rPr>
            <b/>
            <sz val="10"/>
            <color indexed="81"/>
            <rFont val="Tahoma"/>
            <family val="2"/>
          </rPr>
          <t xml:space="preserve">= 30943 - Referinta </t>
        </r>
        <r>
          <rPr>
            <sz val="10"/>
            <color indexed="81"/>
            <rFont val="Tahoma"/>
            <family val="2"/>
          </rPr>
          <t xml:space="preserve">* Cluj &amp; Oradea Km Auto (Responses)
   2022-09-05 09:38:10 </t>
        </r>
        <r>
          <rPr>
            <b/>
            <sz val="10"/>
            <color indexed="81"/>
            <rFont val="Tahoma"/>
            <family val="2"/>
          </rPr>
          <t xml:space="preserve">= 30947 - Normal </t>
        </r>
        <r>
          <rPr>
            <sz val="10"/>
            <color indexed="81"/>
            <rFont val="Tahoma"/>
            <family val="2"/>
          </rPr>
          <t xml:space="preserve">* Cluj &amp; Oradea Km Auto (Responses)
</t>
        </r>
      </text>
    </comment>
    <comment ref="O55" authorId="0" shapeId="0" xr:uid="{0393F31D-8BB0-46AA-99A9-8DA03949CF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23:59:38 </t>
        </r>
        <r>
          <rPr>
            <b/>
            <sz val="10"/>
            <color indexed="81"/>
            <rFont val="Tahoma"/>
            <family val="2"/>
          </rPr>
          <t xml:space="preserve">= 31241 - Referinta </t>
        </r>
        <r>
          <rPr>
            <sz val="10"/>
            <color indexed="81"/>
            <rFont val="Tahoma"/>
            <family val="2"/>
          </rPr>
          <t xml:space="preserve">* Cluj &amp; Oradea Km Auto (Responses)
   2022-09-12 09:55:24 </t>
        </r>
        <r>
          <rPr>
            <b/>
            <sz val="10"/>
            <color indexed="81"/>
            <rFont val="Tahoma"/>
            <family val="2"/>
          </rPr>
          <t xml:space="preserve">= 31253 - Normal </t>
        </r>
        <r>
          <rPr>
            <sz val="10"/>
            <color indexed="81"/>
            <rFont val="Tahoma"/>
            <family val="2"/>
          </rPr>
          <t xml:space="preserve">* Cluj &amp; Oradea Km Auto (Responses)
</t>
        </r>
      </text>
    </comment>
    <comment ref="T55" authorId="0" shapeId="0" xr:uid="{B26FA7C1-64CD-4C87-A206-A1EDD6ECC5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__________________________________________________________________
</t>
        </r>
        <r>
          <rPr>
            <sz val="10"/>
            <color indexed="12"/>
            <rFont val="Tahoma"/>
            <family val="2"/>
          </rPr>
          <t xml:space="preserve">  </t>
        </r>
        <r>
          <rPr>
            <sz val="10"/>
            <color indexed="81"/>
            <rFont val="Tahoma"/>
            <family val="2"/>
          </rPr>
          <t xml:space="preserve"> 2022-09-16 19:42:13 </t>
        </r>
        <r>
          <rPr>
            <b/>
            <sz val="10"/>
            <color indexed="81"/>
            <rFont val="Tahoma"/>
            <family val="2"/>
          </rPr>
          <t xml:space="preserve">= 31461 - Referinta </t>
        </r>
        <r>
          <rPr>
            <sz val="10"/>
            <color indexed="81"/>
            <rFont val="Tahoma"/>
            <family val="2"/>
          </rPr>
          <t xml:space="preserve">* Cluj &amp; Oradea Km Auto (Responses)
   2022-09-19 09:11:53 </t>
        </r>
        <r>
          <rPr>
            <b/>
            <sz val="10"/>
            <color indexed="81"/>
            <rFont val="Tahoma"/>
            <family val="2"/>
          </rPr>
          <t xml:space="preserve">= 31466 - Normal </t>
        </r>
        <r>
          <rPr>
            <sz val="10"/>
            <color indexed="81"/>
            <rFont val="Tahoma"/>
            <family val="2"/>
          </rPr>
          <t xml:space="preserve">* Cluj &amp; Oradea Km Auto (Responses)
</t>
        </r>
      </text>
    </comment>
    <comment ref="Y55" authorId="0" shapeId="0" xr:uid="{3822BD16-2743-456C-AF28-933720D1D3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__________________________________________________________________
</t>
        </r>
        <r>
          <rPr>
            <sz val="10"/>
            <color indexed="12"/>
            <rFont val="Tahoma"/>
            <family val="2"/>
          </rPr>
          <t xml:space="preserve">  </t>
        </r>
        <r>
          <rPr>
            <sz val="10"/>
            <color indexed="81"/>
            <rFont val="Tahoma"/>
            <family val="2"/>
          </rPr>
          <t xml:space="preserve"> 2022-09-23 20:21:46 </t>
        </r>
        <r>
          <rPr>
            <b/>
            <sz val="10"/>
            <color indexed="81"/>
            <rFont val="Tahoma"/>
            <family val="2"/>
          </rPr>
          <t xml:space="preserve">= 32033 - Referinta </t>
        </r>
        <r>
          <rPr>
            <sz val="10"/>
            <color indexed="81"/>
            <rFont val="Tahoma"/>
            <family val="2"/>
          </rPr>
          <t xml:space="preserve">* Cluj &amp; Oradea Km Auto (Responses)
   2022-09-27 12:40:57 </t>
        </r>
        <r>
          <rPr>
            <b/>
            <sz val="10"/>
            <color indexed="81"/>
            <rFont val="Tahoma"/>
            <family val="2"/>
          </rPr>
          <t xml:space="preserve">= 32445 - Concediu </t>
        </r>
        <r>
          <rPr>
            <sz val="10"/>
            <color indexed="81"/>
            <rFont val="Tahoma"/>
            <family val="2"/>
          </rPr>
          <t xml:space="preserve">* Cluj &amp; Oradea Km Auto (Responses)
</t>
        </r>
      </text>
    </comment>
    <comment ref="AD55" authorId="0" shapeId="0" xr:uid="{0D99FE83-4DC7-48A7-ABE7-6A7801DC346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13:37:25 </t>
        </r>
        <r>
          <rPr>
            <b/>
            <sz val="10"/>
            <color indexed="81"/>
            <rFont val="Tahoma"/>
            <family val="2"/>
          </rPr>
          <t xml:space="preserve">= 32445 - Referinta </t>
        </r>
        <r>
          <rPr>
            <sz val="10"/>
            <color indexed="81"/>
            <rFont val="Tahoma"/>
            <family val="2"/>
          </rPr>
          <t xml:space="preserve">* Cluj &amp; Oradea Km Auto (Responses)
   2022-09-30 14:55:56 </t>
        </r>
        <r>
          <rPr>
            <b/>
            <sz val="10"/>
            <color indexed="81"/>
            <rFont val="Tahoma"/>
            <family val="2"/>
          </rPr>
          <t xml:space="preserve">= 32565 - Normal </t>
        </r>
        <r>
          <rPr>
            <sz val="10"/>
            <color indexed="81"/>
            <rFont val="Tahoma"/>
            <family val="2"/>
          </rPr>
          <t xml:space="preserve">* Cluj &amp; Oradea Km Auto (Responses)
</t>
        </r>
      </text>
    </comment>
    <comment ref="J56" authorId="0" shapeId="0" xr:uid="{C603B0EC-AEDA-4B29-BD1F-80F66ADCABE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10:36:50 </t>
        </r>
        <r>
          <rPr>
            <b/>
            <sz val="10"/>
            <color indexed="81"/>
            <rFont val="Tahoma"/>
            <family val="2"/>
          </rPr>
          <t xml:space="preserve">= 113279 - Referinta </t>
        </r>
        <r>
          <rPr>
            <sz val="10"/>
            <color indexed="81"/>
            <rFont val="Tahoma"/>
            <family val="2"/>
          </rPr>
          <t xml:space="preserve">* Cluj &amp; Oradea Km Auto (Responses)
   2022-09-05 07:32:49 </t>
        </r>
        <r>
          <rPr>
            <b/>
            <sz val="10"/>
            <color indexed="81"/>
            <rFont val="Tahoma"/>
            <family val="2"/>
          </rPr>
          <t xml:space="preserve">= 113393 - Normal </t>
        </r>
        <r>
          <rPr>
            <sz val="10"/>
            <color indexed="81"/>
            <rFont val="Tahoma"/>
            <family val="2"/>
          </rPr>
          <t xml:space="preserve">* Cluj &amp; Oradea Km Auto (Responses)
</t>
        </r>
      </text>
    </comment>
    <comment ref="O56" authorId="0" shapeId="0" xr:uid="{C64ED612-EB6E-4FE8-A510-7C70C56FC8D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Referinta a fost pusa automat
__________________________________________________________________
</t>
        </r>
        <r>
          <rPr>
            <sz val="10"/>
            <color indexed="12"/>
            <rFont val="Tahoma"/>
            <family val="2"/>
          </rPr>
          <t xml:space="preserve">  </t>
        </r>
        <r>
          <rPr>
            <sz val="10"/>
            <color indexed="81"/>
            <rFont val="Tahoma"/>
            <family val="2"/>
          </rPr>
          <t xml:space="preserve"> 2022-09-10 10:52:46 </t>
        </r>
        <r>
          <rPr>
            <b/>
            <sz val="10"/>
            <color indexed="81"/>
            <rFont val="Tahoma"/>
            <family val="2"/>
          </rPr>
          <t xml:space="preserve">= 113778 - Referinta </t>
        </r>
        <r>
          <rPr>
            <sz val="10"/>
            <color indexed="81"/>
            <rFont val="Tahoma"/>
            <family val="2"/>
          </rPr>
          <t xml:space="preserve">* Cluj &amp; Oradea Km Auto (Responses)
   2022-09-12 06:41:00 </t>
        </r>
        <r>
          <rPr>
            <b/>
            <sz val="10"/>
            <color indexed="81"/>
            <rFont val="Tahoma"/>
            <family val="2"/>
          </rPr>
          <t xml:space="preserve">= 113849 - Normal </t>
        </r>
        <r>
          <rPr>
            <sz val="10"/>
            <color indexed="81"/>
            <rFont val="Tahoma"/>
            <family val="2"/>
          </rPr>
          <t xml:space="preserve">* Cluj &amp; Oradea Km Auto (Responses)
</t>
        </r>
      </text>
    </comment>
    <comment ref="T56" authorId="0" shapeId="0" xr:uid="{A41FB4A2-E979-4FD7-B12D-5CD8A16A43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__________________________________________________________________
</t>
        </r>
        <r>
          <rPr>
            <sz val="10"/>
            <color indexed="12"/>
            <rFont val="Tahoma"/>
            <family val="2"/>
          </rPr>
          <t xml:space="preserve">  </t>
        </r>
        <r>
          <rPr>
            <sz val="10"/>
            <color indexed="81"/>
            <rFont val="Tahoma"/>
            <family val="2"/>
          </rPr>
          <t xml:space="preserve"> 2022-09-16 04:20:00 </t>
        </r>
        <r>
          <rPr>
            <b/>
            <sz val="10"/>
            <color indexed="81"/>
            <rFont val="Tahoma"/>
            <family val="2"/>
          </rPr>
          <t xml:space="preserve">= 114193 - Referinta </t>
        </r>
        <r>
          <rPr>
            <sz val="10"/>
            <color indexed="81"/>
            <rFont val="Tahoma"/>
            <family val="2"/>
          </rPr>
          <t xml:space="preserve">* Cluj &amp; Oradea Km Auto (Responses)
   2022-09-19 07:22:00 </t>
        </r>
        <r>
          <rPr>
            <b/>
            <sz val="10"/>
            <color indexed="81"/>
            <rFont val="Tahoma"/>
            <family val="2"/>
          </rPr>
          <t xml:space="preserve">= 114193 - Normal </t>
        </r>
        <r>
          <rPr>
            <sz val="10"/>
            <color indexed="81"/>
            <rFont val="Tahoma"/>
            <family val="2"/>
          </rPr>
          <t xml:space="preserve">* Cluj &amp; Oradea Km Auto (Responses)
</t>
        </r>
      </text>
    </comment>
    <comment ref="Y56" authorId="0" shapeId="0" xr:uid="{900B43E3-E2D2-493F-8E73-9998CC1DD8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__________________________________________________________________
</t>
        </r>
        <r>
          <rPr>
            <sz val="10"/>
            <color indexed="12"/>
            <rFont val="Tahoma"/>
            <family val="2"/>
          </rPr>
          <t xml:space="preserve">  </t>
        </r>
        <r>
          <rPr>
            <sz val="10"/>
            <color indexed="81"/>
            <rFont val="Tahoma"/>
            <family val="2"/>
          </rPr>
          <t xml:space="preserve"> 2022-09-23 08:18:00 </t>
        </r>
        <r>
          <rPr>
            <b/>
            <sz val="10"/>
            <color indexed="81"/>
            <rFont val="Tahoma"/>
            <family val="2"/>
          </rPr>
          <t xml:space="preserve">= 114725 - Referinta </t>
        </r>
        <r>
          <rPr>
            <sz val="10"/>
            <color indexed="81"/>
            <rFont val="Tahoma"/>
            <family val="2"/>
          </rPr>
          <t xml:space="preserve">* Cluj &amp; Oradea Km Auto (Responses)
   2022-09-26 07:31:00 </t>
        </r>
        <r>
          <rPr>
            <b/>
            <sz val="10"/>
            <color indexed="81"/>
            <rFont val="Tahoma"/>
            <family val="2"/>
          </rPr>
          <t xml:space="preserve">= 114875 - Normal </t>
        </r>
        <r>
          <rPr>
            <sz val="10"/>
            <color indexed="81"/>
            <rFont val="Tahoma"/>
            <family val="2"/>
          </rPr>
          <t xml:space="preserve">* Cluj &amp; Oradea Km Auto (Responses)
</t>
        </r>
      </text>
    </comment>
    <comment ref="AD56" authorId="0" shapeId="0" xr:uid="{6650AE99-319C-47AF-A6F8-84CD534A90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__________________________________________________________________
</t>
        </r>
        <r>
          <rPr>
            <sz val="10"/>
            <color indexed="12"/>
            <rFont val="Tahoma"/>
            <family val="2"/>
          </rPr>
          <t xml:space="preserve">  </t>
        </r>
        <r>
          <rPr>
            <sz val="10"/>
            <color indexed="81"/>
            <rFont val="Tahoma"/>
            <family val="2"/>
          </rPr>
          <t xml:space="preserve"> 2022-09-30 08:24:00 </t>
        </r>
        <r>
          <rPr>
            <b/>
            <sz val="10"/>
            <color indexed="81"/>
            <rFont val="Tahoma"/>
            <family val="2"/>
          </rPr>
          <t xml:space="preserve">= 115250 - Referinta </t>
        </r>
        <r>
          <rPr>
            <sz val="10"/>
            <color indexed="81"/>
            <rFont val="Tahoma"/>
            <family val="2"/>
          </rPr>
          <t xml:space="preserve">* Cluj &amp; Oradea Km Auto (Responses)
   2022-10-03 07:16:00 </t>
        </r>
        <r>
          <rPr>
            <b/>
            <sz val="10"/>
            <color indexed="81"/>
            <rFont val="Tahoma"/>
            <family val="2"/>
          </rPr>
          <t xml:space="preserve">= 115344 - Normal </t>
        </r>
        <r>
          <rPr>
            <sz val="10"/>
            <color indexed="81"/>
            <rFont val="Tahoma"/>
            <family val="2"/>
          </rPr>
          <t xml:space="preserve">* Cluj &amp; Oradea Km Auto (Responses)
</t>
        </r>
      </text>
    </comment>
    <comment ref="J57" authorId="0" shapeId="0" xr:uid="{96021804-1E49-4E1B-B5D8-DB4C8520934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20:55:23 </t>
        </r>
        <r>
          <rPr>
            <b/>
            <sz val="10"/>
            <color indexed="81"/>
            <rFont val="Tahoma"/>
            <family val="2"/>
          </rPr>
          <t xml:space="preserve">= 47745 - Referinta </t>
        </r>
        <r>
          <rPr>
            <sz val="10"/>
            <color indexed="81"/>
            <rFont val="Tahoma"/>
            <family val="2"/>
          </rPr>
          <t xml:space="preserve">* Cluj &amp; Oradea Km Auto (Responses)
   2022-09-05 08:28:17 </t>
        </r>
        <r>
          <rPr>
            <b/>
            <sz val="10"/>
            <color indexed="81"/>
            <rFont val="Tahoma"/>
            <family val="2"/>
          </rPr>
          <t xml:space="preserve">= 47759 - Normal </t>
        </r>
        <r>
          <rPr>
            <sz val="10"/>
            <color indexed="81"/>
            <rFont val="Tahoma"/>
            <family val="2"/>
          </rPr>
          <t xml:space="preserve">* Cluj &amp; Oradea Km Auto (Responses)
</t>
        </r>
      </text>
    </comment>
    <comment ref="O57" authorId="0" shapeId="0" xr:uid="{31626B78-E128-4956-AD5A-171B08B00B7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2022-09-09 20:58:41 </t>
        </r>
        <r>
          <rPr>
            <b/>
            <sz val="10"/>
            <color indexed="81"/>
            <rFont val="Tahoma"/>
            <family val="2"/>
          </rPr>
          <t xml:space="preserve">= 48347 - Referinta </t>
        </r>
        <r>
          <rPr>
            <sz val="10"/>
            <color indexed="81"/>
            <rFont val="Tahoma"/>
            <family val="2"/>
          </rPr>
          <t xml:space="preserve">* Cluj &amp; Oradea Km Auto (Responses)
   2022-09-12 06:51:42 </t>
        </r>
        <r>
          <rPr>
            <b/>
            <sz val="10"/>
            <color indexed="81"/>
            <rFont val="Tahoma"/>
            <family val="2"/>
          </rPr>
          <t xml:space="preserve">= 48347 - Normal </t>
        </r>
        <r>
          <rPr>
            <sz val="10"/>
            <color indexed="81"/>
            <rFont val="Tahoma"/>
            <family val="2"/>
          </rPr>
          <t xml:space="preserve">* Cluj &amp; Oradea Km Auto (Responses)
</t>
        </r>
      </text>
    </comment>
    <comment ref="T57" authorId="0" shapeId="0" xr:uid="{3528EEB4-73C9-4882-BE7B-60ED737452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2022-09-16 18:22:36 </t>
        </r>
        <r>
          <rPr>
            <b/>
            <sz val="10"/>
            <color indexed="81"/>
            <rFont val="Tahoma"/>
            <family val="2"/>
          </rPr>
          <t xml:space="preserve">= 49225 - Referinta </t>
        </r>
        <r>
          <rPr>
            <sz val="10"/>
            <color indexed="81"/>
            <rFont val="Tahoma"/>
            <family val="2"/>
          </rPr>
          <t xml:space="preserve">* Cluj &amp; Oradea Km Auto (Responses)
   2022-09-19 07:21:42 </t>
        </r>
        <r>
          <rPr>
            <b/>
            <sz val="10"/>
            <color indexed="81"/>
            <rFont val="Tahoma"/>
            <family val="2"/>
          </rPr>
          <t xml:space="preserve">= 49225 - Normal </t>
        </r>
        <r>
          <rPr>
            <sz val="10"/>
            <color indexed="81"/>
            <rFont val="Tahoma"/>
            <family val="2"/>
          </rPr>
          <t xml:space="preserve">* Cluj &amp; Oradea Km Auto (Responses)
</t>
        </r>
      </text>
    </comment>
    <comment ref="Y57" authorId="0" shapeId="0" xr:uid="{386432D6-0071-4991-9D6E-304CABB517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2022-09-23 18:54:33 </t>
        </r>
        <r>
          <rPr>
            <b/>
            <sz val="10"/>
            <color indexed="81"/>
            <rFont val="Tahoma"/>
            <family val="2"/>
          </rPr>
          <t xml:space="preserve">= 49701 - Referinta </t>
        </r>
        <r>
          <rPr>
            <sz val="10"/>
            <color indexed="81"/>
            <rFont val="Tahoma"/>
            <family val="2"/>
          </rPr>
          <t xml:space="preserve">* Cluj &amp; Oradea Km Auto (Responses)
   2022-09-26 07:24:15 </t>
        </r>
        <r>
          <rPr>
            <b/>
            <sz val="10"/>
            <color indexed="81"/>
            <rFont val="Tahoma"/>
            <family val="2"/>
          </rPr>
          <t xml:space="preserve">= 49701 - Normal </t>
        </r>
        <r>
          <rPr>
            <sz val="10"/>
            <color indexed="81"/>
            <rFont val="Tahoma"/>
            <family val="2"/>
          </rPr>
          <t xml:space="preserve">* Cluj &amp; Oradea Km Auto (Responses)
</t>
        </r>
      </text>
    </comment>
    <comment ref="AD57" authorId="0" shapeId="0" xr:uid="{3832FB9D-7023-49F8-ACC7-F789E72689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2022-09-30 19:09:27 </t>
        </r>
        <r>
          <rPr>
            <b/>
            <sz val="10"/>
            <color indexed="81"/>
            <rFont val="Tahoma"/>
            <family val="2"/>
          </rPr>
          <t xml:space="preserve">= 50076 - Referinta </t>
        </r>
        <r>
          <rPr>
            <sz val="10"/>
            <color indexed="81"/>
            <rFont val="Tahoma"/>
            <family val="2"/>
          </rPr>
          <t xml:space="preserve">* Cluj &amp; Oradea Km Auto (Responses)
   2022-10-03 07:23:43 </t>
        </r>
        <r>
          <rPr>
            <b/>
            <sz val="10"/>
            <color indexed="81"/>
            <rFont val="Tahoma"/>
            <family val="2"/>
          </rPr>
          <t xml:space="preserve">= 50076 - Normal </t>
        </r>
        <r>
          <rPr>
            <sz val="10"/>
            <color indexed="81"/>
            <rFont val="Tahoma"/>
            <family val="2"/>
          </rPr>
          <t xml:space="preserve">* Cluj &amp; Oradea Km Auto (Responses)
</t>
        </r>
      </text>
    </comment>
    <comment ref="J58" authorId="0" shapeId="0" xr:uid="{C26DF6AD-33D4-4B04-9A72-A052524123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17:40:13 </t>
        </r>
        <r>
          <rPr>
            <b/>
            <sz val="10"/>
            <color indexed="81"/>
            <rFont val="Tahoma"/>
            <family val="2"/>
          </rPr>
          <t xml:space="preserve">= 5579 - Referinta </t>
        </r>
        <r>
          <rPr>
            <sz val="10"/>
            <color indexed="81"/>
            <rFont val="Tahoma"/>
            <family val="2"/>
          </rPr>
          <t xml:space="preserve">* Constanta Km Auto (Responses)
   2022-09-05 07:57:54 </t>
        </r>
        <r>
          <rPr>
            <b/>
            <sz val="10"/>
            <color indexed="81"/>
            <rFont val="Tahoma"/>
            <family val="2"/>
          </rPr>
          <t xml:space="preserve">= 5609 - Normal </t>
        </r>
        <r>
          <rPr>
            <sz val="10"/>
            <color indexed="81"/>
            <rFont val="Tahoma"/>
            <family val="2"/>
          </rPr>
          <t xml:space="preserve">* Constanta Km Auto (Responses)
</t>
        </r>
      </text>
    </comment>
    <comment ref="O58" authorId="0" shapeId="0" xr:uid="{47BFEA59-68E4-46D6-B70A-5B77596942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2022-09-09 16:19:02 </t>
        </r>
        <r>
          <rPr>
            <b/>
            <sz val="10"/>
            <color indexed="81"/>
            <rFont val="Tahoma"/>
            <family val="2"/>
          </rPr>
          <t xml:space="preserve">= 5713 - Referinta </t>
        </r>
        <r>
          <rPr>
            <sz val="10"/>
            <color indexed="81"/>
            <rFont val="Tahoma"/>
            <family val="2"/>
          </rPr>
          <t xml:space="preserve">* Constanta Km Auto (Responses)
   2022-09-12 08:09:12 </t>
        </r>
        <r>
          <rPr>
            <b/>
            <sz val="10"/>
            <color indexed="81"/>
            <rFont val="Tahoma"/>
            <family val="2"/>
          </rPr>
          <t xml:space="preserve">= 5761 - Normal </t>
        </r>
        <r>
          <rPr>
            <sz val="10"/>
            <color indexed="81"/>
            <rFont val="Tahoma"/>
            <family val="2"/>
          </rPr>
          <t xml:space="preserve">* Constanta Km Auto (Responses)
</t>
        </r>
      </text>
    </comment>
    <comment ref="T58" authorId="0" shapeId="0" xr:uid="{E969A92E-AE0E-4CEA-85A5-6306B1D27BD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2022-09-16 16:09:23 </t>
        </r>
        <r>
          <rPr>
            <b/>
            <sz val="10"/>
            <color indexed="81"/>
            <rFont val="Tahoma"/>
            <family val="2"/>
          </rPr>
          <t xml:space="preserve">= 5821 - Referinta </t>
        </r>
        <r>
          <rPr>
            <sz val="10"/>
            <color indexed="81"/>
            <rFont val="Tahoma"/>
            <family val="2"/>
          </rPr>
          <t xml:space="preserve">* Constanta Km Auto (Responses)
   2022-09-19 08:00:27 </t>
        </r>
        <r>
          <rPr>
            <b/>
            <sz val="10"/>
            <color indexed="81"/>
            <rFont val="Tahoma"/>
            <family val="2"/>
          </rPr>
          <t xml:space="preserve">= 5861 - Normal </t>
        </r>
        <r>
          <rPr>
            <sz val="10"/>
            <color indexed="81"/>
            <rFont val="Tahoma"/>
            <family val="2"/>
          </rPr>
          <t xml:space="preserve">* Constanta Km Auto (Responses)
</t>
        </r>
      </text>
    </comment>
    <comment ref="Y58" authorId="0" shapeId="0" xr:uid="{520F07BD-32F7-4692-922D-7FC583E691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2022-09-23 16:12:32 </t>
        </r>
        <r>
          <rPr>
            <b/>
            <sz val="10"/>
            <color indexed="81"/>
            <rFont val="Tahoma"/>
            <family val="2"/>
          </rPr>
          <t xml:space="preserve">= 5905 - Referinta </t>
        </r>
        <r>
          <rPr>
            <sz val="10"/>
            <color indexed="81"/>
            <rFont val="Tahoma"/>
            <family val="2"/>
          </rPr>
          <t xml:space="preserve">* Constanta Km Auto (Responses)
   2022-09-26 08:01:57 </t>
        </r>
        <r>
          <rPr>
            <b/>
            <sz val="10"/>
            <color indexed="81"/>
            <rFont val="Tahoma"/>
            <family val="2"/>
          </rPr>
          <t xml:space="preserve">= 6419 - Normal </t>
        </r>
        <r>
          <rPr>
            <sz val="10"/>
            <color indexed="81"/>
            <rFont val="Tahoma"/>
            <family val="2"/>
          </rPr>
          <t xml:space="preserve">* Constanta Km Auto (Responses)
</t>
        </r>
      </text>
    </comment>
    <comment ref="AD58" authorId="0" shapeId="0" xr:uid="{15F2017C-43B8-4946-B940-2F1F6B7A511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2022-09-30 16:11:54 </t>
        </r>
        <r>
          <rPr>
            <b/>
            <sz val="10"/>
            <color indexed="81"/>
            <rFont val="Tahoma"/>
            <family val="2"/>
          </rPr>
          <t xml:space="preserve">= 6512 - Referinta </t>
        </r>
        <r>
          <rPr>
            <sz val="10"/>
            <color indexed="81"/>
            <rFont val="Tahoma"/>
            <family val="2"/>
          </rPr>
          <t xml:space="preserve">* Constanta Km Auto (Responses)
   2022-10-03 08:03:13 </t>
        </r>
        <r>
          <rPr>
            <b/>
            <sz val="10"/>
            <color indexed="81"/>
            <rFont val="Tahoma"/>
            <family val="2"/>
          </rPr>
          <t xml:space="preserve">= 6551 - Normal </t>
        </r>
        <r>
          <rPr>
            <sz val="10"/>
            <color indexed="81"/>
            <rFont val="Tahoma"/>
            <family val="2"/>
          </rPr>
          <t xml:space="preserve">* Constanta Km Auto (Responses)
</t>
        </r>
      </text>
    </comment>
    <comment ref="J59" authorId="0" shapeId="0" xr:uid="{12659BB0-B4C8-439D-ABD7-A9A2AA6197E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07:35:29 </t>
        </r>
        <r>
          <rPr>
            <b/>
            <sz val="10"/>
            <color indexed="81"/>
            <rFont val="Tahoma"/>
            <family val="2"/>
          </rPr>
          <t xml:space="preserve">= 17439 - Referinta </t>
        </r>
        <r>
          <rPr>
            <sz val="10"/>
            <color indexed="81"/>
            <rFont val="Tahoma"/>
            <family val="2"/>
          </rPr>
          <t xml:space="preserve">* Constanta Km Auto (Responses)
   2022-09-05 07:45:40 </t>
        </r>
        <r>
          <rPr>
            <b/>
            <sz val="10"/>
            <color indexed="81"/>
            <rFont val="Tahoma"/>
            <family val="2"/>
          </rPr>
          <t xml:space="preserve">= 17446 - Normal </t>
        </r>
        <r>
          <rPr>
            <sz val="10"/>
            <color indexed="81"/>
            <rFont val="Tahoma"/>
            <family val="2"/>
          </rPr>
          <t xml:space="preserve">* Constanta Km Auto (Responses)
   2022-09-07 07:06:59 </t>
        </r>
        <r>
          <rPr>
            <b/>
            <sz val="10"/>
            <color indexed="81"/>
            <rFont val="Tahoma"/>
            <family val="2"/>
          </rPr>
          <t xml:space="preserve">= 17765 - Referinta </t>
        </r>
        <r>
          <rPr>
            <sz val="10"/>
            <color indexed="81"/>
            <rFont val="Tahoma"/>
            <family val="2"/>
          </rPr>
          <t xml:space="preserve">* Constanta Km Auto (Responses)
</t>
        </r>
      </text>
    </comment>
    <comment ref="O59" authorId="0" shapeId="0" xr:uid="{1DF73691-8BA4-484B-942A-A172E89985D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__________________________________________________________________
</t>
        </r>
        <r>
          <rPr>
            <sz val="10"/>
            <color indexed="12"/>
            <rFont val="Tahoma"/>
            <family val="2"/>
          </rPr>
          <t xml:space="preserve">  </t>
        </r>
        <r>
          <rPr>
            <sz val="10"/>
            <color indexed="81"/>
            <rFont val="Tahoma"/>
            <family val="2"/>
          </rPr>
          <t xml:space="preserve"> 2022-09-09 07:06:59 </t>
        </r>
        <r>
          <rPr>
            <b/>
            <sz val="10"/>
            <color indexed="81"/>
            <rFont val="Tahoma"/>
            <family val="2"/>
          </rPr>
          <t xml:space="preserve">= 17765 - Referinta </t>
        </r>
        <r>
          <rPr>
            <sz val="10"/>
            <color indexed="81"/>
            <rFont val="Tahoma"/>
            <family val="2"/>
          </rPr>
          <t xml:space="preserve">* Constanta Km Auto (Responses)
   2022-09-12 07:22:23 </t>
        </r>
        <r>
          <rPr>
            <b/>
            <sz val="10"/>
            <color indexed="81"/>
            <rFont val="Tahoma"/>
            <family val="2"/>
          </rPr>
          <t xml:space="preserve">= 17981 - Normal </t>
        </r>
        <r>
          <rPr>
            <sz val="10"/>
            <color indexed="81"/>
            <rFont val="Tahoma"/>
            <family val="2"/>
          </rPr>
          <t xml:space="preserve">* Constanta Km Auto (Responses)
</t>
        </r>
      </text>
    </comment>
    <comment ref="T59" authorId="0" shapeId="0" xr:uid="{1C8B93A7-AFA9-4F56-9A5E-947D740820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05:22:00 </t>
        </r>
        <r>
          <rPr>
            <b/>
            <sz val="10"/>
            <color indexed="81"/>
            <rFont val="Tahoma"/>
            <family val="2"/>
          </rPr>
          <t xml:space="preserve">= 18621 - Referinta </t>
        </r>
        <r>
          <rPr>
            <sz val="10"/>
            <color indexed="81"/>
            <rFont val="Tahoma"/>
            <family val="2"/>
          </rPr>
          <t xml:space="preserve">* Constanta Km Auto (Responses)
   2022-09-19 07:11:00 </t>
        </r>
        <r>
          <rPr>
            <b/>
            <sz val="10"/>
            <color indexed="81"/>
            <rFont val="Tahoma"/>
            <family val="2"/>
          </rPr>
          <t xml:space="preserve">= 18693 - Normal </t>
        </r>
        <r>
          <rPr>
            <sz val="10"/>
            <color indexed="81"/>
            <rFont val="Tahoma"/>
            <family val="2"/>
          </rPr>
          <t xml:space="preserve">* Constanta Km Auto (Responses)
</t>
        </r>
      </text>
    </comment>
    <comment ref="Y59" authorId="0" shapeId="0" xr:uid="{F37982D9-76D0-4ED1-9D16-EB3CDCFAD9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Referinta a fost pusa automat
__________________________________________________________________
</t>
        </r>
        <r>
          <rPr>
            <sz val="10"/>
            <color indexed="12"/>
            <rFont val="Tahoma"/>
            <family val="2"/>
          </rPr>
          <t xml:space="preserve">  </t>
        </r>
        <r>
          <rPr>
            <sz val="10"/>
            <color indexed="81"/>
            <rFont val="Tahoma"/>
            <family val="2"/>
          </rPr>
          <t xml:space="preserve"> 2022-09-25 09:40:39 </t>
        </r>
        <r>
          <rPr>
            <b/>
            <sz val="10"/>
            <color indexed="81"/>
            <rFont val="Tahoma"/>
            <family val="2"/>
          </rPr>
          <t xml:space="preserve">= 19540 - Referinta </t>
        </r>
        <r>
          <rPr>
            <sz val="10"/>
            <color indexed="81"/>
            <rFont val="Tahoma"/>
            <family val="2"/>
          </rPr>
          <t xml:space="preserve">* Constanta Km Auto (Responses)
   2022-09-26 13:43:54 </t>
        </r>
        <r>
          <rPr>
            <b/>
            <sz val="10"/>
            <color indexed="81"/>
            <rFont val="Tahoma"/>
            <family val="2"/>
          </rPr>
          <t xml:space="preserve">= 19701 - Normal </t>
        </r>
        <r>
          <rPr>
            <sz val="10"/>
            <color indexed="81"/>
            <rFont val="Tahoma"/>
            <family val="2"/>
          </rPr>
          <t xml:space="preserve">* Constanta Km Auto (Responses)
</t>
        </r>
      </text>
    </comment>
    <comment ref="AD59" authorId="0" shapeId="0" xr:uid="{87A72E6C-5813-4C39-B567-5BF9630799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__________________________________________________________________
</t>
        </r>
        <r>
          <rPr>
            <sz val="10"/>
            <color indexed="12"/>
            <rFont val="Tahoma"/>
            <family val="2"/>
          </rPr>
          <t xml:space="preserve">  </t>
        </r>
        <r>
          <rPr>
            <sz val="10"/>
            <color indexed="81"/>
            <rFont val="Tahoma"/>
            <family val="2"/>
          </rPr>
          <t xml:space="preserve"> 2022-09-30 05:22:00 </t>
        </r>
        <r>
          <rPr>
            <b/>
            <sz val="10"/>
            <color indexed="81"/>
            <rFont val="Tahoma"/>
            <family val="2"/>
          </rPr>
          <t xml:space="preserve">= 20704 - Referinta </t>
        </r>
        <r>
          <rPr>
            <sz val="10"/>
            <color indexed="81"/>
            <rFont val="Tahoma"/>
            <family val="2"/>
          </rPr>
          <t xml:space="preserve">* Constanta Km Auto (Responses)
   2022-10-03 07:16:57 </t>
        </r>
        <r>
          <rPr>
            <b/>
            <sz val="10"/>
            <color indexed="81"/>
            <rFont val="Tahoma"/>
            <family val="2"/>
          </rPr>
          <t xml:space="preserve">= 20866 - Normal </t>
        </r>
        <r>
          <rPr>
            <sz val="10"/>
            <color indexed="81"/>
            <rFont val="Tahoma"/>
            <family val="2"/>
          </rPr>
          <t xml:space="preserve">* Constanta Km Auto (Responses)
</t>
        </r>
      </text>
    </comment>
    <comment ref="J60" authorId="0" shapeId="0" xr:uid="{712A5540-8CC0-457A-A034-D7659991DC7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09:16:38 </t>
        </r>
        <r>
          <rPr>
            <b/>
            <sz val="10"/>
            <color indexed="81"/>
            <rFont val="Tahoma"/>
            <family val="2"/>
          </rPr>
          <t xml:space="preserve">= 33626 - Referinta </t>
        </r>
        <r>
          <rPr>
            <sz val="10"/>
            <color indexed="81"/>
            <rFont val="Tahoma"/>
            <family val="2"/>
          </rPr>
          <t xml:space="preserve">* Constanta Km Auto (Responses)
   2022-09-05 09:17:20 </t>
        </r>
        <r>
          <rPr>
            <b/>
            <sz val="10"/>
            <color indexed="81"/>
            <rFont val="Tahoma"/>
            <family val="2"/>
          </rPr>
          <t xml:space="preserve">= 33746 - Normal </t>
        </r>
        <r>
          <rPr>
            <sz val="10"/>
            <color indexed="81"/>
            <rFont val="Tahoma"/>
            <family val="2"/>
          </rPr>
          <t xml:space="preserve">* Constanta Km Auto (Responses)
</t>
        </r>
      </text>
    </comment>
    <comment ref="O60" authorId="0" shapeId="0" xr:uid="{59037BA8-47FD-45B6-A9EF-5104F17376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33900 - Referinta </t>
        </r>
        <r>
          <rPr>
            <sz val="10"/>
            <color indexed="81"/>
            <rFont val="Tahoma"/>
            <family val="2"/>
          </rPr>
          <t xml:space="preserve">* Constanta Km Auto (Responses)
   2022-09-12 08:00:00 </t>
        </r>
        <r>
          <rPr>
            <b/>
            <sz val="10"/>
            <color indexed="81"/>
            <rFont val="Tahoma"/>
            <family val="2"/>
          </rPr>
          <t xml:space="preserve">= 33941 - Normal </t>
        </r>
        <r>
          <rPr>
            <sz val="10"/>
            <color indexed="81"/>
            <rFont val="Tahoma"/>
            <family val="2"/>
          </rPr>
          <t xml:space="preserve">* Constanta Km Auto (Responses)
</t>
        </r>
      </text>
    </comment>
    <comment ref="T60" authorId="0" shapeId="0" xr:uid="{16D760A8-677D-439A-B6AD-6327138D69B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04:30:00 </t>
        </r>
        <r>
          <rPr>
            <b/>
            <sz val="10"/>
            <color indexed="81"/>
            <rFont val="Tahoma"/>
            <family val="2"/>
          </rPr>
          <t xml:space="preserve">= 34373 - Referinta </t>
        </r>
        <r>
          <rPr>
            <sz val="10"/>
            <color indexed="81"/>
            <rFont val="Tahoma"/>
            <family val="2"/>
          </rPr>
          <t xml:space="preserve">* Constanta Km Auto (Responses)
   2022-09-19 08:00:00 </t>
        </r>
        <r>
          <rPr>
            <b/>
            <sz val="10"/>
            <color indexed="81"/>
            <rFont val="Tahoma"/>
            <family val="2"/>
          </rPr>
          <t xml:space="preserve">= 34554 - Normal </t>
        </r>
        <r>
          <rPr>
            <sz val="10"/>
            <color indexed="81"/>
            <rFont val="Tahoma"/>
            <family val="2"/>
          </rPr>
          <t xml:space="preserve">* Constanta Km Auto (Responses)
</t>
        </r>
      </text>
    </comment>
    <comment ref="Y60" authorId="0" shapeId="0" xr:uid="{7799B3D2-2B9B-44CC-87DA-6677E33CBD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04:00:00 </t>
        </r>
        <r>
          <rPr>
            <b/>
            <sz val="10"/>
            <color indexed="81"/>
            <rFont val="Tahoma"/>
            <family val="2"/>
          </rPr>
          <t xml:space="preserve">= 34810 - Referinta </t>
        </r>
        <r>
          <rPr>
            <sz val="10"/>
            <color indexed="81"/>
            <rFont val="Tahoma"/>
            <family val="2"/>
          </rPr>
          <t xml:space="preserve">* Constanta Km Auto (Responses)
   2022-09-26 08:00:00 </t>
        </r>
        <r>
          <rPr>
            <b/>
            <sz val="10"/>
            <color indexed="81"/>
            <rFont val="Tahoma"/>
            <family val="2"/>
          </rPr>
          <t xml:space="preserve">= 34878 - Normal </t>
        </r>
        <r>
          <rPr>
            <sz val="10"/>
            <color indexed="81"/>
            <rFont val="Tahoma"/>
            <family val="2"/>
          </rPr>
          <t xml:space="preserve">* Constanta Km Auto (Responses)
</t>
        </r>
      </text>
    </comment>
    <comment ref="AD60" authorId="0" shapeId="0" xr:uid="{7DF14C1A-8CBE-4FC3-854B-EB85CA6E8F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35146 - Referinta </t>
        </r>
        <r>
          <rPr>
            <sz val="10"/>
            <color indexed="81"/>
            <rFont val="Tahoma"/>
            <family val="2"/>
          </rPr>
          <t xml:space="preserve">* Constanta Km Auto (Responses)
   2022-10-03 08:00:00 </t>
        </r>
        <r>
          <rPr>
            <b/>
            <sz val="10"/>
            <color indexed="81"/>
            <rFont val="Tahoma"/>
            <family val="2"/>
          </rPr>
          <t xml:space="preserve">= 35214 - Normal </t>
        </r>
        <r>
          <rPr>
            <sz val="10"/>
            <color indexed="81"/>
            <rFont val="Tahoma"/>
            <family val="2"/>
          </rPr>
          <t xml:space="preserve">* Constanta Km Auto (Responses)
</t>
        </r>
      </text>
    </comment>
    <comment ref="J61" authorId="0" shapeId="0" xr:uid="{D5D1B469-22F0-4602-ADE8-08D07A591B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12:00:38 </t>
        </r>
        <r>
          <rPr>
            <b/>
            <sz val="10"/>
            <color indexed="81"/>
            <rFont val="Tahoma"/>
            <family val="2"/>
          </rPr>
          <t xml:space="preserve">= 316786 - Referinta </t>
        </r>
        <r>
          <rPr>
            <sz val="10"/>
            <color indexed="81"/>
            <rFont val="Tahoma"/>
            <family val="2"/>
          </rPr>
          <t xml:space="preserve">* Constanta Km Auto (Responses)
   2022-09-05 07:43:15 </t>
        </r>
        <r>
          <rPr>
            <b/>
            <sz val="10"/>
            <color indexed="81"/>
            <rFont val="Tahoma"/>
            <family val="2"/>
          </rPr>
          <t xml:space="preserve">= 316820 - Normal </t>
        </r>
        <r>
          <rPr>
            <sz val="10"/>
            <color indexed="81"/>
            <rFont val="Tahoma"/>
            <family val="2"/>
          </rPr>
          <t xml:space="preserve">* Constanta Km Auto (Responses)
</t>
        </r>
      </text>
    </comment>
    <comment ref="O61" authorId="0" shapeId="0" xr:uid="{87AB417D-93C0-4C4E-B6A2-7AAAB29C4D0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2022-09-09 17:39:00 </t>
        </r>
        <r>
          <rPr>
            <b/>
            <sz val="10"/>
            <color indexed="81"/>
            <rFont val="Tahoma"/>
            <family val="2"/>
          </rPr>
          <t xml:space="preserve">= 317099 - Referinta </t>
        </r>
        <r>
          <rPr>
            <sz val="10"/>
            <color indexed="81"/>
            <rFont val="Tahoma"/>
            <family val="2"/>
          </rPr>
          <t xml:space="preserve">* Constanta Km Auto (Responses)
   2022-09-12 07:45:13 </t>
        </r>
        <r>
          <rPr>
            <b/>
            <sz val="10"/>
            <color indexed="81"/>
            <rFont val="Tahoma"/>
            <family val="2"/>
          </rPr>
          <t xml:space="preserve">= 317157 - Normal </t>
        </r>
        <r>
          <rPr>
            <sz val="10"/>
            <color indexed="81"/>
            <rFont val="Tahoma"/>
            <family val="2"/>
          </rPr>
          <t xml:space="preserve">* Constanta Km Auto (Responses)
</t>
        </r>
      </text>
    </comment>
    <comment ref="T61" authorId="0" shapeId="0" xr:uid="{6D41C8D2-4E88-4288-B45F-24F6443E46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2022-09-17 03:06:20 </t>
        </r>
        <r>
          <rPr>
            <b/>
            <sz val="10"/>
            <color indexed="81"/>
            <rFont val="Tahoma"/>
            <family val="2"/>
          </rPr>
          <t xml:space="preserve">= 317475 - Referinta </t>
        </r>
        <r>
          <rPr>
            <sz val="10"/>
            <color indexed="81"/>
            <rFont val="Tahoma"/>
            <family val="2"/>
          </rPr>
          <t xml:space="preserve">* Constanta Km Auto (Responses)
   2022-09-19 08:25:14 </t>
        </r>
        <r>
          <rPr>
            <b/>
            <sz val="10"/>
            <color indexed="81"/>
            <rFont val="Tahoma"/>
            <family val="2"/>
          </rPr>
          <t xml:space="preserve">= 317478 - Normal </t>
        </r>
        <r>
          <rPr>
            <sz val="10"/>
            <color indexed="81"/>
            <rFont val="Tahoma"/>
            <family val="2"/>
          </rPr>
          <t xml:space="preserve">* Constanta Km Auto (Responses)
</t>
        </r>
      </text>
    </comment>
    <comment ref="Y61" authorId="0" shapeId="0" xr:uid="{446917A9-0A79-4E99-818A-7643A5CA73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2022-09-23 17:37:30 </t>
        </r>
        <r>
          <rPr>
            <b/>
            <sz val="10"/>
            <color indexed="81"/>
            <rFont val="Tahoma"/>
            <family val="2"/>
          </rPr>
          <t xml:space="preserve">= 317839 - Referinta </t>
        </r>
        <r>
          <rPr>
            <sz val="10"/>
            <color indexed="81"/>
            <rFont val="Tahoma"/>
            <family val="2"/>
          </rPr>
          <t xml:space="preserve">* Constanta Km Auto (Responses)
   2022-09-26 08:08:08 </t>
        </r>
        <r>
          <rPr>
            <b/>
            <sz val="10"/>
            <color indexed="81"/>
            <rFont val="Tahoma"/>
            <family val="2"/>
          </rPr>
          <t xml:space="preserve">= 317854 - Normal </t>
        </r>
        <r>
          <rPr>
            <sz val="10"/>
            <color indexed="81"/>
            <rFont val="Tahoma"/>
            <family val="2"/>
          </rPr>
          <t xml:space="preserve">* Constanta Km Auto (Responses)
</t>
        </r>
      </text>
    </comment>
    <comment ref="AD61" authorId="0" shapeId="0" xr:uid="{15AFB1ED-8CC3-44ED-B16D-87124430F6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2022-10-01 09:02:00 </t>
        </r>
        <r>
          <rPr>
            <b/>
            <sz val="10"/>
            <color indexed="81"/>
            <rFont val="Tahoma"/>
            <family val="2"/>
          </rPr>
          <t xml:space="preserve">= 318073 - Referinta </t>
        </r>
        <r>
          <rPr>
            <sz val="10"/>
            <color indexed="81"/>
            <rFont val="Tahoma"/>
            <family val="2"/>
          </rPr>
          <t xml:space="preserve">* Constanta Km Auto (Responses)
   2022-10-03 07:39:53 </t>
        </r>
        <r>
          <rPr>
            <b/>
            <sz val="10"/>
            <color indexed="81"/>
            <rFont val="Tahoma"/>
            <family val="2"/>
          </rPr>
          <t xml:space="preserve">= 318106 - Normal </t>
        </r>
        <r>
          <rPr>
            <sz val="10"/>
            <color indexed="81"/>
            <rFont val="Tahoma"/>
            <family val="2"/>
          </rPr>
          <t xml:space="preserve">* Constanta Km Auto (Responses)
</t>
        </r>
      </text>
    </comment>
    <comment ref="J62" authorId="0" shapeId="0" xr:uid="{8B6CB9EB-B147-4F83-9992-3FDA560F65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16:19:56 </t>
        </r>
        <r>
          <rPr>
            <b/>
            <sz val="10"/>
            <color indexed="81"/>
            <rFont val="Tahoma"/>
            <family val="2"/>
          </rPr>
          <t xml:space="preserve">= 52881 - Referinta </t>
        </r>
        <r>
          <rPr>
            <sz val="10"/>
            <color indexed="81"/>
            <rFont val="Tahoma"/>
            <family val="2"/>
          </rPr>
          <t xml:space="preserve">* Constanta Km Auto (Responses)
   2022-09-05 07:42:52 </t>
        </r>
        <r>
          <rPr>
            <b/>
            <sz val="10"/>
            <color indexed="81"/>
            <rFont val="Tahoma"/>
            <family val="2"/>
          </rPr>
          <t xml:space="preserve">= 52911 - Normal </t>
        </r>
        <r>
          <rPr>
            <sz val="10"/>
            <color indexed="81"/>
            <rFont val="Tahoma"/>
            <family val="2"/>
          </rPr>
          <t xml:space="preserve">* Constanta Km Auto (Responses)
</t>
        </r>
      </text>
    </comment>
    <comment ref="O62" authorId="0" shapeId="0" xr:uid="{E500E211-CDEE-439C-AA23-90742BFC74B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04:22:00 </t>
        </r>
        <r>
          <rPr>
            <b/>
            <sz val="10"/>
            <color indexed="81"/>
            <rFont val="Tahoma"/>
            <family val="2"/>
          </rPr>
          <t xml:space="preserve">= 53428 - Referinta </t>
        </r>
        <r>
          <rPr>
            <sz val="10"/>
            <color indexed="81"/>
            <rFont val="Tahoma"/>
            <family val="2"/>
          </rPr>
          <t xml:space="preserve">* Constanta Km Auto (Responses)
   2022-09-12 07:54:00 </t>
        </r>
        <r>
          <rPr>
            <b/>
            <sz val="10"/>
            <color indexed="81"/>
            <rFont val="Tahoma"/>
            <family val="2"/>
          </rPr>
          <t xml:space="preserve">= 53462 - Normal </t>
        </r>
        <r>
          <rPr>
            <sz val="10"/>
            <color indexed="81"/>
            <rFont val="Tahoma"/>
            <family val="2"/>
          </rPr>
          <t xml:space="preserve">* Constanta Km Auto (Responses)
   2022-09-15 04:20:00 </t>
        </r>
        <r>
          <rPr>
            <b/>
            <sz val="10"/>
            <color indexed="81"/>
            <rFont val="Tahoma"/>
            <family val="2"/>
          </rPr>
          <t xml:space="preserve">= 53897 - Concediu </t>
        </r>
        <r>
          <rPr>
            <sz val="10"/>
            <color indexed="81"/>
            <rFont val="Tahoma"/>
            <family val="2"/>
          </rPr>
          <t xml:space="preserve">* Constanta Km Auto (Responses)
</t>
        </r>
      </text>
    </comment>
    <comment ref="T62" authorId="0" shapeId="0" xr:uid="{BCDC2E24-A8E5-42AB-A958-1975000F5E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08:09:00 </t>
        </r>
        <r>
          <rPr>
            <b/>
            <sz val="10"/>
            <color indexed="81"/>
            <rFont val="Tahoma"/>
            <family val="2"/>
          </rPr>
          <t xml:space="preserve">= 53902 - Referinta </t>
        </r>
        <r>
          <rPr>
            <sz val="10"/>
            <color indexed="81"/>
            <rFont val="Tahoma"/>
            <family val="2"/>
          </rPr>
          <t xml:space="preserve">* Constanta Km Auto (Responses)
</t>
        </r>
      </text>
    </comment>
    <comment ref="Y62" authorId="0" shapeId="0" xr:uid="{4F7B73EC-F0E4-4207-A3DD-8BC91C5E47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16:16:40 </t>
        </r>
        <r>
          <rPr>
            <b/>
            <sz val="10"/>
            <color indexed="81"/>
            <rFont val="Tahoma"/>
            <family val="2"/>
          </rPr>
          <t xml:space="preserve">= 54149 - Referinta </t>
        </r>
        <r>
          <rPr>
            <sz val="10"/>
            <color indexed="81"/>
            <rFont val="Tahoma"/>
            <family val="2"/>
          </rPr>
          <t xml:space="preserve">* Constanta Km Auto (Responses)
   2022-09-26 08:02:47 </t>
        </r>
        <r>
          <rPr>
            <b/>
            <sz val="10"/>
            <color indexed="81"/>
            <rFont val="Tahoma"/>
            <family val="2"/>
          </rPr>
          <t xml:space="preserve">= 54154 - Normal </t>
        </r>
        <r>
          <rPr>
            <sz val="10"/>
            <color indexed="81"/>
            <rFont val="Tahoma"/>
            <family val="2"/>
          </rPr>
          <t xml:space="preserve">* Constanta Km Auto (Responses)
   2022-09-26 08:02:49 </t>
        </r>
        <r>
          <rPr>
            <b/>
            <sz val="10"/>
            <color indexed="81"/>
            <rFont val="Tahoma"/>
            <family val="2"/>
          </rPr>
          <t xml:space="preserve">= 54154 - Normal </t>
        </r>
        <r>
          <rPr>
            <sz val="10"/>
            <color indexed="81"/>
            <rFont val="Tahoma"/>
            <family val="2"/>
          </rPr>
          <t xml:space="preserve">* Constanta Km Auto (Responses)
</t>
        </r>
      </text>
    </comment>
    <comment ref="AD62" authorId="0" shapeId="0" xr:uid="{197442E4-8811-4C15-859F-A4E2366E4A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16:42:21 </t>
        </r>
        <r>
          <rPr>
            <b/>
            <sz val="10"/>
            <color indexed="81"/>
            <rFont val="Tahoma"/>
            <family val="2"/>
          </rPr>
          <t xml:space="preserve">= 54639 - Referinta </t>
        </r>
        <r>
          <rPr>
            <sz val="10"/>
            <color indexed="81"/>
            <rFont val="Tahoma"/>
            <family val="2"/>
          </rPr>
          <t xml:space="preserve">* Constanta Km Auto (Responses)
   2022-10-03 08:04:53 </t>
        </r>
        <r>
          <rPr>
            <b/>
            <sz val="10"/>
            <color indexed="81"/>
            <rFont val="Tahoma"/>
            <family val="2"/>
          </rPr>
          <t xml:space="preserve">= 54644 - Normal </t>
        </r>
        <r>
          <rPr>
            <sz val="10"/>
            <color indexed="81"/>
            <rFont val="Tahoma"/>
            <family val="2"/>
          </rPr>
          <t xml:space="preserve">* Constanta Km Auto (Responses)
</t>
        </r>
      </text>
    </comment>
    <comment ref="J63" authorId="0" shapeId="0" xr:uid="{A5ADEE22-CB5C-42B4-854F-5F0AEB4CF7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15:41:09 </t>
        </r>
        <r>
          <rPr>
            <b/>
            <sz val="10"/>
            <color indexed="81"/>
            <rFont val="Tahoma"/>
            <family val="2"/>
          </rPr>
          <t xml:space="preserve">= 70400 - Referinta </t>
        </r>
        <r>
          <rPr>
            <sz val="10"/>
            <color indexed="81"/>
            <rFont val="Tahoma"/>
            <family val="2"/>
          </rPr>
          <t xml:space="preserve">* Constanta Km Auto (Responses)
   2022-09-05 07:41:23 </t>
        </r>
        <r>
          <rPr>
            <b/>
            <sz val="10"/>
            <color indexed="81"/>
            <rFont val="Tahoma"/>
            <family val="2"/>
          </rPr>
          <t xml:space="preserve">= 70484 - Normal </t>
        </r>
        <r>
          <rPr>
            <sz val="10"/>
            <color indexed="81"/>
            <rFont val="Tahoma"/>
            <family val="2"/>
          </rPr>
          <t xml:space="preserve">* Constanta Km Auto (Responses)
</t>
        </r>
      </text>
    </comment>
    <comment ref="O63" authorId="0" shapeId="0" xr:uid="{35CC7B34-FBF3-4258-ABD1-E6EF3AE60A7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15:49:54 </t>
        </r>
        <r>
          <rPr>
            <b/>
            <sz val="10"/>
            <color indexed="81"/>
            <rFont val="Tahoma"/>
            <family val="2"/>
          </rPr>
          <t xml:space="preserve">= 71088 - Referinta </t>
        </r>
        <r>
          <rPr>
            <sz val="10"/>
            <color indexed="81"/>
            <rFont val="Tahoma"/>
            <family val="2"/>
          </rPr>
          <t xml:space="preserve">* Constanta Km Auto (Responses)
   2022-09-12 07:45:04 </t>
        </r>
        <r>
          <rPr>
            <b/>
            <sz val="10"/>
            <color indexed="81"/>
            <rFont val="Tahoma"/>
            <family val="2"/>
          </rPr>
          <t xml:space="preserve">= 71171 - Normal </t>
        </r>
        <r>
          <rPr>
            <sz val="10"/>
            <color indexed="81"/>
            <rFont val="Tahoma"/>
            <family val="2"/>
          </rPr>
          <t xml:space="preserve">* Constanta Km Auto (Responses)
</t>
        </r>
      </text>
    </comment>
    <comment ref="T63" authorId="0" shapeId="0" xr:uid="{1069BAA3-501A-4E9A-8D53-3B1014192D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15:42:37 </t>
        </r>
        <r>
          <rPr>
            <b/>
            <sz val="10"/>
            <color indexed="81"/>
            <rFont val="Tahoma"/>
            <family val="2"/>
          </rPr>
          <t xml:space="preserve">= 71758 - Referinta </t>
        </r>
        <r>
          <rPr>
            <sz val="10"/>
            <color indexed="81"/>
            <rFont val="Tahoma"/>
            <family val="2"/>
          </rPr>
          <t xml:space="preserve">* Constanta Km Auto (Responses)
   2022-09-19 07:35:18 </t>
        </r>
        <r>
          <rPr>
            <b/>
            <sz val="10"/>
            <color indexed="81"/>
            <rFont val="Tahoma"/>
            <family val="2"/>
          </rPr>
          <t xml:space="preserve">= 71841 - Normal </t>
        </r>
        <r>
          <rPr>
            <sz val="10"/>
            <color indexed="81"/>
            <rFont val="Tahoma"/>
            <family val="2"/>
          </rPr>
          <t xml:space="preserve">* Constanta Km Auto (Responses)
</t>
        </r>
      </text>
    </comment>
    <comment ref="Y63" authorId="0" shapeId="0" xr:uid="{27B9BAAE-782D-47CE-8C65-BA6E4E239D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15:43:19 </t>
        </r>
        <r>
          <rPr>
            <b/>
            <sz val="10"/>
            <color indexed="81"/>
            <rFont val="Tahoma"/>
            <family val="2"/>
          </rPr>
          <t xml:space="preserve">= 72419 - Referinta </t>
        </r>
        <r>
          <rPr>
            <sz val="10"/>
            <color indexed="81"/>
            <rFont val="Tahoma"/>
            <family val="2"/>
          </rPr>
          <t xml:space="preserve">* Constanta Km Auto (Responses)
   2022-09-26 07:21:06 </t>
        </r>
        <r>
          <rPr>
            <b/>
            <sz val="10"/>
            <color indexed="81"/>
            <rFont val="Tahoma"/>
            <family val="2"/>
          </rPr>
          <t xml:space="preserve">= 72501 - Normal </t>
        </r>
        <r>
          <rPr>
            <sz val="10"/>
            <color indexed="81"/>
            <rFont val="Tahoma"/>
            <family val="2"/>
          </rPr>
          <t xml:space="preserve">* Constanta Km Auto (Responses)
</t>
        </r>
      </text>
    </comment>
    <comment ref="AD63" authorId="0" shapeId="0" xr:uid="{325C1289-77AE-435B-B1D7-9CC8D97248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__________________________________________________________________
</t>
        </r>
        <r>
          <rPr>
            <sz val="10"/>
            <color indexed="12"/>
            <rFont val="Tahoma"/>
            <family val="2"/>
          </rPr>
          <t xml:space="preserve">  </t>
        </r>
        <r>
          <rPr>
            <sz val="10"/>
            <color indexed="81"/>
            <rFont val="Tahoma"/>
            <family val="2"/>
          </rPr>
          <t xml:space="preserve"> 2022-09-30 08:39:22 </t>
        </r>
        <r>
          <rPr>
            <b/>
            <sz val="10"/>
            <color indexed="81"/>
            <rFont val="Tahoma"/>
            <family val="2"/>
          </rPr>
          <t xml:space="preserve">= 73128 - Referinta </t>
        </r>
        <r>
          <rPr>
            <sz val="10"/>
            <color indexed="81"/>
            <rFont val="Tahoma"/>
            <family val="2"/>
          </rPr>
          <t xml:space="preserve">* Constanta Km Auto (Responses)
   2022-10-03 07:52:05 </t>
        </r>
        <r>
          <rPr>
            <b/>
            <sz val="10"/>
            <color indexed="81"/>
            <rFont val="Tahoma"/>
            <family val="2"/>
          </rPr>
          <t xml:space="preserve">= 73211 - Normal </t>
        </r>
        <r>
          <rPr>
            <sz val="10"/>
            <color indexed="81"/>
            <rFont val="Tahoma"/>
            <family val="2"/>
          </rPr>
          <t xml:space="preserve">* Constanta Km Auto (Responses)
</t>
        </r>
      </text>
    </comment>
    <comment ref="J64" authorId="0" shapeId="0" xr:uid="{DF4E6519-8A4A-461F-B173-1288BE2FBB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08:15:04 </t>
        </r>
        <r>
          <rPr>
            <b/>
            <sz val="10"/>
            <color indexed="81"/>
            <rFont val="Tahoma"/>
            <family val="2"/>
          </rPr>
          <t xml:space="preserve">= 58673 - Referinta </t>
        </r>
        <r>
          <rPr>
            <sz val="10"/>
            <color indexed="81"/>
            <rFont val="Tahoma"/>
            <family val="2"/>
          </rPr>
          <t xml:space="preserve">* Constanta Km Auto (Responses)
</t>
        </r>
      </text>
    </comment>
    <comment ref="O64" authorId="0" shapeId="0" xr:uid="{3112D229-A2B2-4A1C-B1F1-39F8601B3B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2022-09-09 16:35:01 </t>
        </r>
        <r>
          <rPr>
            <b/>
            <sz val="10"/>
            <color indexed="81"/>
            <rFont val="Tahoma"/>
            <family val="2"/>
          </rPr>
          <t xml:space="preserve">= 58954 - Referinta </t>
        </r>
        <r>
          <rPr>
            <sz val="10"/>
            <color indexed="81"/>
            <rFont val="Tahoma"/>
            <family val="2"/>
          </rPr>
          <t xml:space="preserve">* Constanta Km Auto (Responses)
   2022-09-12 06:39:00 </t>
        </r>
        <r>
          <rPr>
            <b/>
            <sz val="10"/>
            <color indexed="81"/>
            <rFont val="Tahoma"/>
            <family val="2"/>
          </rPr>
          <t xml:space="preserve">= 58954 - Normal </t>
        </r>
        <r>
          <rPr>
            <sz val="10"/>
            <color indexed="81"/>
            <rFont val="Tahoma"/>
            <family val="2"/>
          </rPr>
          <t xml:space="preserve">* Constanta Km Auto (Responses)
</t>
        </r>
      </text>
    </comment>
    <comment ref="T64" authorId="0" shapeId="0" xr:uid="{C7296DF5-51E0-4160-941C-E887FF99F1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2022-09-16 05:11:00 </t>
        </r>
        <r>
          <rPr>
            <b/>
            <sz val="10"/>
            <color indexed="81"/>
            <rFont val="Tahoma"/>
            <family val="2"/>
          </rPr>
          <t xml:space="preserve">= 60326 - Referinta </t>
        </r>
        <r>
          <rPr>
            <sz val="10"/>
            <color indexed="81"/>
            <rFont val="Tahoma"/>
            <family val="2"/>
          </rPr>
          <t xml:space="preserve">* Constanta Km Auto (Responses)
   2022-09-19 08:09:00 </t>
        </r>
        <r>
          <rPr>
            <b/>
            <sz val="10"/>
            <color indexed="81"/>
            <rFont val="Tahoma"/>
            <family val="2"/>
          </rPr>
          <t xml:space="preserve">= 60326 - Normal </t>
        </r>
        <r>
          <rPr>
            <sz val="10"/>
            <color indexed="81"/>
            <rFont val="Tahoma"/>
            <family val="2"/>
          </rPr>
          <t xml:space="preserve">* Constanta Km Auto (Responses)
</t>
        </r>
      </text>
    </comment>
    <comment ref="Y64" authorId="0" shapeId="0" xr:uid="{4A3A6AF7-DF49-49A7-B2E3-6ADB4A6356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2022-09-23 05:17:00 </t>
        </r>
        <r>
          <rPr>
            <b/>
            <sz val="10"/>
            <color indexed="81"/>
            <rFont val="Tahoma"/>
            <family val="2"/>
          </rPr>
          <t xml:space="preserve">= 60831 - Referinta </t>
        </r>
        <r>
          <rPr>
            <sz val="10"/>
            <color indexed="81"/>
            <rFont val="Tahoma"/>
            <family val="2"/>
          </rPr>
          <t xml:space="preserve">* Constanta Km Auto (Responses)
   2022-09-26 08:41:00 </t>
        </r>
        <r>
          <rPr>
            <b/>
            <sz val="10"/>
            <color indexed="81"/>
            <rFont val="Tahoma"/>
            <family val="2"/>
          </rPr>
          <t xml:space="preserve">= 60831 - Normal </t>
        </r>
        <r>
          <rPr>
            <sz val="10"/>
            <color indexed="81"/>
            <rFont val="Tahoma"/>
            <family val="2"/>
          </rPr>
          <t xml:space="preserve">* Constanta Km Auto (Responses)
</t>
        </r>
      </text>
    </comment>
    <comment ref="AD64" authorId="0" shapeId="0" xr:uid="{36D6ADDB-5EC2-40FC-BB9E-0E91207BA3E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2022-09-30 05:25:00 </t>
        </r>
        <r>
          <rPr>
            <b/>
            <sz val="10"/>
            <color indexed="81"/>
            <rFont val="Tahoma"/>
            <family val="2"/>
          </rPr>
          <t xml:space="preserve">= 61379 - Referinta </t>
        </r>
        <r>
          <rPr>
            <sz val="10"/>
            <color indexed="81"/>
            <rFont val="Tahoma"/>
            <family val="2"/>
          </rPr>
          <t xml:space="preserve">* Constanta Km Auto (Responses)
   2022-10-03 10:59:00 </t>
        </r>
        <r>
          <rPr>
            <b/>
            <sz val="10"/>
            <color indexed="81"/>
            <rFont val="Tahoma"/>
            <family val="2"/>
          </rPr>
          <t xml:space="preserve">= 61379 - Normal </t>
        </r>
        <r>
          <rPr>
            <sz val="10"/>
            <color indexed="81"/>
            <rFont val="Tahoma"/>
            <family val="2"/>
          </rPr>
          <t xml:space="preserve">* Constanta Km Auto (Responses)
</t>
        </r>
      </text>
    </comment>
    <comment ref="J65" authorId="0" shapeId="0" xr:uid="{CF99AC46-5051-4D12-989F-F4B3A7DD1D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16:02:52 </t>
        </r>
        <r>
          <rPr>
            <b/>
            <sz val="10"/>
            <color indexed="81"/>
            <rFont val="Tahoma"/>
            <family val="2"/>
          </rPr>
          <t xml:space="preserve">= 15867 - Referinta </t>
        </r>
        <r>
          <rPr>
            <sz val="10"/>
            <color indexed="81"/>
            <rFont val="Tahoma"/>
            <family val="2"/>
          </rPr>
          <t xml:space="preserve">* Constanta Km Auto (Responses)
   2022-09-05 08:41:18 </t>
        </r>
        <r>
          <rPr>
            <b/>
            <sz val="10"/>
            <color indexed="81"/>
            <rFont val="Tahoma"/>
            <family val="2"/>
          </rPr>
          <t xml:space="preserve">= 15888 - Normal </t>
        </r>
        <r>
          <rPr>
            <sz val="10"/>
            <color indexed="81"/>
            <rFont val="Tahoma"/>
            <family val="2"/>
          </rPr>
          <t xml:space="preserve">* Constanta Km Auto (Responses)
   2022-09-06 18:52:18 </t>
        </r>
        <r>
          <rPr>
            <b/>
            <sz val="10"/>
            <color indexed="81"/>
            <rFont val="Tahoma"/>
            <family val="2"/>
          </rPr>
          <t xml:space="preserve">= 16344 - Concediu </t>
        </r>
        <r>
          <rPr>
            <sz val="10"/>
            <color indexed="81"/>
            <rFont val="Tahoma"/>
            <family val="2"/>
          </rPr>
          <t xml:space="preserve">* Constanta Km Auto (Responses)
</t>
        </r>
      </text>
    </comment>
    <comment ref="O65" authorId="0" shapeId="0" xr:uid="{5BB1E655-80FF-489B-80FD-8327EE3AD1B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Referinta a fost pusa automat
__________________________________________________________________
</t>
        </r>
        <r>
          <rPr>
            <sz val="10"/>
            <color indexed="12"/>
            <rFont val="Tahoma"/>
            <family val="2"/>
          </rPr>
          <t xml:space="preserve">  </t>
        </r>
        <r>
          <rPr>
            <sz val="10"/>
            <color indexed="81"/>
            <rFont val="Tahoma"/>
            <family val="2"/>
          </rPr>
          <t xml:space="preserve"> 2022-09-13 08:12:08 </t>
        </r>
        <r>
          <rPr>
            <b/>
            <sz val="10"/>
            <color indexed="81"/>
            <rFont val="Tahoma"/>
            <family val="2"/>
          </rPr>
          <t xml:space="preserve">= 16361 - Referinta </t>
        </r>
        <r>
          <rPr>
            <sz val="10"/>
            <color indexed="81"/>
            <rFont val="Tahoma"/>
            <family val="2"/>
          </rPr>
          <t xml:space="preserve">* Constanta Km Auto (Responses)
</t>
        </r>
      </text>
    </comment>
    <comment ref="T65" authorId="0" shapeId="0" xr:uid="{418986FB-E111-4BE9-BA2A-9301027D08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__________________________________________________________________
</t>
        </r>
        <r>
          <rPr>
            <sz val="10"/>
            <color indexed="12"/>
            <rFont val="Tahoma"/>
            <family val="2"/>
          </rPr>
          <t xml:space="preserve">  </t>
        </r>
        <r>
          <rPr>
            <sz val="10"/>
            <color indexed="81"/>
            <rFont val="Tahoma"/>
            <family val="2"/>
          </rPr>
          <t xml:space="preserve"> 2022-09-16 17:54:56 </t>
        </r>
        <r>
          <rPr>
            <b/>
            <sz val="10"/>
            <color indexed="81"/>
            <rFont val="Tahoma"/>
            <family val="2"/>
          </rPr>
          <t xml:space="preserve">= 16411 - Referinta </t>
        </r>
        <r>
          <rPr>
            <sz val="10"/>
            <color indexed="81"/>
            <rFont val="Tahoma"/>
            <family val="2"/>
          </rPr>
          <t xml:space="preserve">* Constanta Km Auto (Responses)
   2022-09-19 09:01:43 </t>
        </r>
        <r>
          <rPr>
            <b/>
            <sz val="10"/>
            <color indexed="81"/>
            <rFont val="Tahoma"/>
            <family val="2"/>
          </rPr>
          <t xml:space="preserve">= 16756 - Normal </t>
        </r>
        <r>
          <rPr>
            <sz val="10"/>
            <color indexed="81"/>
            <rFont val="Tahoma"/>
            <family val="2"/>
          </rPr>
          <t xml:space="preserve">* Constanta Km Auto (Responses)
</t>
        </r>
      </text>
    </comment>
    <comment ref="Y65" authorId="0" shapeId="0" xr:uid="{247A38D6-D126-486E-921A-70238F370E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__________________________________________________________________
</t>
        </r>
        <r>
          <rPr>
            <sz val="10"/>
            <color indexed="12"/>
            <rFont val="Tahoma"/>
            <family val="2"/>
          </rPr>
          <t xml:space="preserve">  </t>
        </r>
        <r>
          <rPr>
            <sz val="10"/>
            <color indexed="81"/>
            <rFont val="Tahoma"/>
            <family val="2"/>
          </rPr>
          <t xml:space="preserve"> 2022-09-23 16:32:54 </t>
        </r>
        <r>
          <rPr>
            <b/>
            <sz val="10"/>
            <color indexed="81"/>
            <rFont val="Tahoma"/>
            <family val="2"/>
          </rPr>
          <t xml:space="preserve">= 17224 - Referinta </t>
        </r>
        <r>
          <rPr>
            <sz val="10"/>
            <color indexed="81"/>
            <rFont val="Tahoma"/>
            <family val="2"/>
          </rPr>
          <t xml:space="preserve">* Constanta Km Auto (Responses)
   2022-09-26 08:09:40 </t>
        </r>
        <r>
          <rPr>
            <b/>
            <sz val="10"/>
            <color indexed="81"/>
            <rFont val="Tahoma"/>
            <family val="2"/>
          </rPr>
          <t xml:space="preserve">= 17262 - Normal </t>
        </r>
        <r>
          <rPr>
            <sz val="10"/>
            <color indexed="81"/>
            <rFont val="Tahoma"/>
            <family val="2"/>
          </rPr>
          <t xml:space="preserve">* Constanta Km Auto (Responses)
</t>
        </r>
      </text>
    </comment>
    <comment ref="AD65" authorId="0" shapeId="0" xr:uid="{E2F5EE9C-4B42-4B57-8BDB-C38422D557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__________________________________________________________________
</t>
        </r>
        <r>
          <rPr>
            <sz val="10"/>
            <color indexed="12"/>
            <rFont val="Tahoma"/>
            <family val="2"/>
          </rPr>
          <t xml:space="preserve">  </t>
        </r>
        <r>
          <rPr>
            <sz val="10"/>
            <color indexed="81"/>
            <rFont val="Tahoma"/>
            <family val="2"/>
          </rPr>
          <t xml:space="preserve"> 2022-09-30 17:21:56 </t>
        </r>
        <r>
          <rPr>
            <b/>
            <sz val="10"/>
            <color indexed="81"/>
            <rFont val="Tahoma"/>
            <family val="2"/>
          </rPr>
          <t xml:space="preserve">= 17331 - Referinta </t>
        </r>
        <r>
          <rPr>
            <sz val="10"/>
            <color indexed="81"/>
            <rFont val="Tahoma"/>
            <family val="2"/>
          </rPr>
          <t xml:space="preserve">* Constanta Km Auto (Responses)
   2022-10-03 09:20:13 </t>
        </r>
        <r>
          <rPr>
            <b/>
            <sz val="10"/>
            <color indexed="81"/>
            <rFont val="Tahoma"/>
            <family val="2"/>
          </rPr>
          <t xml:space="preserve">= 17369 - Normal </t>
        </r>
        <r>
          <rPr>
            <sz val="10"/>
            <color indexed="81"/>
            <rFont val="Tahoma"/>
            <family val="2"/>
          </rPr>
          <t xml:space="preserve">* Constanta Km Auto (Responses)
</t>
        </r>
      </text>
    </comment>
    <comment ref="J66" authorId="0" shapeId="0" xr:uid="{3DB8C2D2-6CFB-427E-B2E9-21A07BE4505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16:57:24 </t>
        </r>
        <r>
          <rPr>
            <b/>
            <sz val="10"/>
            <color indexed="81"/>
            <rFont val="Tahoma"/>
            <family val="2"/>
          </rPr>
          <t xml:space="preserve">= 74020 - Referinta </t>
        </r>
        <r>
          <rPr>
            <sz val="10"/>
            <color indexed="81"/>
            <rFont val="Tahoma"/>
            <family val="2"/>
          </rPr>
          <t xml:space="preserve">* Constanta Km Auto (Responses)
   2022-09-05 07:28:31 </t>
        </r>
        <r>
          <rPr>
            <b/>
            <sz val="10"/>
            <color indexed="81"/>
            <rFont val="Tahoma"/>
            <family val="2"/>
          </rPr>
          <t xml:space="preserve">= 74025 - Normal </t>
        </r>
        <r>
          <rPr>
            <sz val="10"/>
            <color indexed="81"/>
            <rFont val="Tahoma"/>
            <family val="2"/>
          </rPr>
          <t xml:space="preserve">* Constanta Km Auto (Responses)
</t>
        </r>
      </text>
    </comment>
    <comment ref="O66" authorId="0" shapeId="0" xr:uid="{B45ADDF6-7C55-46EE-89CE-CA74A0D404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16:34:10 </t>
        </r>
        <r>
          <rPr>
            <b/>
            <sz val="10"/>
            <color indexed="81"/>
            <rFont val="Tahoma"/>
            <family val="2"/>
          </rPr>
          <t xml:space="preserve">= 74525 - Referinta </t>
        </r>
        <r>
          <rPr>
            <sz val="10"/>
            <color indexed="81"/>
            <rFont val="Tahoma"/>
            <family val="2"/>
          </rPr>
          <t xml:space="preserve">* Constanta Km Auto (Responses)
   2022-09-12 07:31:14 </t>
        </r>
        <r>
          <rPr>
            <b/>
            <sz val="10"/>
            <color indexed="81"/>
            <rFont val="Tahoma"/>
            <family val="2"/>
          </rPr>
          <t xml:space="preserve">= 74525 - Normal </t>
        </r>
        <r>
          <rPr>
            <sz val="10"/>
            <color indexed="81"/>
            <rFont val="Tahoma"/>
            <family val="2"/>
          </rPr>
          <t xml:space="preserve">* Constanta Km Auto (Responses)
</t>
        </r>
      </text>
    </comment>
    <comment ref="T66" authorId="0" shapeId="0" xr:uid="{D8CBDD00-E726-49BC-B84D-3A3ECC0FC8F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20:52:03 </t>
        </r>
        <r>
          <rPr>
            <b/>
            <sz val="10"/>
            <color indexed="81"/>
            <rFont val="Tahoma"/>
            <family val="2"/>
          </rPr>
          <t xml:space="preserve">= 74661 - Referinta </t>
        </r>
        <r>
          <rPr>
            <sz val="10"/>
            <color indexed="81"/>
            <rFont val="Tahoma"/>
            <family val="2"/>
          </rPr>
          <t xml:space="preserve">* Constanta Km Auto (Responses)
   2022-09-19 07:35:38 </t>
        </r>
        <r>
          <rPr>
            <b/>
            <sz val="10"/>
            <color indexed="81"/>
            <rFont val="Tahoma"/>
            <family val="2"/>
          </rPr>
          <t xml:space="preserve">= 74677 - Normal </t>
        </r>
        <r>
          <rPr>
            <sz val="10"/>
            <color indexed="81"/>
            <rFont val="Tahoma"/>
            <family val="2"/>
          </rPr>
          <t xml:space="preserve">* Constanta Km Auto (Responses)
</t>
        </r>
      </text>
    </comment>
    <comment ref="Y66" authorId="0" shapeId="0" xr:uid="{BA477F39-C5FB-4AF9-9724-B966ACA61F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17:48:28 </t>
        </r>
        <r>
          <rPr>
            <b/>
            <sz val="10"/>
            <color indexed="81"/>
            <rFont val="Tahoma"/>
            <family val="2"/>
          </rPr>
          <t xml:space="preserve">= 74778 - Referinta </t>
        </r>
        <r>
          <rPr>
            <sz val="10"/>
            <color indexed="81"/>
            <rFont val="Tahoma"/>
            <family val="2"/>
          </rPr>
          <t xml:space="preserve">* Constanta Km Auto (Responses)
   2022-09-26 07:35:40 </t>
        </r>
        <r>
          <rPr>
            <b/>
            <sz val="10"/>
            <color indexed="81"/>
            <rFont val="Tahoma"/>
            <family val="2"/>
          </rPr>
          <t xml:space="preserve">= 74808 - Normal </t>
        </r>
        <r>
          <rPr>
            <sz val="10"/>
            <color indexed="81"/>
            <rFont val="Tahoma"/>
            <family val="2"/>
          </rPr>
          <t xml:space="preserve">* Constanta Km Auto (Responses)
</t>
        </r>
      </text>
    </comment>
    <comment ref="AD66" authorId="0" shapeId="0" xr:uid="{25BB604C-6530-48D0-BEEF-E31F312623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17:16:07 </t>
        </r>
        <r>
          <rPr>
            <b/>
            <sz val="10"/>
            <color indexed="81"/>
            <rFont val="Tahoma"/>
            <family val="2"/>
          </rPr>
          <t xml:space="preserve">= 74981 - Referinta </t>
        </r>
        <r>
          <rPr>
            <sz val="10"/>
            <color indexed="81"/>
            <rFont val="Tahoma"/>
            <family val="2"/>
          </rPr>
          <t xml:space="preserve">* Constanta Km Auto (Responses)
   2022-10-03 07:39:43 </t>
        </r>
        <r>
          <rPr>
            <b/>
            <sz val="10"/>
            <color indexed="81"/>
            <rFont val="Tahoma"/>
            <family val="2"/>
          </rPr>
          <t xml:space="preserve">= 75016 - Normal </t>
        </r>
        <r>
          <rPr>
            <sz val="10"/>
            <color indexed="81"/>
            <rFont val="Tahoma"/>
            <family val="2"/>
          </rPr>
          <t xml:space="preserve">* Constanta Km Auto (Responses)
</t>
        </r>
      </text>
    </comment>
    <comment ref="J67" authorId="0" shapeId="0" xr:uid="{59FB1E08-97B3-495B-B8C5-C899E3A2BA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15:39:26 </t>
        </r>
        <r>
          <rPr>
            <b/>
            <sz val="10"/>
            <color indexed="81"/>
            <rFont val="Tahoma"/>
            <family val="2"/>
          </rPr>
          <t xml:space="preserve">= 178670 - Referinta </t>
        </r>
        <r>
          <rPr>
            <sz val="10"/>
            <color indexed="81"/>
            <rFont val="Tahoma"/>
            <family val="2"/>
          </rPr>
          <t xml:space="preserve">* Constanta Km Auto (Responses)
   2022-09-05 07:46:19 </t>
        </r>
        <r>
          <rPr>
            <b/>
            <sz val="10"/>
            <color indexed="81"/>
            <rFont val="Tahoma"/>
            <family val="2"/>
          </rPr>
          <t xml:space="preserve">= 178670 - Normal </t>
        </r>
        <r>
          <rPr>
            <sz val="10"/>
            <color indexed="81"/>
            <rFont val="Tahoma"/>
            <family val="2"/>
          </rPr>
          <t xml:space="preserve">* Constanta Km Auto (Responses)
</t>
        </r>
      </text>
    </comment>
    <comment ref="O67" authorId="0" shapeId="0" xr:uid="{8F5A33B7-2850-4CD3-AE56-624294554AE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16:05:23 </t>
        </r>
        <r>
          <rPr>
            <b/>
            <sz val="10"/>
            <color indexed="81"/>
            <rFont val="Tahoma"/>
            <family val="2"/>
          </rPr>
          <t xml:space="preserve">= 179735 - Referinta </t>
        </r>
        <r>
          <rPr>
            <sz val="10"/>
            <color indexed="81"/>
            <rFont val="Tahoma"/>
            <family val="2"/>
          </rPr>
          <t xml:space="preserve">* Constanta Km Auto (Responses)
   2022-09-12 07:46:14 </t>
        </r>
        <r>
          <rPr>
            <b/>
            <sz val="10"/>
            <color indexed="81"/>
            <rFont val="Tahoma"/>
            <family val="2"/>
          </rPr>
          <t xml:space="preserve">= 179735 - Normal </t>
        </r>
        <r>
          <rPr>
            <sz val="10"/>
            <color indexed="81"/>
            <rFont val="Tahoma"/>
            <family val="2"/>
          </rPr>
          <t xml:space="preserve">* Constanta Km Auto (Responses)
</t>
        </r>
      </text>
    </comment>
    <comment ref="T67" authorId="0" shapeId="0" xr:uid="{CA866FC7-02A2-4A0F-BA0B-F4E80D722D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07:42:20 </t>
        </r>
        <r>
          <rPr>
            <b/>
            <sz val="10"/>
            <color indexed="81"/>
            <rFont val="Tahoma"/>
            <family val="2"/>
          </rPr>
          <t xml:space="preserve">= 180732 - Referinta </t>
        </r>
        <r>
          <rPr>
            <sz val="10"/>
            <color indexed="81"/>
            <rFont val="Tahoma"/>
            <family val="2"/>
          </rPr>
          <t xml:space="preserve">* Constanta Km Auto (Responses)
</t>
        </r>
      </text>
    </comment>
    <comment ref="Y67" authorId="0" shapeId="0" xr:uid="{FC6006F0-B2DA-4C43-B78B-6C5BBB9872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15:22:27 </t>
        </r>
        <r>
          <rPr>
            <b/>
            <sz val="10"/>
            <color indexed="81"/>
            <rFont val="Tahoma"/>
            <family val="2"/>
          </rPr>
          <t xml:space="preserve">= 181927 - Referinta </t>
        </r>
        <r>
          <rPr>
            <sz val="10"/>
            <color indexed="81"/>
            <rFont val="Tahoma"/>
            <family val="2"/>
          </rPr>
          <t xml:space="preserve">* Constanta Km Auto (Responses)
   2022-09-26 07:49:08 </t>
        </r>
        <r>
          <rPr>
            <b/>
            <sz val="10"/>
            <color indexed="81"/>
            <rFont val="Tahoma"/>
            <family val="2"/>
          </rPr>
          <t xml:space="preserve">= 181927 - Normal </t>
        </r>
        <r>
          <rPr>
            <sz val="10"/>
            <color indexed="81"/>
            <rFont val="Tahoma"/>
            <family val="2"/>
          </rPr>
          <t xml:space="preserve">* Constanta Km Auto (Responses)
</t>
        </r>
      </text>
    </comment>
    <comment ref="AD67" authorId="0" shapeId="0" xr:uid="{4E78A4E0-A918-427C-AF9D-F4B407CD29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15:42:32 </t>
        </r>
        <r>
          <rPr>
            <b/>
            <sz val="10"/>
            <color indexed="81"/>
            <rFont val="Tahoma"/>
            <family val="2"/>
          </rPr>
          <t xml:space="preserve">= 183026 - Referinta </t>
        </r>
        <r>
          <rPr>
            <sz val="10"/>
            <color indexed="81"/>
            <rFont val="Tahoma"/>
            <family val="2"/>
          </rPr>
          <t xml:space="preserve">* Constanta Km Auto (Responses)
   2022-10-03 07:38:55 </t>
        </r>
        <r>
          <rPr>
            <b/>
            <sz val="10"/>
            <color indexed="81"/>
            <rFont val="Tahoma"/>
            <family val="2"/>
          </rPr>
          <t xml:space="preserve">= 183026 - Normal </t>
        </r>
        <r>
          <rPr>
            <sz val="10"/>
            <color indexed="81"/>
            <rFont val="Tahoma"/>
            <family val="2"/>
          </rPr>
          <t xml:space="preserve">* Constanta Km Auto (Responses)
</t>
        </r>
      </text>
    </comment>
    <comment ref="AD68" authorId="0" shapeId="0" xr:uid="{A69420DC-D91E-48BE-972B-37511BAD7D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08:18:51 </t>
        </r>
        <r>
          <rPr>
            <b/>
            <sz val="10"/>
            <color indexed="81"/>
            <rFont val="Tahoma"/>
            <family val="2"/>
          </rPr>
          <t xml:space="preserve">= 120337 - Referinta </t>
        </r>
        <r>
          <rPr>
            <sz val="10"/>
            <color indexed="81"/>
            <rFont val="Tahoma"/>
            <family val="2"/>
          </rPr>
          <t xml:space="preserve">* Constanta Km Auto (Responses)
</t>
        </r>
      </text>
    </comment>
    <comment ref="J69" authorId="0" shapeId="0" xr:uid="{2F5CE563-3FD4-4BE8-BBB4-1F565E8674D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Marinescu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18:54:19 </t>
        </r>
        <r>
          <rPr>
            <b/>
            <sz val="10"/>
            <color indexed="81"/>
            <rFont val="Tahoma"/>
            <family val="2"/>
          </rPr>
          <t xml:space="preserve">= 119035 - Referinta </t>
        </r>
        <r>
          <rPr>
            <sz val="10"/>
            <color indexed="81"/>
            <rFont val="Tahoma"/>
            <family val="2"/>
          </rPr>
          <t xml:space="preserve">* Constanta Km Auto (Responses)
</t>
        </r>
      </text>
    </comment>
    <comment ref="J70" authorId="0" shapeId="0" xr:uid="{3B7834D0-1564-4704-89B0-67052D7FB1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07:40:18 </t>
        </r>
        <r>
          <rPr>
            <b/>
            <sz val="10"/>
            <color indexed="81"/>
            <rFont val="Tahoma"/>
            <family val="2"/>
          </rPr>
          <t xml:space="preserve">= 119035 - Referinta </t>
        </r>
        <r>
          <rPr>
            <sz val="10"/>
            <color indexed="81"/>
            <rFont val="Tahoma"/>
            <family val="2"/>
          </rPr>
          <t xml:space="preserve">* Constanta Km Auto (Responses)
</t>
        </r>
      </text>
    </comment>
    <comment ref="O70" authorId="0" shapeId="0" xr:uid="{2BD3E1C3-D982-44B3-9AD7-049E2B1EFA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119534 - Referinta </t>
        </r>
        <r>
          <rPr>
            <sz val="10"/>
            <color indexed="81"/>
            <rFont val="Tahoma"/>
            <family val="2"/>
          </rPr>
          <t xml:space="preserve">* Constanta Km Auto (Responses)
   2022-09-12 08:24:46 </t>
        </r>
        <r>
          <rPr>
            <b/>
            <sz val="10"/>
            <color indexed="81"/>
            <rFont val="Tahoma"/>
            <family val="2"/>
          </rPr>
          <t xml:space="preserve">= 119534 - Normal </t>
        </r>
        <r>
          <rPr>
            <sz val="10"/>
            <color indexed="81"/>
            <rFont val="Tahoma"/>
            <family val="2"/>
          </rPr>
          <t xml:space="preserve">* Constanta Km Auto (Responses)
</t>
        </r>
      </text>
    </comment>
    <comment ref="T70" authorId="0" shapeId="0" xr:uid="{8ECFDB3F-81FA-4684-86D8-1B176B0326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15:56:40 </t>
        </r>
        <r>
          <rPr>
            <b/>
            <sz val="10"/>
            <color indexed="81"/>
            <rFont val="Tahoma"/>
            <family val="2"/>
          </rPr>
          <t xml:space="preserve">= 120095 - Referinta </t>
        </r>
        <r>
          <rPr>
            <sz val="10"/>
            <color indexed="81"/>
            <rFont val="Tahoma"/>
            <family val="2"/>
          </rPr>
          <t xml:space="preserve">* Constanta Km Auto (Responses)
   2022-09-19 08:48:50 </t>
        </r>
        <r>
          <rPr>
            <b/>
            <sz val="10"/>
            <color indexed="81"/>
            <rFont val="Tahoma"/>
            <family val="2"/>
          </rPr>
          <t xml:space="preserve">= 120095 - Normal </t>
        </r>
        <r>
          <rPr>
            <sz val="10"/>
            <color indexed="81"/>
            <rFont val="Tahoma"/>
            <family val="2"/>
          </rPr>
          <t xml:space="preserve">* Constanta Km Auto (Responses)
</t>
        </r>
      </text>
    </comment>
    <comment ref="Y70" authorId="0" shapeId="0" xr:uid="{9FD49D42-B645-4CFF-9ED2-93DA75DF65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15:45:12 </t>
        </r>
        <r>
          <rPr>
            <b/>
            <sz val="10"/>
            <color indexed="81"/>
            <rFont val="Tahoma"/>
            <family val="2"/>
          </rPr>
          <t xml:space="preserve">= 120160 - Referinta </t>
        </r>
        <r>
          <rPr>
            <sz val="10"/>
            <color indexed="81"/>
            <rFont val="Tahoma"/>
            <family val="2"/>
          </rPr>
          <t xml:space="preserve">* Constanta Km Auto (Responses)
   2022-09-26 08:18:10 </t>
        </r>
        <r>
          <rPr>
            <b/>
            <sz val="10"/>
            <color indexed="81"/>
            <rFont val="Tahoma"/>
            <family val="2"/>
          </rPr>
          <t xml:space="preserve">= 120160 - Normal </t>
        </r>
        <r>
          <rPr>
            <sz val="10"/>
            <color indexed="81"/>
            <rFont val="Tahoma"/>
            <family val="2"/>
          </rPr>
          <t xml:space="preserve">* Constanta Km Auto (Responses)
</t>
        </r>
      </text>
    </comment>
    <comment ref="AD70" authorId="0" shapeId="0" xr:uid="{8671A9ED-A3F2-4DFD-BD95-B2D8AE1F31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15:45:32 </t>
        </r>
        <r>
          <rPr>
            <b/>
            <sz val="10"/>
            <color indexed="81"/>
            <rFont val="Tahoma"/>
            <family val="2"/>
          </rPr>
          <t xml:space="preserve">= 120337 - Referinta </t>
        </r>
        <r>
          <rPr>
            <sz val="10"/>
            <color indexed="81"/>
            <rFont val="Tahoma"/>
            <family val="2"/>
          </rPr>
          <t xml:space="preserve">* Constanta Km Auto (Responses)
</t>
        </r>
      </text>
    </comment>
    <comment ref="J71" authorId="0" shapeId="0" xr:uid="{D802084E-5233-4B78-BE80-05E76D6C8B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09:11:50 </t>
        </r>
        <r>
          <rPr>
            <b/>
            <sz val="10"/>
            <color indexed="81"/>
            <rFont val="Tahoma"/>
            <family val="2"/>
          </rPr>
          <t xml:space="preserve">= 54337 - Referinta </t>
        </r>
        <r>
          <rPr>
            <sz val="10"/>
            <color indexed="81"/>
            <rFont val="Tahoma"/>
            <family val="2"/>
          </rPr>
          <t xml:space="preserve">* Constanta Km Auto (Responses)
   2022-09-05 08:28:24 </t>
        </r>
        <r>
          <rPr>
            <b/>
            <sz val="10"/>
            <color indexed="81"/>
            <rFont val="Tahoma"/>
            <family val="2"/>
          </rPr>
          <t xml:space="preserve">= 54339 - Normal </t>
        </r>
        <r>
          <rPr>
            <sz val="10"/>
            <color indexed="81"/>
            <rFont val="Tahoma"/>
            <family val="2"/>
          </rPr>
          <t xml:space="preserve">* Constanta Km Auto (Responses)
   2022-09-06 17:24:50 </t>
        </r>
        <r>
          <rPr>
            <b/>
            <sz val="10"/>
            <color indexed="81"/>
            <rFont val="Tahoma"/>
            <family val="2"/>
          </rPr>
          <t xml:space="preserve">= 54582 - Concediu </t>
        </r>
        <r>
          <rPr>
            <sz val="10"/>
            <color indexed="81"/>
            <rFont val="Tahoma"/>
            <family val="2"/>
          </rPr>
          <t xml:space="preserve">* Constanta Km Auto (Responses)
</t>
        </r>
      </text>
    </comment>
    <comment ref="O71" authorId="0" shapeId="0" xr:uid="{B7DEAEE2-882F-4941-8B68-ACF1F84319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07:46:19 </t>
        </r>
        <r>
          <rPr>
            <b/>
            <sz val="10"/>
            <color indexed="81"/>
            <rFont val="Tahoma"/>
            <family val="2"/>
          </rPr>
          <t xml:space="preserve">= 54588 - Referinta </t>
        </r>
        <r>
          <rPr>
            <sz val="10"/>
            <color indexed="81"/>
            <rFont val="Tahoma"/>
            <family val="2"/>
          </rPr>
          <t xml:space="preserve">* Constanta Km Auto (Responses)
</t>
        </r>
      </text>
    </comment>
    <comment ref="T71" authorId="0" shapeId="0" xr:uid="{B5FBA0D4-4A6E-4152-8ED1-A89A8F4CB7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17:13:57 </t>
        </r>
        <r>
          <rPr>
            <b/>
            <sz val="10"/>
            <color indexed="81"/>
            <rFont val="Tahoma"/>
            <family val="2"/>
          </rPr>
          <t xml:space="preserve">= 55187 - Referinta </t>
        </r>
        <r>
          <rPr>
            <sz val="10"/>
            <color indexed="81"/>
            <rFont val="Tahoma"/>
            <family val="2"/>
          </rPr>
          <t xml:space="preserve">* Constanta Km Auto (Responses)
   2022-09-19 07:46:30 </t>
        </r>
        <r>
          <rPr>
            <b/>
            <sz val="10"/>
            <color indexed="81"/>
            <rFont val="Tahoma"/>
            <family val="2"/>
          </rPr>
          <t xml:space="preserve">= 55415 - Normal </t>
        </r>
        <r>
          <rPr>
            <sz val="10"/>
            <color indexed="81"/>
            <rFont val="Tahoma"/>
            <family val="2"/>
          </rPr>
          <t xml:space="preserve">* Constanta Km Auto (Responses)
</t>
        </r>
      </text>
    </comment>
    <comment ref="Y71" authorId="0" shapeId="0" xr:uid="{4A24F569-44C3-493E-862F-467C7E2378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06:53:40 </t>
        </r>
        <r>
          <rPr>
            <b/>
            <sz val="10"/>
            <color indexed="81"/>
            <rFont val="Tahoma"/>
            <family val="2"/>
          </rPr>
          <t xml:space="preserve">= 56067 - Referinta </t>
        </r>
        <r>
          <rPr>
            <sz val="10"/>
            <color indexed="81"/>
            <rFont val="Tahoma"/>
            <family val="2"/>
          </rPr>
          <t xml:space="preserve">* Constanta Km Auto (Responses)
   2022-09-26 07:39:25 </t>
        </r>
        <r>
          <rPr>
            <b/>
            <sz val="10"/>
            <color indexed="81"/>
            <rFont val="Tahoma"/>
            <family val="2"/>
          </rPr>
          <t xml:space="preserve">= 56396 - Normal </t>
        </r>
        <r>
          <rPr>
            <sz val="10"/>
            <color indexed="81"/>
            <rFont val="Tahoma"/>
            <family val="2"/>
          </rPr>
          <t xml:space="preserve">* Constanta Km Auto (Responses)
</t>
        </r>
      </text>
    </comment>
    <comment ref="AD71" authorId="0" shapeId="0" xr:uid="{815155DB-C10D-4458-BE93-E6D7EDE23EB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16:13:15 </t>
        </r>
        <r>
          <rPr>
            <b/>
            <sz val="10"/>
            <color indexed="81"/>
            <rFont val="Tahoma"/>
            <family val="2"/>
          </rPr>
          <t xml:space="preserve">= 56977 - Referinta </t>
        </r>
        <r>
          <rPr>
            <sz val="10"/>
            <color indexed="81"/>
            <rFont val="Tahoma"/>
            <family val="2"/>
          </rPr>
          <t xml:space="preserve">* Constanta Km Auto (Responses)
   2022-10-03 07:33:31 </t>
        </r>
        <r>
          <rPr>
            <b/>
            <sz val="10"/>
            <color indexed="81"/>
            <rFont val="Tahoma"/>
            <family val="2"/>
          </rPr>
          <t xml:space="preserve">= 57019 - Normal </t>
        </r>
        <r>
          <rPr>
            <sz val="10"/>
            <color indexed="81"/>
            <rFont val="Tahoma"/>
            <family val="2"/>
          </rPr>
          <t xml:space="preserve">* Constanta Km Auto (Responses)
</t>
        </r>
      </text>
    </comment>
    <comment ref="J72" authorId="0" shapeId="0" xr:uid="{BB65A4C9-EAA5-43FF-BB63-A13BE8C44FC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19:44:01 </t>
        </r>
        <r>
          <rPr>
            <b/>
            <sz val="10"/>
            <color indexed="81"/>
            <rFont val="Tahoma"/>
            <family val="2"/>
          </rPr>
          <t xml:space="preserve">= 164401 - Referinta </t>
        </r>
        <r>
          <rPr>
            <sz val="10"/>
            <color indexed="81"/>
            <rFont val="Tahoma"/>
            <family val="2"/>
          </rPr>
          <t xml:space="preserve">* Constanta Km Auto (Responses)
   2022-09-05 08:03:29 </t>
        </r>
        <r>
          <rPr>
            <b/>
            <sz val="10"/>
            <color indexed="81"/>
            <rFont val="Tahoma"/>
            <family val="2"/>
          </rPr>
          <t xml:space="preserve">= 164436 - Normal </t>
        </r>
        <r>
          <rPr>
            <sz val="10"/>
            <color indexed="81"/>
            <rFont val="Tahoma"/>
            <family val="2"/>
          </rPr>
          <t xml:space="preserve">* Constanta Km Auto (Responses)
</t>
        </r>
      </text>
    </comment>
    <comment ref="O72" authorId="0" shapeId="0" xr:uid="{ED56B1C9-3A63-4682-B567-013D3CFDD7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04:12:00 </t>
        </r>
        <r>
          <rPr>
            <b/>
            <sz val="10"/>
            <color indexed="81"/>
            <rFont val="Tahoma"/>
            <family val="2"/>
          </rPr>
          <t xml:space="preserve">= 164992 - Referinta </t>
        </r>
        <r>
          <rPr>
            <sz val="10"/>
            <color indexed="81"/>
            <rFont val="Tahoma"/>
            <family val="2"/>
          </rPr>
          <t xml:space="preserve">* Constanta Km Auto (Responses)
   2022-09-12 08:00:00 </t>
        </r>
        <r>
          <rPr>
            <b/>
            <sz val="10"/>
            <color indexed="81"/>
            <rFont val="Tahoma"/>
            <family val="2"/>
          </rPr>
          <t xml:space="preserve">= 165043 - Normal </t>
        </r>
        <r>
          <rPr>
            <sz val="10"/>
            <color indexed="81"/>
            <rFont val="Tahoma"/>
            <family val="2"/>
          </rPr>
          <t xml:space="preserve">* Constanta Km Auto (Responses)
</t>
        </r>
      </text>
    </comment>
    <comment ref="T72" authorId="0" shapeId="0" xr:uid="{65EEF6C5-E515-42A5-BFF6-06D28675EC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04:10:00 </t>
        </r>
        <r>
          <rPr>
            <b/>
            <sz val="10"/>
            <color indexed="81"/>
            <rFont val="Tahoma"/>
            <family val="2"/>
          </rPr>
          <t xml:space="preserve">= 165594 - Referinta </t>
        </r>
        <r>
          <rPr>
            <sz val="10"/>
            <color indexed="81"/>
            <rFont val="Tahoma"/>
            <family val="2"/>
          </rPr>
          <t xml:space="preserve">* Constanta Km Auto (Responses)
   2022-09-19 08:00:00 </t>
        </r>
        <r>
          <rPr>
            <b/>
            <sz val="10"/>
            <color indexed="81"/>
            <rFont val="Tahoma"/>
            <family val="2"/>
          </rPr>
          <t xml:space="preserve">= 165668 - Normal </t>
        </r>
        <r>
          <rPr>
            <sz val="10"/>
            <color indexed="81"/>
            <rFont val="Tahoma"/>
            <family val="2"/>
          </rPr>
          <t xml:space="preserve">* Constanta Km Auto (Responses)
</t>
        </r>
      </text>
    </comment>
    <comment ref="Y72" authorId="0" shapeId="0" xr:uid="{128BFE36-E523-4BF4-B32D-6A939D34B5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04:00:00 </t>
        </r>
        <r>
          <rPr>
            <b/>
            <sz val="10"/>
            <color indexed="81"/>
            <rFont val="Tahoma"/>
            <family val="2"/>
          </rPr>
          <t xml:space="preserve">= 166202 - Referinta </t>
        </r>
        <r>
          <rPr>
            <sz val="10"/>
            <color indexed="81"/>
            <rFont val="Tahoma"/>
            <family val="2"/>
          </rPr>
          <t xml:space="preserve">* Constanta Km Auto (Responses)
   2022-09-26 08:00:00 </t>
        </r>
        <r>
          <rPr>
            <b/>
            <sz val="10"/>
            <color indexed="81"/>
            <rFont val="Tahoma"/>
            <family val="2"/>
          </rPr>
          <t xml:space="preserve">= 166236 - Normal </t>
        </r>
        <r>
          <rPr>
            <sz val="10"/>
            <color indexed="81"/>
            <rFont val="Tahoma"/>
            <family val="2"/>
          </rPr>
          <t xml:space="preserve">* Constanta Km Auto (Responses)
</t>
        </r>
      </text>
    </comment>
    <comment ref="AD72" authorId="0" shapeId="0" xr:uid="{8F272E2B-0073-4224-83B9-A2722E1C17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2022-10-01 10:00:00 </t>
        </r>
        <r>
          <rPr>
            <b/>
            <sz val="10"/>
            <color indexed="81"/>
            <rFont val="Tahoma"/>
            <family val="2"/>
          </rPr>
          <t xml:space="preserve">= 166762 - Referinta </t>
        </r>
        <r>
          <rPr>
            <sz val="10"/>
            <color indexed="81"/>
            <rFont val="Tahoma"/>
            <family val="2"/>
          </rPr>
          <t xml:space="preserve">* Constanta Km Auto (Responses)
   2022-10-03 08:05:00 </t>
        </r>
        <r>
          <rPr>
            <b/>
            <sz val="10"/>
            <color indexed="81"/>
            <rFont val="Tahoma"/>
            <family val="2"/>
          </rPr>
          <t xml:space="preserve">= 166809 - Normal </t>
        </r>
        <r>
          <rPr>
            <sz val="10"/>
            <color indexed="81"/>
            <rFont val="Tahoma"/>
            <family val="2"/>
          </rPr>
          <t xml:space="preserve">* Constanta Km Auto (Responses)
</t>
        </r>
      </text>
    </comment>
    <comment ref="J73" authorId="0" shapeId="0" xr:uid="{48EF96CE-0A9C-4808-95E1-095CB08C25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16:01:41 </t>
        </r>
        <r>
          <rPr>
            <b/>
            <sz val="10"/>
            <color indexed="81"/>
            <rFont val="Tahoma"/>
            <family val="2"/>
          </rPr>
          <t xml:space="preserve">= 31106 - Referinta </t>
        </r>
        <r>
          <rPr>
            <sz val="10"/>
            <color indexed="81"/>
            <rFont val="Tahoma"/>
            <family val="2"/>
          </rPr>
          <t xml:space="preserve">* Constanta Km Auto (Responses)
   2022-09-05 07:31:34 </t>
        </r>
        <r>
          <rPr>
            <b/>
            <sz val="10"/>
            <color indexed="81"/>
            <rFont val="Tahoma"/>
            <family val="2"/>
          </rPr>
          <t xml:space="preserve">= 31106 - Normal </t>
        </r>
        <r>
          <rPr>
            <sz val="10"/>
            <color indexed="81"/>
            <rFont val="Tahoma"/>
            <family val="2"/>
          </rPr>
          <t xml:space="preserve">* Constanta Km Auto (Responses)
</t>
        </r>
      </text>
    </comment>
    <comment ref="O73" authorId="0" shapeId="0" xr:uid="{8440D3D8-7BE3-4EF1-8374-B73C98CED7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15:48:30 </t>
        </r>
        <r>
          <rPr>
            <b/>
            <sz val="10"/>
            <color indexed="81"/>
            <rFont val="Tahoma"/>
            <family val="2"/>
          </rPr>
          <t xml:space="preserve">= 31955 - Referinta </t>
        </r>
        <r>
          <rPr>
            <sz val="10"/>
            <color indexed="81"/>
            <rFont val="Tahoma"/>
            <family val="2"/>
          </rPr>
          <t xml:space="preserve">* Constanta Km Auto (Responses)
   2022-09-12 07:33:49 </t>
        </r>
        <r>
          <rPr>
            <b/>
            <sz val="10"/>
            <color indexed="81"/>
            <rFont val="Tahoma"/>
            <family val="2"/>
          </rPr>
          <t xml:space="preserve">= 31955 - Normal </t>
        </r>
        <r>
          <rPr>
            <sz val="10"/>
            <color indexed="81"/>
            <rFont val="Tahoma"/>
            <family val="2"/>
          </rPr>
          <t xml:space="preserve">* Constanta Km Auto (Responses)
</t>
        </r>
      </text>
    </comment>
    <comment ref="T73" authorId="0" shapeId="0" xr:uid="{FBB6E91C-D11A-476E-909E-E07FDB3E2E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15:55:17 </t>
        </r>
        <r>
          <rPr>
            <b/>
            <sz val="10"/>
            <color indexed="81"/>
            <rFont val="Tahoma"/>
            <family val="2"/>
          </rPr>
          <t xml:space="preserve">= 32712 - Referinta </t>
        </r>
        <r>
          <rPr>
            <sz val="10"/>
            <color indexed="81"/>
            <rFont val="Tahoma"/>
            <family val="2"/>
          </rPr>
          <t xml:space="preserve">* Constanta Km Auto (Responses)
   2022-09-19 07:35:03 </t>
        </r>
        <r>
          <rPr>
            <b/>
            <sz val="10"/>
            <color indexed="81"/>
            <rFont val="Tahoma"/>
            <family val="2"/>
          </rPr>
          <t xml:space="preserve">= 32712 - Normal </t>
        </r>
        <r>
          <rPr>
            <sz val="10"/>
            <color indexed="81"/>
            <rFont val="Tahoma"/>
            <family val="2"/>
          </rPr>
          <t xml:space="preserve">* Constanta Km Auto (Responses)
</t>
        </r>
      </text>
    </comment>
    <comment ref="Y73" authorId="0" shapeId="0" xr:uid="{E5DE84DC-4B11-45A2-A25C-1D68B68F730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15:56:04 </t>
        </r>
        <r>
          <rPr>
            <b/>
            <sz val="10"/>
            <color indexed="81"/>
            <rFont val="Tahoma"/>
            <family val="2"/>
          </rPr>
          <t xml:space="preserve">= 33501 - Referinta </t>
        </r>
        <r>
          <rPr>
            <sz val="10"/>
            <color indexed="81"/>
            <rFont val="Tahoma"/>
            <family val="2"/>
          </rPr>
          <t xml:space="preserve">* Constanta Km Auto (Responses)
   2022-09-26 07:41:03 </t>
        </r>
        <r>
          <rPr>
            <b/>
            <sz val="10"/>
            <color indexed="81"/>
            <rFont val="Tahoma"/>
            <family val="2"/>
          </rPr>
          <t xml:space="preserve">= 33501 - Normal </t>
        </r>
        <r>
          <rPr>
            <sz val="10"/>
            <color indexed="81"/>
            <rFont val="Tahoma"/>
            <family val="2"/>
          </rPr>
          <t xml:space="preserve">* Constanta Km Auto (Responses)
</t>
        </r>
      </text>
    </comment>
    <comment ref="AD73" authorId="0" shapeId="0" xr:uid="{F61E6288-1697-4DD8-A3CD-42989A7E3A4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15:48:02 </t>
        </r>
        <r>
          <rPr>
            <b/>
            <sz val="10"/>
            <color indexed="81"/>
            <rFont val="Tahoma"/>
            <family val="2"/>
          </rPr>
          <t xml:space="preserve">= 34289 - Referinta </t>
        </r>
        <r>
          <rPr>
            <sz val="10"/>
            <color indexed="81"/>
            <rFont val="Tahoma"/>
            <family val="2"/>
          </rPr>
          <t xml:space="preserve">* Constanta Km Auto (Responses)
   2022-10-03 08:11:25 </t>
        </r>
        <r>
          <rPr>
            <b/>
            <sz val="10"/>
            <color indexed="81"/>
            <rFont val="Tahoma"/>
            <family val="2"/>
          </rPr>
          <t xml:space="preserve">= 34289 - Normal </t>
        </r>
        <r>
          <rPr>
            <sz val="10"/>
            <color indexed="81"/>
            <rFont val="Tahoma"/>
            <family val="2"/>
          </rPr>
          <t xml:space="preserve">* Constanta Km Auto (Responses)
</t>
        </r>
      </text>
    </comment>
    <comment ref="J74" authorId="0" shapeId="0" xr:uid="{9E30AE2B-9389-4F62-8476-6FA0BA244F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17:47:20 </t>
        </r>
        <r>
          <rPr>
            <b/>
            <sz val="10"/>
            <color indexed="81"/>
            <rFont val="Tahoma"/>
            <family val="2"/>
          </rPr>
          <t xml:space="preserve">= 83326 - Referinta </t>
        </r>
        <r>
          <rPr>
            <sz val="10"/>
            <color indexed="81"/>
            <rFont val="Tahoma"/>
            <family val="2"/>
          </rPr>
          <t xml:space="preserve">* Craiova Km Auto (Responses)
   2022-09-05 16:47:56 </t>
        </r>
        <r>
          <rPr>
            <b/>
            <sz val="10"/>
            <color indexed="81"/>
            <rFont val="Tahoma"/>
            <family val="2"/>
          </rPr>
          <t xml:space="preserve">= 83369 - Normal </t>
        </r>
        <r>
          <rPr>
            <sz val="10"/>
            <color indexed="81"/>
            <rFont val="Tahoma"/>
            <family val="2"/>
          </rPr>
          <t xml:space="preserve">* Craiova Km Auto (Responses)
</t>
        </r>
      </text>
    </comment>
    <comment ref="O74" authorId="0" shapeId="0" xr:uid="{627E92C1-3050-4BE0-BD1A-35836BC73D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19:01:11 </t>
        </r>
        <r>
          <rPr>
            <b/>
            <sz val="10"/>
            <color indexed="81"/>
            <rFont val="Tahoma"/>
            <family val="2"/>
          </rPr>
          <t xml:space="preserve">= 83897 - Referinta </t>
        </r>
        <r>
          <rPr>
            <sz val="10"/>
            <color indexed="81"/>
            <rFont val="Tahoma"/>
            <family val="2"/>
          </rPr>
          <t xml:space="preserve">* Craiova Km Auto (Responses)
   2022-09-12 08:38:00 </t>
        </r>
        <r>
          <rPr>
            <b/>
            <sz val="10"/>
            <color indexed="81"/>
            <rFont val="Tahoma"/>
            <family val="2"/>
          </rPr>
          <t xml:space="preserve">= 84063 - Normal </t>
        </r>
        <r>
          <rPr>
            <sz val="10"/>
            <color indexed="81"/>
            <rFont val="Tahoma"/>
            <family val="2"/>
          </rPr>
          <t xml:space="preserve">* Craiova Km Auto (Responses)
</t>
        </r>
      </text>
    </comment>
    <comment ref="T74" authorId="0" shapeId="0" xr:uid="{44FF6092-3714-431E-9572-5B9B9B6489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20:07:04 </t>
        </r>
        <r>
          <rPr>
            <b/>
            <sz val="10"/>
            <color indexed="81"/>
            <rFont val="Tahoma"/>
            <family val="2"/>
          </rPr>
          <t xml:space="preserve">= 84926 - Referinta </t>
        </r>
        <r>
          <rPr>
            <sz val="10"/>
            <color indexed="81"/>
            <rFont val="Tahoma"/>
            <family val="2"/>
          </rPr>
          <t xml:space="preserve">* Craiova Km Auto (Responses)
   2022-09-19 12:12:59 </t>
        </r>
        <r>
          <rPr>
            <b/>
            <sz val="10"/>
            <color indexed="81"/>
            <rFont val="Tahoma"/>
            <family val="2"/>
          </rPr>
          <t xml:space="preserve">= 84968 - Normal </t>
        </r>
        <r>
          <rPr>
            <sz val="10"/>
            <color indexed="81"/>
            <rFont val="Tahoma"/>
            <family val="2"/>
          </rPr>
          <t xml:space="preserve">* Craiova Km Auto (Responses)
</t>
        </r>
      </text>
    </comment>
    <comment ref="Y74" authorId="0" shapeId="0" xr:uid="{B7CCA6F0-8831-4D32-A234-4B98D072FE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16:43:43 </t>
        </r>
        <r>
          <rPr>
            <b/>
            <sz val="10"/>
            <color indexed="81"/>
            <rFont val="Tahoma"/>
            <family val="2"/>
          </rPr>
          <t xml:space="preserve">= 85407 - Referinta </t>
        </r>
        <r>
          <rPr>
            <sz val="10"/>
            <color indexed="81"/>
            <rFont val="Tahoma"/>
            <family val="2"/>
          </rPr>
          <t xml:space="preserve">* Craiova Km Auto (Responses)
   2022-09-26 10:57:17 </t>
        </r>
        <r>
          <rPr>
            <b/>
            <sz val="10"/>
            <color indexed="81"/>
            <rFont val="Tahoma"/>
            <family val="2"/>
          </rPr>
          <t xml:space="preserve">= 85407 - Normal </t>
        </r>
        <r>
          <rPr>
            <sz val="10"/>
            <color indexed="81"/>
            <rFont val="Tahoma"/>
            <family val="2"/>
          </rPr>
          <t xml:space="preserve">* Craiova Km Auto (Responses)
</t>
        </r>
      </text>
    </comment>
    <comment ref="J75" authorId="0" shapeId="0" xr:uid="{81ED2F87-9340-4CFF-B4CC-CC3C4197FA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16:18:13 </t>
        </r>
        <r>
          <rPr>
            <b/>
            <sz val="10"/>
            <color indexed="81"/>
            <rFont val="Tahoma"/>
            <family val="2"/>
          </rPr>
          <t xml:space="preserve">= 15637 - Referinta </t>
        </r>
        <r>
          <rPr>
            <sz val="10"/>
            <color indexed="81"/>
            <rFont val="Tahoma"/>
            <family val="2"/>
          </rPr>
          <t xml:space="preserve">* Craiova Km Auto (Responses)
   2022-09-05 07:54:09 </t>
        </r>
        <r>
          <rPr>
            <b/>
            <sz val="10"/>
            <color indexed="81"/>
            <rFont val="Tahoma"/>
            <family val="2"/>
          </rPr>
          <t xml:space="preserve">= 15652 - Normal </t>
        </r>
        <r>
          <rPr>
            <sz val="10"/>
            <color indexed="81"/>
            <rFont val="Tahoma"/>
            <family val="2"/>
          </rPr>
          <t xml:space="preserve">* Craiova Km Auto (Responses)
</t>
        </r>
      </text>
    </comment>
    <comment ref="O75" authorId="0" shapeId="0" xr:uid="{659F27C0-1E68-440F-A94E-80C0698E917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15:42:19 </t>
        </r>
        <r>
          <rPr>
            <b/>
            <sz val="10"/>
            <color indexed="81"/>
            <rFont val="Tahoma"/>
            <family val="2"/>
          </rPr>
          <t xml:space="preserve">= 15962 - Referinta </t>
        </r>
        <r>
          <rPr>
            <sz val="10"/>
            <color indexed="81"/>
            <rFont val="Tahoma"/>
            <family val="2"/>
          </rPr>
          <t xml:space="preserve">* Craiova Km Auto (Responses)
   2022-09-12 09:18:23 </t>
        </r>
        <r>
          <rPr>
            <b/>
            <sz val="10"/>
            <color indexed="81"/>
            <rFont val="Tahoma"/>
            <family val="2"/>
          </rPr>
          <t xml:space="preserve">= 15973 - Normal </t>
        </r>
        <r>
          <rPr>
            <sz val="10"/>
            <color indexed="81"/>
            <rFont val="Tahoma"/>
            <family val="2"/>
          </rPr>
          <t xml:space="preserve">* Craiova Km Auto (Responses)
</t>
        </r>
      </text>
    </comment>
    <comment ref="T75" authorId="0" shapeId="0" xr:uid="{83E3D926-8B1E-4265-99D3-9F413A68E3E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15:45:34 </t>
        </r>
        <r>
          <rPr>
            <b/>
            <sz val="10"/>
            <color indexed="81"/>
            <rFont val="Tahoma"/>
            <family val="2"/>
          </rPr>
          <t xml:space="preserve">= 16328 - Referinta </t>
        </r>
        <r>
          <rPr>
            <sz val="10"/>
            <color indexed="81"/>
            <rFont val="Tahoma"/>
            <family val="2"/>
          </rPr>
          <t xml:space="preserve">* Craiova Km Auto (Responses)
   2022-09-19 08:40:06 </t>
        </r>
        <r>
          <rPr>
            <b/>
            <sz val="10"/>
            <color indexed="81"/>
            <rFont val="Tahoma"/>
            <family val="2"/>
          </rPr>
          <t xml:space="preserve">= 16346 - Normal </t>
        </r>
        <r>
          <rPr>
            <sz val="10"/>
            <color indexed="81"/>
            <rFont val="Tahoma"/>
            <family val="2"/>
          </rPr>
          <t xml:space="preserve">* Craiova Km Auto (Responses)
</t>
        </r>
      </text>
    </comment>
    <comment ref="Y75" authorId="0" shapeId="0" xr:uid="{E3962449-BBC1-41C1-B62E-C536AA060C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15:40:50 </t>
        </r>
        <r>
          <rPr>
            <b/>
            <sz val="10"/>
            <color indexed="81"/>
            <rFont val="Tahoma"/>
            <family val="2"/>
          </rPr>
          <t xml:space="preserve">= 16618 - Referinta </t>
        </r>
        <r>
          <rPr>
            <sz val="10"/>
            <color indexed="81"/>
            <rFont val="Tahoma"/>
            <family val="2"/>
          </rPr>
          <t xml:space="preserve">* Craiova Km Auto (Responses)
   2022-09-26 08:47:21 </t>
        </r>
        <r>
          <rPr>
            <b/>
            <sz val="10"/>
            <color indexed="81"/>
            <rFont val="Tahoma"/>
            <family val="2"/>
          </rPr>
          <t xml:space="preserve">= 16636 - Normal </t>
        </r>
        <r>
          <rPr>
            <sz val="10"/>
            <color indexed="81"/>
            <rFont val="Tahoma"/>
            <family val="2"/>
          </rPr>
          <t xml:space="preserve">* Craiova Km Auto (Responses)
</t>
        </r>
      </text>
    </comment>
    <comment ref="AD75" authorId="0" shapeId="0" xr:uid="{4B20FB4B-614C-4404-8B5D-7454736FEE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16:08:08 </t>
        </r>
        <r>
          <rPr>
            <b/>
            <sz val="10"/>
            <color indexed="81"/>
            <rFont val="Tahoma"/>
            <family val="2"/>
          </rPr>
          <t xml:space="preserve">= 16954 - Referinta </t>
        </r>
        <r>
          <rPr>
            <sz val="10"/>
            <color indexed="81"/>
            <rFont val="Tahoma"/>
            <family val="2"/>
          </rPr>
          <t xml:space="preserve">* Craiova Km Auto (Responses)
   2022-10-03 08:33:41 </t>
        </r>
        <r>
          <rPr>
            <b/>
            <sz val="10"/>
            <color indexed="81"/>
            <rFont val="Tahoma"/>
            <family val="2"/>
          </rPr>
          <t xml:space="preserve">= 16972 - Normal </t>
        </r>
        <r>
          <rPr>
            <sz val="10"/>
            <color indexed="81"/>
            <rFont val="Tahoma"/>
            <family val="2"/>
          </rPr>
          <t xml:space="preserve">* Craiova Km Auto (Responses)
</t>
        </r>
      </text>
    </comment>
    <comment ref="J76" authorId="0" shapeId="0" xr:uid="{EDE186EE-2324-4250-9682-99773624BF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16:08:48 </t>
        </r>
        <r>
          <rPr>
            <b/>
            <sz val="10"/>
            <color indexed="81"/>
            <rFont val="Tahoma"/>
            <family val="2"/>
          </rPr>
          <t xml:space="preserve">= 46221 - Referinta </t>
        </r>
        <r>
          <rPr>
            <sz val="10"/>
            <color indexed="81"/>
            <rFont val="Tahoma"/>
            <family val="2"/>
          </rPr>
          <t xml:space="preserve">* Craiova Km Auto (Responses)
   2022-09-05 08:03:46 </t>
        </r>
        <r>
          <rPr>
            <b/>
            <sz val="10"/>
            <color indexed="81"/>
            <rFont val="Tahoma"/>
            <family val="2"/>
          </rPr>
          <t xml:space="preserve">= 46226 - Normal </t>
        </r>
        <r>
          <rPr>
            <sz val="10"/>
            <color indexed="81"/>
            <rFont val="Tahoma"/>
            <family val="2"/>
          </rPr>
          <t xml:space="preserve">* Craiova Km Auto (Responses)
</t>
        </r>
      </text>
    </comment>
    <comment ref="O76" authorId="0" shapeId="0" xr:uid="{FEDCEB2A-FA5E-4D34-9145-92697E6232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2022-09-09 15:57:59 </t>
        </r>
        <r>
          <rPr>
            <b/>
            <sz val="10"/>
            <color indexed="81"/>
            <rFont val="Tahoma"/>
            <family val="2"/>
          </rPr>
          <t xml:space="preserve">= 46453 - Referinta </t>
        </r>
        <r>
          <rPr>
            <sz val="10"/>
            <color indexed="81"/>
            <rFont val="Tahoma"/>
            <family val="2"/>
          </rPr>
          <t xml:space="preserve">* Craiova Km Auto (Responses)
   2022-09-12 08:07:51 </t>
        </r>
        <r>
          <rPr>
            <b/>
            <sz val="10"/>
            <color indexed="81"/>
            <rFont val="Tahoma"/>
            <family val="2"/>
          </rPr>
          <t xml:space="preserve">= 46476 - Normal </t>
        </r>
        <r>
          <rPr>
            <sz val="10"/>
            <color indexed="81"/>
            <rFont val="Tahoma"/>
            <family val="2"/>
          </rPr>
          <t xml:space="preserve">* Craiova Km Auto (Responses)
</t>
        </r>
      </text>
    </comment>
    <comment ref="T76" authorId="0" shapeId="0" xr:uid="{3DED2745-88FC-4EA9-AC42-E4151E93D13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2022-09-16 16:33:38 </t>
        </r>
        <r>
          <rPr>
            <b/>
            <sz val="10"/>
            <color indexed="81"/>
            <rFont val="Tahoma"/>
            <family val="2"/>
          </rPr>
          <t xml:space="preserve">= 46671 - Referinta </t>
        </r>
        <r>
          <rPr>
            <sz val="10"/>
            <color indexed="81"/>
            <rFont val="Tahoma"/>
            <family val="2"/>
          </rPr>
          <t xml:space="preserve">* Craiova Km Auto (Responses)
   2022-09-19 08:02:08 </t>
        </r>
        <r>
          <rPr>
            <b/>
            <sz val="10"/>
            <color indexed="81"/>
            <rFont val="Tahoma"/>
            <family val="2"/>
          </rPr>
          <t xml:space="preserve">= 46699 - Normal </t>
        </r>
        <r>
          <rPr>
            <sz val="10"/>
            <color indexed="81"/>
            <rFont val="Tahoma"/>
            <family val="2"/>
          </rPr>
          <t xml:space="preserve">* Craiova Km Auto (Responses)
</t>
        </r>
      </text>
    </comment>
    <comment ref="Y76" authorId="0" shapeId="0" xr:uid="{E79BCAF4-9CC8-4BD6-9053-D0646FBFA7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2022-09-23 16:03:01 </t>
        </r>
        <r>
          <rPr>
            <b/>
            <sz val="10"/>
            <color indexed="81"/>
            <rFont val="Tahoma"/>
            <family val="2"/>
          </rPr>
          <t xml:space="preserve">= 47083 - Referinta </t>
        </r>
        <r>
          <rPr>
            <sz val="10"/>
            <color indexed="81"/>
            <rFont val="Tahoma"/>
            <family val="2"/>
          </rPr>
          <t xml:space="preserve">* Craiova Km Auto (Responses)
   2022-09-26 08:07:54 </t>
        </r>
        <r>
          <rPr>
            <b/>
            <sz val="10"/>
            <color indexed="81"/>
            <rFont val="Tahoma"/>
            <family val="2"/>
          </rPr>
          <t xml:space="preserve">= 47091 - Normal </t>
        </r>
        <r>
          <rPr>
            <sz val="10"/>
            <color indexed="81"/>
            <rFont val="Tahoma"/>
            <family val="2"/>
          </rPr>
          <t xml:space="preserve">* Craiova Km Auto (Responses)
</t>
        </r>
      </text>
    </comment>
    <comment ref="AD76" authorId="0" shapeId="0" xr:uid="{DCEEA2E6-B7F7-497B-B04F-4C840AE5ED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2022-09-30 16:12:59 </t>
        </r>
        <r>
          <rPr>
            <b/>
            <sz val="10"/>
            <color indexed="81"/>
            <rFont val="Tahoma"/>
            <family val="2"/>
          </rPr>
          <t xml:space="preserve">= 47249 - Referinta </t>
        </r>
        <r>
          <rPr>
            <sz val="10"/>
            <color indexed="81"/>
            <rFont val="Tahoma"/>
            <family val="2"/>
          </rPr>
          <t xml:space="preserve">* Craiova Km Auto (Responses)
   2022-10-03 08:19:33 </t>
        </r>
        <r>
          <rPr>
            <b/>
            <sz val="10"/>
            <color indexed="81"/>
            <rFont val="Tahoma"/>
            <family val="2"/>
          </rPr>
          <t xml:space="preserve">= 47281 - Normal </t>
        </r>
        <r>
          <rPr>
            <sz val="10"/>
            <color indexed="81"/>
            <rFont val="Tahoma"/>
            <family val="2"/>
          </rPr>
          <t xml:space="preserve">* Craiova Km Auto (Responses)
</t>
        </r>
      </text>
    </comment>
    <comment ref="J77" authorId="0" shapeId="0" xr:uid="{A59CD4E0-1C29-44B4-88EA-920B44CD22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16:32:58 </t>
        </r>
        <r>
          <rPr>
            <b/>
            <sz val="10"/>
            <color indexed="81"/>
            <rFont val="Tahoma"/>
            <family val="2"/>
          </rPr>
          <t xml:space="preserve">= 49972 - Referinta </t>
        </r>
        <r>
          <rPr>
            <sz val="10"/>
            <color indexed="81"/>
            <rFont val="Tahoma"/>
            <family val="2"/>
          </rPr>
          <t xml:space="preserve">* Craiova Km Auto (Responses)
   2022-09-05 07:45:38 </t>
        </r>
        <r>
          <rPr>
            <b/>
            <sz val="10"/>
            <color indexed="81"/>
            <rFont val="Tahoma"/>
            <family val="2"/>
          </rPr>
          <t xml:space="preserve">= 50006 - Normal </t>
        </r>
        <r>
          <rPr>
            <sz val="10"/>
            <color indexed="81"/>
            <rFont val="Tahoma"/>
            <family val="2"/>
          </rPr>
          <t xml:space="preserve">* Craiova Km Auto (Responses)
</t>
        </r>
      </text>
    </comment>
    <comment ref="O77" authorId="0" shapeId="0" xr:uid="{AB3E3F4C-F72C-493A-BA6C-DC92B3F653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 
__________________________________________________________________
</t>
        </r>
        <r>
          <rPr>
            <sz val="10"/>
            <color indexed="12"/>
            <rFont val="Tahoma"/>
            <family val="2"/>
          </rPr>
          <t xml:space="preserve">  </t>
        </r>
        <r>
          <rPr>
            <sz val="10"/>
            <color indexed="81"/>
            <rFont val="Tahoma"/>
            <family val="2"/>
          </rPr>
          <t xml:space="preserve"> 2022-09-09 16:00:44 </t>
        </r>
        <r>
          <rPr>
            <b/>
            <sz val="10"/>
            <color indexed="81"/>
            <rFont val="Tahoma"/>
            <family val="2"/>
          </rPr>
          <t xml:space="preserve">= 50457 - Referinta </t>
        </r>
        <r>
          <rPr>
            <sz val="10"/>
            <color indexed="81"/>
            <rFont val="Tahoma"/>
            <family val="2"/>
          </rPr>
          <t xml:space="preserve">* Craiova Km Auto (Responses)
   2022-09-12 07:45:50 </t>
        </r>
        <r>
          <rPr>
            <b/>
            <sz val="10"/>
            <color indexed="81"/>
            <rFont val="Tahoma"/>
            <family val="2"/>
          </rPr>
          <t xml:space="preserve">= 50466 - Normal </t>
        </r>
        <r>
          <rPr>
            <sz val="10"/>
            <color indexed="81"/>
            <rFont val="Tahoma"/>
            <family val="2"/>
          </rPr>
          <t xml:space="preserve">* Craiova Km Auto (Responses)
   2022-09-13 04:49:53 </t>
        </r>
        <r>
          <rPr>
            <b/>
            <sz val="10"/>
            <color indexed="81"/>
            <rFont val="Tahoma"/>
            <family val="2"/>
          </rPr>
          <t xml:space="preserve">= 50500 - Concediu </t>
        </r>
        <r>
          <rPr>
            <sz val="10"/>
            <color indexed="81"/>
            <rFont val="Tahoma"/>
            <family val="2"/>
          </rPr>
          <t xml:space="preserve">* Craiova Km Auto (Responses)
   2022-09-14 08:16:31 </t>
        </r>
        <r>
          <rPr>
            <b/>
            <sz val="10"/>
            <color indexed="81"/>
            <rFont val="Tahoma"/>
            <family val="2"/>
          </rPr>
          <t xml:space="preserve">= 50972 - Concediu </t>
        </r>
        <r>
          <rPr>
            <sz val="10"/>
            <color indexed="81"/>
            <rFont val="Tahoma"/>
            <family val="2"/>
          </rPr>
          <t xml:space="preserve">* Craiova Km Auto (Responses)
</t>
        </r>
      </text>
    </comment>
    <comment ref="T77" authorId="0" shapeId="0" xr:uid="{6E3D2FB8-D457-4522-AED3-594BC24E6FD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 
__________________________________________________________________
</t>
        </r>
        <r>
          <rPr>
            <sz val="10"/>
            <color indexed="12"/>
            <rFont val="Tahoma"/>
            <family val="2"/>
          </rPr>
          <t xml:space="preserve">  </t>
        </r>
        <r>
          <rPr>
            <sz val="10"/>
            <color indexed="81"/>
            <rFont val="Tahoma"/>
            <family val="2"/>
          </rPr>
          <t xml:space="preserve"> 2022-09-16 15:50:33 </t>
        </r>
        <r>
          <rPr>
            <b/>
            <sz val="10"/>
            <color indexed="81"/>
            <rFont val="Tahoma"/>
            <family val="2"/>
          </rPr>
          <t xml:space="preserve">= 51084 - Referinta </t>
        </r>
        <r>
          <rPr>
            <sz val="10"/>
            <color indexed="81"/>
            <rFont val="Tahoma"/>
            <family val="2"/>
          </rPr>
          <t xml:space="preserve">* Craiova Km Auto (Responses)
</t>
        </r>
      </text>
    </comment>
    <comment ref="J78" authorId="0" shapeId="0" xr:uid="{83BEF12D-B3FD-4FB6-8F67-A7DEB71D29C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15:26:48 </t>
        </r>
        <r>
          <rPr>
            <b/>
            <sz val="10"/>
            <color indexed="81"/>
            <rFont val="Tahoma"/>
            <family val="2"/>
          </rPr>
          <t xml:space="preserve">= 95682 - Referinta </t>
        </r>
        <r>
          <rPr>
            <sz val="10"/>
            <color indexed="81"/>
            <rFont val="Tahoma"/>
            <family val="2"/>
          </rPr>
          <t xml:space="preserve">* Craiova Km Auto (Responses)
</t>
        </r>
      </text>
    </comment>
    <comment ref="O78" authorId="0" shapeId="0" xr:uid="{90BD6AA0-D15E-46CD-9406-0B92BA6652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03:57:00 </t>
        </r>
        <r>
          <rPr>
            <b/>
            <sz val="10"/>
            <color indexed="81"/>
            <rFont val="Tahoma"/>
            <family val="2"/>
          </rPr>
          <t xml:space="preserve">= 96533 - Referinta </t>
        </r>
        <r>
          <rPr>
            <sz val="10"/>
            <color indexed="81"/>
            <rFont val="Tahoma"/>
            <family val="2"/>
          </rPr>
          <t xml:space="preserve">* Craiova Km Auto (Responses)
</t>
        </r>
      </text>
    </comment>
    <comment ref="T78" authorId="0" shapeId="0" xr:uid="{861AD176-6928-4732-AF88-E9CC750CEB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16:00:09 </t>
        </r>
        <r>
          <rPr>
            <b/>
            <sz val="10"/>
            <color indexed="81"/>
            <rFont val="Tahoma"/>
            <family val="2"/>
          </rPr>
          <t xml:space="preserve">= 97137 - Referinta </t>
        </r>
        <r>
          <rPr>
            <sz val="10"/>
            <color indexed="81"/>
            <rFont val="Tahoma"/>
            <family val="2"/>
          </rPr>
          <t xml:space="preserve">* Craiova Km Auto (Responses)
</t>
        </r>
      </text>
    </comment>
    <comment ref="Y78" authorId="0" shapeId="0" xr:uid="{FDC9E6DF-788C-4486-B184-483B6AAC85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04:57:00 </t>
        </r>
        <r>
          <rPr>
            <b/>
            <sz val="10"/>
            <color indexed="81"/>
            <rFont val="Tahoma"/>
            <family val="2"/>
          </rPr>
          <t xml:space="preserve">= 98069 - Referinta </t>
        </r>
        <r>
          <rPr>
            <sz val="10"/>
            <color indexed="81"/>
            <rFont val="Tahoma"/>
            <family val="2"/>
          </rPr>
          <t xml:space="preserve">* Craiova Km Auto (Responses)
</t>
        </r>
      </text>
    </comment>
    <comment ref="AD78" authorId="0" shapeId="0" xr:uid="{909380C5-6724-4106-9A3B-BD3115F7EA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17:01:37 </t>
        </r>
        <r>
          <rPr>
            <b/>
            <sz val="10"/>
            <color indexed="81"/>
            <rFont val="Tahoma"/>
            <family val="2"/>
          </rPr>
          <t xml:space="preserve">= 98510 - Referinta </t>
        </r>
        <r>
          <rPr>
            <sz val="10"/>
            <color indexed="81"/>
            <rFont val="Tahoma"/>
            <family val="2"/>
          </rPr>
          <t xml:space="preserve">* Craiova Km Auto (Responses)
</t>
        </r>
      </text>
    </comment>
    <comment ref="J79" authorId="0" shapeId="0" xr:uid="{334419E5-196F-4D0B-A87B-724FC0009A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19:06:52 </t>
        </r>
        <r>
          <rPr>
            <b/>
            <sz val="10"/>
            <color indexed="81"/>
            <rFont val="Tahoma"/>
            <family val="2"/>
          </rPr>
          <t xml:space="preserve">= 33278 - Referinta </t>
        </r>
        <r>
          <rPr>
            <sz val="10"/>
            <color indexed="81"/>
            <rFont val="Tahoma"/>
            <family val="2"/>
          </rPr>
          <t xml:space="preserve">* Craiova Km Auto (Responses)
</t>
        </r>
      </text>
    </comment>
    <comment ref="O79" authorId="0" shapeId="0" xr:uid="{1A9D0242-8B9D-4F73-9B3D-C7E6F9848D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04:01:00 </t>
        </r>
        <r>
          <rPr>
            <b/>
            <sz val="10"/>
            <color indexed="81"/>
            <rFont val="Tahoma"/>
            <family val="2"/>
          </rPr>
          <t xml:space="preserve">= 33738 - Referinta </t>
        </r>
        <r>
          <rPr>
            <sz val="10"/>
            <color indexed="81"/>
            <rFont val="Tahoma"/>
            <family val="2"/>
          </rPr>
          <t xml:space="preserve">* Craiova Km Auto (Responses)
   2022-09-12 08:01:00 </t>
        </r>
        <r>
          <rPr>
            <b/>
            <sz val="10"/>
            <color indexed="81"/>
            <rFont val="Tahoma"/>
            <family val="2"/>
          </rPr>
          <t xml:space="preserve">= 34050 - Normal </t>
        </r>
        <r>
          <rPr>
            <sz val="10"/>
            <color indexed="81"/>
            <rFont val="Tahoma"/>
            <family val="2"/>
          </rPr>
          <t xml:space="preserve">* Craiova Km Auto (Responses)
</t>
        </r>
      </text>
    </comment>
    <comment ref="T79" authorId="0" shapeId="0" xr:uid="{2895E68E-B0E7-46B4-A35E-90D4E9D8D4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16:03:38 </t>
        </r>
        <r>
          <rPr>
            <b/>
            <sz val="10"/>
            <color indexed="81"/>
            <rFont val="Tahoma"/>
            <family val="2"/>
          </rPr>
          <t xml:space="preserve">= 34307 - Referinta </t>
        </r>
        <r>
          <rPr>
            <sz val="10"/>
            <color indexed="81"/>
            <rFont val="Tahoma"/>
            <family val="2"/>
          </rPr>
          <t xml:space="preserve">* Craiova Km Auto (Responses)
   2022-09-19 08:44:28 </t>
        </r>
        <r>
          <rPr>
            <b/>
            <sz val="10"/>
            <color indexed="81"/>
            <rFont val="Tahoma"/>
            <family val="2"/>
          </rPr>
          <t xml:space="preserve">= 34349 - Normal </t>
        </r>
        <r>
          <rPr>
            <sz val="10"/>
            <color indexed="81"/>
            <rFont val="Tahoma"/>
            <family val="2"/>
          </rPr>
          <t xml:space="preserve">* Craiova Km Auto (Responses)
</t>
        </r>
      </text>
    </comment>
    <comment ref="Y79" authorId="0" shapeId="0" xr:uid="{F87C6D53-33BA-40A0-B566-381EDFC8B3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16:43:19 </t>
        </r>
        <r>
          <rPr>
            <b/>
            <sz val="10"/>
            <color indexed="81"/>
            <rFont val="Tahoma"/>
            <family val="2"/>
          </rPr>
          <t xml:space="preserve">= 34741 - Referinta </t>
        </r>
        <r>
          <rPr>
            <sz val="10"/>
            <color indexed="81"/>
            <rFont val="Tahoma"/>
            <family val="2"/>
          </rPr>
          <t xml:space="preserve">* Craiova Km Auto (Responses)
   2022-09-26 08:00:38 </t>
        </r>
        <r>
          <rPr>
            <b/>
            <sz val="10"/>
            <color indexed="81"/>
            <rFont val="Tahoma"/>
            <family val="2"/>
          </rPr>
          <t xml:space="preserve">= 34928 - Normal </t>
        </r>
        <r>
          <rPr>
            <sz val="10"/>
            <color indexed="81"/>
            <rFont val="Tahoma"/>
            <family val="2"/>
          </rPr>
          <t xml:space="preserve">* Craiova Km Auto (Responses)
</t>
        </r>
      </text>
    </comment>
    <comment ref="AD79" authorId="0" shapeId="0" xr:uid="{553DD8D6-26BB-4058-8F5A-4C58675D57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20:04:42 </t>
        </r>
        <r>
          <rPr>
            <b/>
            <sz val="10"/>
            <color indexed="81"/>
            <rFont val="Tahoma"/>
            <family val="2"/>
          </rPr>
          <t xml:space="preserve">= 35391 - Referinta </t>
        </r>
        <r>
          <rPr>
            <sz val="10"/>
            <color indexed="81"/>
            <rFont val="Tahoma"/>
            <family val="2"/>
          </rPr>
          <t xml:space="preserve">* Craiova Km Auto (Responses)
   2022-10-03 08:26:17 </t>
        </r>
        <r>
          <rPr>
            <b/>
            <sz val="10"/>
            <color indexed="81"/>
            <rFont val="Tahoma"/>
            <family val="2"/>
          </rPr>
          <t xml:space="preserve">= 35644 - Normal </t>
        </r>
        <r>
          <rPr>
            <sz val="10"/>
            <color indexed="81"/>
            <rFont val="Tahoma"/>
            <family val="2"/>
          </rPr>
          <t xml:space="preserve">* Craiova Km Auto (Responses)
</t>
        </r>
      </text>
    </comment>
    <comment ref="J80" authorId="0" shapeId="0" xr:uid="{AAA6277B-A4DA-4964-8B46-10D44E829A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19:07:52 </t>
        </r>
        <r>
          <rPr>
            <b/>
            <sz val="10"/>
            <color indexed="81"/>
            <rFont val="Tahoma"/>
            <family val="2"/>
          </rPr>
          <t xml:space="preserve">= 312697 - Referinta </t>
        </r>
        <r>
          <rPr>
            <sz val="10"/>
            <color indexed="81"/>
            <rFont val="Tahoma"/>
            <family val="2"/>
          </rPr>
          <t xml:space="preserve">* Craiova Km Auto (Responses)
</t>
        </r>
      </text>
    </comment>
    <comment ref="O80" authorId="0" shapeId="0" xr:uid="{115317C4-1742-4B1D-95FB-100EBBE87E9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03:56:00 </t>
        </r>
        <r>
          <rPr>
            <b/>
            <sz val="10"/>
            <color indexed="81"/>
            <rFont val="Tahoma"/>
            <family val="2"/>
          </rPr>
          <t xml:space="preserve">= 312995 - Referinta </t>
        </r>
        <r>
          <rPr>
            <sz val="10"/>
            <color indexed="81"/>
            <rFont val="Tahoma"/>
            <family val="2"/>
          </rPr>
          <t xml:space="preserve">* Craiova Km Auto (Responses)
</t>
        </r>
      </text>
    </comment>
    <comment ref="T80" authorId="0" shapeId="0" xr:uid="{DC3B0E5C-301F-4F55-8FFA-28C0E14BAC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17:39:50 </t>
        </r>
        <r>
          <rPr>
            <b/>
            <sz val="10"/>
            <color indexed="81"/>
            <rFont val="Tahoma"/>
            <family val="2"/>
          </rPr>
          <t xml:space="preserve">= 314279 - Referinta </t>
        </r>
        <r>
          <rPr>
            <sz val="10"/>
            <color indexed="81"/>
            <rFont val="Tahoma"/>
            <family val="2"/>
          </rPr>
          <t xml:space="preserve">* Craiova Km Auto (Responses)
</t>
        </r>
      </text>
    </comment>
    <comment ref="Y80" authorId="0" shapeId="0" xr:uid="{BD103B34-9E2D-4EC6-848C-F32DE26031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16:39:37 </t>
        </r>
        <r>
          <rPr>
            <b/>
            <sz val="10"/>
            <color indexed="81"/>
            <rFont val="Tahoma"/>
            <family val="2"/>
          </rPr>
          <t xml:space="preserve">= 314690 - Referinta </t>
        </r>
        <r>
          <rPr>
            <sz val="10"/>
            <color indexed="81"/>
            <rFont val="Tahoma"/>
            <family val="2"/>
          </rPr>
          <t xml:space="preserve">* Craiova Km Auto (Responses)
</t>
        </r>
      </text>
    </comment>
    <comment ref="AD80" authorId="0" shapeId="0" xr:uid="{231FD3FA-2610-4B7F-999C-B06325536E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17:02:19 </t>
        </r>
        <r>
          <rPr>
            <b/>
            <sz val="10"/>
            <color indexed="81"/>
            <rFont val="Tahoma"/>
            <family val="2"/>
          </rPr>
          <t xml:space="preserve">= 315783 - Referinta </t>
        </r>
        <r>
          <rPr>
            <sz val="10"/>
            <color indexed="81"/>
            <rFont val="Tahoma"/>
            <family val="2"/>
          </rPr>
          <t xml:space="preserve">* Craiova Km Auto (Responses)
</t>
        </r>
      </text>
    </comment>
    <comment ref="J81" authorId="0" shapeId="0" xr:uid="{1CFB42A4-17A7-46BB-BA25-330547EAB0B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15:23:04 </t>
        </r>
        <r>
          <rPr>
            <b/>
            <sz val="10"/>
            <color indexed="81"/>
            <rFont val="Tahoma"/>
            <family val="2"/>
          </rPr>
          <t xml:space="preserve">= 90079 - Referinta </t>
        </r>
        <r>
          <rPr>
            <sz val="10"/>
            <color indexed="81"/>
            <rFont val="Tahoma"/>
            <family val="2"/>
          </rPr>
          <t xml:space="preserve">* Craiova Km Auto (Responses)
   2022-09-05 07:53:50 </t>
        </r>
        <r>
          <rPr>
            <b/>
            <sz val="10"/>
            <color indexed="81"/>
            <rFont val="Tahoma"/>
            <family val="2"/>
          </rPr>
          <t xml:space="preserve">= 90396 - Normal </t>
        </r>
        <r>
          <rPr>
            <sz val="10"/>
            <color indexed="81"/>
            <rFont val="Tahoma"/>
            <family val="2"/>
          </rPr>
          <t xml:space="preserve">* Craiova Km Auto (Responses)
</t>
        </r>
      </text>
    </comment>
    <comment ref="O81" authorId="0" shapeId="0" xr:uid="{F3B14770-269D-47EB-BE0F-1F5DDC9C90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21:24:44 </t>
        </r>
        <r>
          <rPr>
            <b/>
            <sz val="10"/>
            <color indexed="81"/>
            <rFont val="Tahoma"/>
            <family val="2"/>
          </rPr>
          <t xml:space="preserve">= 90490 - Referinta </t>
        </r>
        <r>
          <rPr>
            <sz val="10"/>
            <color indexed="81"/>
            <rFont val="Tahoma"/>
            <family val="2"/>
          </rPr>
          <t xml:space="preserve">* Craiova Km Auto (Responses)
   2022-09-12 07:52:00 </t>
        </r>
        <r>
          <rPr>
            <b/>
            <sz val="10"/>
            <color indexed="81"/>
            <rFont val="Tahoma"/>
            <family val="2"/>
          </rPr>
          <t xml:space="preserve">= 90522 - Normal </t>
        </r>
        <r>
          <rPr>
            <sz val="10"/>
            <color indexed="81"/>
            <rFont val="Tahoma"/>
            <family val="2"/>
          </rPr>
          <t xml:space="preserve">* Craiova Km Auto (Responses)
</t>
        </r>
      </text>
    </comment>
    <comment ref="T81" authorId="0" shapeId="0" xr:uid="{62AF4DBD-9634-444B-B84D-6631834E3C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16:14:11 </t>
        </r>
        <r>
          <rPr>
            <b/>
            <sz val="10"/>
            <color indexed="81"/>
            <rFont val="Tahoma"/>
            <family val="2"/>
          </rPr>
          <t xml:space="preserve">= 90916 - Referinta </t>
        </r>
        <r>
          <rPr>
            <sz val="10"/>
            <color indexed="81"/>
            <rFont val="Tahoma"/>
            <family val="2"/>
          </rPr>
          <t xml:space="preserve">* Craiova Km Auto (Responses)
</t>
        </r>
      </text>
    </comment>
    <comment ref="Y81" authorId="0" shapeId="0" xr:uid="{2AAFE960-0E4F-475B-A188-F27B409088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2022-09-24 09:23:00 </t>
        </r>
        <r>
          <rPr>
            <b/>
            <sz val="10"/>
            <color indexed="81"/>
            <rFont val="Tahoma"/>
            <family val="2"/>
          </rPr>
          <t xml:space="preserve">= 91565 - Referinta </t>
        </r>
        <r>
          <rPr>
            <sz val="10"/>
            <color indexed="81"/>
            <rFont val="Tahoma"/>
            <family val="2"/>
          </rPr>
          <t xml:space="preserve">* Craiova Km Auto (Responses)
   2022-09-27 05:20:00 </t>
        </r>
        <r>
          <rPr>
            <b/>
            <sz val="10"/>
            <color indexed="81"/>
            <rFont val="Tahoma"/>
            <family val="2"/>
          </rPr>
          <t xml:space="preserve">= 91578 - Normal </t>
        </r>
        <r>
          <rPr>
            <sz val="10"/>
            <color indexed="81"/>
            <rFont val="Tahoma"/>
            <family val="2"/>
          </rPr>
          <t xml:space="preserve">* Craiova Km Auto (Responses)
</t>
        </r>
      </text>
    </comment>
    <comment ref="AD81" authorId="0" shapeId="0" xr:uid="{2832BF39-D732-4930-B2D9-5629354CBE3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08:17:09 </t>
        </r>
        <r>
          <rPr>
            <b/>
            <sz val="10"/>
            <color indexed="81"/>
            <rFont val="Tahoma"/>
            <family val="2"/>
          </rPr>
          <t xml:space="preserve">= 92090 - Referinta </t>
        </r>
        <r>
          <rPr>
            <sz val="10"/>
            <color indexed="81"/>
            <rFont val="Tahoma"/>
            <family val="2"/>
          </rPr>
          <t xml:space="preserve">* Craiova Km Auto (Responses)
</t>
        </r>
      </text>
    </comment>
    <comment ref="J82" authorId="0" shapeId="0" xr:uid="{29ECFA61-00B0-43D3-A83C-67F9D4B309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16:59:41 </t>
        </r>
        <r>
          <rPr>
            <b/>
            <sz val="10"/>
            <color indexed="81"/>
            <rFont val="Tahoma"/>
            <family val="2"/>
          </rPr>
          <t xml:space="preserve">= 29484 - Referinta </t>
        </r>
        <r>
          <rPr>
            <sz val="10"/>
            <color indexed="81"/>
            <rFont val="Tahoma"/>
            <family val="2"/>
          </rPr>
          <t xml:space="preserve">* Galati Km Auto (Responses)
   2022-09-05 09:36:36 </t>
        </r>
        <r>
          <rPr>
            <b/>
            <sz val="10"/>
            <color indexed="81"/>
            <rFont val="Tahoma"/>
            <family val="2"/>
          </rPr>
          <t xml:space="preserve">= 29554 - Normal </t>
        </r>
        <r>
          <rPr>
            <sz val="10"/>
            <color indexed="81"/>
            <rFont val="Tahoma"/>
            <family val="2"/>
          </rPr>
          <t xml:space="preserve">* Galati Km Auto (Responses)
</t>
        </r>
      </text>
    </comment>
    <comment ref="O82" authorId="0" shapeId="0" xr:uid="{CCE37FB4-7F89-4106-AB1C-3B3B914637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29984 - Referinta </t>
        </r>
        <r>
          <rPr>
            <sz val="10"/>
            <color indexed="81"/>
            <rFont val="Tahoma"/>
            <family val="2"/>
          </rPr>
          <t xml:space="preserve">* Galati Km Auto (Responses)
   2022-09-12 08:11:47 </t>
        </r>
        <r>
          <rPr>
            <b/>
            <sz val="10"/>
            <color indexed="81"/>
            <rFont val="Tahoma"/>
            <family val="2"/>
          </rPr>
          <t xml:space="preserve">= 30065 - Normal </t>
        </r>
        <r>
          <rPr>
            <sz val="10"/>
            <color indexed="81"/>
            <rFont val="Tahoma"/>
            <family val="2"/>
          </rPr>
          <t xml:space="preserve">* Galati Km Auto (Responses)
</t>
        </r>
      </text>
    </comment>
    <comment ref="T82" authorId="0" shapeId="0" xr:uid="{1D5E2712-F35B-43FD-8D14-A09563C0B9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2022-09-16 04:30:00 </t>
        </r>
        <r>
          <rPr>
            <b/>
            <sz val="10"/>
            <color indexed="81"/>
            <rFont val="Tahoma"/>
            <family val="2"/>
          </rPr>
          <t xml:space="preserve">= 30326 - Referinta </t>
        </r>
        <r>
          <rPr>
            <sz val="10"/>
            <color indexed="81"/>
            <rFont val="Tahoma"/>
            <family val="2"/>
          </rPr>
          <t xml:space="preserve">* Galati Km Auto (Responses)
   2022-09-19 02:19:00 </t>
        </r>
        <r>
          <rPr>
            <b/>
            <sz val="10"/>
            <color indexed="81"/>
            <rFont val="Tahoma"/>
            <family val="2"/>
          </rPr>
          <t xml:space="preserve">= 30374 - Normal </t>
        </r>
        <r>
          <rPr>
            <sz val="10"/>
            <color indexed="81"/>
            <rFont val="Tahoma"/>
            <family val="2"/>
          </rPr>
          <t xml:space="preserve">* Galati Km Auto (Responses)
</t>
        </r>
      </text>
    </comment>
    <comment ref="Y82" authorId="0" shapeId="0" xr:uid="{0DFC4D57-C47D-4BA1-8B53-1A94C5E677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2022-09-23 05:28:00 </t>
        </r>
        <r>
          <rPr>
            <b/>
            <sz val="10"/>
            <color indexed="81"/>
            <rFont val="Tahoma"/>
            <family val="2"/>
          </rPr>
          <t xml:space="preserve">= 30755 - Referinta </t>
        </r>
        <r>
          <rPr>
            <sz val="10"/>
            <color indexed="81"/>
            <rFont val="Tahoma"/>
            <family val="2"/>
          </rPr>
          <t xml:space="preserve">* Galati Km Auto (Responses)
   2022-09-26 08:00:00 </t>
        </r>
        <r>
          <rPr>
            <b/>
            <sz val="10"/>
            <color indexed="81"/>
            <rFont val="Tahoma"/>
            <family val="2"/>
          </rPr>
          <t xml:space="preserve">= 30769 - Normal </t>
        </r>
        <r>
          <rPr>
            <sz val="10"/>
            <color indexed="81"/>
            <rFont val="Tahoma"/>
            <family val="2"/>
          </rPr>
          <t xml:space="preserve">* Galati Km Auto (Responses)
</t>
        </r>
      </text>
    </comment>
    <comment ref="AD82" authorId="0" shapeId="0" xr:uid="{9EFA0EC3-8945-4830-83EE-78C55AA9A2F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2022-09-30 05:46:00 </t>
        </r>
        <r>
          <rPr>
            <b/>
            <sz val="10"/>
            <color indexed="81"/>
            <rFont val="Tahoma"/>
            <family val="2"/>
          </rPr>
          <t xml:space="preserve">= 30982 - Referinta </t>
        </r>
        <r>
          <rPr>
            <sz val="10"/>
            <color indexed="81"/>
            <rFont val="Tahoma"/>
            <family val="2"/>
          </rPr>
          <t xml:space="preserve">* Galati Km Auto (Responses)
   2022-10-03 08:30:00 </t>
        </r>
        <r>
          <rPr>
            <b/>
            <sz val="10"/>
            <color indexed="81"/>
            <rFont val="Tahoma"/>
            <family val="2"/>
          </rPr>
          <t xml:space="preserve">= 31220 - Normal </t>
        </r>
        <r>
          <rPr>
            <sz val="10"/>
            <color indexed="81"/>
            <rFont val="Tahoma"/>
            <family val="2"/>
          </rPr>
          <t xml:space="preserve">* Galati Km Auto (Responses)
</t>
        </r>
      </text>
    </comment>
    <comment ref="T83" authorId="0" shapeId="0" xr:uid="{94699E5B-E447-4B2F-84FE-B2A5F20068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2022-09-16 15:10:03 </t>
        </r>
        <r>
          <rPr>
            <b/>
            <sz val="10"/>
            <color indexed="81"/>
            <rFont val="Tahoma"/>
            <family val="2"/>
          </rPr>
          <t xml:space="preserve">= 105493 - Referinta </t>
        </r>
        <r>
          <rPr>
            <sz val="10"/>
            <color indexed="81"/>
            <rFont val="Tahoma"/>
            <family val="2"/>
          </rPr>
          <t xml:space="preserve">* Galati Km Auto (Responses)
   2022-09-19 09:02:50 </t>
        </r>
        <r>
          <rPr>
            <b/>
            <sz val="10"/>
            <color indexed="81"/>
            <rFont val="Tahoma"/>
            <family val="2"/>
          </rPr>
          <t xml:space="preserve">= 105493 - Normal </t>
        </r>
        <r>
          <rPr>
            <sz val="10"/>
            <color indexed="81"/>
            <rFont val="Tahoma"/>
            <family val="2"/>
          </rPr>
          <t xml:space="preserve">* Galati Km Auto (Responses)
</t>
        </r>
      </text>
    </comment>
    <comment ref="Y83" authorId="0" shapeId="0" xr:uid="{36D0BBF5-9463-4C14-9D00-231B75B019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2022-09-23 15:38:54 </t>
        </r>
        <r>
          <rPr>
            <b/>
            <sz val="10"/>
            <color indexed="81"/>
            <rFont val="Tahoma"/>
            <family val="2"/>
          </rPr>
          <t xml:space="preserve">= 105558 - Referinta </t>
        </r>
        <r>
          <rPr>
            <sz val="10"/>
            <color indexed="81"/>
            <rFont val="Tahoma"/>
            <family val="2"/>
          </rPr>
          <t xml:space="preserve">* Galati Km Auto (Responses)
   2022-09-26 08:59:03 </t>
        </r>
        <r>
          <rPr>
            <b/>
            <sz val="10"/>
            <color indexed="81"/>
            <rFont val="Tahoma"/>
            <family val="2"/>
          </rPr>
          <t xml:space="preserve">= 105558 - Normal </t>
        </r>
        <r>
          <rPr>
            <sz val="10"/>
            <color indexed="81"/>
            <rFont val="Tahoma"/>
            <family val="2"/>
          </rPr>
          <t xml:space="preserve">* Galati Km Auto (Responses)
</t>
        </r>
      </text>
    </comment>
    <comment ref="AD83" authorId="0" shapeId="0" xr:uid="{75FA9719-B496-42C9-AE0F-8EFC94CB18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105558 - Referinta </t>
        </r>
        <r>
          <rPr>
            <sz val="10"/>
            <color indexed="81"/>
            <rFont val="Tahoma"/>
            <family val="2"/>
          </rPr>
          <t xml:space="preserve">* Galati Km Auto (Responses)
   2022-10-03 08:16:25 </t>
        </r>
        <r>
          <rPr>
            <b/>
            <sz val="10"/>
            <color indexed="81"/>
            <rFont val="Tahoma"/>
            <family val="2"/>
          </rPr>
          <t xml:space="preserve">= 105558 - Normal </t>
        </r>
        <r>
          <rPr>
            <sz val="10"/>
            <color indexed="81"/>
            <rFont val="Tahoma"/>
            <family val="2"/>
          </rPr>
          <t xml:space="preserve">* Galati Km Auto (Responses)
</t>
        </r>
      </text>
    </comment>
    <comment ref="J84" authorId="0" shapeId="0" xr:uid="{181FFE3E-79E0-4B96-88ED-34E94FE4287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16:57:24 </t>
        </r>
        <r>
          <rPr>
            <b/>
            <sz val="10"/>
            <color indexed="81"/>
            <rFont val="Tahoma"/>
            <family val="2"/>
          </rPr>
          <t xml:space="preserve">= 105473 - Referinta </t>
        </r>
        <r>
          <rPr>
            <sz val="10"/>
            <color indexed="81"/>
            <rFont val="Tahoma"/>
            <family val="2"/>
          </rPr>
          <t xml:space="preserve">* Galati Km Auto (Responses)
   2022-09-05 09:37:16 </t>
        </r>
        <r>
          <rPr>
            <b/>
            <sz val="10"/>
            <color indexed="81"/>
            <rFont val="Tahoma"/>
            <family val="2"/>
          </rPr>
          <t xml:space="preserve">= 105473 - Normal </t>
        </r>
        <r>
          <rPr>
            <sz val="10"/>
            <color indexed="81"/>
            <rFont val="Tahoma"/>
            <family val="2"/>
          </rPr>
          <t xml:space="preserve">* Galati Km Auto (Responses)
</t>
        </r>
      </text>
    </comment>
    <comment ref="O84" authorId="0" shapeId="0" xr:uid="{708143D0-2DC2-4933-A4E8-5FBD2E598F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105493 - Referinta </t>
        </r>
        <r>
          <rPr>
            <sz val="10"/>
            <color indexed="81"/>
            <rFont val="Tahoma"/>
            <family val="2"/>
          </rPr>
          <t xml:space="preserve">* Galati Km Auto (Responses)
   2022-09-12 08:38:36 </t>
        </r>
        <r>
          <rPr>
            <b/>
            <sz val="10"/>
            <color indexed="81"/>
            <rFont val="Tahoma"/>
            <family val="2"/>
          </rPr>
          <t xml:space="preserve">= 105493 - Normal </t>
        </r>
        <r>
          <rPr>
            <sz val="10"/>
            <color indexed="81"/>
            <rFont val="Tahoma"/>
            <family val="2"/>
          </rPr>
          <t xml:space="preserve">* Galati Km Auto (Responses)
</t>
        </r>
      </text>
    </comment>
    <comment ref="J85" authorId="0" shapeId="0" xr:uid="{E532EE82-002D-4ED9-A1F4-71BD5B32C4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2022-09-06 08:50:23 </t>
        </r>
        <r>
          <rPr>
            <b/>
            <sz val="10"/>
            <color indexed="81"/>
            <rFont val="Tahoma"/>
            <family val="2"/>
          </rPr>
          <t xml:space="preserve">= 49524 - Referinta </t>
        </r>
        <r>
          <rPr>
            <sz val="10"/>
            <color indexed="81"/>
            <rFont val="Tahoma"/>
            <family val="2"/>
          </rPr>
          <t xml:space="preserve">* Galati Km Auto (Responses)
   2022-09-06 08:51:11 </t>
        </r>
        <r>
          <rPr>
            <b/>
            <sz val="10"/>
            <color indexed="81"/>
            <rFont val="Tahoma"/>
            <family val="2"/>
          </rPr>
          <t xml:space="preserve">= 50393 - Concediu </t>
        </r>
        <r>
          <rPr>
            <sz val="10"/>
            <color indexed="81"/>
            <rFont val="Tahoma"/>
            <family val="2"/>
          </rPr>
          <t xml:space="preserve">* Galati Km Auto (Responses)
</t>
        </r>
      </text>
    </comment>
    <comment ref="O85" authorId="0" shapeId="0" xr:uid="{A8741AA3-C0AB-48AC-962B-26BE451B77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2022-09-12 08:34:14 </t>
        </r>
        <r>
          <rPr>
            <b/>
            <sz val="10"/>
            <color indexed="81"/>
            <rFont val="Tahoma"/>
            <family val="2"/>
          </rPr>
          <t xml:space="preserve">= 50534 - Referinta </t>
        </r>
        <r>
          <rPr>
            <sz val="10"/>
            <color indexed="81"/>
            <rFont val="Tahoma"/>
            <family val="2"/>
          </rPr>
          <t xml:space="preserve">* Galati Km Auto (Responses)
   2022-09-12 08:36:43 </t>
        </r>
        <r>
          <rPr>
            <b/>
            <sz val="10"/>
            <color indexed="81"/>
            <rFont val="Tahoma"/>
            <family val="2"/>
          </rPr>
          <t xml:space="preserve">= 50805 - Normal </t>
        </r>
        <r>
          <rPr>
            <sz val="10"/>
            <color indexed="81"/>
            <rFont val="Tahoma"/>
            <family val="2"/>
          </rPr>
          <t xml:space="preserve">* Galati Km Auto (Responses)
</t>
        </r>
      </text>
    </comment>
    <comment ref="T85" authorId="0" shapeId="0" xr:uid="{C712A322-5EC2-4FC7-8505-2D57F31AE13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2022-09-16 16:41:32 </t>
        </r>
        <r>
          <rPr>
            <b/>
            <sz val="10"/>
            <color indexed="81"/>
            <rFont val="Tahoma"/>
            <family val="2"/>
          </rPr>
          <t xml:space="preserve">= 50955 - Referinta </t>
        </r>
        <r>
          <rPr>
            <sz val="10"/>
            <color indexed="81"/>
            <rFont val="Tahoma"/>
            <family val="2"/>
          </rPr>
          <t xml:space="preserve">* Galati Km Auto (Responses)
   2022-09-19 08:59:31 </t>
        </r>
        <r>
          <rPr>
            <b/>
            <sz val="10"/>
            <color indexed="81"/>
            <rFont val="Tahoma"/>
            <family val="2"/>
          </rPr>
          <t xml:space="preserve">= 50998 - Normal </t>
        </r>
        <r>
          <rPr>
            <sz val="10"/>
            <color indexed="81"/>
            <rFont val="Tahoma"/>
            <family val="2"/>
          </rPr>
          <t xml:space="preserve">* Galati Km Auto (Responses)
</t>
        </r>
      </text>
    </comment>
    <comment ref="Y85" authorId="0" shapeId="0" xr:uid="{4500D1A0-0982-4555-AAEE-CB891897EB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2022-09-26 08:55:49 </t>
        </r>
        <r>
          <rPr>
            <b/>
            <sz val="10"/>
            <color indexed="81"/>
            <rFont val="Tahoma"/>
            <family val="2"/>
          </rPr>
          <t xml:space="preserve">= 51176 - Referinta </t>
        </r>
        <r>
          <rPr>
            <sz val="10"/>
            <color indexed="81"/>
            <rFont val="Tahoma"/>
            <family val="2"/>
          </rPr>
          <t xml:space="preserve">* Galati Km Auto (Responses)
   2022-09-26 08:57:14 </t>
        </r>
        <r>
          <rPr>
            <b/>
            <sz val="10"/>
            <color indexed="81"/>
            <rFont val="Tahoma"/>
            <family val="2"/>
          </rPr>
          <t xml:space="preserve">= 51412 - Normal </t>
        </r>
        <r>
          <rPr>
            <sz val="10"/>
            <color indexed="81"/>
            <rFont val="Tahoma"/>
            <family val="2"/>
          </rPr>
          <t xml:space="preserve">* Galati Km Auto (Responses)
</t>
        </r>
      </text>
    </comment>
    <comment ref="AD85" authorId="0" shapeId="0" xr:uid="{01DF4EF1-7BAB-48F1-9EE2-0A8D644E2E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2022-09-30 05:30:00 </t>
        </r>
        <r>
          <rPr>
            <b/>
            <sz val="10"/>
            <color indexed="81"/>
            <rFont val="Tahoma"/>
            <family val="2"/>
          </rPr>
          <t xml:space="preserve">= 51670 - Referinta </t>
        </r>
        <r>
          <rPr>
            <sz val="10"/>
            <color indexed="81"/>
            <rFont val="Tahoma"/>
            <family val="2"/>
          </rPr>
          <t xml:space="preserve">* Galati Km Auto (Responses)
   2022-10-03 08:32:05 </t>
        </r>
        <r>
          <rPr>
            <b/>
            <sz val="10"/>
            <color indexed="81"/>
            <rFont val="Tahoma"/>
            <family val="2"/>
          </rPr>
          <t xml:space="preserve">= 51718 - Normal </t>
        </r>
        <r>
          <rPr>
            <sz val="10"/>
            <color indexed="81"/>
            <rFont val="Tahoma"/>
            <family val="2"/>
          </rPr>
          <t xml:space="preserve">* Galati Km Auto (Responses)
</t>
        </r>
      </text>
    </comment>
    <comment ref="J86" authorId="0" shapeId="0" xr:uid="{8CE8F9C1-2EC6-4F19-A247-F1C9F847FD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18:11:02 </t>
        </r>
        <r>
          <rPr>
            <b/>
            <sz val="10"/>
            <color indexed="81"/>
            <rFont val="Tahoma"/>
            <family val="2"/>
          </rPr>
          <t xml:space="preserve">= 170740 - Referinta </t>
        </r>
        <r>
          <rPr>
            <sz val="10"/>
            <color indexed="81"/>
            <rFont val="Tahoma"/>
            <family val="2"/>
          </rPr>
          <t xml:space="preserve">* Galati Km Auto (Responses)
   2022-09-05 09:34:01 </t>
        </r>
        <r>
          <rPr>
            <b/>
            <sz val="10"/>
            <color indexed="81"/>
            <rFont val="Tahoma"/>
            <family val="2"/>
          </rPr>
          <t xml:space="preserve">= 170740 - Normal </t>
        </r>
        <r>
          <rPr>
            <sz val="10"/>
            <color indexed="81"/>
            <rFont val="Tahoma"/>
            <family val="2"/>
          </rPr>
          <t xml:space="preserve">* Galati Km Auto (Responses)
</t>
        </r>
      </text>
    </comment>
    <comment ref="O86" authorId="0" shapeId="0" xr:uid="{9002F7B8-D228-4AE1-85E4-ECE0EF0BB8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2022-09-09 05:20:00 </t>
        </r>
        <r>
          <rPr>
            <b/>
            <sz val="10"/>
            <color indexed="81"/>
            <rFont val="Tahoma"/>
            <family val="2"/>
          </rPr>
          <t xml:space="preserve">= 171405 - Referinta </t>
        </r>
        <r>
          <rPr>
            <sz val="10"/>
            <color indexed="81"/>
            <rFont val="Tahoma"/>
            <family val="2"/>
          </rPr>
          <t xml:space="preserve">* Galati Km Auto (Responses)
   2022-09-12 08:37:29 </t>
        </r>
        <r>
          <rPr>
            <b/>
            <sz val="10"/>
            <color indexed="81"/>
            <rFont val="Tahoma"/>
            <family val="2"/>
          </rPr>
          <t xml:space="preserve">= 171405 - Normal </t>
        </r>
        <r>
          <rPr>
            <sz val="10"/>
            <color indexed="81"/>
            <rFont val="Tahoma"/>
            <family val="2"/>
          </rPr>
          <t xml:space="preserve">* Galati Km Auto (Responses)
</t>
        </r>
      </text>
    </comment>
    <comment ref="T86" authorId="0" shapeId="0" xr:uid="{879FE440-BB04-4D64-9BDC-E5C7AD4FF9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2022-09-16 15:56:18 </t>
        </r>
        <r>
          <rPr>
            <b/>
            <sz val="10"/>
            <color indexed="81"/>
            <rFont val="Tahoma"/>
            <family val="2"/>
          </rPr>
          <t xml:space="preserve">= 171966 - Referinta </t>
        </r>
        <r>
          <rPr>
            <sz val="10"/>
            <color indexed="81"/>
            <rFont val="Tahoma"/>
            <family val="2"/>
          </rPr>
          <t xml:space="preserve">* Galati Km Auto (Responses)
   2022-09-19 09:01:37 </t>
        </r>
        <r>
          <rPr>
            <b/>
            <sz val="10"/>
            <color indexed="81"/>
            <rFont val="Tahoma"/>
            <family val="2"/>
          </rPr>
          <t xml:space="preserve">= 171966 - Normal </t>
        </r>
        <r>
          <rPr>
            <sz val="10"/>
            <color indexed="81"/>
            <rFont val="Tahoma"/>
            <family val="2"/>
          </rPr>
          <t xml:space="preserve">* Galati Km Auto (Responses)
</t>
        </r>
      </text>
    </comment>
    <comment ref="Y86" authorId="0" shapeId="0" xr:uid="{E9780D9B-A1F1-4A8A-9D08-CBF391502D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2022-09-23 05:10:00 </t>
        </r>
        <r>
          <rPr>
            <b/>
            <sz val="10"/>
            <color indexed="81"/>
            <rFont val="Tahoma"/>
            <family val="2"/>
          </rPr>
          <t xml:space="preserve">= 172472 - Referinta </t>
        </r>
        <r>
          <rPr>
            <sz val="10"/>
            <color indexed="81"/>
            <rFont val="Tahoma"/>
            <family val="2"/>
          </rPr>
          <t xml:space="preserve">* Galati Km Auto (Responses)
   2022-09-26 09:00:55 </t>
        </r>
        <r>
          <rPr>
            <b/>
            <sz val="10"/>
            <color indexed="81"/>
            <rFont val="Tahoma"/>
            <family val="2"/>
          </rPr>
          <t xml:space="preserve">= 172472 - Normal </t>
        </r>
        <r>
          <rPr>
            <sz val="10"/>
            <color indexed="81"/>
            <rFont val="Tahoma"/>
            <family val="2"/>
          </rPr>
          <t xml:space="preserve">* Galati Km Auto (Responses)
</t>
        </r>
      </text>
    </comment>
    <comment ref="AD86" authorId="0" shapeId="0" xr:uid="{5F6DA9AC-916C-493E-AC54-CB35A837267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2022-09-30 05:00:00 </t>
        </r>
        <r>
          <rPr>
            <b/>
            <sz val="10"/>
            <color indexed="81"/>
            <rFont val="Tahoma"/>
            <family val="2"/>
          </rPr>
          <t xml:space="preserve">= 173019 - Referinta </t>
        </r>
        <r>
          <rPr>
            <sz val="10"/>
            <color indexed="81"/>
            <rFont val="Tahoma"/>
            <family val="2"/>
          </rPr>
          <t xml:space="preserve">* Galati Km Auto (Responses)
   2022-10-03 08:12:56 </t>
        </r>
        <r>
          <rPr>
            <b/>
            <sz val="10"/>
            <color indexed="81"/>
            <rFont val="Tahoma"/>
            <family val="2"/>
          </rPr>
          <t xml:space="preserve">= 173019 - Normal </t>
        </r>
        <r>
          <rPr>
            <sz val="10"/>
            <color indexed="81"/>
            <rFont val="Tahoma"/>
            <family val="2"/>
          </rPr>
          <t xml:space="preserve">* Galati Km Auto (Responses)
</t>
        </r>
      </text>
    </comment>
    <comment ref="J87" authorId="0" shapeId="0" xr:uid="{1D017B86-D2D6-458E-9CDC-4F65F9EE09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2022-09-02 05:00:00 </t>
        </r>
        <r>
          <rPr>
            <b/>
            <sz val="10"/>
            <color indexed="81"/>
            <rFont val="Tahoma"/>
            <family val="2"/>
          </rPr>
          <t xml:space="preserve">= 120090 - Referinta </t>
        </r>
        <r>
          <rPr>
            <sz val="10"/>
            <color indexed="81"/>
            <rFont val="Tahoma"/>
            <family val="2"/>
          </rPr>
          <t xml:space="preserve">* Galati Km Auto (Responses)
   2022-09-05 08:00:00 </t>
        </r>
        <r>
          <rPr>
            <b/>
            <sz val="10"/>
            <color indexed="81"/>
            <rFont val="Tahoma"/>
            <family val="2"/>
          </rPr>
          <t xml:space="preserve">= 120110 - Normal </t>
        </r>
        <r>
          <rPr>
            <sz val="10"/>
            <color indexed="81"/>
            <rFont val="Tahoma"/>
            <family val="2"/>
          </rPr>
          <t xml:space="preserve">* Galati Km Auto (Responses)
</t>
        </r>
      </text>
    </comment>
    <comment ref="O87" authorId="0" shapeId="0" xr:uid="{8FB26F84-434E-495A-AF9D-E44CD8D5801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120116 - Referinta </t>
        </r>
        <r>
          <rPr>
            <sz val="10"/>
            <color indexed="81"/>
            <rFont val="Tahoma"/>
            <family val="2"/>
          </rPr>
          <t xml:space="preserve">* Galati Km Auto (Responses)
   2022-09-12 08:34:25 </t>
        </r>
        <r>
          <rPr>
            <b/>
            <sz val="10"/>
            <color indexed="81"/>
            <rFont val="Tahoma"/>
            <family val="2"/>
          </rPr>
          <t xml:space="preserve">= 120116 - Normal </t>
        </r>
        <r>
          <rPr>
            <sz val="10"/>
            <color indexed="81"/>
            <rFont val="Tahoma"/>
            <family val="2"/>
          </rPr>
          <t xml:space="preserve">* Galati Km Auto (Responses)
</t>
        </r>
      </text>
    </comment>
    <comment ref="T87" authorId="0" shapeId="0" xr:uid="{3C3D7A45-EAE7-4899-9689-8BF15A795C0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2022-09-16 15:09:08 </t>
        </r>
        <r>
          <rPr>
            <b/>
            <sz val="10"/>
            <color indexed="81"/>
            <rFont val="Tahoma"/>
            <family val="2"/>
          </rPr>
          <t xml:space="preserve">= 120173 - Referinta </t>
        </r>
        <r>
          <rPr>
            <sz val="10"/>
            <color indexed="81"/>
            <rFont val="Tahoma"/>
            <family val="2"/>
          </rPr>
          <t xml:space="preserve">* Galati Km Auto (Responses)
   2022-09-19 09:00:27 </t>
        </r>
        <r>
          <rPr>
            <b/>
            <sz val="10"/>
            <color indexed="81"/>
            <rFont val="Tahoma"/>
            <family val="2"/>
          </rPr>
          <t xml:space="preserve">= 120173 - Normal </t>
        </r>
        <r>
          <rPr>
            <sz val="10"/>
            <color indexed="81"/>
            <rFont val="Tahoma"/>
            <family val="2"/>
          </rPr>
          <t xml:space="preserve">* Galati Km Auto (Responses)
</t>
        </r>
      </text>
    </comment>
    <comment ref="Y87" authorId="0" shapeId="0" xr:uid="{E82B21D5-B41E-4D5F-A7FB-C642EECD20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2022-09-23 15:37:57 </t>
        </r>
        <r>
          <rPr>
            <b/>
            <sz val="10"/>
            <color indexed="81"/>
            <rFont val="Tahoma"/>
            <family val="2"/>
          </rPr>
          <t xml:space="preserve">= 120187 - Referinta </t>
        </r>
        <r>
          <rPr>
            <sz val="10"/>
            <color indexed="81"/>
            <rFont val="Tahoma"/>
            <family val="2"/>
          </rPr>
          <t xml:space="preserve">* Galati Km Auto (Responses)
   2022-09-26 08:58:08 </t>
        </r>
        <r>
          <rPr>
            <b/>
            <sz val="10"/>
            <color indexed="81"/>
            <rFont val="Tahoma"/>
            <family val="2"/>
          </rPr>
          <t xml:space="preserve">= 120187 - Normal </t>
        </r>
        <r>
          <rPr>
            <sz val="10"/>
            <color indexed="81"/>
            <rFont val="Tahoma"/>
            <family val="2"/>
          </rPr>
          <t xml:space="preserve">* Galati Km Auto (Responses)
</t>
        </r>
      </text>
    </comment>
    <comment ref="AD87" authorId="0" shapeId="0" xr:uid="{4CBCC668-3A6D-412A-9B68-6174E60AE2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120210 - Referinta </t>
        </r>
        <r>
          <rPr>
            <sz val="10"/>
            <color indexed="81"/>
            <rFont val="Tahoma"/>
            <family val="2"/>
          </rPr>
          <t xml:space="preserve">* Galati Km Auto (Responses)
   2022-10-03 08:28:30 </t>
        </r>
        <r>
          <rPr>
            <b/>
            <sz val="10"/>
            <color indexed="81"/>
            <rFont val="Tahoma"/>
            <family val="2"/>
          </rPr>
          <t xml:space="preserve">= 120210 - Normal </t>
        </r>
        <r>
          <rPr>
            <sz val="10"/>
            <color indexed="81"/>
            <rFont val="Tahoma"/>
            <family val="2"/>
          </rPr>
          <t xml:space="preserve">* Galati Km Auto (Responses)
</t>
        </r>
      </text>
    </comment>
    <comment ref="J88" authorId="0" shapeId="0" xr:uid="{D5D6ED77-6C26-4259-9E6F-4DEC73C74A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2022-09-02 05:00:00 </t>
        </r>
        <r>
          <rPr>
            <b/>
            <sz val="10"/>
            <color indexed="81"/>
            <rFont val="Tahoma"/>
            <family val="2"/>
          </rPr>
          <t xml:space="preserve">= 62990 - Referinta </t>
        </r>
        <r>
          <rPr>
            <sz val="10"/>
            <color indexed="81"/>
            <rFont val="Tahoma"/>
            <family val="2"/>
          </rPr>
          <t xml:space="preserve">* Galati Km Auto (Responses)
   2022-09-05 08:00:00 </t>
        </r>
        <r>
          <rPr>
            <b/>
            <sz val="10"/>
            <color indexed="81"/>
            <rFont val="Tahoma"/>
            <family val="2"/>
          </rPr>
          <t xml:space="preserve">= 63010 - Normal </t>
        </r>
        <r>
          <rPr>
            <sz val="10"/>
            <color indexed="81"/>
            <rFont val="Tahoma"/>
            <family val="2"/>
          </rPr>
          <t xml:space="preserve">* Galati Km Auto (Responses)
</t>
        </r>
      </text>
    </comment>
    <comment ref="O88" authorId="0" shapeId="0" xr:uid="{529245CD-EA47-4109-8C56-D1A8ED31BF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2022-09-09 21:17:42 </t>
        </r>
        <r>
          <rPr>
            <b/>
            <sz val="10"/>
            <color indexed="81"/>
            <rFont val="Tahoma"/>
            <family val="2"/>
          </rPr>
          <t xml:space="preserve">= 63460 - Referinta </t>
        </r>
        <r>
          <rPr>
            <sz val="10"/>
            <color indexed="81"/>
            <rFont val="Tahoma"/>
            <family val="2"/>
          </rPr>
          <t xml:space="preserve">* Galati Km Auto (Responses)
   2022-09-12 08:40:53 </t>
        </r>
        <r>
          <rPr>
            <b/>
            <sz val="10"/>
            <color indexed="81"/>
            <rFont val="Tahoma"/>
            <family val="2"/>
          </rPr>
          <t xml:space="preserve">= 63481 - Normal </t>
        </r>
        <r>
          <rPr>
            <sz val="10"/>
            <color indexed="81"/>
            <rFont val="Tahoma"/>
            <family val="2"/>
          </rPr>
          <t xml:space="preserve">* Galati Km Auto (Responses)
</t>
        </r>
      </text>
    </comment>
    <comment ref="T88" authorId="0" shapeId="0" xr:uid="{4AE36BA3-1FF4-4723-ACE2-B13090AC5E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2022-09-16 20:25:25 </t>
        </r>
        <r>
          <rPr>
            <b/>
            <sz val="10"/>
            <color indexed="81"/>
            <rFont val="Tahoma"/>
            <family val="2"/>
          </rPr>
          <t xml:space="preserve">= 63555 - Referinta </t>
        </r>
        <r>
          <rPr>
            <sz val="10"/>
            <color indexed="81"/>
            <rFont val="Tahoma"/>
            <family val="2"/>
          </rPr>
          <t xml:space="preserve">* Galati Km Auto (Responses)
   2022-09-19 17:41:03 </t>
        </r>
        <r>
          <rPr>
            <b/>
            <sz val="10"/>
            <color indexed="81"/>
            <rFont val="Tahoma"/>
            <family val="2"/>
          </rPr>
          <t xml:space="preserve">= 63573 - Normal </t>
        </r>
        <r>
          <rPr>
            <sz val="10"/>
            <color indexed="81"/>
            <rFont val="Tahoma"/>
            <family val="2"/>
          </rPr>
          <t xml:space="preserve">* Galati Km Auto (Responses)
</t>
        </r>
      </text>
    </comment>
    <comment ref="Y88" authorId="0" shapeId="0" xr:uid="{11B389F9-D3A3-4455-92E7-D302AA0A12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2022-09-23 20:50:29 </t>
        </r>
        <r>
          <rPr>
            <b/>
            <sz val="10"/>
            <color indexed="81"/>
            <rFont val="Tahoma"/>
            <family val="2"/>
          </rPr>
          <t xml:space="preserve">= 63646 - Referinta </t>
        </r>
        <r>
          <rPr>
            <sz val="10"/>
            <color indexed="81"/>
            <rFont val="Tahoma"/>
            <family val="2"/>
          </rPr>
          <t xml:space="preserve">* Galati Km Auto (Responses)
   2022-09-26 13:24:00 </t>
        </r>
        <r>
          <rPr>
            <b/>
            <sz val="10"/>
            <color indexed="81"/>
            <rFont val="Tahoma"/>
            <family val="2"/>
          </rPr>
          <t xml:space="preserve">= 63662 - Normal </t>
        </r>
        <r>
          <rPr>
            <sz val="10"/>
            <color indexed="81"/>
            <rFont val="Tahoma"/>
            <family val="2"/>
          </rPr>
          <t xml:space="preserve">* Galati Km Auto (Responses)
</t>
        </r>
      </text>
    </comment>
    <comment ref="AD88" authorId="0" shapeId="0" xr:uid="{BFCC1F49-9D9C-42FE-A4D3-4BCAB1C7356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2022-09-30 23:40:09 </t>
        </r>
        <r>
          <rPr>
            <b/>
            <sz val="10"/>
            <color indexed="81"/>
            <rFont val="Tahoma"/>
            <family val="2"/>
          </rPr>
          <t xml:space="preserve">= 63715 - Referinta </t>
        </r>
        <r>
          <rPr>
            <sz val="10"/>
            <color indexed="81"/>
            <rFont val="Tahoma"/>
            <family val="2"/>
          </rPr>
          <t xml:space="preserve">* Galati Km Auto (Responses)
   2022-10-03 08:35:11 </t>
        </r>
        <r>
          <rPr>
            <b/>
            <sz val="10"/>
            <color indexed="81"/>
            <rFont val="Tahoma"/>
            <family val="2"/>
          </rPr>
          <t xml:space="preserve">= 63719 - Normal </t>
        </r>
        <r>
          <rPr>
            <sz val="10"/>
            <color indexed="81"/>
            <rFont val="Tahoma"/>
            <family val="2"/>
          </rPr>
          <t xml:space="preserve">* Galati Km Auto (Responses)
</t>
        </r>
      </text>
    </comment>
    <comment ref="J89" authorId="0" shapeId="0" xr:uid="{2736BFD7-40B9-47BA-8A0D-505ED616DB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2022-09-02 05:00:00 </t>
        </r>
        <r>
          <rPr>
            <b/>
            <sz val="10"/>
            <color indexed="81"/>
            <rFont val="Tahoma"/>
            <family val="2"/>
          </rPr>
          <t xml:space="preserve">= 45687 - Referinta </t>
        </r>
        <r>
          <rPr>
            <sz val="10"/>
            <color indexed="81"/>
            <rFont val="Tahoma"/>
            <family val="2"/>
          </rPr>
          <t xml:space="preserve">* Iasi Km Auto (Responses)
   2022-09-05 07:47:49 </t>
        </r>
        <r>
          <rPr>
            <b/>
            <sz val="10"/>
            <color indexed="81"/>
            <rFont val="Tahoma"/>
            <family val="2"/>
          </rPr>
          <t xml:space="preserve">= 45707 - Normal </t>
        </r>
        <r>
          <rPr>
            <sz val="10"/>
            <color indexed="81"/>
            <rFont val="Tahoma"/>
            <family val="2"/>
          </rPr>
          <t xml:space="preserve">* Iasi Km Auto (Responses)
</t>
        </r>
      </text>
    </comment>
    <comment ref="O89" authorId="0" shapeId="0" xr:uid="{B713E802-EF20-4A93-9C67-E74DBB19DBB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2022-09-09 15:49:38 </t>
        </r>
        <r>
          <rPr>
            <b/>
            <sz val="10"/>
            <color indexed="81"/>
            <rFont val="Tahoma"/>
            <family val="2"/>
          </rPr>
          <t xml:space="preserve">= 45812 - Referinta </t>
        </r>
        <r>
          <rPr>
            <sz val="10"/>
            <color indexed="81"/>
            <rFont val="Tahoma"/>
            <family val="2"/>
          </rPr>
          <t xml:space="preserve">* Iasi Km Auto (Responses)
   2022-09-12 07:55:45 </t>
        </r>
        <r>
          <rPr>
            <b/>
            <sz val="10"/>
            <color indexed="81"/>
            <rFont val="Tahoma"/>
            <family val="2"/>
          </rPr>
          <t xml:space="preserve">= 45818 - Normal </t>
        </r>
        <r>
          <rPr>
            <sz val="10"/>
            <color indexed="81"/>
            <rFont val="Tahoma"/>
            <family val="2"/>
          </rPr>
          <t xml:space="preserve">* Iasi Km Auto (Responses)
</t>
        </r>
      </text>
    </comment>
    <comment ref="T89" authorId="0" shapeId="0" xr:uid="{358A53E9-40EE-45C9-9060-4D8C803802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2022-09-16 15:59:31 </t>
        </r>
        <r>
          <rPr>
            <b/>
            <sz val="10"/>
            <color indexed="81"/>
            <rFont val="Tahoma"/>
            <family val="2"/>
          </rPr>
          <t xml:space="preserve">= 45888 - Referinta </t>
        </r>
        <r>
          <rPr>
            <sz val="10"/>
            <color indexed="81"/>
            <rFont val="Tahoma"/>
            <family val="2"/>
          </rPr>
          <t xml:space="preserve">* Iasi Km Auto (Responses)
   2022-09-19 07:43:29 </t>
        </r>
        <r>
          <rPr>
            <b/>
            <sz val="10"/>
            <color indexed="81"/>
            <rFont val="Tahoma"/>
            <family val="2"/>
          </rPr>
          <t xml:space="preserve">= 45902 - Normal </t>
        </r>
        <r>
          <rPr>
            <sz val="10"/>
            <color indexed="81"/>
            <rFont val="Tahoma"/>
            <family val="2"/>
          </rPr>
          <t xml:space="preserve">* Iasi Km Auto (Responses)
</t>
        </r>
      </text>
    </comment>
    <comment ref="Y89" authorId="0" shapeId="0" xr:uid="{6757CDA1-323F-4A13-827A-B5F576476C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2022-09-23 17:00:56 </t>
        </r>
        <r>
          <rPr>
            <b/>
            <sz val="10"/>
            <color indexed="81"/>
            <rFont val="Tahoma"/>
            <family val="2"/>
          </rPr>
          <t xml:space="preserve">= 45976 - Referinta </t>
        </r>
        <r>
          <rPr>
            <sz val="10"/>
            <color indexed="81"/>
            <rFont val="Tahoma"/>
            <family val="2"/>
          </rPr>
          <t xml:space="preserve">* Iasi Km Auto (Responses)
   2022-09-26 07:38:27 </t>
        </r>
        <r>
          <rPr>
            <b/>
            <sz val="10"/>
            <color indexed="81"/>
            <rFont val="Tahoma"/>
            <family val="2"/>
          </rPr>
          <t xml:space="preserve">= 46006 - Normal </t>
        </r>
        <r>
          <rPr>
            <sz val="10"/>
            <color indexed="81"/>
            <rFont val="Tahoma"/>
            <family val="2"/>
          </rPr>
          <t xml:space="preserve">* Iasi Km Auto (Responses)
   2022-09-29 17:11:47 </t>
        </r>
        <r>
          <rPr>
            <b/>
            <sz val="10"/>
            <color indexed="81"/>
            <rFont val="Tahoma"/>
            <family val="2"/>
          </rPr>
          <t xml:space="preserve">= 46368 - Referinta </t>
        </r>
        <r>
          <rPr>
            <sz val="10"/>
            <color indexed="81"/>
            <rFont val="Tahoma"/>
            <family val="2"/>
          </rPr>
          <t xml:space="preserve">* Iasi Km Auto (Responses)
</t>
        </r>
      </text>
    </comment>
    <comment ref="AD89" authorId="0" shapeId="0" xr:uid="{51574AE9-9B58-4998-80B8-0DDE7AE1B89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08:16:10 </t>
        </r>
        <r>
          <rPr>
            <b/>
            <sz val="10"/>
            <color indexed="81"/>
            <rFont val="Tahoma"/>
            <family val="2"/>
          </rPr>
          <t xml:space="preserve">= 46389 - Referinta </t>
        </r>
        <r>
          <rPr>
            <sz val="10"/>
            <color indexed="81"/>
            <rFont val="Tahoma"/>
            <family val="2"/>
          </rPr>
          <t xml:space="preserve">* Iasi Km Auto (Responses)
   2022-10-03 08:17:58 </t>
        </r>
        <r>
          <rPr>
            <b/>
            <sz val="10"/>
            <color indexed="81"/>
            <rFont val="Tahoma"/>
            <family val="2"/>
          </rPr>
          <t xml:space="preserve">= 46389 - Normal </t>
        </r>
        <r>
          <rPr>
            <sz val="10"/>
            <color indexed="81"/>
            <rFont val="Tahoma"/>
            <family val="2"/>
          </rPr>
          <t xml:space="preserve">* Iasi Km Auto (Responses)
</t>
        </r>
      </text>
    </comment>
    <comment ref="J90" authorId="0" shapeId="0" xr:uid="{47C354DC-646A-4B9C-9A2E-5584246831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16:26:52 </t>
        </r>
        <r>
          <rPr>
            <b/>
            <sz val="10"/>
            <color indexed="81"/>
            <rFont val="Tahoma"/>
            <family val="2"/>
          </rPr>
          <t xml:space="preserve">= 22284 - Referinta </t>
        </r>
        <r>
          <rPr>
            <sz val="10"/>
            <color indexed="81"/>
            <rFont val="Tahoma"/>
            <family val="2"/>
          </rPr>
          <t xml:space="preserve">* Iasi Km Auto (Responses)
   2022-09-05 10:18:27 </t>
        </r>
        <r>
          <rPr>
            <b/>
            <sz val="10"/>
            <color indexed="81"/>
            <rFont val="Tahoma"/>
            <family val="2"/>
          </rPr>
          <t xml:space="preserve">= 22292 - Normal </t>
        </r>
        <r>
          <rPr>
            <sz val="10"/>
            <color indexed="81"/>
            <rFont val="Tahoma"/>
            <family val="2"/>
          </rPr>
          <t xml:space="preserve">* Iasi Km Auto (Responses)
</t>
        </r>
      </text>
    </comment>
    <comment ref="O90" authorId="0" shapeId="0" xr:uid="{B03A8DC8-36F4-447E-821F-EE0AEF14226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2022-09-09 04:46:00 </t>
        </r>
        <r>
          <rPr>
            <b/>
            <sz val="10"/>
            <color indexed="81"/>
            <rFont val="Tahoma"/>
            <family val="2"/>
          </rPr>
          <t xml:space="preserve">= 22713 - Referinta </t>
        </r>
        <r>
          <rPr>
            <sz val="10"/>
            <color indexed="81"/>
            <rFont val="Tahoma"/>
            <family val="2"/>
          </rPr>
          <t xml:space="preserve">* Iasi Km Auto (Responses)
   2022-09-12 07:28:00 </t>
        </r>
        <r>
          <rPr>
            <b/>
            <sz val="10"/>
            <color indexed="81"/>
            <rFont val="Tahoma"/>
            <family val="2"/>
          </rPr>
          <t xml:space="preserve">= 22725 - Normal </t>
        </r>
        <r>
          <rPr>
            <sz val="10"/>
            <color indexed="81"/>
            <rFont val="Tahoma"/>
            <family val="2"/>
          </rPr>
          <t xml:space="preserve">* Iasi Km Auto (Responses)
   2022-09-12 07:30:00 </t>
        </r>
        <r>
          <rPr>
            <b/>
            <sz val="10"/>
            <color indexed="81"/>
            <rFont val="Tahoma"/>
            <family val="2"/>
          </rPr>
          <t xml:space="preserve">= 22725 - Normal </t>
        </r>
        <r>
          <rPr>
            <sz val="10"/>
            <color indexed="81"/>
            <rFont val="Tahoma"/>
            <family val="2"/>
          </rPr>
          <t xml:space="preserve">* Iasi Km Auto (Responses)
</t>
        </r>
      </text>
    </comment>
    <comment ref="T90" authorId="0" shapeId="0" xr:uid="{A51E8C8C-C110-4A5C-BCB4-BFFBC98E2C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2022-09-16 06:09:00 </t>
        </r>
        <r>
          <rPr>
            <b/>
            <sz val="10"/>
            <color indexed="81"/>
            <rFont val="Tahoma"/>
            <family val="2"/>
          </rPr>
          <t xml:space="preserve">= 23090 - Referinta </t>
        </r>
        <r>
          <rPr>
            <sz val="10"/>
            <color indexed="81"/>
            <rFont val="Tahoma"/>
            <family val="2"/>
          </rPr>
          <t xml:space="preserve">* Iasi Km Auto (Responses)
   2022-09-19 07:15:00 </t>
        </r>
        <r>
          <rPr>
            <b/>
            <sz val="10"/>
            <color indexed="81"/>
            <rFont val="Tahoma"/>
            <family val="2"/>
          </rPr>
          <t xml:space="preserve">= 23100 - Normal </t>
        </r>
        <r>
          <rPr>
            <sz val="10"/>
            <color indexed="81"/>
            <rFont val="Tahoma"/>
            <family val="2"/>
          </rPr>
          <t xml:space="preserve">* Iasi Km Auto (Responses)
</t>
        </r>
      </text>
    </comment>
    <comment ref="Y90" authorId="0" shapeId="0" xr:uid="{6C870EDA-15D9-4EC3-A4DF-E71046CCE5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2022-09-23 04:34:00 </t>
        </r>
        <r>
          <rPr>
            <b/>
            <sz val="10"/>
            <color indexed="81"/>
            <rFont val="Tahoma"/>
            <family val="2"/>
          </rPr>
          <t xml:space="preserve">= 23477 - Referinta </t>
        </r>
        <r>
          <rPr>
            <sz val="10"/>
            <color indexed="81"/>
            <rFont val="Tahoma"/>
            <family val="2"/>
          </rPr>
          <t xml:space="preserve">* Iasi Km Auto (Responses)
   2022-09-26 07:42:00 </t>
        </r>
        <r>
          <rPr>
            <b/>
            <sz val="10"/>
            <color indexed="81"/>
            <rFont val="Tahoma"/>
            <family val="2"/>
          </rPr>
          <t xml:space="preserve">= 23481 - Normal </t>
        </r>
        <r>
          <rPr>
            <sz val="10"/>
            <color indexed="81"/>
            <rFont val="Tahoma"/>
            <family val="2"/>
          </rPr>
          <t xml:space="preserve">* Iasi Km Auto (Responses)
</t>
        </r>
      </text>
    </comment>
    <comment ref="AD90" authorId="0" shapeId="0" xr:uid="{CA635E45-479B-45DE-B208-82A7B59D55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2022-09-30 04:08:00 </t>
        </r>
        <r>
          <rPr>
            <b/>
            <sz val="10"/>
            <color indexed="81"/>
            <rFont val="Tahoma"/>
            <family val="2"/>
          </rPr>
          <t xml:space="preserve">= 23878 - Referinta </t>
        </r>
        <r>
          <rPr>
            <sz val="10"/>
            <color indexed="81"/>
            <rFont val="Tahoma"/>
            <family val="2"/>
          </rPr>
          <t xml:space="preserve">* Iasi Km Auto (Responses)
   2022-10-03 07:15:00 </t>
        </r>
        <r>
          <rPr>
            <b/>
            <sz val="10"/>
            <color indexed="81"/>
            <rFont val="Tahoma"/>
            <family val="2"/>
          </rPr>
          <t xml:space="preserve">= 23893 - Normal </t>
        </r>
        <r>
          <rPr>
            <sz val="10"/>
            <color indexed="81"/>
            <rFont val="Tahoma"/>
            <family val="2"/>
          </rPr>
          <t xml:space="preserve">* Iasi Km Auto (Responses)
</t>
        </r>
      </text>
    </comment>
    <comment ref="J91" authorId="0" shapeId="0" xr:uid="{5CF03520-EA29-46DF-BF43-2FD8665421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11:37:28 </t>
        </r>
        <r>
          <rPr>
            <b/>
            <sz val="10"/>
            <color indexed="81"/>
            <rFont val="Tahoma"/>
            <family val="2"/>
          </rPr>
          <t xml:space="preserve">= 835302 - Referinta </t>
        </r>
        <r>
          <rPr>
            <sz val="10"/>
            <color indexed="81"/>
            <rFont val="Tahoma"/>
            <family val="2"/>
          </rPr>
          <t xml:space="preserve">* Iasi Km Auto (Responses)
</t>
        </r>
      </text>
    </comment>
    <comment ref="O91" authorId="0" shapeId="0" xr:uid="{537387CB-FB51-4C0B-BAFB-9B067529D6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19:24:59 </t>
        </r>
        <r>
          <rPr>
            <b/>
            <sz val="10"/>
            <color indexed="81"/>
            <rFont val="Tahoma"/>
            <family val="2"/>
          </rPr>
          <t xml:space="preserve">= 845882 - Referinta </t>
        </r>
        <r>
          <rPr>
            <sz val="10"/>
            <color indexed="81"/>
            <rFont val="Tahoma"/>
            <family val="2"/>
          </rPr>
          <t xml:space="preserve">* Iasi Km Auto (Responses)
</t>
        </r>
      </text>
    </comment>
    <comment ref="T91" authorId="0" shapeId="0" xr:uid="{0FFA3C8F-F09F-4C51-817C-D6B75091E81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16:15:21 </t>
        </r>
        <r>
          <rPr>
            <b/>
            <sz val="10"/>
            <color indexed="81"/>
            <rFont val="Tahoma"/>
            <family val="2"/>
          </rPr>
          <t xml:space="preserve">= 847681 - Referinta </t>
        </r>
        <r>
          <rPr>
            <sz val="10"/>
            <color indexed="81"/>
            <rFont val="Tahoma"/>
            <family val="2"/>
          </rPr>
          <t xml:space="preserve">* Iasi Km Auto (Responses)
   2022-09-20 09:24:56 </t>
        </r>
        <r>
          <rPr>
            <b/>
            <sz val="10"/>
            <color indexed="81"/>
            <rFont val="Tahoma"/>
            <family val="2"/>
          </rPr>
          <t xml:space="preserve">= 847681 - Normal </t>
        </r>
        <r>
          <rPr>
            <sz val="10"/>
            <color indexed="81"/>
            <rFont val="Tahoma"/>
            <family val="2"/>
          </rPr>
          <t xml:space="preserve">* Iasi Km Auto (Responses)
</t>
        </r>
      </text>
    </comment>
    <comment ref="Y91" authorId="0" shapeId="0" xr:uid="{C44DBA09-C966-4229-9C23-994D5B5C63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15:44:18 </t>
        </r>
        <r>
          <rPr>
            <b/>
            <sz val="10"/>
            <color indexed="81"/>
            <rFont val="Tahoma"/>
            <family val="2"/>
          </rPr>
          <t xml:space="preserve">= 855667 - Referinta </t>
        </r>
        <r>
          <rPr>
            <sz val="10"/>
            <color indexed="81"/>
            <rFont val="Tahoma"/>
            <family val="2"/>
          </rPr>
          <t xml:space="preserve">* Iasi Km Auto (Responses)
   2022-09-27 09:40:57 </t>
        </r>
        <r>
          <rPr>
            <b/>
            <sz val="10"/>
            <color indexed="81"/>
            <rFont val="Tahoma"/>
            <family val="2"/>
          </rPr>
          <t xml:space="preserve">= 855667 - Normal </t>
        </r>
        <r>
          <rPr>
            <sz val="10"/>
            <color indexed="81"/>
            <rFont val="Tahoma"/>
            <family val="2"/>
          </rPr>
          <t xml:space="preserve">* Iasi Km Auto (Responses)
</t>
        </r>
      </text>
    </comment>
    <comment ref="AD91" authorId="0" shapeId="0" xr:uid="{3DDF2FFB-0E83-49D3-BF05-58A2B8BB19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16:25:57 </t>
        </r>
        <r>
          <rPr>
            <b/>
            <sz val="10"/>
            <color indexed="81"/>
            <rFont val="Tahoma"/>
            <family val="2"/>
          </rPr>
          <t xml:space="preserve">= 869374 - Referinta </t>
        </r>
        <r>
          <rPr>
            <sz val="10"/>
            <color indexed="81"/>
            <rFont val="Tahoma"/>
            <family val="2"/>
          </rPr>
          <t xml:space="preserve">* Iasi Km Auto (Responses)
   2022-10-03 08:15:37 </t>
        </r>
        <r>
          <rPr>
            <b/>
            <sz val="10"/>
            <color indexed="81"/>
            <rFont val="Tahoma"/>
            <family val="2"/>
          </rPr>
          <t xml:space="preserve">= 869374 - Normal </t>
        </r>
        <r>
          <rPr>
            <sz val="10"/>
            <color indexed="81"/>
            <rFont val="Tahoma"/>
            <family val="2"/>
          </rPr>
          <t xml:space="preserve">* Iasi Km Auto (Responses)
</t>
        </r>
      </text>
    </comment>
    <comment ref="J92" authorId="0" shapeId="0" xr:uid="{9FDB21A7-C7BB-4254-BA2D-526771B8A00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15:33:54 </t>
        </r>
        <r>
          <rPr>
            <b/>
            <sz val="10"/>
            <color indexed="81"/>
            <rFont val="Tahoma"/>
            <family val="2"/>
          </rPr>
          <t xml:space="preserve">= 239535 - Referinta </t>
        </r>
        <r>
          <rPr>
            <sz val="10"/>
            <color indexed="81"/>
            <rFont val="Tahoma"/>
            <family val="2"/>
          </rPr>
          <t xml:space="preserve">* Iasi Km Auto (Responses)
   2022-09-05 07:45:57 </t>
        </r>
        <r>
          <rPr>
            <b/>
            <sz val="10"/>
            <color indexed="81"/>
            <rFont val="Tahoma"/>
            <family val="2"/>
          </rPr>
          <t xml:space="preserve">= 239535 - Normal </t>
        </r>
        <r>
          <rPr>
            <sz val="10"/>
            <color indexed="81"/>
            <rFont val="Tahoma"/>
            <family val="2"/>
          </rPr>
          <t xml:space="preserve">* Iasi Km Auto (Responses)
</t>
        </r>
      </text>
    </comment>
    <comment ref="O92" authorId="0" shapeId="0" xr:uid="{CD6650CD-DDFD-4936-859A-943840BEAB1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2022-09-09 03:58:00 </t>
        </r>
        <r>
          <rPr>
            <b/>
            <sz val="10"/>
            <color indexed="81"/>
            <rFont val="Tahoma"/>
            <family val="2"/>
          </rPr>
          <t xml:space="preserve">= 239537 - Referinta </t>
        </r>
        <r>
          <rPr>
            <sz val="10"/>
            <color indexed="81"/>
            <rFont val="Tahoma"/>
            <family val="2"/>
          </rPr>
          <t xml:space="preserve">* Iasi Km Auto (Responses)
   2022-09-12 07:39:00 </t>
        </r>
        <r>
          <rPr>
            <b/>
            <sz val="10"/>
            <color indexed="81"/>
            <rFont val="Tahoma"/>
            <family val="2"/>
          </rPr>
          <t xml:space="preserve">= 239537 - Normal </t>
        </r>
        <r>
          <rPr>
            <sz val="10"/>
            <color indexed="81"/>
            <rFont val="Tahoma"/>
            <family val="2"/>
          </rPr>
          <t xml:space="preserve">* Iasi Km Auto (Responses)
</t>
        </r>
      </text>
    </comment>
    <comment ref="T92" authorId="0" shapeId="0" xr:uid="{328A27AA-61CE-4A85-8869-F17C289C0B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2022-09-16 04:10:00 </t>
        </r>
        <r>
          <rPr>
            <b/>
            <sz val="10"/>
            <color indexed="81"/>
            <rFont val="Tahoma"/>
            <family val="2"/>
          </rPr>
          <t xml:space="preserve">= 239551 - Referinta </t>
        </r>
        <r>
          <rPr>
            <sz val="10"/>
            <color indexed="81"/>
            <rFont val="Tahoma"/>
            <family val="2"/>
          </rPr>
          <t xml:space="preserve">* Iasi Km Auto (Responses)
   2022-09-19 07:30:00 </t>
        </r>
        <r>
          <rPr>
            <b/>
            <sz val="10"/>
            <color indexed="81"/>
            <rFont val="Tahoma"/>
            <family val="2"/>
          </rPr>
          <t xml:space="preserve">= 239584 - Normal </t>
        </r>
        <r>
          <rPr>
            <sz val="10"/>
            <color indexed="81"/>
            <rFont val="Tahoma"/>
            <family val="2"/>
          </rPr>
          <t xml:space="preserve">* Iasi Km Auto (Responses)
</t>
        </r>
      </text>
    </comment>
    <comment ref="Y92" authorId="0" shapeId="0" xr:uid="{C6F2672D-F118-48BD-A292-3D5CDC9FED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2022-09-23 04:05:00 </t>
        </r>
        <r>
          <rPr>
            <b/>
            <sz val="10"/>
            <color indexed="81"/>
            <rFont val="Tahoma"/>
            <family val="2"/>
          </rPr>
          <t xml:space="preserve">= 239635 - Referinta </t>
        </r>
        <r>
          <rPr>
            <sz val="10"/>
            <color indexed="81"/>
            <rFont val="Tahoma"/>
            <family val="2"/>
          </rPr>
          <t xml:space="preserve">* Iasi Km Auto (Responses)
   2022-09-26 07:30:00 </t>
        </r>
        <r>
          <rPr>
            <b/>
            <sz val="10"/>
            <color indexed="81"/>
            <rFont val="Tahoma"/>
            <family val="2"/>
          </rPr>
          <t xml:space="preserve">= 239639 - Normal </t>
        </r>
        <r>
          <rPr>
            <sz val="10"/>
            <color indexed="81"/>
            <rFont val="Tahoma"/>
            <family val="2"/>
          </rPr>
          <t xml:space="preserve">* Iasi Km Auto (Responses)
</t>
        </r>
      </text>
    </comment>
    <comment ref="AD92" authorId="0" shapeId="0" xr:uid="{443C9294-8685-416B-93A2-0801176078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2022-09-30 03:20:00 </t>
        </r>
        <r>
          <rPr>
            <b/>
            <sz val="10"/>
            <color indexed="81"/>
            <rFont val="Tahoma"/>
            <family val="2"/>
          </rPr>
          <t xml:space="preserve">= 239756 - Referinta </t>
        </r>
        <r>
          <rPr>
            <sz val="10"/>
            <color indexed="81"/>
            <rFont val="Tahoma"/>
            <family val="2"/>
          </rPr>
          <t xml:space="preserve">* Iasi Km Auto (Responses)
   2022-10-03 07:48:00 </t>
        </r>
        <r>
          <rPr>
            <b/>
            <sz val="10"/>
            <color indexed="81"/>
            <rFont val="Tahoma"/>
            <family val="2"/>
          </rPr>
          <t xml:space="preserve">= 239756 - Normal </t>
        </r>
        <r>
          <rPr>
            <sz val="10"/>
            <color indexed="81"/>
            <rFont val="Tahoma"/>
            <family val="2"/>
          </rPr>
          <t xml:space="preserve">* Iasi Km Auto (Responses)
</t>
        </r>
      </text>
    </comment>
    <comment ref="J93" authorId="0" shapeId="0" xr:uid="{9FF5942F-0A6A-4161-96AA-063167FC4E9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12:17:13 </t>
        </r>
        <r>
          <rPr>
            <b/>
            <sz val="10"/>
            <color indexed="81"/>
            <rFont val="Tahoma"/>
            <family val="2"/>
          </rPr>
          <t xml:space="preserve">= 92318 - Referinta </t>
        </r>
        <r>
          <rPr>
            <sz val="10"/>
            <color indexed="81"/>
            <rFont val="Tahoma"/>
            <family val="2"/>
          </rPr>
          <t xml:space="preserve">* Iasi Km Auto (Responses)
</t>
        </r>
      </text>
    </comment>
    <comment ref="O93" authorId="0" shapeId="0" xr:uid="{4C36353B-EF7B-4456-AE4A-8D387DD3BB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21:08:29 </t>
        </r>
        <r>
          <rPr>
            <b/>
            <sz val="10"/>
            <color indexed="81"/>
            <rFont val="Tahoma"/>
            <family val="2"/>
          </rPr>
          <t xml:space="preserve">= 92438 - Referinta </t>
        </r>
        <r>
          <rPr>
            <sz val="10"/>
            <color indexed="81"/>
            <rFont val="Tahoma"/>
            <family val="2"/>
          </rPr>
          <t xml:space="preserve">* Iasi Km Auto (Responses)
   2022-09-12 08:13:00 </t>
        </r>
        <r>
          <rPr>
            <b/>
            <sz val="10"/>
            <color indexed="81"/>
            <rFont val="Tahoma"/>
            <family val="2"/>
          </rPr>
          <t xml:space="preserve">= 92496 - Normal </t>
        </r>
        <r>
          <rPr>
            <sz val="10"/>
            <color indexed="81"/>
            <rFont val="Tahoma"/>
            <family val="2"/>
          </rPr>
          <t xml:space="preserve">* Iasi Km Auto (Responses)
</t>
        </r>
      </text>
    </comment>
    <comment ref="T93" authorId="0" shapeId="0" xr:uid="{B673B369-2DD2-4090-BD1D-B05C694AFF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17:47:29 </t>
        </r>
        <r>
          <rPr>
            <b/>
            <sz val="10"/>
            <color indexed="81"/>
            <rFont val="Tahoma"/>
            <family val="2"/>
          </rPr>
          <t xml:space="preserve">= 92696 - Referinta </t>
        </r>
        <r>
          <rPr>
            <sz val="10"/>
            <color indexed="81"/>
            <rFont val="Tahoma"/>
            <family val="2"/>
          </rPr>
          <t xml:space="preserve">* Iasi Km Auto (Responses)
   2022-09-19 06:36:31 </t>
        </r>
        <r>
          <rPr>
            <b/>
            <sz val="10"/>
            <color indexed="81"/>
            <rFont val="Tahoma"/>
            <family val="2"/>
          </rPr>
          <t xml:space="preserve">= 92786 - Normal </t>
        </r>
        <r>
          <rPr>
            <sz val="10"/>
            <color indexed="81"/>
            <rFont val="Tahoma"/>
            <family val="2"/>
          </rPr>
          <t xml:space="preserve">* Iasi Km Auto (Responses)
</t>
        </r>
      </text>
    </comment>
    <comment ref="Y93" authorId="0" shapeId="0" xr:uid="{CFD0C4EF-4616-4340-95F9-3C35B6D58D6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19:59:31 </t>
        </r>
        <r>
          <rPr>
            <b/>
            <sz val="10"/>
            <color indexed="81"/>
            <rFont val="Tahoma"/>
            <family val="2"/>
          </rPr>
          <t xml:space="preserve">= 93146 - Referinta </t>
        </r>
        <r>
          <rPr>
            <sz val="10"/>
            <color indexed="81"/>
            <rFont val="Tahoma"/>
            <family val="2"/>
          </rPr>
          <t xml:space="preserve">* Iasi Km Auto (Responses)
   2022-09-26 06:04:41 </t>
        </r>
        <r>
          <rPr>
            <b/>
            <sz val="10"/>
            <color indexed="81"/>
            <rFont val="Tahoma"/>
            <family val="2"/>
          </rPr>
          <t xml:space="preserve">= 93151 - Normal </t>
        </r>
        <r>
          <rPr>
            <sz val="10"/>
            <color indexed="81"/>
            <rFont val="Tahoma"/>
            <family val="2"/>
          </rPr>
          <t xml:space="preserve">* Iasi Km Auto (Responses)
</t>
        </r>
      </text>
    </comment>
    <comment ref="AD93" authorId="0" shapeId="0" xr:uid="{0BCA1CC6-C4B0-4771-B06A-15FABC5E1A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17:32:29 </t>
        </r>
        <r>
          <rPr>
            <b/>
            <sz val="10"/>
            <color indexed="81"/>
            <rFont val="Tahoma"/>
            <family val="2"/>
          </rPr>
          <t xml:space="preserve">= 93279 - Referinta </t>
        </r>
        <r>
          <rPr>
            <sz val="10"/>
            <color indexed="81"/>
            <rFont val="Tahoma"/>
            <family val="2"/>
          </rPr>
          <t xml:space="preserve">* Iasi Km Auto (Responses)
   2022-10-03 07:17:52 </t>
        </r>
        <r>
          <rPr>
            <b/>
            <sz val="10"/>
            <color indexed="81"/>
            <rFont val="Tahoma"/>
            <family val="2"/>
          </rPr>
          <t xml:space="preserve">= 93279 - Normal </t>
        </r>
        <r>
          <rPr>
            <sz val="10"/>
            <color indexed="81"/>
            <rFont val="Tahoma"/>
            <family val="2"/>
          </rPr>
          <t xml:space="preserve">* Iasi Km Auto (Responses)
</t>
        </r>
      </text>
    </comment>
    <comment ref="J94" authorId="0" shapeId="0" xr:uid="{3D923CC1-60E7-4257-AEFA-B466D5CF2C0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18:00:48 </t>
        </r>
        <r>
          <rPr>
            <b/>
            <sz val="10"/>
            <color indexed="81"/>
            <rFont val="Tahoma"/>
            <family val="2"/>
          </rPr>
          <t xml:space="preserve">= 86121 - Referinta </t>
        </r>
        <r>
          <rPr>
            <sz val="10"/>
            <color indexed="81"/>
            <rFont val="Tahoma"/>
            <family val="2"/>
          </rPr>
          <t xml:space="preserve">* Iasi Km Auto (Responses)
   2022-09-05 07:45:57 </t>
        </r>
        <r>
          <rPr>
            <b/>
            <sz val="10"/>
            <color indexed="81"/>
            <rFont val="Tahoma"/>
            <family val="2"/>
          </rPr>
          <t xml:space="preserve">= 86121 - Normal </t>
        </r>
        <r>
          <rPr>
            <sz val="10"/>
            <color indexed="81"/>
            <rFont val="Tahoma"/>
            <family val="2"/>
          </rPr>
          <t xml:space="preserve">* Iasi Km Auto (Responses)
</t>
        </r>
      </text>
    </comment>
    <comment ref="O94" authorId="0" shapeId="0" xr:uid="{C6D62457-C8F9-4644-B608-ADA5FA3E1E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2022-09-09 05:50:00 </t>
        </r>
        <r>
          <rPr>
            <b/>
            <sz val="10"/>
            <color indexed="81"/>
            <rFont val="Tahoma"/>
            <family val="2"/>
          </rPr>
          <t xml:space="preserve">= 87561 - Referinta </t>
        </r>
        <r>
          <rPr>
            <sz val="10"/>
            <color indexed="81"/>
            <rFont val="Tahoma"/>
            <family val="2"/>
          </rPr>
          <t xml:space="preserve">* Iasi Km Auto (Responses)
   2022-09-12 08:00:00 </t>
        </r>
        <r>
          <rPr>
            <b/>
            <sz val="10"/>
            <color indexed="81"/>
            <rFont val="Tahoma"/>
            <family val="2"/>
          </rPr>
          <t xml:space="preserve">= 87562 - Normal </t>
        </r>
        <r>
          <rPr>
            <sz val="10"/>
            <color indexed="81"/>
            <rFont val="Tahoma"/>
            <family val="2"/>
          </rPr>
          <t xml:space="preserve">* Iasi Km Auto (Responses)
</t>
        </r>
      </text>
    </comment>
    <comment ref="T94" authorId="0" shapeId="0" xr:uid="{118E4A76-A500-45A8-BEF1-E70CBB801E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2022-09-16 06:10:00 </t>
        </r>
        <r>
          <rPr>
            <b/>
            <sz val="10"/>
            <color indexed="81"/>
            <rFont val="Tahoma"/>
            <family val="2"/>
          </rPr>
          <t xml:space="preserve">= 88706 - Referinta </t>
        </r>
        <r>
          <rPr>
            <sz val="10"/>
            <color indexed="81"/>
            <rFont val="Tahoma"/>
            <family val="2"/>
          </rPr>
          <t xml:space="preserve">* Iasi Km Auto (Responses)
   2022-09-19 08:00:00 </t>
        </r>
        <r>
          <rPr>
            <b/>
            <sz val="10"/>
            <color indexed="81"/>
            <rFont val="Tahoma"/>
            <family val="2"/>
          </rPr>
          <t xml:space="preserve">= 88706 - Normal </t>
        </r>
        <r>
          <rPr>
            <sz val="10"/>
            <color indexed="81"/>
            <rFont val="Tahoma"/>
            <family val="2"/>
          </rPr>
          <t xml:space="preserve">* Iasi Km Auto (Responses)
</t>
        </r>
      </text>
    </comment>
    <comment ref="Y94" authorId="0" shapeId="0" xr:uid="{5829A89C-93FF-4701-9097-B33B1133ED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2022-09-23 03:50:00 </t>
        </r>
        <r>
          <rPr>
            <b/>
            <sz val="10"/>
            <color indexed="81"/>
            <rFont val="Tahoma"/>
            <family val="2"/>
          </rPr>
          <t xml:space="preserve">= 89922 - Referinta </t>
        </r>
        <r>
          <rPr>
            <sz val="10"/>
            <color indexed="81"/>
            <rFont val="Tahoma"/>
            <family val="2"/>
          </rPr>
          <t xml:space="preserve">* Iasi Km Auto (Responses)
   2022-09-27 07:30:00 </t>
        </r>
        <r>
          <rPr>
            <b/>
            <sz val="10"/>
            <color indexed="81"/>
            <rFont val="Tahoma"/>
            <family val="2"/>
          </rPr>
          <t xml:space="preserve">= 89922 - Normal </t>
        </r>
        <r>
          <rPr>
            <sz val="10"/>
            <color indexed="81"/>
            <rFont val="Tahoma"/>
            <family val="2"/>
          </rPr>
          <t xml:space="preserve">* Iasi Km Auto (Responses)
</t>
        </r>
      </text>
    </comment>
    <comment ref="AD94" authorId="0" shapeId="0" xr:uid="{03FE48D9-9F53-4DB7-8F15-6B538F23A43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2022-09-30 05:10:00 </t>
        </r>
        <r>
          <rPr>
            <b/>
            <sz val="10"/>
            <color indexed="81"/>
            <rFont val="Tahoma"/>
            <family val="2"/>
          </rPr>
          <t xml:space="preserve">= 90826 - Referinta </t>
        </r>
        <r>
          <rPr>
            <sz val="10"/>
            <color indexed="81"/>
            <rFont val="Tahoma"/>
            <family val="2"/>
          </rPr>
          <t xml:space="preserve">* Iasi Km Auto (Responses)
   2022-10-03 08:00:00 </t>
        </r>
        <r>
          <rPr>
            <b/>
            <sz val="10"/>
            <color indexed="81"/>
            <rFont val="Tahoma"/>
            <family val="2"/>
          </rPr>
          <t xml:space="preserve">= 90826 - Normal </t>
        </r>
        <r>
          <rPr>
            <sz val="10"/>
            <color indexed="81"/>
            <rFont val="Tahoma"/>
            <family val="2"/>
          </rPr>
          <t xml:space="preserve">* Iasi Km Auto (Responses)
</t>
        </r>
      </text>
    </comment>
    <comment ref="J95" authorId="0" shapeId="0" xr:uid="{C5979FA1-1601-4E4B-95D5-962189A3560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19:12:49 </t>
        </r>
        <r>
          <rPr>
            <b/>
            <sz val="10"/>
            <color indexed="81"/>
            <rFont val="Tahoma"/>
            <family val="2"/>
          </rPr>
          <t xml:space="preserve">= 49504 - Referinta </t>
        </r>
        <r>
          <rPr>
            <sz val="10"/>
            <color indexed="81"/>
            <rFont val="Tahoma"/>
            <family val="2"/>
          </rPr>
          <t xml:space="preserve">* Militari Km Auto (Responses)
   2022-09-05 16:38:45 </t>
        </r>
        <r>
          <rPr>
            <b/>
            <sz val="10"/>
            <color indexed="81"/>
            <rFont val="Tahoma"/>
            <family val="2"/>
          </rPr>
          <t xml:space="preserve">= 49584 - Normal </t>
        </r>
        <r>
          <rPr>
            <sz val="10"/>
            <color indexed="81"/>
            <rFont val="Tahoma"/>
            <family val="2"/>
          </rPr>
          <t xml:space="preserve">* Militari Km Auto (Responses)
</t>
        </r>
      </text>
    </comment>
    <comment ref="O95" authorId="0" shapeId="0" xr:uid="{5C4FE86E-8D29-46FF-8F70-48C8D2189D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__________________________________________________________________
</t>
        </r>
        <r>
          <rPr>
            <sz val="10"/>
            <color indexed="12"/>
            <rFont val="Tahoma"/>
            <family val="2"/>
          </rPr>
          <t xml:space="preserve">  </t>
        </r>
        <r>
          <rPr>
            <sz val="10"/>
            <color indexed="81"/>
            <rFont val="Tahoma"/>
            <family val="2"/>
          </rPr>
          <t xml:space="preserve"> 2022-09-10 11:11:34 </t>
        </r>
        <r>
          <rPr>
            <b/>
            <sz val="10"/>
            <color indexed="81"/>
            <rFont val="Tahoma"/>
            <family val="2"/>
          </rPr>
          <t xml:space="preserve">= 49794 - Referinta </t>
        </r>
        <r>
          <rPr>
            <sz val="10"/>
            <color indexed="81"/>
            <rFont val="Tahoma"/>
            <family val="2"/>
          </rPr>
          <t xml:space="preserve">* Militari Km Auto (Responses)
   2022-09-12 13:19:48 </t>
        </r>
        <r>
          <rPr>
            <b/>
            <sz val="10"/>
            <color indexed="81"/>
            <rFont val="Tahoma"/>
            <family val="2"/>
          </rPr>
          <t xml:space="preserve">= 49814 - Normal </t>
        </r>
        <r>
          <rPr>
            <sz val="10"/>
            <color indexed="81"/>
            <rFont val="Tahoma"/>
            <family val="2"/>
          </rPr>
          <t xml:space="preserve">* Militari Km Auto (Responses)
</t>
        </r>
      </text>
    </comment>
    <comment ref="T95" authorId="0" shapeId="0" xr:uid="{E036020C-B3E5-4C19-A5F7-98272E3FAB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09:10:17 </t>
        </r>
        <r>
          <rPr>
            <b/>
            <sz val="10"/>
            <color indexed="81"/>
            <rFont val="Tahoma"/>
            <family val="2"/>
          </rPr>
          <t xml:space="preserve">= 49982 - Referinta </t>
        </r>
        <r>
          <rPr>
            <sz val="10"/>
            <color indexed="81"/>
            <rFont val="Tahoma"/>
            <family val="2"/>
          </rPr>
          <t xml:space="preserve">* Militari Km Auto (Responses)
</t>
        </r>
      </text>
    </comment>
    <comment ref="Y95" authorId="0" shapeId="0" xr:uid="{01B72497-B0EC-4677-913E-65D53CF446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__________________________________________________________________
</t>
        </r>
        <r>
          <rPr>
            <sz val="10"/>
            <color indexed="12"/>
            <rFont val="Tahoma"/>
            <family val="2"/>
          </rPr>
          <t xml:space="preserve">  </t>
        </r>
        <r>
          <rPr>
            <sz val="10"/>
            <color indexed="81"/>
            <rFont val="Tahoma"/>
            <family val="2"/>
          </rPr>
          <t xml:space="preserve"> 2022-09-25 19:16:19 </t>
        </r>
        <r>
          <rPr>
            <b/>
            <sz val="10"/>
            <color indexed="81"/>
            <rFont val="Tahoma"/>
            <family val="2"/>
          </rPr>
          <t xml:space="preserve">= 50173 - Referinta </t>
        </r>
        <r>
          <rPr>
            <sz val="10"/>
            <color indexed="81"/>
            <rFont val="Tahoma"/>
            <family val="2"/>
          </rPr>
          <t xml:space="preserve">* Militari Km Auto (Responses)
   2022-09-26 17:22:01 </t>
        </r>
        <r>
          <rPr>
            <b/>
            <sz val="10"/>
            <color indexed="81"/>
            <rFont val="Tahoma"/>
            <family val="2"/>
          </rPr>
          <t xml:space="preserve">= 50198 - Normal </t>
        </r>
        <r>
          <rPr>
            <sz val="10"/>
            <color indexed="81"/>
            <rFont val="Tahoma"/>
            <family val="2"/>
          </rPr>
          <t xml:space="preserve">* Militari Km Auto (Responses)
</t>
        </r>
      </text>
    </comment>
    <comment ref="AD95" authorId="0" shapeId="0" xr:uid="{74530C38-4F88-47D7-AA3C-69F8180E34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__________________________________________________________________
</t>
        </r>
        <r>
          <rPr>
            <sz val="10"/>
            <color indexed="12"/>
            <rFont val="Tahoma"/>
            <family val="2"/>
          </rPr>
          <t xml:space="preserve">  </t>
        </r>
        <r>
          <rPr>
            <sz val="10"/>
            <color indexed="81"/>
            <rFont val="Tahoma"/>
            <family val="2"/>
          </rPr>
          <t xml:space="preserve"> 2022-09-30 15:55:05 </t>
        </r>
        <r>
          <rPr>
            <b/>
            <sz val="10"/>
            <color indexed="81"/>
            <rFont val="Tahoma"/>
            <family val="2"/>
          </rPr>
          <t xml:space="preserve">= 50445 - Referinta </t>
        </r>
        <r>
          <rPr>
            <sz val="10"/>
            <color indexed="81"/>
            <rFont val="Tahoma"/>
            <family val="2"/>
          </rPr>
          <t xml:space="preserve">* Militari Km Auto (Responses)
   2022-10-03 08:42:01 </t>
        </r>
        <r>
          <rPr>
            <b/>
            <sz val="10"/>
            <color indexed="81"/>
            <rFont val="Tahoma"/>
            <family val="2"/>
          </rPr>
          <t xml:space="preserve">= 50914 - Normal </t>
        </r>
        <r>
          <rPr>
            <sz val="10"/>
            <color indexed="81"/>
            <rFont val="Tahoma"/>
            <family val="2"/>
          </rPr>
          <t xml:space="preserve">* Militari Km Auto (Responses)
</t>
        </r>
      </text>
    </comment>
    <comment ref="O96" authorId="0" shapeId="0" xr:uid="{443432CF-8E9D-43C5-B6DA-0E81409DE5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 
__________________________________________________________________
</t>
        </r>
        <r>
          <rPr>
            <sz val="10"/>
            <color indexed="12"/>
            <rFont val="Tahoma"/>
            <family val="2"/>
          </rPr>
          <t xml:space="preserve">  </t>
        </r>
        <r>
          <rPr>
            <sz val="10"/>
            <color indexed="81"/>
            <rFont val="Tahoma"/>
            <family val="2"/>
          </rPr>
          <t xml:space="preserve"> 2022-09-09 05:00:00 </t>
        </r>
        <r>
          <rPr>
            <b/>
            <sz val="10"/>
            <color indexed="81"/>
            <rFont val="Tahoma"/>
            <family val="2"/>
          </rPr>
          <t xml:space="preserve">= 59183 - Referinta </t>
        </r>
        <r>
          <rPr>
            <sz val="10"/>
            <color indexed="81"/>
            <rFont val="Tahoma"/>
            <family val="2"/>
          </rPr>
          <t xml:space="preserve">* Militari Km Auto (Responses)
   2022-09-12 08:08:00 </t>
        </r>
        <r>
          <rPr>
            <b/>
            <sz val="10"/>
            <color indexed="81"/>
            <rFont val="Tahoma"/>
            <family val="2"/>
          </rPr>
          <t xml:space="preserve">= 59497 - Normal </t>
        </r>
        <r>
          <rPr>
            <sz val="10"/>
            <color indexed="81"/>
            <rFont val="Tahoma"/>
            <family val="2"/>
          </rPr>
          <t xml:space="preserve">* Militari Km Auto (Responses)
</t>
        </r>
      </text>
    </comment>
    <comment ref="T96" authorId="0" shapeId="0" xr:uid="{5DD742A0-E94A-41B1-8D1D-230A3718F0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 
__________________________________________________________________
</t>
        </r>
        <r>
          <rPr>
            <sz val="10"/>
            <color indexed="12"/>
            <rFont val="Tahoma"/>
            <family val="2"/>
          </rPr>
          <t xml:space="preserve">  </t>
        </r>
        <r>
          <rPr>
            <sz val="10"/>
            <color indexed="81"/>
            <rFont val="Tahoma"/>
            <family val="2"/>
          </rPr>
          <t xml:space="preserve"> 2022-09-16 03:55:00 </t>
        </r>
        <r>
          <rPr>
            <b/>
            <sz val="10"/>
            <color indexed="81"/>
            <rFont val="Tahoma"/>
            <family val="2"/>
          </rPr>
          <t xml:space="preserve">= 60000 - Referinta </t>
        </r>
        <r>
          <rPr>
            <sz val="10"/>
            <color indexed="81"/>
            <rFont val="Tahoma"/>
            <family val="2"/>
          </rPr>
          <t xml:space="preserve">* Militari Km Auto (Responses)
   2022-09-19 07:15:00 </t>
        </r>
        <r>
          <rPr>
            <b/>
            <sz val="10"/>
            <color indexed="81"/>
            <rFont val="Tahoma"/>
            <family val="2"/>
          </rPr>
          <t xml:space="preserve">= 60008 - Normal </t>
        </r>
        <r>
          <rPr>
            <sz val="10"/>
            <color indexed="81"/>
            <rFont val="Tahoma"/>
            <family val="2"/>
          </rPr>
          <t xml:space="preserve">* Militari Km Auto (Responses)
</t>
        </r>
      </text>
    </comment>
    <comment ref="Y96" authorId="0" shapeId="0" xr:uid="{647634C8-9C5B-4716-85E5-BFD52C005C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 
__________________________________________________________________
</t>
        </r>
        <r>
          <rPr>
            <sz val="10"/>
            <color indexed="12"/>
            <rFont val="Tahoma"/>
            <family val="2"/>
          </rPr>
          <t xml:space="preserve">  </t>
        </r>
        <r>
          <rPr>
            <sz val="10"/>
            <color indexed="81"/>
            <rFont val="Tahoma"/>
            <family val="2"/>
          </rPr>
          <t xml:space="preserve"> 2022-09-23 05:00:00 </t>
        </r>
        <r>
          <rPr>
            <b/>
            <sz val="10"/>
            <color indexed="81"/>
            <rFont val="Tahoma"/>
            <family val="2"/>
          </rPr>
          <t xml:space="preserve">= 60750 - Referinta </t>
        </r>
        <r>
          <rPr>
            <sz val="10"/>
            <color indexed="81"/>
            <rFont val="Tahoma"/>
            <family val="2"/>
          </rPr>
          <t xml:space="preserve">* Militari Km Auto (Responses)
   2022-09-26 08:00:00 </t>
        </r>
        <r>
          <rPr>
            <b/>
            <sz val="10"/>
            <color indexed="81"/>
            <rFont val="Tahoma"/>
            <family val="2"/>
          </rPr>
          <t xml:space="preserve">= 61006 - Normal </t>
        </r>
        <r>
          <rPr>
            <sz val="10"/>
            <color indexed="81"/>
            <rFont val="Tahoma"/>
            <family val="2"/>
          </rPr>
          <t xml:space="preserve">* Militari Km Auto (Responses)
</t>
        </r>
      </text>
    </comment>
    <comment ref="J97" authorId="0" shapeId="0" xr:uid="{417BB4DB-A199-4219-99E0-38ABE9D6A3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10:05:58 </t>
        </r>
        <r>
          <rPr>
            <b/>
            <sz val="10"/>
            <color indexed="81"/>
            <rFont val="Tahoma"/>
            <family val="2"/>
          </rPr>
          <t xml:space="preserve">= 45587 - Referinta </t>
        </r>
        <r>
          <rPr>
            <sz val="10"/>
            <color indexed="81"/>
            <rFont val="Tahoma"/>
            <family val="2"/>
          </rPr>
          <t xml:space="preserve">* Militari Km Auto (Responses)
   2022-09-05 10:06:39 </t>
        </r>
        <r>
          <rPr>
            <b/>
            <sz val="10"/>
            <color indexed="81"/>
            <rFont val="Tahoma"/>
            <family val="2"/>
          </rPr>
          <t xml:space="preserve">= 45599 - Normal </t>
        </r>
        <r>
          <rPr>
            <sz val="10"/>
            <color indexed="81"/>
            <rFont val="Tahoma"/>
            <family val="2"/>
          </rPr>
          <t xml:space="preserve">* Militari Km Auto (Responses)
</t>
        </r>
      </text>
    </comment>
    <comment ref="O97" authorId="0" shapeId="0" xr:uid="{C1DE7BCB-4EB8-4537-B5DD-9DDAB9C76C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16:12:37 </t>
        </r>
        <r>
          <rPr>
            <b/>
            <sz val="10"/>
            <color indexed="81"/>
            <rFont val="Tahoma"/>
            <family val="2"/>
          </rPr>
          <t xml:space="preserve">= 46207 - Referinta </t>
        </r>
        <r>
          <rPr>
            <sz val="10"/>
            <color indexed="81"/>
            <rFont val="Tahoma"/>
            <family val="2"/>
          </rPr>
          <t xml:space="preserve">* Militari Km Auto (Responses)
   2022-09-12 16:13:21 </t>
        </r>
        <r>
          <rPr>
            <b/>
            <sz val="10"/>
            <color indexed="81"/>
            <rFont val="Tahoma"/>
            <family val="2"/>
          </rPr>
          <t xml:space="preserve">= 46273 - Normal </t>
        </r>
        <r>
          <rPr>
            <sz val="10"/>
            <color indexed="81"/>
            <rFont val="Tahoma"/>
            <family val="2"/>
          </rPr>
          <t xml:space="preserve">* Militari Km Auto (Responses)
   2022-09-15 15:21:21 </t>
        </r>
        <r>
          <rPr>
            <b/>
            <sz val="10"/>
            <color indexed="81"/>
            <rFont val="Tahoma"/>
            <family val="2"/>
          </rPr>
          <t xml:space="preserve">= 46379 - Normal </t>
        </r>
        <r>
          <rPr>
            <sz val="10"/>
            <color indexed="81"/>
            <rFont val="Tahoma"/>
            <family val="2"/>
          </rPr>
          <t xml:space="preserve">* Militari Km Auto (Responses)
   2022-09-15 15:22:16 </t>
        </r>
        <r>
          <rPr>
            <b/>
            <sz val="10"/>
            <color indexed="81"/>
            <rFont val="Tahoma"/>
            <family val="2"/>
          </rPr>
          <t xml:space="preserve">= 46383 - Normal </t>
        </r>
        <r>
          <rPr>
            <sz val="10"/>
            <color indexed="81"/>
            <rFont val="Tahoma"/>
            <family val="2"/>
          </rPr>
          <t xml:space="preserve">* Militari Km Auto (Responses)
</t>
        </r>
      </text>
    </comment>
    <comment ref="T97" authorId="0" shapeId="0" xr:uid="{1B1244E5-80D2-42A9-80BA-4DDFABA35B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13:22:01 </t>
        </r>
        <r>
          <rPr>
            <b/>
            <sz val="10"/>
            <color indexed="81"/>
            <rFont val="Tahoma"/>
            <family val="2"/>
          </rPr>
          <t xml:space="preserve">= 46626 - Referinta </t>
        </r>
        <r>
          <rPr>
            <sz val="10"/>
            <color indexed="81"/>
            <rFont val="Tahoma"/>
            <family val="2"/>
          </rPr>
          <t xml:space="preserve">* Militari Km Auto (Responses)
   2022-09-19 13:22:53 </t>
        </r>
        <r>
          <rPr>
            <b/>
            <sz val="10"/>
            <color indexed="81"/>
            <rFont val="Tahoma"/>
            <family val="2"/>
          </rPr>
          <t xml:space="preserve">= 46652 - Normal </t>
        </r>
        <r>
          <rPr>
            <sz val="10"/>
            <color indexed="81"/>
            <rFont val="Tahoma"/>
            <family val="2"/>
          </rPr>
          <t xml:space="preserve">* Militari Km Auto (Responses)
</t>
        </r>
      </text>
    </comment>
    <comment ref="Y97" authorId="0" shapeId="0" xr:uid="{13364331-8F91-48F0-9F43-A900C68FB2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2022-09-26 09:34:31 </t>
        </r>
        <r>
          <rPr>
            <b/>
            <sz val="10"/>
            <color indexed="81"/>
            <rFont val="Tahoma"/>
            <family val="2"/>
          </rPr>
          <t xml:space="preserve">= 46902 - Referinta </t>
        </r>
        <r>
          <rPr>
            <sz val="10"/>
            <color indexed="81"/>
            <rFont val="Tahoma"/>
            <family val="2"/>
          </rPr>
          <t xml:space="preserve">* Militari Km Auto (Responses)
   2022-09-26 09:35:15 </t>
        </r>
        <r>
          <rPr>
            <b/>
            <sz val="10"/>
            <color indexed="81"/>
            <rFont val="Tahoma"/>
            <family val="2"/>
          </rPr>
          <t xml:space="preserve">= 46907 - Normal </t>
        </r>
        <r>
          <rPr>
            <sz val="10"/>
            <color indexed="81"/>
            <rFont val="Tahoma"/>
            <family val="2"/>
          </rPr>
          <t xml:space="preserve">* Militari Km Auto (Responses)
</t>
        </r>
      </text>
    </comment>
    <comment ref="AD97" authorId="0" shapeId="0" xr:uid="{48C257BE-213A-4F87-8D5F-CA02A0DEEA9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14:02:47 </t>
        </r>
        <r>
          <rPr>
            <b/>
            <sz val="10"/>
            <color indexed="81"/>
            <rFont val="Tahoma"/>
            <family val="2"/>
          </rPr>
          <t xml:space="preserve">= 47205 - Referinta </t>
        </r>
        <r>
          <rPr>
            <sz val="10"/>
            <color indexed="81"/>
            <rFont val="Tahoma"/>
            <family val="2"/>
          </rPr>
          <t xml:space="preserve">* Militari Km Auto (Responses)
   2022-10-03 14:03:59 </t>
        </r>
        <r>
          <rPr>
            <b/>
            <sz val="10"/>
            <color indexed="81"/>
            <rFont val="Tahoma"/>
            <family val="2"/>
          </rPr>
          <t xml:space="preserve">= 47212 - Normal </t>
        </r>
        <r>
          <rPr>
            <sz val="10"/>
            <color indexed="81"/>
            <rFont val="Tahoma"/>
            <family val="2"/>
          </rPr>
          <t xml:space="preserve">* Militari Km Auto (Responses)
</t>
        </r>
      </text>
    </comment>
    <comment ref="J98" authorId="0" shapeId="0" xr:uid="{9B9E8B96-D472-4E4C-A55F-78FC8B2E01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03:51:00 </t>
        </r>
        <r>
          <rPr>
            <b/>
            <sz val="10"/>
            <color indexed="81"/>
            <rFont val="Tahoma"/>
            <family val="2"/>
          </rPr>
          <t xml:space="preserve">= 5189 - Referinta </t>
        </r>
        <r>
          <rPr>
            <sz val="10"/>
            <color indexed="81"/>
            <rFont val="Tahoma"/>
            <family val="2"/>
          </rPr>
          <t xml:space="preserve">* Militari Km Auto (Responses)
   2022-09-05 07:53:00 </t>
        </r>
        <r>
          <rPr>
            <b/>
            <sz val="10"/>
            <color indexed="81"/>
            <rFont val="Tahoma"/>
            <family val="2"/>
          </rPr>
          <t xml:space="preserve">= 5189 - Normal </t>
        </r>
        <r>
          <rPr>
            <sz val="10"/>
            <color indexed="81"/>
            <rFont val="Tahoma"/>
            <family val="2"/>
          </rPr>
          <t xml:space="preserve">* Militari Km Auto (Responses)
</t>
        </r>
      </text>
    </comment>
    <comment ref="O98" authorId="0" shapeId="0" xr:uid="{4E6B507F-ABCB-4B3E-A5AC-D39F5581C6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16:09:18 </t>
        </r>
        <r>
          <rPr>
            <b/>
            <sz val="10"/>
            <color indexed="81"/>
            <rFont val="Tahoma"/>
            <family val="2"/>
          </rPr>
          <t xml:space="preserve">= 5496 - Referinta </t>
        </r>
        <r>
          <rPr>
            <sz val="10"/>
            <color indexed="81"/>
            <rFont val="Tahoma"/>
            <family val="2"/>
          </rPr>
          <t xml:space="preserve">* Militari Km Auto (Responses)
   2022-09-12 16:22:41 </t>
        </r>
        <r>
          <rPr>
            <b/>
            <sz val="10"/>
            <color indexed="81"/>
            <rFont val="Tahoma"/>
            <family val="2"/>
          </rPr>
          <t xml:space="preserve">= 5825 - Normal </t>
        </r>
        <r>
          <rPr>
            <sz val="10"/>
            <color indexed="81"/>
            <rFont val="Tahoma"/>
            <family val="2"/>
          </rPr>
          <t xml:space="preserve">* Militari Km Auto (Responses)
</t>
        </r>
      </text>
    </comment>
    <comment ref="T98" authorId="0" shapeId="0" xr:uid="{E7E2A317-7E7E-40A6-9FB7-9715938093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19:41:47 </t>
        </r>
        <r>
          <rPr>
            <b/>
            <sz val="10"/>
            <color indexed="81"/>
            <rFont val="Tahoma"/>
            <family val="2"/>
          </rPr>
          <t xml:space="preserve">= 6162 - Referinta </t>
        </r>
        <r>
          <rPr>
            <sz val="10"/>
            <color indexed="81"/>
            <rFont val="Tahoma"/>
            <family val="2"/>
          </rPr>
          <t xml:space="preserve">* Militari Km Auto (Responses)
   2022-09-19 07:55:08 </t>
        </r>
        <r>
          <rPr>
            <b/>
            <sz val="10"/>
            <color indexed="81"/>
            <rFont val="Tahoma"/>
            <family val="2"/>
          </rPr>
          <t xml:space="preserve">= 6366 - Normal </t>
        </r>
        <r>
          <rPr>
            <sz val="10"/>
            <color indexed="81"/>
            <rFont val="Tahoma"/>
            <family val="2"/>
          </rPr>
          <t xml:space="preserve">* Militari Km Auto (Responses)
</t>
        </r>
      </text>
    </comment>
    <comment ref="Y98" authorId="0" shapeId="0" xr:uid="{C7426757-DA1E-4F19-A8AA-44124AD3DA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__________________________________________________________________
</t>
        </r>
        <r>
          <rPr>
            <sz val="10"/>
            <color indexed="12"/>
            <rFont val="Tahoma"/>
            <family val="2"/>
          </rPr>
          <t xml:space="preserve">  </t>
        </r>
        <r>
          <rPr>
            <sz val="10"/>
            <color indexed="81"/>
            <rFont val="Tahoma"/>
            <family val="2"/>
          </rPr>
          <t xml:space="preserve"> 2022-09-23 03:45:00 </t>
        </r>
        <r>
          <rPr>
            <b/>
            <sz val="10"/>
            <color indexed="81"/>
            <rFont val="Tahoma"/>
            <family val="2"/>
          </rPr>
          <t xml:space="preserve">= 6472 - Referinta </t>
        </r>
        <r>
          <rPr>
            <sz val="10"/>
            <color indexed="81"/>
            <rFont val="Tahoma"/>
            <family val="2"/>
          </rPr>
          <t xml:space="preserve">* Militari Km Auto (Responses)
   2022-09-26 08:00:00 </t>
        </r>
        <r>
          <rPr>
            <b/>
            <sz val="10"/>
            <color indexed="81"/>
            <rFont val="Tahoma"/>
            <family val="2"/>
          </rPr>
          <t xml:space="preserve">= 6496 - Normal </t>
        </r>
        <r>
          <rPr>
            <sz val="10"/>
            <color indexed="81"/>
            <rFont val="Tahoma"/>
            <family val="2"/>
          </rPr>
          <t xml:space="preserve">* Militari Km Auto (Responses)
</t>
        </r>
      </text>
    </comment>
    <comment ref="AD98" authorId="0" shapeId="0" xr:uid="{C0EAF463-34ED-4B8B-99A4-58055FC7F4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__________________________________________________________________
</t>
        </r>
        <r>
          <rPr>
            <sz val="10"/>
            <color indexed="12"/>
            <rFont val="Tahoma"/>
            <family val="2"/>
          </rPr>
          <t xml:space="preserve">  </t>
        </r>
        <r>
          <rPr>
            <sz val="10"/>
            <color indexed="81"/>
            <rFont val="Tahoma"/>
            <family val="2"/>
          </rPr>
          <t xml:space="preserve"> 2022-09-30 19:28:35 </t>
        </r>
        <r>
          <rPr>
            <b/>
            <sz val="10"/>
            <color indexed="81"/>
            <rFont val="Tahoma"/>
            <family val="2"/>
          </rPr>
          <t xml:space="preserve">= 6639 - Referinta </t>
        </r>
        <r>
          <rPr>
            <sz val="10"/>
            <color indexed="81"/>
            <rFont val="Tahoma"/>
            <family val="2"/>
          </rPr>
          <t xml:space="preserve">* Militari Km Auto (Responses)
   2022-10-03 18:54:09 </t>
        </r>
        <r>
          <rPr>
            <b/>
            <sz val="10"/>
            <color indexed="81"/>
            <rFont val="Tahoma"/>
            <family val="2"/>
          </rPr>
          <t xml:space="preserve">= 6767 - Normal </t>
        </r>
        <r>
          <rPr>
            <sz val="10"/>
            <color indexed="81"/>
            <rFont val="Tahoma"/>
            <family val="2"/>
          </rPr>
          <t xml:space="preserve">* Militari Km Auto (Responses)
</t>
        </r>
      </text>
    </comment>
    <comment ref="J99" authorId="0" shapeId="0" xr:uid="{2B88EB66-E355-44B8-9B0E-A14089F234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11:10:25 </t>
        </r>
        <r>
          <rPr>
            <b/>
            <sz val="10"/>
            <color indexed="81"/>
            <rFont val="Tahoma"/>
            <family val="2"/>
          </rPr>
          <t xml:space="preserve">= 17865 - Referinta </t>
        </r>
        <r>
          <rPr>
            <sz val="10"/>
            <color indexed="81"/>
            <rFont val="Tahoma"/>
            <family val="2"/>
          </rPr>
          <t xml:space="preserve">* Otopeni Km Auto (Responses)
   2022-09-03 11:11:25 </t>
        </r>
        <r>
          <rPr>
            <b/>
            <sz val="10"/>
            <color indexed="81"/>
            <rFont val="Tahoma"/>
            <family val="2"/>
          </rPr>
          <t xml:space="preserve">= 17865 - Normal </t>
        </r>
        <r>
          <rPr>
            <sz val="10"/>
            <color indexed="81"/>
            <rFont val="Tahoma"/>
            <family val="2"/>
          </rPr>
          <t xml:space="preserve">* Otopeni Km Auto (Responses)
   2022-09-06 18:49:53 </t>
        </r>
        <r>
          <rPr>
            <b/>
            <sz val="10"/>
            <color indexed="81"/>
            <rFont val="Tahoma"/>
            <family val="2"/>
          </rPr>
          <t xml:space="preserve">= 17909 - Normal </t>
        </r>
        <r>
          <rPr>
            <sz val="10"/>
            <color indexed="81"/>
            <rFont val="Tahoma"/>
            <family val="2"/>
          </rPr>
          <t xml:space="preserve">* Otopeni Km Auto (Responses)
</t>
        </r>
      </text>
    </comment>
    <comment ref="O99" authorId="0" shapeId="0" xr:uid="{C1BAF0F5-5E74-4044-98BB-8662110001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16:09:24 </t>
        </r>
        <r>
          <rPr>
            <b/>
            <sz val="10"/>
            <color indexed="81"/>
            <rFont val="Tahoma"/>
            <family val="2"/>
          </rPr>
          <t xml:space="preserve">= 18011 - Referinta </t>
        </r>
        <r>
          <rPr>
            <sz val="10"/>
            <color indexed="81"/>
            <rFont val="Tahoma"/>
            <family val="2"/>
          </rPr>
          <t xml:space="preserve">* Otopeni Km Auto (Responses)
</t>
        </r>
      </text>
    </comment>
    <comment ref="T99" authorId="0" shapeId="0" xr:uid="{EFD3379E-7C10-4395-AB73-F713A45EA4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2022-09-17 08:56:00 </t>
        </r>
        <r>
          <rPr>
            <b/>
            <sz val="10"/>
            <color indexed="81"/>
            <rFont val="Tahoma"/>
            <family val="2"/>
          </rPr>
          <t xml:space="preserve">= 18265 - Referinta </t>
        </r>
        <r>
          <rPr>
            <sz val="10"/>
            <color indexed="81"/>
            <rFont val="Tahoma"/>
            <family val="2"/>
          </rPr>
          <t xml:space="preserve">* Otopeni Km Auto (Responses)
   2022-09-19 03:46:00 </t>
        </r>
        <r>
          <rPr>
            <b/>
            <sz val="10"/>
            <color indexed="81"/>
            <rFont val="Tahoma"/>
            <family val="2"/>
          </rPr>
          <t xml:space="preserve">= 18284 - Normal </t>
        </r>
        <r>
          <rPr>
            <sz val="10"/>
            <color indexed="81"/>
            <rFont val="Tahoma"/>
            <family val="2"/>
          </rPr>
          <t xml:space="preserve">* Otopeni Km Auto (Responses)
</t>
        </r>
      </text>
    </comment>
    <comment ref="Y99" authorId="0" shapeId="0" xr:uid="{EC85B621-C24F-451B-900E-2E959303FF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19:16:09 </t>
        </r>
        <r>
          <rPr>
            <b/>
            <sz val="10"/>
            <color indexed="81"/>
            <rFont val="Tahoma"/>
            <family val="2"/>
          </rPr>
          <t xml:space="preserve">= 18552 - Referinta </t>
        </r>
        <r>
          <rPr>
            <sz val="10"/>
            <color indexed="81"/>
            <rFont val="Tahoma"/>
            <family val="2"/>
          </rPr>
          <t xml:space="preserve">* Otopeni Km Auto (Responses)
   2022-09-26 10:09:18 </t>
        </r>
        <r>
          <rPr>
            <b/>
            <sz val="10"/>
            <color indexed="81"/>
            <rFont val="Tahoma"/>
            <family val="2"/>
          </rPr>
          <t xml:space="preserve">= 18552 - Normal </t>
        </r>
        <r>
          <rPr>
            <sz val="10"/>
            <color indexed="81"/>
            <rFont val="Tahoma"/>
            <family val="2"/>
          </rPr>
          <t xml:space="preserve">* Otopeni Km Auto (Responses)
</t>
        </r>
      </text>
    </comment>
    <comment ref="AD99" authorId="0" shapeId="0" xr:uid="{79498D34-633A-459A-A978-4BBC46B265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17:43:44 </t>
        </r>
        <r>
          <rPr>
            <b/>
            <sz val="10"/>
            <color indexed="81"/>
            <rFont val="Tahoma"/>
            <family val="2"/>
          </rPr>
          <t xml:space="preserve">= 18818 - Referinta </t>
        </r>
        <r>
          <rPr>
            <sz val="10"/>
            <color indexed="81"/>
            <rFont val="Tahoma"/>
            <family val="2"/>
          </rPr>
          <t xml:space="preserve">* Otopeni Km Auto (Responses)
   2022-10-04 05:15:00 </t>
        </r>
        <r>
          <rPr>
            <b/>
            <sz val="10"/>
            <color indexed="81"/>
            <rFont val="Tahoma"/>
            <family val="2"/>
          </rPr>
          <t xml:space="preserve">= 18876 - Normal </t>
        </r>
        <r>
          <rPr>
            <sz val="10"/>
            <color indexed="81"/>
            <rFont val="Tahoma"/>
            <family val="2"/>
          </rPr>
          <t xml:space="preserve">* Otopeni Km Auto (Responses)
</t>
        </r>
      </text>
    </comment>
    <comment ref="J100" authorId="0" shapeId="0" xr:uid="{B72ACE91-56C4-4CFE-8E1A-C5471F4778D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17:54:30 </t>
        </r>
        <r>
          <rPr>
            <b/>
            <sz val="10"/>
            <color indexed="81"/>
            <rFont val="Tahoma"/>
            <family val="2"/>
          </rPr>
          <t xml:space="preserve">= 28603 - Referinta </t>
        </r>
        <r>
          <rPr>
            <sz val="10"/>
            <color indexed="81"/>
            <rFont val="Tahoma"/>
            <family val="2"/>
          </rPr>
          <t xml:space="preserve">* Otopeni Km Auto (Responses)
   2022-09-05 16:31:03 </t>
        </r>
        <r>
          <rPr>
            <b/>
            <sz val="10"/>
            <color indexed="81"/>
            <rFont val="Tahoma"/>
            <family val="2"/>
          </rPr>
          <t xml:space="preserve">= 28644 - Normal </t>
        </r>
        <r>
          <rPr>
            <sz val="10"/>
            <color indexed="81"/>
            <rFont val="Tahoma"/>
            <family val="2"/>
          </rPr>
          <t xml:space="preserve">* Otopeni Km Auto (Responses)
</t>
        </r>
      </text>
    </comment>
    <comment ref="O100" authorId="0" shapeId="0" xr:uid="{A1F43DE2-3CDD-4DE2-90DC-47A51783D3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04:40:00 </t>
        </r>
        <r>
          <rPr>
            <b/>
            <sz val="10"/>
            <color indexed="81"/>
            <rFont val="Tahoma"/>
            <family val="2"/>
          </rPr>
          <t xml:space="preserve">= 28915 - Referinta </t>
        </r>
        <r>
          <rPr>
            <sz val="10"/>
            <color indexed="81"/>
            <rFont val="Tahoma"/>
            <family val="2"/>
          </rPr>
          <t xml:space="preserve">* Otopeni Km Auto (Responses)
   2022-09-12 10:35:44 </t>
        </r>
        <r>
          <rPr>
            <b/>
            <sz val="10"/>
            <color indexed="81"/>
            <rFont val="Tahoma"/>
            <family val="2"/>
          </rPr>
          <t xml:space="preserve">= 28954 - Normal </t>
        </r>
        <r>
          <rPr>
            <sz val="10"/>
            <color indexed="81"/>
            <rFont val="Tahoma"/>
            <family val="2"/>
          </rPr>
          <t xml:space="preserve">* Otopeni Km Auto (Responses)
</t>
        </r>
      </text>
    </comment>
    <comment ref="T100" authorId="0" shapeId="0" xr:uid="{87063251-4555-409A-8B78-58AD815DC0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__________________________________________________________________
</t>
        </r>
        <r>
          <rPr>
            <sz val="10"/>
            <color indexed="12"/>
            <rFont val="Tahoma"/>
            <family val="2"/>
          </rPr>
          <t xml:space="preserve">  </t>
        </r>
        <r>
          <rPr>
            <sz val="10"/>
            <color indexed="81"/>
            <rFont val="Tahoma"/>
            <family val="2"/>
          </rPr>
          <t xml:space="preserve"> 2022-09-16 16:18:49 </t>
        </r>
        <r>
          <rPr>
            <b/>
            <sz val="10"/>
            <color indexed="81"/>
            <rFont val="Tahoma"/>
            <family val="2"/>
          </rPr>
          <t xml:space="preserve">= 29230 - Referinta </t>
        </r>
        <r>
          <rPr>
            <sz val="10"/>
            <color indexed="81"/>
            <rFont val="Tahoma"/>
            <family val="2"/>
          </rPr>
          <t xml:space="preserve">* Otopeni Km Auto (Responses)
   2022-09-19 13:04:22 </t>
        </r>
        <r>
          <rPr>
            <b/>
            <sz val="10"/>
            <color indexed="81"/>
            <rFont val="Tahoma"/>
            <family val="2"/>
          </rPr>
          <t xml:space="preserve">= 29342 - Normal </t>
        </r>
        <r>
          <rPr>
            <sz val="10"/>
            <color indexed="81"/>
            <rFont val="Tahoma"/>
            <family val="2"/>
          </rPr>
          <t xml:space="preserve">* Otopeni Km Auto (Responses)
</t>
        </r>
      </text>
    </comment>
    <comment ref="Y100" authorId="0" shapeId="0" xr:uid="{BDE2387C-0D24-4D00-B427-4DFF872FFA6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__________________________________________________________________
</t>
        </r>
        <r>
          <rPr>
            <sz val="10"/>
            <color indexed="12"/>
            <rFont val="Tahoma"/>
            <family val="2"/>
          </rPr>
          <t xml:space="preserve">  </t>
        </r>
        <r>
          <rPr>
            <sz val="10"/>
            <color indexed="81"/>
            <rFont val="Tahoma"/>
            <family val="2"/>
          </rPr>
          <t xml:space="preserve"> 2022-09-23 17:19:38 </t>
        </r>
        <r>
          <rPr>
            <b/>
            <sz val="10"/>
            <color indexed="81"/>
            <rFont val="Tahoma"/>
            <family val="2"/>
          </rPr>
          <t xml:space="preserve">= 29610 - Referinta </t>
        </r>
        <r>
          <rPr>
            <sz val="10"/>
            <color indexed="81"/>
            <rFont val="Tahoma"/>
            <family val="2"/>
          </rPr>
          <t xml:space="preserve">* Otopeni Km Auto (Responses)
   2022-09-26 09:59:03 </t>
        </r>
        <r>
          <rPr>
            <b/>
            <sz val="10"/>
            <color indexed="81"/>
            <rFont val="Tahoma"/>
            <family val="2"/>
          </rPr>
          <t xml:space="preserve">= 29649 - Normal </t>
        </r>
        <r>
          <rPr>
            <sz val="10"/>
            <color indexed="81"/>
            <rFont val="Tahoma"/>
            <family val="2"/>
          </rPr>
          <t xml:space="preserve">* Otopeni Km Auto (Responses)
</t>
        </r>
      </text>
    </comment>
    <comment ref="AD100" authorId="0" shapeId="0" xr:uid="{40371452-5C4E-4FF8-867C-F365311C342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__________________________________________________________________
</t>
        </r>
        <r>
          <rPr>
            <sz val="10"/>
            <color indexed="12"/>
            <rFont val="Tahoma"/>
            <family val="2"/>
          </rPr>
          <t xml:space="preserve">  </t>
        </r>
        <r>
          <rPr>
            <sz val="10"/>
            <color indexed="81"/>
            <rFont val="Tahoma"/>
            <family val="2"/>
          </rPr>
          <t xml:space="preserve"> 2022-09-30 15:41:45 </t>
        </r>
        <r>
          <rPr>
            <b/>
            <sz val="10"/>
            <color indexed="81"/>
            <rFont val="Tahoma"/>
            <family val="2"/>
          </rPr>
          <t xml:space="preserve">= 29931 - Referinta </t>
        </r>
        <r>
          <rPr>
            <sz val="10"/>
            <color indexed="81"/>
            <rFont val="Tahoma"/>
            <family val="2"/>
          </rPr>
          <t xml:space="preserve">* Otopeni Km Auto (Responses)
   2022-10-03 12:15:57 </t>
        </r>
        <r>
          <rPr>
            <b/>
            <sz val="10"/>
            <color indexed="81"/>
            <rFont val="Tahoma"/>
            <family val="2"/>
          </rPr>
          <t xml:space="preserve">= 30004 - Normal </t>
        </r>
        <r>
          <rPr>
            <sz val="10"/>
            <color indexed="81"/>
            <rFont val="Tahoma"/>
            <family val="2"/>
          </rPr>
          <t xml:space="preserve">* Otopeni Km Auto (Responses)
</t>
        </r>
      </text>
    </comment>
    <comment ref="J101" authorId="0" shapeId="0" xr:uid="{D0579B24-6BED-48D5-8F0E-4F8835A59E1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06:54:39 </t>
        </r>
        <r>
          <rPr>
            <b/>
            <sz val="10"/>
            <color indexed="81"/>
            <rFont val="Tahoma"/>
            <family val="2"/>
          </rPr>
          <t xml:space="preserve">= 48783 - Referinta </t>
        </r>
        <r>
          <rPr>
            <sz val="10"/>
            <color indexed="81"/>
            <rFont val="Tahoma"/>
            <family val="2"/>
          </rPr>
          <t xml:space="preserve">* Otopeni Km Auto (Responses)
   2022-09-05 06:56:09 </t>
        </r>
        <r>
          <rPr>
            <b/>
            <sz val="10"/>
            <color indexed="81"/>
            <rFont val="Tahoma"/>
            <family val="2"/>
          </rPr>
          <t xml:space="preserve">= 48788 - Normal </t>
        </r>
        <r>
          <rPr>
            <sz val="10"/>
            <color indexed="81"/>
            <rFont val="Tahoma"/>
            <family val="2"/>
          </rPr>
          <t xml:space="preserve">* Otopeni Km Auto (Responses)
</t>
        </r>
      </text>
    </comment>
    <comment ref="O101" authorId="0" shapeId="0" xr:uid="{0D530ED0-E9F6-4B31-9EF2-35720A33DE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__________________________________________________________________
</t>
        </r>
        <r>
          <rPr>
            <sz val="10"/>
            <color indexed="12"/>
            <rFont val="Tahoma"/>
            <family val="2"/>
          </rPr>
          <t xml:space="preserve">  </t>
        </r>
        <r>
          <rPr>
            <sz val="10"/>
            <color indexed="81"/>
            <rFont val="Tahoma"/>
            <family val="2"/>
          </rPr>
          <t xml:space="preserve"> 2022-09-09 05:07:00 </t>
        </r>
        <r>
          <rPr>
            <b/>
            <sz val="10"/>
            <color indexed="81"/>
            <rFont val="Tahoma"/>
            <family val="2"/>
          </rPr>
          <t xml:space="preserve">= 49164 - Referinta </t>
        </r>
        <r>
          <rPr>
            <sz val="10"/>
            <color indexed="81"/>
            <rFont val="Tahoma"/>
            <family val="2"/>
          </rPr>
          <t xml:space="preserve">* Otopeni Km Auto (Responses)
   2022-09-12 01:28:00 </t>
        </r>
        <r>
          <rPr>
            <b/>
            <sz val="10"/>
            <color indexed="81"/>
            <rFont val="Tahoma"/>
            <family val="2"/>
          </rPr>
          <t xml:space="preserve">= 50016 - Normal </t>
        </r>
        <r>
          <rPr>
            <sz val="10"/>
            <color indexed="81"/>
            <rFont val="Tahoma"/>
            <family val="2"/>
          </rPr>
          <t xml:space="preserve">* Otopeni Km Auto (Responses)
</t>
        </r>
      </text>
    </comment>
    <comment ref="T101" authorId="0" shapeId="0" xr:uid="{07E76D8D-70D0-4872-8BF7-BB4F3298E1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15:26:14 </t>
        </r>
        <r>
          <rPr>
            <b/>
            <sz val="10"/>
            <color indexed="81"/>
            <rFont val="Tahoma"/>
            <family val="2"/>
          </rPr>
          <t xml:space="preserve">= 50314 - Referinta </t>
        </r>
        <r>
          <rPr>
            <sz val="10"/>
            <color indexed="81"/>
            <rFont val="Tahoma"/>
            <family val="2"/>
          </rPr>
          <t xml:space="preserve">* Otopeni Km Auto (Responses)
   2022-09-19 07:05:23 </t>
        </r>
        <r>
          <rPr>
            <b/>
            <sz val="10"/>
            <color indexed="81"/>
            <rFont val="Tahoma"/>
            <family val="2"/>
          </rPr>
          <t xml:space="preserve">= 50387 - Normal </t>
        </r>
        <r>
          <rPr>
            <sz val="10"/>
            <color indexed="81"/>
            <rFont val="Tahoma"/>
            <family val="2"/>
          </rPr>
          <t xml:space="preserve">* Otopeni Km Auto (Responses)
</t>
        </r>
      </text>
    </comment>
    <comment ref="Y101" authorId="0" shapeId="0" xr:uid="{F7F79086-650F-4903-A6F4-3AC9D955BD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__________________________________________________________________
</t>
        </r>
        <r>
          <rPr>
            <sz val="10"/>
            <color indexed="12"/>
            <rFont val="Tahoma"/>
            <family val="2"/>
          </rPr>
          <t xml:space="preserve">  </t>
        </r>
        <r>
          <rPr>
            <sz val="10"/>
            <color indexed="81"/>
            <rFont val="Tahoma"/>
            <family val="2"/>
          </rPr>
          <t xml:space="preserve"> 2022-09-23 16:22:24 </t>
        </r>
        <r>
          <rPr>
            <b/>
            <sz val="10"/>
            <color indexed="81"/>
            <rFont val="Tahoma"/>
            <family val="2"/>
          </rPr>
          <t xml:space="preserve">= 50576 - Referinta </t>
        </r>
        <r>
          <rPr>
            <sz val="10"/>
            <color indexed="81"/>
            <rFont val="Tahoma"/>
            <family val="2"/>
          </rPr>
          <t xml:space="preserve">* Otopeni Km Auto (Responses)
   2022-09-26 07:10:23 </t>
        </r>
        <r>
          <rPr>
            <b/>
            <sz val="10"/>
            <color indexed="81"/>
            <rFont val="Tahoma"/>
            <family val="2"/>
          </rPr>
          <t xml:space="preserve">= 50594 - Normal </t>
        </r>
        <r>
          <rPr>
            <sz val="10"/>
            <color indexed="81"/>
            <rFont val="Tahoma"/>
            <family val="2"/>
          </rPr>
          <t xml:space="preserve">* Otopeni Km Auto (Responses)
</t>
        </r>
      </text>
    </comment>
    <comment ref="AD101" authorId="0" shapeId="0" xr:uid="{14A33557-3584-4158-8ED2-1E6F3060A3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__________________________________________________________________
</t>
        </r>
        <r>
          <rPr>
            <sz val="10"/>
            <color indexed="12"/>
            <rFont val="Tahoma"/>
            <family val="2"/>
          </rPr>
          <t xml:space="preserve">  </t>
        </r>
        <r>
          <rPr>
            <sz val="10"/>
            <color indexed="81"/>
            <rFont val="Tahoma"/>
            <family val="2"/>
          </rPr>
          <t xml:space="preserve"> 2022-09-30 16:36:59 </t>
        </r>
        <r>
          <rPr>
            <b/>
            <sz val="10"/>
            <color indexed="81"/>
            <rFont val="Tahoma"/>
            <family val="2"/>
          </rPr>
          <t xml:space="preserve">= 50841 - Referinta </t>
        </r>
        <r>
          <rPr>
            <sz val="10"/>
            <color indexed="81"/>
            <rFont val="Tahoma"/>
            <family val="2"/>
          </rPr>
          <t xml:space="preserve">* Otopeni Km Auto (Responses)
   2022-10-03 07:02:33 </t>
        </r>
        <r>
          <rPr>
            <b/>
            <sz val="10"/>
            <color indexed="81"/>
            <rFont val="Tahoma"/>
            <family val="2"/>
          </rPr>
          <t xml:space="preserve">= 50844 - Normal </t>
        </r>
        <r>
          <rPr>
            <sz val="10"/>
            <color indexed="81"/>
            <rFont val="Tahoma"/>
            <family val="2"/>
          </rPr>
          <t xml:space="preserve">* Otopeni Km Auto (Responses)
</t>
        </r>
      </text>
    </comment>
    <comment ref="J102" authorId="0" shapeId="0" xr:uid="{0F9D0BA9-5EE6-447A-A61D-A4DBBC1F0CB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18:25:28 </t>
        </r>
        <r>
          <rPr>
            <b/>
            <sz val="10"/>
            <color indexed="81"/>
            <rFont val="Tahoma"/>
            <family val="2"/>
          </rPr>
          <t xml:space="preserve">= 42747 - Referinta </t>
        </r>
        <r>
          <rPr>
            <sz val="10"/>
            <color indexed="81"/>
            <rFont val="Tahoma"/>
            <family val="2"/>
          </rPr>
          <t xml:space="preserve">* Otopeni Km Auto (Responses)
   2022-09-05 07:16:52 </t>
        </r>
        <r>
          <rPr>
            <b/>
            <sz val="10"/>
            <color indexed="81"/>
            <rFont val="Tahoma"/>
            <family val="2"/>
          </rPr>
          <t xml:space="preserve">= 43096 - Normal </t>
        </r>
        <r>
          <rPr>
            <sz val="10"/>
            <color indexed="81"/>
            <rFont val="Tahoma"/>
            <family val="2"/>
          </rPr>
          <t xml:space="preserve">* Otopeni Km Auto (Responses)
</t>
        </r>
      </text>
    </comment>
    <comment ref="O102" authorId="0" shapeId="0" xr:uid="{10161526-8888-4A9A-80CE-29263DBA98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06:19:00 </t>
        </r>
        <r>
          <rPr>
            <b/>
            <sz val="10"/>
            <color indexed="81"/>
            <rFont val="Tahoma"/>
            <family val="2"/>
          </rPr>
          <t xml:space="preserve">= 43509 - Referinta </t>
        </r>
        <r>
          <rPr>
            <sz val="10"/>
            <color indexed="81"/>
            <rFont val="Tahoma"/>
            <family val="2"/>
          </rPr>
          <t xml:space="preserve">* Otopeni Km Auto (Responses)
</t>
        </r>
      </text>
    </comment>
    <comment ref="T102" authorId="0" shapeId="0" xr:uid="{71D84D07-5FA8-4720-BC14-9B32F3CB92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07:50:00 </t>
        </r>
        <r>
          <rPr>
            <b/>
            <sz val="10"/>
            <color indexed="81"/>
            <rFont val="Tahoma"/>
            <family val="2"/>
          </rPr>
          <t xml:space="preserve">= 44256 - Referinta </t>
        </r>
        <r>
          <rPr>
            <sz val="10"/>
            <color indexed="81"/>
            <rFont val="Tahoma"/>
            <family val="2"/>
          </rPr>
          <t xml:space="preserve">* Otopeni Km Auto (Responses)
</t>
        </r>
      </text>
    </comment>
    <comment ref="Y102" authorId="0" shapeId="0" xr:uid="{0661CCAE-5C73-43DF-AF46-E27CAEFEB2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07:32:00 </t>
        </r>
        <r>
          <rPr>
            <b/>
            <sz val="10"/>
            <color indexed="81"/>
            <rFont val="Tahoma"/>
            <family val="2"/>
          </rPr>
          <t xml:space="preserve">= 44558 - Referinta </t>
        </r>
        <r>
          <rPr>
            <sz val="10"/>
            <color indexed="81"/>
            <rFont val="Tahoma"/>
            <family val="2"/>
          </rPr>
          <t xml:space="preserve">* Otopeni Km Auto (Responses)
   2022-09-26 07:30:00 </t>
        </r>
        <r>
          <rPr>
            <b/>
            <sz val="10"/>
            <color indexed="81"/>
            <rFont val="Tahoma"/>
            <family val="2"/>
          </rPr>
          <t xml:space="preserve">= 44752 - Normal </t>
        </r>
        <r>
          <rPr>
            <sz val="10"/>
            <color indexed="81"/>
            <rFont val="Tahoma"/>
            <family val="2"/>
          </rPr>
          <t xml:space="preserve">* Otopeni Km Auto (Responses)
</t>
        </r>
      </text>
    </comment>
    <comment ref="AD102" authorId="0" shapeId="0" xr:uid="{03A7D450-6DD7-4F3F-BE76-D25C1A1C4B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05:45:00 </t>
        </r>
        <r>
          <rPr>
            <b/>
            <sz val="10"/>
            <color indexed="81"/>
            <rFont val="Tahoma"/>
            <family val="2"/>
          </rPr>
          <t xml:space="preserve">= 45193 - Referinta </t>
        </r>
        <r>
          <rPr>
            <sz val="10"/>
            <color indexed="81"/>
            <rFont val="Tahoma"/>
            <family val="2"/>
          </rPr>
          <t xml:space="preserve">* Otopeni Km Auto (Responses)
   2022-10-03 07:15:00 </t>
        </r>
        <r>
          <rPr>
            <b/>
            <sz val="10"/>
            <color indexed="81"/>
            <rFont val="Tahoma"/>
            <family val="2"/>
          </rPr>
          <t xml:space="preserve">= 45350 - Normal </t>
        </r>
        <r>
          <rPr>
            <sz val="10"/>
            <color indexed="81"/>
            <rFont val="Tahoma"/>
            <family val="2"/>
          </rPr>
          <t xml:space="preserve">* Otopeni Km Auto (Responses)
</t>
        </r>
      </text>
    </comment>
    <comment ref="J103" authorId="0" shapeId="0" xr:uid="{1CBF7BBB-BBEE-4BB1-BE05-B4C2BDD4C4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08:15:24 </t>
        </r>
        <r>
          <rPr>
            <b/>
            <sz val="10"/>
            <color indexed="81"/>
            <rFont val="Tahoma"/>
            <family val="2"/>
          </rPr>
          <t xml:space="preserve">= 16436 - Referinta </t>
        </r>
        <r>
          <rPr>
            <sz val="10"/>
            <color indexed="81"/>
            <rFont val="Tahoma"/>
            <family val="2"/>
          </rPr>
          <t xml:space="preserve">* Otopeni Km Auto (Responses)
   2022-09-05 08:21:35 </t>
        </r>
        <r>
          <rPr>
            <b/>
            <sz val="10"/>
            <color indexed="81"/>
            <rFont val="Tahoma"/>
            <family val="2"/>
          </rPr>
          <t xml:space="preserve">= 16439 - Normal </t>
        </r>
        <r>
          <rPr>
            <sz val="10"/>
            <color indexed="81"/>
            <rFont val="Tahoma"/>
            <family val="2"/>
          </rPr>
          <t xml:space="preserve">* Otopeni Km Auto (Responses)
</t>
        </r>
      </text>
    </comment>
    <comment ref="O103" authorId="0" shapeId="0" xr:uid="{53AA9082-A01D-4B7A-90AC-E7D64D47F9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04:16:00 </t>
        </r>
        <r>
          <rPr>
            <b/>
            <sz val="10"/>
            <color indexed="81"/>
            <rFont val="Tahoma"/>
            <family val="2"/>
          </rPr>
          <t xml:space="preserve">= 16735 - Referinta </t>
        </r>
        <r>
          <rPr>
            <sz val="10"/>
            <color indexed="81"/>
            <rFont val="Tahoma"/>
            <family val="2"/>
          </rPr>
          <t xml:space="preserve">* Otopeni Km Auto (Responses)
   2022-09-12 07:01:00 </t>
        </r>
        <r>
          <rPr>
            <b/>
            <sz val="10"/>
            <color indexed="81"/>
            <rFont val="Tahoma"/>
            <family val="2"/>
          </rPr>
          <t xml:space="preserve">= 16735 - Normal </t>
        </r>
        <r>
          <rPr>
            <sz val="10"/>
            <color indexed="81"/>
            <rFont val="Tahoma"/>
            <family val="2"/>
          </rPr>
          <t xml:space="preserve">* Otopeni Km Auto (Responses)
</t>
        </r>
      </text>
    </comment>
    <comment ref="T103" authorId="0" shapeId="0" xr:uid="{C838B7FC-3A02-4228-8926-C4CC848C49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__________________________________________________________________
</t>
        </r>
        <r>
          <rPr>
            <sz val="10"/>
            <color indexed="12"/>
            <rFont val="Tahoma"/>
            <family val="2"/>
          </rPr>
          <t xml:space="preserve">  </t>
        </r>
        <r>
          <rPr>
            <sz val="10"/>
            <color indexed="81"/>
            <rFont val="Tahoma"/>
            <family val="2"/>
          </rPr>
          <t xml:space="preserve"> 2022-09-16 09:15:00 </t>
        </r>
        <r>
          <rPr>
            <b/>
            <sz val="10"/>
            <color indexed="81"/>
            <rFont val="Tahoma"/>
            <family val="2"/>
          </rPr>
          <t xml:space="preserve">= 16990 - Referinta </t>
        </r>
        <r>
          <rPr>
            <sz val="10"/>
            <color indexed="81"/>
            <rFont val="Tahoma"/>
            <family val="2"/>
          </rPr>
          <t xml:space="preserve">* Otopeni Km Auto (Responses)
   2022-09-19 12:38:00 </t>
        </r>
        <r>
          <rPr>
            <b/>
            <sz val="10"/>
            <color indexed="81"/>
            <rFont val="Tahoma"/>
            <family val="2"/>
          </rPr>
          <t xml:space="preserve">= 16990 - Normal </t>
        </r>
        <r>
          <rPr>
            <sz val="10"/>
            <color indexed="81"/>
            <rFont val="Tahoma"/>
            <family val="2"/>
          </rPr>
          <t xml:space="preserve">* Otopeni Km Auto (Responses)
</t>
        </r>
      </text>
    </comment>
    <comment ref="Y103" authorId="0" shapeId="0" xr:uid="{EBC5E827-F8F8-468D-B5D9-A8F5F9152AC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__________________________________________________________________
</t>
        </r>
        <r>
          <rPr>
            <sz val="10"/>
            <color indexed="12"/>
            <rFont val="Tahoma"/>
            <family val="2"/>
          </rPr>
          <t xml:space="preserve">  </t>
        </r>
        <r>
          <rPr>
            <sz val="10"/>
            <color indexed="81"/>
            <rFont val="Tahoma"/>
            <family val="2"/>
          </rPr>
          <t xml:space="preserve"> 2022-09-25 11:10:00 </t>
        </r>
        <r>
          <rPr>
            <b/>
            <sz val="10"/>
            <color indexed="81"/>
            <rFont val="Tahoma"/>
            <family val="2"/>
          </rPr>
          <t xml:space="preserve">= 17366 - Referinta </t>
        </r>
        <r>
          <rPr>
            <sz val="10"/>
            <color indexed="81"/>
            <rFont val="Tahoma"/>
            <family val="2"/>
          </rPr>
          <t xml:space="preserve">* Otopeni Km Auto (Responses)
   2022-09-25 11:17:00 </t>
        </r>
        <r>
          <rPr>
            <b/>
            <sz val="10"/>
            <color indexed="81"/>
            <rFont val="Tahoma"/>
            <family val="2"/>
          </rPr>
          <t xml:space="preserve">= 17366 - Normal </t>
        </r>
        <r>
          <rPr>
            <sz val="10"/>
            <color indexed="81"/>
            <rFont val="Tahoma"/>
            <family val="2"/>
          </rPr>
          <t xml:space="preserve">* Otopeni Km Auto (Responses)
   2022-09-26 10:20:00 </t>
        </r>
        <r>
          <rPr>
            <b/>
            <sz val="10"/>
            <color indexed="81"/>
            <rFont val="Tahoma"/>
            <family val="2"/>
          </rPr>
          <t xml:space="preserve">= 17366 - Normal </t>
        </r>
        <r>
          <rPr>
            <sz val="10"/>
            <color indexed="81"/>
            <rFont val="Tahoma"/>
            <family val="2"/>
          </rPr>
          <t xml:space="preserve">* Otopeni Km Auto (Responses)
</t>
        </r>
      </text>
    </comment>
    <comment ref="AD103" authorId="0" shapeId="0" xr:uid="{1AD9E4BA-F952-4F21-8545-5E9C653EC0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__________________________________________________________________
</t>
        </r>
        <r>
          <rPr>
            <sz val="10"/>
            <color indexed="12"/>
            <rFont val="Tahoma"/>
            <family val="2"/>
          </rPr>
          <t xml:space="preserve">  </t>
        </r>
        <r>
          <rPr>
            <sz val="10"/>
            <color indexed="81"/>
            <rFont val="Tahoma"/>
            <family val="2"/>
          </rPr>
          <t xml:space="preserve"> 2022-10-02 10:19:00 </t>
        </r>
        <r>
          <rPr>
            <b/>
            <sz val="10"/>
            <color indexed="81"/>
            <rFont val="Tahoma"/>
            <family val="2"/>
          </rPr>
          <t xml:space="preserve">= 17773 - Referinta </t>
        </r>
        <r>
          <rPr>
            <sz val="10"/>
            <color indexed="81"/>
            <rFont val="Tahoma"/>
            <family val="2"/>
          </rPr>
          <t xml:space="preserve">* Otopeni Km Auto (Responses)
   2022-10-03 08:12:46 </t>
        </r>
        <r>
          <rPr>
            <b/>
            <sz val="10"/>
            <color indexed="81"/>
            <rFont val="Tahoma"/>
            <family val="2"/>
          </rPr>
          <t xml:space="preserve">= 17779 - Normal </t>
        </r>
        <r>
          <rPr>
            <sz val="10"/>
            <color indexed="81"/>
            <rFont val="Tahoma"/>
            <family val="2"/>
          </rPr>
          <t xml:space="preserve">* Otopeni Km Auto (Responses)
   2022-10-03 08:15:00 </t>
        </r>
        <r>
          <rPr>
            <b/>
            <sz val="10"/>
            <color indexed="81"/>
            <rFont val="Tahoma"/>
            <family val="2"/>
          </rPr>
          <t xml:space="preserve">= 17779 - Normal </t>
        </r>
        <r>
          <rPr>
            <sz val="10"/>
            <color indexed="81"/>
            <rFont val="Tahoma"/>
            <family val="2"/>
          </rPr>
          <t xml:space="preserve">* Otopeni Km Auto (Responses)
</t>
        </r>
      </text>
    </comment>
    <comment ref="T104" authorId="0" shapeId="0" xr:uid="{094C07F4-42D5-4AA7-97DC-5B9813494DD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 
__________________________________________________________________
</t>
        </r>
        <r>
          <rPr>
            <sz val="10"/>
            <color indexed="12"/>
            <rFont val="Tahoma"/>
            <family val="2"/>
          </rPr>
          <t xml:space="preserve">  </t>
        </r>
        <r>
          <rPr>
            <sz val="10"/>
            <color indexed="81"/>
            <rFont val="Tahoma"/>
            <family val="2"/>
          </rPr>
          <t xml:space="preserve"> 2022-09-16 19:47:46 </t>
        </r>
        <r>
          <rPr>
            <b/>
            <sz val="10"/>
            <color indexed="81"/>
            <rFont val="Tahoma"/>
            <family val="2"/>
          </rPr>
          <t xml:space="preserve">= 212206 - Referinta </t>
        </r>
        <r>
          <rPr>
            <sz val="10"/>
            <color indexed="81"/>
            <rFont val="Tahoma"/>
            <family val="2"/>
          </rPr>
          <t xml:space="preserve">* Bucuresti Marfa Km Auto (Responses)
   2022-09-19 07:59:53 </t>
        </r>
        <r>
          <rPr>
            <b/>
            <sz val="10"/>
            <color indexed="81"/>
            <rFont val="Tahoma"/>
            <family val="2"/>
          </rPr>
          <t xml:space="preserve">= 212207 - Normal </t>
        </r>
        <r>
          <rPr>
            <sz val="10"/>
            <color indexed="81"/>
            <rFont val="Tahoma"/>
            <family val="2"/>
          </rPr>
          <t xml:space="preserve">* Bucuresti Marfa Km Auto (Responses)
</t>
        </r>
      </text>
    </comment>
    <comment ref="Y104" authorId="0" shapeId="0" xr:uid="{31D15813-DE2C-4FD0-A027-6092364DA2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 
__________________________________________________________________
</t>
        </r>
        <r>
          <rPr>
            <sz val="10"/>
            <color indexed="12"/>
            <rFont val="Tahoma"/>
            <family val="2"/>
          </rPr>
          <t xml:space="preserve">  </t>
        </r>
        <r>
          <rPr>
            <sz val="10"/>
            <color indexed="81"/>
            <rFont val="Tahoma"/>
            <family val="2"/>
          </rPr>
          <t xml:space="preserve"> 2022-09-23 18:45:01 </t>
        </r>
        <r>
          <rPr>
            <b/>
            <sz val="10"/>
            <color indexed="81"/>
            <rFont val="Tahoma"/>
            <family val="2"/>
          </rPr>
          <t xml:space="preserve">= 212781 - Referinta </t>
        </r>
        <r>
          <rPr>
            <sz val="10"/>
            <color indexed="81"/>
            <rFont val="Tahoma"/>
            <family val="2"/>
          </rPr>
          <t xml:space="preserve">* Bucuresti Marfa Km Auto (Responses)
   2022-09-26 07:45:52 </t>
        </r>
        <r>
          <rPr>
            <b/>
            <sz val="10"/>
            <color indexed="81"/>
            <rFont val="Tahoma"/>
            <family val="2"/>
          </rPr>
          <t xml:space="preserve">= 212781 - Normal </t>
        </r>
        <r>
          <rPr>
            <sz val="10"/>
            <color indexed="81"/>
            <rFont val="Tahoma"/>
            <family val="2"/>
          </rPr>
          <t xml:space="preserve">* Bucuresti Marfa Km Auto (Responses)
</t>
        </r>
      </text>
    </comment>
    <comment ref="AD105" authorId="0" shapeId="0" xr:uid="{4648F52C-9C2D-407C-B9BB-C4AB8F3D2C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Radu Paul : 
__________________________________________________________________
</t>
        </r>
        <r>
          <rPr>
            <sz val="10"/>
            <color indexed="12"/>
            <rFont val="Tahoma"/>
            <family val="2"/>
          </rPr>
          <t xml:space="preserve">  </t>
        </r>
        <r>
          <rPr>
            <sz val="10"/>
            <color indexed="81"/>
            <rFont val="Tahoma"/>
            <family val="2"/>
          </rPr>
          <t xml:space="preserve"> 2022-09-30 15:53:18 </t>
        </r>
        <r>
          <rPr>
            <b/>
            <sz val="10"/>
            <color indexed="81"/>
            <rFont val="Tahoma"/>
            <family val="2"/>
          </rPr>
          <t xml:space="preserve">= 213217 - Referinta </t>
        </r>
        <r>
          <rPr>
            <sz val="10"/>
            <color indexed="81"/>
            <rFont val="Tahoma"/>
            <family val="2"/>
          </rPr>
          <t xml:space="preserve">* Bucuresti Marfa Km Auto (Responses)
</t>
        </r>
      </text>
    </comment>
    <comment ref="J106" authorId="0" shapeId="0" xr:uid="{9F39777D-2794-404E-99B3-0946907709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20:54:17 </t>
        </r>
        <r>
          <rPr>
            <b/>
            <sz val="10"/>
            <color indexed="81"/>
            <rFont val="Tahoma"/>
            <family val="2"/>
          </rPr>
          <t xml:space="preserve">= 65257 - Referinta </t>
        </r>
        <r>
          <rPr>
            <sz val="10"/>
            <color indexed="81"/>
            <rFont val="Tahoma"/>
            <family val="2"/>
          </rPr>
          <t xml:space="preserve">* Otopeni Km Auto (Responses)
   2022-09-04 20:55:00 </t>
        </r>
        <r>
          <rPr>
            <b/>
            <sz val="10"/>
            <color indexed="81"/>
            <rFont val="Tahoma"/>
            <family val="2"/>
          </rPr>
          <t xml:space="preserve">= 65257 - Normal </t>
        </r>
        <r>
          <rPr>
            <sz val="10"/>
            <color indexed="81"/>
            <rFont val="Tahoma"/>
            <family val="2"/>
          </rPr>
          <t xml:space="preserve">* Otopeni Km Auto (Responses)
   2022-09-05 09:13:37 </t>
        </r>
        <r>
          <rPr>
            <b/>
            <sz val="10"/>
            <color indexed="81"/>
            <rFont val="Tahoma"/>
            <family val="2"/>
          </rPr>
          <t xml:space="preserve">= 65301 - Normal </t>
        </r>
        <r>
          <rPr>
            <sz val="10"/>
            <color indexed="81"/>
            <rFont val="Tahoma"/>
            <family val="2"/>
          </rPr>
          <t xml:space="preserve">* Otopeni Km Auto (Responses)
</t>
        </r>
      </text>
    </comment>
    <comment ref="O106" authorId="0" shapeId="0" xr:uid="{0F877080-86B7-4505-BC78-8373598913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2022-09-09 03:30:00 </t>
        </r>
        <r>
          <rPr>
            <b/>
            <sz val="10"/>
            <color indexed="81"/>
            <rFont val="Tahoma"/>
            <family val="2"/>
          </rPr>
          <t xml:space="preserve">= 65709 - Referinta </t>
        </r>
        <r>
          <rPr>
            <sz val="10"/>
            <color indexed="81"/>
            <rFont val="Tahoma"/>
            <family val="2"/>
          </rPr>
          <t xml:space="preserve">* Otopeni Km Auto (Responses)
   2022-09-12 09:00:00 </t>
        </r>
        <r>
          <rPr>
            <b/>
            <sz val="10"/>
            <color indexed="81"/>
            <rFont val="Tahoma"/>
            <family val="2"/>
          </rPr>
          <t xml:space="preserve">= 65762 - Normal </t>
        </r>
        <r>
          <rPr>
            <sz val="10"/>
            <color indexed="81"/>
            <rFont val="Tahoma"/>
            <family val="2"/>
          </rPr>
          <t xml:space="preserve">* Otopeni Km Auto (Responses)
</t>
        </r>
      </text>
    </comment>
    <comment ref="T106" authorId="0" shapeId="0" xr:uid="{DE48D264-7922-498E-9C32-D5EE8CBD0A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2022-09-16 04:30:00 </t>
        </r>
        <r>
          <rPr>
            <b/>
            <sz val="10"/>
            <color indexed="81"/>
            <rFont val="Tahoma"/>
            <family val="2"/>
          </rPr>
          <t xml:space="preserve">= 66216 - Referinta </t>
        </r>
        <r>
          <rPr>
            <sz val="10"/>
            <color indexed="81"/>
            <rFont val="Tahoma"/>
            <family val="2"/>
          </rPr>
          <t xml:space="preserve">* Otopeni Km Auto (Responses)
   2022-09-19 10:10:00 </t>
        </r>
        <r>
          <rPr>
            <b/>
            <sz val="10"/>
            <color indexed="81"/>
            <rFont val="Tahoma"/>
            <family val="2"/>
          </rPr>
          <t xml:space="preserve">= 66244 - Normal </t>
        </r>
        <r>
          <rPr>
            <sz val="10"/>
            <color indexed="81"/>
            <rFont val="Tahoma"/>
            <family val="2"/>
          </rPr>
          <t xml:space="preserve">* Otopeni Km Auto (Responses)
</t>
        </r>
      </text>
    </comment>
    <comment ref="Y106" authorId="0" shapeId="0" xr:uid="{17C357DB-6FC7-4B60-9F00-9DA568606F1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2022-09-23 16:42:43 </t>
        </r>
        <r>
          <rPr>
            <b/>
            <sz val="10"/>
            <color indexed="81"/>
            <rFont val="Tahoma"/>
            <family val="2"/>
          </rPr>
          <t xml:space="preserve">= 66710 - Referinta </t>
        </r>
        <r>
          <rPr>
            <sz val="10"/>
            <color indexed="81"/>
            <rFont val="Tahoma"/>
            <family val="2"/>
          </rPr>
          <t xml:space="preserve">* Otopeni Km Auto (Responses)
   2022-09-26 08:00:00 </t>
        </r>
        <r>
          <rPr>
            <b/>
            <sz val="10"/>
            <color indexed="81"/>
            <rFont val="Tahoma"/>
            <family val="2"/>
          </rPr>
          <t xml:space="preserve">= 66756 - Normal </t>
        </r>
        <r>
          <rPr>
            <sz val="10"/>
            <color indexed="81"/>
            <rFont val="Tahoma"/>
            <family val="2"/>
          </rPr>
          <t xml:space="preserve">* Otopeni Km Auto (Responses)
</t>
        </r>
      </text>
    </comment>
    <comment ref="AD106" authorId="0" shapeId="0" xr:uid="{0E48860B-CCCD-431E-90E7-1C43F33910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2022-09-30 05:00:00 </t>
        </r>
        <r>
          <rPr>
            <b/>
            <sz val="10"/>
            <color indexed="81"/>
            <rFont val="Tahoma"/>
            <family val="2"/>
          </rPr>
          <t xml:space="preserve">= 67296 - Referinta </t>
        </r>
        <r>
          <rPr>
            <sz val="10"/>
            <color indexed="81"/>
            <rFont val="Tahoma"/>
            <family val="2"/>
          </rPr>
          <t xml:space="preserve">* Otopeni Km Auto (Responses)
   2022-10-03 12:24:00 </t>
        </r>
        <r>
          <rPr>
            <b/>
            <sz val="10"/>
            <color indexed="81"/>
            <rFont val="Tahoma"/>
            <family val="2"/>
          </rPr>
          <t xml:space="preserve">= 67405 - Normal </t>
        </r>
        <r>
          <rPr>
            <sz val="10"/>
            <color indexed="81"/>
            <rFont val="Tahoma"/>
            <family val="2"/>
          </rPr>
          <t xml:space="preserve">* Otopeni Km Auto (Responses)
</t>
        </r>
      </text>
    </comment>
    <comment ref="J107" authorId="0" shapeId="0" xr:uid="{72E59210-914B-4243-AD3A-23EF7CEADB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15:58:05 </t>
        </r>
        <r>
          <rPr>
            <b/>
            <sz val="10"/>
            <color indexed="81"/>
            <rFont val="Tahoma"/>
            <family val="2"/>
          </rPr>
          <t xml:space="preserve">= 42989 - Referinta </t>
        </r>
        <r>
          <rPr>
            <sz val="10"/>
            <color indexed="81"/>
            <rFont val="Tahoma"/>
            <family val="2"/>
          </rPr>
          <t xml:space="preserve">* Bucuresti Km Auto Vanzari (Responses)
   2022-09-05 07:43:12 </t>
        </r>
        <r>
          <rPr>
            <b/>
            <sz val="10"/>
            <color indexed="81"/>
            <rFont val="Tahoma"/>
            <family val="2"/>
          </rPr>
          <t xml:space="preserve">= 42989 - Normal </t>
        </r>
        <r>
          <rPr>
            <sz val="10"/>
            <color indexed="81"/>
            <rFont val="Tahoma"/>
            <family val="2"/>
          </rPr>
          <t xml:space="preserve">* Bucuresti Km Auto Vanzari (Responses)
</t>
        </r>
      </text>
    </comment>
    <comment ref="O107" authorId="0" shapeId="0" xr:uid="{B2F3B515-9B7C-43FD-BCA0-A136D58A80D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43227 - Referinta </t>
        </r>
        <r>
          <rPr>
            <sz val="10"/>
            <color indexed="81"/>
            <rFont val="Tahoma"/>
            <family val="2"/>
          </rPr>
          <t xml:space="preserve">* Bucuresti Km Auto Vanzari (Responses)
   2022-09-12 07:44:38 </t>
        </r>
        <r>
          <rPr>
            <b/>
            <sz val="10"/>
            <color indexed="81"/>
            <rFont val="Tahoma"/>
            <family val="2"/>
          </rPr>
          <t xml:space="preserve">= 43242 - Normal </t>
        </r>
        <r>
          <rPr>
            <sz val="10"/>
            <color indexed="81"/>
            <rFont val="Tahoma"/>
            <family val="2"/>
          </rPr>
          <t xml:space="preserve">* Bucuresti Km Auto Vanzari (Responses)
</t>
        </r>
      </text>
    </comment>
    <comment ref="T107" authorId="0" shapeId="0" xr:uid="{6C1B97D2-226F-4147-9827-0FF7B4A85A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2022-09-18 17:16:19 </t>
        </r>
        <r>
          <rPr>
            <b/>
            <sz val="10"/>
            <color indexed="81"/>
            <rFont val="Tahoma"/>
            <family val="2"/>
          </rPr>
          <t xml:space="preserve">= 43462 - Referinta </t>
        </r>
        <r>
          <rPr>
            <sz val="10"/>
            <color indexed="81"/>
            <rFont val="Tahoma"/>
            <family val="2"/>
          </rPr>
          <t xml:space="preserve">* Bucuresti Km Auto Vanzari (Responses)
   2022-09-19 07:52:08 </t>
        </r>
        <r>
          <rPr>
            <b/>
            <sz val="10"/>
            <color indexed="81"/>
            <rFont val="Tahoma"/>
            <family val="2"/>
          </rPr>
          <t xml:space="preserve">= 43462 - Normal </t>
        </r>
        <r>
          <rPr>
            <sz val="10"/>
            <color indexed="81"/>
            <rFont val="Tahoma"/>
            <family val="2"/>
          </rPr>
          <t xml:space="preserve">* Bucuresti Km Auto Vanzari (Responses)
</t>
        </r>
      </text>
    </comment>
    <comment ref="Y107" authorId="0" shapeId="0" xr:uid="{9EBCDB4E-6C72-4492-9E85-152EC88D3AD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14:50:09 </t>
        </r>
        <r>
          <rPr>
            <b/>
            <sz val="10"/>
            <color indexed="81"/>
            <rFont val="Tahoma"/>
            <family val="2"/>
          </rPr>
          <t xml:space="preserve">= 43680 - Referinta </t>
        </r>
        <r>
          <rPr>
            <sz val="10"/>
            <color indexed="81"/>
            <rFont val="Tahoma"/>
            <family val="2"/>
          </rPr>
          <t xml:space="preserve">* Bucuresti Km Auto Vanzari (Responses)
   2022-09-26 07:44:39 </t>
        </r>
        <r>
          <rPr>
            <b/>
            <sz val="10"/>
            <color indexed="81"/>
            <rFont val="Tahoma"/>
            <family val="2"/>
          </rPr>
          <t xml:space="preserve">= 43680 - Normal </t>
        </r>
        <r>
          <rPr>
            <sz val="10"/>
            <color indexed="81"/>
            <rFont val="Tahoma"/>
            <family val="2"/>
          </rPr>
          <t xml:space="preserve">* Bucuresti Km Auto Vanzari (Responses)
   2022-09-28 17:35:40 </t>
        </r>
        <r>
          <rPr>
            <b/>
            <sz val="10"/>
            <color indexed="81"/>
            <rFont val="Tahoma"/>
            <family val="2"/>
          </rPr>
          <t xml:space="preserve">= 43800 - Normal </t>
        </r>
        <r>
          <rPr>
            <sz val="10"/>
            <color indexed="81"/>
            <rFont val="Tahoma"/>
            <family val="2"/>
          </rPr>
          <t xml:space="preserve">* Bucuresti Km Auto Vanzari (Responses)
</t>
        </r>
      </text>
    </comment>
    <comment ref="AD107" authorId="0" shapeId="0" xr:uid="{3654F0DE-5D2C-45B3-8172-49E0B900FE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07:36:47 </t>
        </r>
        <r>
          <rPr>
            <b/>
            <sz val="10"/>
            <color indexed="81"/>
            <rFont val="Tahoma"/>
            <family val="2"/>
          </rPr>
          <t xml:space="preserve">= 43800 - Referinta </t>
        </r>
        <r>
          <rPr>
            <sz val="10"/>
            <color indexed="81"/>
            <rFont val="Tahoma"/>
            <family val="2"/>
          </rPr>
          <t xml:space="preserve">* Bucuresti Km Auto Vanzari (Responses)
   2022-10-03 07:38:52 </t>
        </r>
        <r>
          <rPr>
            <b/>
            <sz val="10"/>
            <color indexed="81"/>
            <rFont val="Tahoma"/>
            <family val="2"/>
          </rPr>
          <t xml:space="preserve">= 43800 - Normal </t>
        </r>
        <r>
          <rPr>
            <sz val="10"/>
            <color indexed="81"/>
            <rFont val="Tahoma"/>
            <family val="2"/>
          </rPr>
          <t xml:space="preserve">* Bucuresti Km Auto Vanzari (Responses)
</t>
        </r>
      </text>
    </comment>
    <comment ref="T108" authorId="0" shapeId="0" xr:uid="{399D18B1-BCEA-4A22-98BD-49B4A95A10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15:23:51 </t>
        </r>
        <r>
          <rPr>
            <b/>
            <sz val="10"/>
            <color indexed="81"/>
            <rFont val="Tahoma"/>
            <family val="2"/>
          </rPr>
          <t xml:space="preserve">= 101283 - Referinta </t>
        </r>
        <r>
          <rPr>
            <sz val="10"/>
            <color indexed="81"/>
            <rFont val="Tahoma"/>
            <family val="2"/>
          </rPr>
          <t xml:space="preserve">* Sibiu Km Auto (Responses)
   2022-09-19 09:40:35 </t>
        </r>
        <r>
          <rPr>
            <b/>
            <sz val="10"/>
            <color indexed="81"/>
            <rFont val="Tahoma"/>
            <family val="2"/>
          </rPr>
          <t xml:space="preserve">= 101283 - Normal </t>
        </r>
        <r>
          <rPr>
            <sz val="10"/>
            <color indexed="81"/>
            <rFont val="Tahoma"/>
            <family val="2"/>
          </rPr>
          <t xml:space="preserve">* Sibiu Km Auto (Responses)
</t>
        </r>
      </text>
    </comment>
    <comment ref="Y108" authorId="0" shapeId="0" xr:uid="{B2D9D3BB-73F8-44B6-8421-A66DB5C4A5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15:41:30 </t>
        </r>
        <r>
          <rPr>
            <b/>
            <sz val="10"/>
            <color indexed="81"/>
            <rFont val="Tahoma"/>
            <family val="2"/>
          </rPr>
          <t xml:space="preserve">= 101921 - Referinta </t>
        </r>
        <r>
          <rPr>
            <sz val="10"/>
            <color indexed="81"/>
            <rFont val="Tahoma"/>
            <family val="2"/>
          </rPr>
          <t xml:space="preserve">* Sibiu Km Auto (Responses)
   2022-09-26 09:24:09 </t>
        </r>
        <r>
          <rPr>
            <b/>
            <sz val="10"/>
            <color indexed="81"/>
            <rFont val="Tahoma"/>
            <family val="2"/>
          </rPr>
          <t xml:space="preserve">= 101921 - Normal </t>
        </r>
        <r>
          <rPr>
            <sz val="10"/>
            <color indexed="81"/>
            <rFont val="Tahoma"/>
            <family val="2"/>
          </rPr>
          <t xml:space="preserve">* Sibiu Km Auto (Responses)
</t>
        </r>
      </text>
    </comment>
    <comment ref="AD108" authorId="0" shapeId="0" xr:uid="{60774196-C807-4882-BA93-4B89ADF8530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15:48:48 </t>
        </r>
        <r>
          <rPr>
            <b/>
            <sz val="10"/>
            <color indexed="81"/>
            <rFont val="Tahoma"/>
            <family val="2"/>
          </rPr>
          <t xml:space="preserve">= 102169 - Referinta </t>
        </r>
        <r>
          <rPr>
            <sz val="10"/>
            <color indexed="81"/>
            <rFont val="Tahoma"/>
            <family val="2"/>
          </rPr>
          <t xml:space="preserve">* Sibiu Km Auto (Responses)
   2022-10-03 08:39:42 </t>
        </r>
        <r>
          <rPr>
            <b/>
            <sz val="10"/>
            <color indexed="81"/>
            <rFont val="Tahoma"/>
            <family val="2"/>
          </rPr>
          <t xml:space="preserve">= 102169 - Normal </t>
        </r>
        <r>
          <rPr>
            <sz val="10"/>
            <color indexed="81"/>
            <rFont val="Tahoma"/>
            <family val="2"/>
          </rPr>
          <t xml:space="preserve">* Sibiu Km Auto (Responses)
</t>
        </r>
      </text>
    </comment>
    <comment ref="J109" authorId="0" shapeId="0" xr:uid="{6B7F39EF-4AD3-42E4-963C-13AAFB01B8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15:17:57 </t>
        </r>
        <r>
          <rPr>
            <b/>
            <sz val="10"/>
            <color indexed="81"/>
            <rFont val="Tahoma"/>
            <family val="2"/>
          </rPr>
          <t xml:space="preserve">= 22481 - Referinta </t>
        </r>
        <r>
          <rPr>
            <sz val="10"/>
            <color indexed="81"/>
            <rFont val="Tahoma"/>
            <family val="2"/>
          </rPr>
          <t xml:space="preserve">* Sibiu Km Auto (Responses)
   2022-09-02 15:19:22 </t>
        </r>
        <r>
          <rPr>
            <b/>
            <sz val="10"/>
            <color indexed="81"/>
            <rFont val="Tahoma"/>
            <family val="2"/>
          </rPr>
          <t xml:space="preserve">= 22538 - Normal </t>
        </r>
        <r>
          <rPr>
            <sz val="10"/>
            <color indexed="81"/>
            <rFont val="Tahoma"/>
            <family val="2"/>
          </rPr>
          <t xml:space="preserve">* Sibiu Km Auto (Responses)
   2022-09-06 11:41:02 </t>
        </r>
        <r>
          <rPr>
            <b/>
            <sz val="10"/>
            <color indexed="81"/>
            <rFont val="Tahoma"/>
            <family val="2"/>
          </rPr>
          <t xml:space="preserve">= 22749 - Normal </t>
        </r>
        <r>
          <rPr>
            <sz val="10"/>
            <color indexed="81"/>
            <rFont val="Tahoma"/>
            <family val="2"/>
          </rPr>
          <t xml:space="preserve">* Sibiu Km Auto (Responses)
   2022-09-06 11:41:33 </t>
        </r>
        <r>
          <rPr>
            <b/>
            <sz val="10"/>
            <color indexed="81"/>
            <rFont val="Tahoma"/>
            <family val="2"/>
          </rPr>
          <t xml:space="preserve">= 22920 - Normal </t>
        </r>
        <r>
          <rPr>
            <sz val="10"/>
            <color indexed="81"/>
            <rFont val="Tahoma"/>
            <family val="2"/>
          </rPr>
          <t xml:space="preserve">* Sibiu Km Auto (Responses)
</t>
        </r>
      </text>
    </comment>
    <comment ref="O109" authorId="0" shapeId="0" xr:uid="{04816BD3-26F5-4F10-B9C1-CCF11A4D70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23096 - Referinta </t>
        </r>
        <r>
          <rPr>
            <sz val="10"/>
            <color indexed="81"/>
            <rFont val="Tahoma"/>
            <family val="2"/>
          </rPr>
          <t xml:space="preserve">* Sibiu Km Auto (Responses)
   2022-09-12 09:20:43 </t>
        </r>
        <r>
          <rPr>
            <b/>
            <sz val="10"/>
            <color indexed="81"/>
            <rFont val="Tahoma"/>
            <family val="2"/>
          </rPr>
          <t xml:space="preserve">= 23157 - Normal </t>
        </r>
        <r>
          <rPr>
            <sz val="10"/>
            <color indexed="81"/>
            <rFont val="Tahoma"/>
            <family val="2"/>
          </rPr>
          <t xml:space="preserve">* Sibiu Km Auto (Responses)
</t>
        </r>
      </text>
    </comment>
    <comment ref="T109" authorId="0" shapeId="0" xr:uid="{1882EA2E-852B-4EF4-B4F1-68BF48344A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15:25:33 </t>
        </r>
        <r>
          <rPr>
            <b/>
            <sz val="10"/>
            <color indexed="81"/>
            <rFont val="Tahoma"/>
            <family val="2"/>
          </rPr>
          <t xml:space="preserve">= 23344 - Referinta </t>
        </r>
        <r>
          <rPr>
            <sz val="10"/>
            <color indexed="81"/>
            <rFont val="Tahoma"/>
            <family val="2"/>
          </rPr>
          <t xml:space="preserve">* Sibiu Km Auto (Responses)
   2022-09-19 09:41:36 </t>
        </r>
        <r>
          <rPr>
            <b/>
            <sz val="10"/>
            <color indexed="81"/>
            <rFont val="Tahoma"/>
            <family val="2"/>
          </rPr>
          <t xml:space="preserve">= 23351 - Normal </t>
        </r>
        <r>
          <rPr>
            <sz val="10"/>
            <color indexed="81"/>
            <rFont val="Tahoma"/>
            <family val="2"/>
          </rPr>
          <t xml:space="preserve">* Sibiu Km Auto (Responses)
</t>
        </r>
      </text>
    </comment>
    <comment ref="Y109" authorId="0" shapeId="0" xr:uid="{D9F09B8A-3DA6-46E6-AEE8-E6021C94CE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15:39:10 </t>
        </r>
        <r>
          <rPr>
            <b/>
            <sz val="10"/>
            <color indexed="81"/>
            <rFont val="Tahoma"/>
            <family val="2"/>
          </rPr>
          <t xml:space="preserve">= 23597 - Referinta </t>
        </r>
        <r>
          <rPr>
            <sz val="10"/>
            <color indexed="81"/>
            <rFont val="Tahoma"/>
            <family val="2"/>
          </rPr>
          <t xml:space="preserve">* Sibiu Km Auto (Responses)
   2022-09-26 09:22:15 </t>
        </r>
        <r>
          <rPr>
            <b/>
            <sz val="10"/>
            <color indexed="81"/>
            <rFont val="Tahoma"/>
            <family val="2"/>
          </rPr>
          <t xml:space="preserve">= 23662 - Normal </t>
        </r>
        <r>
          <rPr>
            <sz val="10"/>
            <color indexed="81"/>
            <rFont val="Tahoma"/>
            <family val="2"/>
          </rPr>
          <t xml:space="preserve">* Sibiu Km Auto (Responses)
</t>
        </r>
      </text>
    </comment>
    <comment ref="AD109" authorId="0" shapeId="0" xr:uid="{29FCB9DF-8FC4-44EA-8F84-8D684DDF51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15:47:49 </t>
        </r>
        <r>
          <rPr>
            <b/>
            <sz val="10"/>
            <color indexed="81"/>
            <rFont val="Tahoma"/>
            <family val="2"/>
          </rPr>
          <t xml:space="preserve">= 23894 - Referinta </t>
        </r>
        <r>
          <rPr>
            <sz val="10"/>
            <color indexed="81"/>
            <rFont val="Tahoma"/>
            <family val="2"/>
          </rPr>
          <t xml:space="preserve">* Sibiu Km Auto (Responses)
   2022-10-03 08:38:55 </t>
        </r>
        <r>
          <rPr>
            <b/>
            <sz val="10"/>
            <color indexed="81"/>
            <rFont val="Tahoma"/>
            <family val="2"/>
          </rPr>
          <t xml:space="preserve">= 23970 - Normal </t>
        </r>
        <r>
          <rPr>
            <sz val="10"/>
            <color indexed="81"/>
            <rFont val="Tahoma"/>
            <family val="2"/>
          </rPr>
          <t xml:space="preserve">* Sibiu Km Auto (Responses)
</t>
        </r>
      </text>
    </comment>
    <comment ref="J110" authorId="0" shapeId="0" xr:uid="{155D648F-509B-4914-87E8-64C618E898A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2022-09-06 11:39:45 </t>
        </r>
        <r>
          <rPr>
            <b/>
            <sz val="10"/>
            <color indexed="81"/>
            <rFont val="Tahoma"/>
            <family val="2"/>
          </rPr>
          <t xml:space="preserve">= 51058 - Referinta </t>
        </r>
        <r>
          <rPr>
            <sz val="10"/>
            <color indexed="81"/>
            <rFont val="Tahoma"/>
            <family val="2"/>
          </rPr>
          <t xml:space="preserve">* Sibiu Km Auto (Responses)
   2022-09-06 11:40:24 </t>
        </r>
        <r>
          <rPr>
            <b/>
            <sz val="10"/>
            <color indexed="81"/>
            <rFont val="Tahoma"/>
            <family val="2"/>
          </rPr>
          <t xml:space="preserve">= 51058 - Normal </t>
        </r>
        <r>
          <rPr>
            <sz val="10"/>
            <color indexed="81"/>
            <rFont val="Tahoma"/>
            <family val="2"/>
          </rPr>
          <t xml:space="preserve">* Sibiu Km Auto (Responses)
</t>
        </r>
      </text>
    </comment>
    <comment ref="O110" authorId="0" shapeId="0" xr:uid="{54FB5E4B-6372-4BCA-8ED0-D5B86C6365D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51123 - Referinta </t>
        </r>
        <r>
          <rPr>
            <sz val="10"/>
            <color indexed="81"/>
            <rFont val="Tahoma"/>
            <family val="2"/>
          </rPr>
          <t xml:space="preserve">* Sibiu Km Auto (Responses)
   2022-09-12 09:19:42 </t>
        </r>
        <r>
          <rPr>
            <b/>
            <sz val="10"/>
            <color indexed="81"/>
            <rFont val="Tahoma"/>
            <family val="2"/>
          </rPr>
          <t xml:space="preserve">= 51123 - Normal </t>
        </r>
        <r>
          <rPr>
            <sz val="10"/>
            <color indexed="81"/>
            <rFont val="Tahoma"/>
            <family val="2"/>
          </rPr>
          <t xml:space="preserve">* Sibiu Km Auto (Responses)
</t>
        </r>
      </text>
    </comment>
    <comment ref="T110" authorId="0" shapeId="0" xr:uid="{264919EF-5DD1-4F9A-B011-BCF20954D9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15:22:57 </t>
        </r>
        <r>
          <rPr>
            <b/>
            <sz val="10"/>
            <color indexed="81"/>
            <rFont val="Tahoma"/>
            <family val="2"/>
          </rPr>
          <t xml:space="preserve">= 51123 - Referinta </t>
        </r>
        <r>
          <rPr>
            <sz val="10"/>
            <color indexed="81"/>
            <rFont val="Tahoma"/>
            <family val="2"/>
          </rPr>
          <t xml:space="preserve">* Sibiu Km Auto (Responses)
   2022-09-19 09:39:37 </t>
        </r>
        <r>
          <rPr>
            <b/>
            <sz val="10"/>
            <color indexed="81"/>
            <rFont val="Tahoma"/>
            <family val="2"/>
          </rPr>
          <t xml:space="preserve">= 51123 - Normal </t>
        </r>
        <r>
          <rPr>
            <sz val="10"/>
            <color indexed="81"/>
            <rFont val="Tahoma"/>
            <family val="2"/>
          </rPr>
          <t xml:space="preserve">* Sibiu Km Auto (Responses)
</t>
        </r>
      </text>
    </comment>
    <comment ref="Y110" authorId="0" shapeId="0" xr:uid="{AA119B58-E4BC-401E-BDE0-6AF3ED7E79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15:40:13 </t>
        </r>
        <r>
          <rPr>
            <b/>
            <sz val="10"/>
            <color indexed="81"/>
            <rFont val="Tahoma"/>
            <family val="2"/>
          </rPr>
          <t xml:space="preserve">= 51129 - Referinta </t>
        </r>
        <r>
          <rPr>
            <sz val="10"/>
            <color indexed="81"/>
            <rFont val="Tahoma"/>
            <family val="2"/>
          </rPr>
          <t xml:space="preserve">* Sibiu Km Auto (Responses)
   2022-09-26 09:23:18 </t>
        </r>
        <r>
          <rPr>
            <b/>
            <sz val="10"/>
            <color indexed="81"/>
            <rFont val="Tahoma"/>
            <family val="2"/>
          </rPr>
          <t xml:space="preserve">= 51129 - Normal </t>
        </r>
        <r>
          <rPr>
            <sz val="10"/>
            <color indexed="81"/>
            <rFont val="Tahoma"/>
            <family val="2"/>
          </rPr>
          <t xml:space="preserve">* Sibiu Km Auto (Responses)
</t>
        </r>
      </text>
    </comment>
    <comment ref="AD110" authorId="0" shapeId="0" xr:uid="{B4D82D5C-D7A5-4026-9128-746D04C8B5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15:47:02 </t>
        </r>
        <r>
          <rPr>
            <b/>
            <sz val="10"/>
            <color indexed="81"/>
            <rFont val="Tahoma"/>
            <family val="2"/>
          </rPr>
          <t xml:space="preserve">= 51138 - Referinta </t>
        </r>
        <r>
          <rPr>
            <sz val="10"/>
            <color indexed="81"/>
            <rFont val="Tahoma"/>
            <family val="2"/>
          </rPr>
          <t xml:space="preserve">* Sibiu Km Auto (Responses)
   2022-10-03 08:38:16 </t>
        </r>
        <r>
          <rPr>
            <b/>
            <sz val="10"/>
            <color indexed="81"/>
            <rFont val="Tahoma"/>
            <family val="2"/>
          </rPr>
          <t xml:space="preserve">= 51138 - Normal </t>
        </r>
        <r>
          <rPr>
            <sz val="10"/>
            <color indexed="81"/>
            <rFont val="Tahoma"/>
            <family val="2"/>
          </rPr>
          <t xml:space="preserve">* Sibiu Km Auto (Responses)
</t>
        </r>
      </text>
    </comment>
    <comment ref="J111" authorId="0" shapeId="0" xr:uid="{45CB0B84-8C37-4BB4-9C84-9AA6AB24E2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15:15:04 </t>
        </r>
        <r>
          <rPr>
            <b/>
            <sz val="10"/>
            <color indexed="81"/>
            <rFont val="Tahoma"/>
            <family val="2"/>
          </rPr>
          <t xml:space="preserve">= 50854 - Referinta </t>
        </r>
        <r>
          <rPr>
            <sz val="10"/>
            <color indexed="81"/>
            <rFont val="Tahoma"/>
            <family val="2"/>
          </rPr>
          <t xml:space="preserve">* Sibiu Km Auto (Responses)
   2022-09-02 15:15:41 </t>
        </r>
        <r>
          <rPr>
            <b/>
            <sz val="10"/>
            <color indexed="81"/>
            <rFont val="Tahoma"/>
            <family val="2"/>
          </rPr>
          <t xml:space="preserve">= 50854 - Normal </t>
        </r>
        <r>
          <rPr>
            <sz val="10"/>
            <color indexed="81"/>
            <rFont val="Tahoma"/>
            <family val="2"/>
          </rPr>
          <t xml:space="preserve">* Sibiu Km Auto (Responses)
</t>
        </r>
      </text>
    </comment>
    <comment ref="J112" authorId="0" shapeId="0" xr:uid="{17852AE1-9EA7-401B-812F-C88ADEC83C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19:23:03 </t>
        </r>
        <r>
          <rPr>
            <b/>
            <sz val="10"/>
            <color indexed="81"/>
            <rFont val="Tahoma"/>
            <family val="2"/>
          </rPr>
          <t xml:space="preserve">= 38401 - Referinta </t>
        </r>
        <r>
          <rPr>
            <sz val="10"/>
            <color indexed="81"/>
            <rFont val="Tahoma"/>
            <family val="2"/>
          </rPr>
          <t xml:space="preserve">* Timisoara Km Auto (Responses)
   2022-09-05 07:40:45 </t>
        </r>
        <r>
          <rPr>
            <b/>
            <sz val="10"/>
            <color indexed="81"/>
            <rFont val="Tahoma"/>
            <family val="2"/>
          </rPr>
          <t xml:space="preserve">= 38725 - Normal </t>
        </r>
        <r>
          <rPr>
            <sz val="10"/>
            <color indexed="81"/>
            <rFont val="Tahoma"/>
            <family val="2"/>
          </rPr>
          <t xml:space="preserve">* Timisoara Km Auto (Responses)
</t>
        </r>
      </text>
    </comment>
    <comment ref="O112" authorId="0" shapeId="0" xr:uid="{A6609DC3-3033-4A45-BE13-B9F22AE763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__________________________________________________________________
</t>
        </r>
        <r>
          <rPr>
            <sz val="10"/>
            <color indexed="12"/>
            <rFont val="Tahoma"/>
            <family val="2"/>
          </rPr>
          <t xml:space="preserve">  </t>
        </r>
        <r>
          <rPr>
            <sz val="10"/>
            <color indexed="81"/>
            <rFont val="Tahoma"/>
            <family val="2"/>
          </rPr>
          <t xml:space="preserve"> 2022-09-09 23:12:43 </t>
        </r>
        <r>
          <rPr>
            <b/>
            <sz val="10"/>
            <color indexed="81"/>
            <rFont val="Tahoma"/>
            <family val="2"/>
          </rPr>
          <t xml:space="preserve">= 39106 - Referinta </t>
        </r>
        <r>
          <rPr>
            <sz val="10"/>
            <color indexed="81"/>
            <rFont val="Tahoma"/>
            <family val="2"/>
          </rPr>
          <t xml:space="preserve">* Timisoara Km Auto (Responses)
</t>
        </r>
      </text>
    </comment>
    <comment ref="T112" authorId="0" shapeId="0" xr:uid="{C4A98ACC-E894-4960-A48A-BD2D705F46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07:58:37 </t>
        </r>
        <r>
          <rPr>
            <b/>
            <sz val="10"/>
            <color indexed="81"/>
            <rFont val="Tahoma"/>
            <family val="2"/>
          </rPr>
          <t xml:space="preserve">= 39636 - Referinta </t>
        </r>
        <r>
          <rPr>
            <sz val="10"/>
            <color indexed="81"/>
            <rFont val="Tahoma"/>
            <family val="2"/>
          </rPr>
          <t xml:space="preserve">* Timisoara Km Auto (Responses)
</t>
        </r>
      </text>
    </comment>
    <comment ref="Y112" authorId="0" shapeId="0" xr:uid="{D376CB24-ECA7-44A8-97FD-A587F4BBB8F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__________________________________________________________________
</t>
        </r>
        <r>
          <rPr>
            <sz val="10"/>
            <color indexed="12"/>
            <rFont val="Tahoma"/>
            <family val="2"/>
          </rPr>
          <t xml:space="preserve">  </t>
        </r>
        <r>
          <rPr>
            <sz val="10"/>
            <color indexed="81"/>
            <rFont val="Tahoma"/>
            <family val="2"/>
          </rPr>
          <t xml:space="preserve"> 2022-09-23 20:44:40 </t>
        </r>
        <r>
          <rPr>
            <b/>
            <sz val="10"/>
            <color indexed="81"/>
            <rFont val="Tahoma"/>
            <family val="2"/>
          </rPr>
          <t xml:space="preserve">= 40178 - Referinta </t>
        </r>
        <r>
          <rPr>
            <sz val="10"/>
            <color indexed="81"/>
            <rFont val="Tahoma"/>
            <family val="2"/>
          </rPr>
          <t xml:space="preserve">* Timisoara Km Auto (Responses)
   2022-09-26 07:53:48 </t>
        </r>
        <r>
          <rPr>
            <b/>
            <sz val="10"/>
            <color indexed="81"/>
            <rFont val="Tahoma"/>
            <family val="2"/>
          </rPr>
          <t xml:space="preserve">= 40203 - Normal </t>
        </r>
        <r>
          <rPr>
            <sz val="10"/>
            <color indexed="81"/>
            <rFont val="Tahoma"/>
            <family val="2"/>
          </rPr>
          <t xml:space="preserve">* Timisoara Km Auto (Responses)
</t>
        </r>
      </text>
    </comment>
    <comment ref="AD112" authorId="0" shapeId="0" xr:uid="{5CBC17D4-DF8F-48AD-8234-F42035D6CE6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__________________________________________________________________
</t>
        </r>
        <r>
          <rPr>
            <sz val="10"/>
            <color indexed="12"/>
            <rFont val="Tahoma"/>
            <family val="2"/>
          </rPr>
          <t xml:space="preserve">  </t>
        </r>
        <r>
          <rPr>
            <sz val="10"/>
            <color indexed="81"/>
            <rFont val="Tahoma"/>
            <family val="2"/>
          </rPr>
          <t xml:space="preserve"> 2022-09-30 17:27:20 </t>
        </r>
        <r>
          <rPr>
            <b/>
            <sz val="10"/>
            <color indexed="81"/>
            <rFont val="Tahoma"/>
            <family val="2"/>
          </rPr>
          <t xml:space="preserve">= 40337 - Referinta </t>
        </r>
        <r>
          <rPr>
            <sz val="10"/>
            <color indexed="81"/>
            <rFont val="Tahoma"/>
            <family val="2"/>
          </rPr>
          <t xml:space="preserve">* Timisoara Km Auto (Responses)
   2022-10-03 07:53:26 </t>
        </r>
        <r>
          <rPr>
            <b/>
            <sz val="10"/>
            <color indexed="81"/>
            <rFont val="Tahoma"/>
            <family val="2"/>
          </rPr>
          <t xml:space="preserve">= 40340 - Normal </t>
        </r>
        <r>
          <rPr>
            <sz val="10"/>
            <color indexed="81"/>
            <rFont val="Tahoma"/>
            <family val="2"/>
          </rPr>
          <t xml:space="preserve">* Timisoara Km Auto (Responses)
</t>
        </r>
      </text>
    </comment>
    <comment ref="J113" authorId="0" shapeId="0" xr:uid="{CAEB6C64-0361-4386-8A79-3180B4403E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16:57:10 </t>
        </r>
        <r>
          <rPr>
            <b/>
            <sz val="10"/>
            <color indexed="81"/>
            <rFont val="Tahoma"/>
            <family val="2"/>
          </rPr>
          <t xml:space="preserve">= 153202 - Referinta </t>
        </r>
        <r>
          <rPr>
            <sz val="10"/>
            <color indexed="81"/>
            <rFont val="Tahoma"/>
            <family val="2"/>
          </rPr>
          <t xml:space="preserve">* Timisoara Km Auto (Responses)
   2022-09-05 07:59:05 </t>
        </r>
        <r>
          <rPr>
            <b/>
            <sz val="10"/>
            <color indexed="81"/>
            <rFont val="Tahoma"/>
            <family val="2"/>
          </rPr>
          <t xml:space="preserve">= 153202 - Normal </t>
        </r>
        <r>
          <rPr>
            <sz val="10"/>
            <color indexed="81"/>
            <rFont val="Tahoma"/>
            <family val="2"/>
          </rPr>
          <t xml:space="preserve">* Timisoara Km Auto (Responses)
</t>
        </r>
      </text>
    </comment>
    <comment ref="O113" authorId="0" shapeId="0" xr:uid="{B919A1E1-0D7A-4BAC-A44C-5DE421C711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2022-09-09 18:07:53 </t>
        </r>
        <r>
          <rPr>
            <b/>
            <sz val="10"/>
            <color indexed="81"/>
            <rFont val="Tahoma"/>
            <family val="2"/>
          </rPr>
          <t xml:space="preserve">= 153630 - Referinta </t>
        </r>
        <r>
          <rPr>
            <sz val="10"/>
            <color indexed="81"/>
            <rFont val="Tahoma"/>
            <family val="2"/>
          </rPr>
          <t xml:space="preserve">* Timisoara Km Auto (Responses)
   2022-09-12 08:10:40 </t>
        </r>
        <r>
          <rPr>
            <b/>
            <sz val="10"/>
            <color indexed="81"/>
            <rFont val="Tahoma"/>
            <family val="2"/>
          </rPr>
          <t xml:space="preserve">= 153640 - Normal </t>
        </r>
        <r>
          <rPr>
            <sz val="10"/>
            <color indexed="81"/>
            <rFont val="Tahoma"/>
            <family val="2"/>
          </rPr>
          <t xml:space="preserve">* Timisoara Km Auto (Responses)
</t>
        </r>
      </text>
    </comment>
    <comment ref="T113" authorId="0" shapeId="0" xr:uid="{A3FA1B3F-EFF5-42D1-82FD-E7D5DD0093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2022-09-16 17:56:11 </t>
        </r>
        <r>
          <rPr>
            <b/>
            <sz val="10"/>
            <color indexed="81"/>
            <rFont val="Tahoma"/>
            <family val="2"/>
          </rPr>
          <t xml:space="preserve">= 154547 - Referinta </t>
        </r>
        <r>
          <rPr>
            <sz val="10"/>
            <color indexed="81"/>
            <rFont val="Tahoma"/>
            <family val="2"/>
          </rPr>
          <t xml:space="preserve">* Timisoara Km Auto (Responses)
   2022-09-19 08:21:10 </t>
        </r>
        <r>
          <rPr>
            <b/>
            <sz val="10"/>
            <color indexed="81"/>
            <rFont val="Tahoma"/>
            <family val="2"/>
          </rPr>
          <t xml:space="preserve">= 154557 - Normal </t>
        </r>
        <r>
          <rPr>
            <sz val="10"/>
            <color indexed="81"/>
            <rFont val="Tahoma"/>
            <family val="2"/>
          </rPr>
          <t xml:space="preserve">* Timisoara Km Auto (Responses)
</t>
        </r>
      </text>
    </comment>
    <comment ref="Y113" authorId="0" shapeId="0" xr:uid="{EEEABB00-0906-4BD9-8853-3C74A90A26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2022-09-23 20:13:21 </t>
        </r>
        <r>
          <rPr>
            <b/>
            <sz val="10"/>
            <color indexed="81"/>
            <rFont val="Tahoma"/>
            <family val="2"/>
          </rPr>
          <t xml:space="preserve">= 154966 - Referinta </t>
        </r>
        <r>
          <rPr>
            <sz val="10"/>
            <color indexed="81"/>
            <rFont val="Tahoma"/>
            <family val="2"/>
          </rPr>
          <t xml:space="preserve">* Timisoara Km Auto (Responses)
   2022-09-26 08:14:27 </t>
        </r>
        <r>
          <rPr>
            <b/>
            <sz val="10"/>
            <color indexed="81"/>
            <rFont val="Tahoma"/>
            <family val="2"/>
          </rPr>
          <t xml:space="preserve">= 154976 - Normal </t>
        </r>
        <r>
          <rPr>
            <sz val="10"/>
            <color indexed="81"/>
            <rFont val="Tahoma"/>
            <family val="2"/>
          </rPr>
          <t xml:space="preserve">* Timisoara Km Auto (Responses)
</t>
        </r>
      </text>
    </comment>
    <comment ref="AD113" authorId="0" shapeId="0" xr:uid="{73086D5C-E177-4580-8C0B-C8E12BB768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2022-09-30 18:11:21 </t>
        </r>
        <r>
          <rPr>
            <b/>
            <sz val="10"/>
            <color indexed="81"/>
            <rFont val="Tahoma"/>
            <family val="2"/>
          </rPr>
          <t xml:space="preserve">= 156164 - Referinta </t>
        </r>
        <r>
          <rPr>
            <sz val="10"/>
            <color indexed="81"/>
            <rFont val="Tahoma"/>
            <family val="2"/>
          </rPr>
          <t xml:space="preserve">* Timisoara Km Auto (Responses)
   2022-10-03 08:19:06 </t>
        </r>
        <r>
          <rPr>
            <b/>
            <sz val="10"/>
            <color indexed="81"/>
            <rFont val="Tahoma"/>
            <family val="2"/>
          </rPr>
          <t xml:space="preserve">= 156173 - Normal </t>
        </r>
        <r>
          <rPr>
            <sz val="10"/>
            <color indexed="81"/>
            <rFont val="Tahoma"/>
            <family val="2"/>
          </rPr>
          <t xml:space="preserve">* Timisoara Km Auto (Responses)
   2022-10-03 08:26:06 </t>
        </r>
        <r>
          <rPr>
            <b/>
            <sz val="10"/>
            <color indexed="81"/>
            <rFont val="Tahoma"/>
            <family val="2"/>
          </rPr>
          <t xml:space="preserve">= 156173 - Normal </t>
        </r>
        <r>
          <rPr>
            <sz val="10"/>
            <color indexed="81"/>
            <rFont val="Tahoma"/>
            <family val="2"/>
          </rPr>
          <t xml:space="preserve">* Timisoara Km Auto (Responses)
</t>
        </r>
      </text>
    </comment>
    <comment ref="J114" authorId="0" shapeId="0" xr:uid="{BFA912FF-6A02-4CF7-B6A1-1DA40848E5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10:33:26 </t>
        </r>
        <r>
          <rPr>
            <b/>
            <sz val="10"/>
            <color indexed="81"/>
            <rFont val="Tahoma"/>
            <family val="2"/>
          </rPr>
          <t xml:space="preserve">= 947895 - Referinta </t>
        </r>
        <r>
          <rPr>
            <sz val="10"/>
            <color indexed="81"/>
            <rFont val="Tahoma"/>
            <family val="2"/>
          </rPr>
          <t xml:space="preserve">* Timisoara Km Auto (Responses)
</t>
        </r>
      </text>
    </comment>
    <comment ref="O114" authorId="0" shapeId="0" xr:uid="{636D4E79-8A09-4A67-9F75-9C2CD07C736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__________________________________________________________________
</t>
        </r>
        <r>
          <rPr>
            <sz val="10"/>
            <color indexed="12"/>
            <rFont val="Tahoma"/>
            <family val="2"/>
          </rPr>
          <t xml:space="preserve">  </t>
        </r>
        <r>
          <rPr>
            <sz val="10"/>
            <color indexed="81"/>
            <rFont val="Tahoma"/>
            <family val="2"/>
          </rPr>
          <t xml:space="preserve"> 2022-09-09 17:00:28 </t>
        </r>
        <r>
          <rPr>
            <b/>
            <sz val="10"/>
            <color indexed="81"/>
            <rFont val="Tahoma"/>
            <family val="2"/>
          </rPr>
          <t xml:space="preserve">= 95017 - Referinta </t>
        </r>
        <r>
          <rPr>
            <sz val="10"/>
            <color indexed="81"/>
            <rFont val="Tahoma"/>
            <family val="2"/>
          </rPr>
          <t xml:space="preserve">* Timisoara Km Auto (Responses)
   2022-09-12 08:32:08 </t>
        </r>
        <r>
          <rPr>
            <b/>
            <sz val="10"/>
            <color indexed="81"/>
            <rFont val="Tahoma"/>
            <family val="2"/>
          </rPr>
          <t xml:space="preserve">= 95017 - Normal </t>
        </r>
        <r>
          <rPr>
            <sz val="10"/>
            <color indexed="81"/>
            <rFont val="Tahoma"/>
            <family val="2"/>
          </rPr>
          <t xml:space="preserve">* Timisoara Km Auto (Responses)
</t>
        </r>
      </text>
    </comment>
    <comment ref="T114" authorId="0" shapeId="0" xr:uid="{6CF1B765-925E-43F5-8784-226BF743F5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__________________________________________________________________
</t>
        </r>
        <r>
          <rPr>
            <sz val="10"/>
            <color indexed="12"/>
            <rFont val="Tahoma"/>
            <family val="2"/>
          </rPr>
          <t xml:space="preserve">  </t>
        </r>
        <r>
          <rPr>
            <sz val="10"/>
            <color indexed="81"/>
            <rFont val="Tahoma"/>
            <family val="2"/>
          </rPr>
          <t xml:space="preserve"> 2022-09-16 18:46:05 </t>
        </r>
        <r>
          <rPr>
            <b/>
            <sz val="10"/>
            <color indexed="81"/>
            <rFont val="Tahoma"/>
            <family val="2"/>
          </rPr>
          <t xml:space="preserve">= 95251 - Referinta </t>
        </r>
        <r>
          <rPr>
            <sz val="10"/>
            <color indexed="81"/>
            <rFont val="Tahoma"/>
            <family val="2"/>
          </rPr>
          <t xml:space="preserve">* Timisoara Km Auto (Responses)
   2022-09-19 08:33:48 </t>
        </r>
        <r>
          <rPr>
            <b/>
            <sz val="10"/>
            <color indexed="81"/>
            <rFont val="Tahoma"/>
            <family val="2"/>
          </rPr>
          <t xml:space="preserve">= 95288 - Normal </t>
        </r>
        <r>
          <rPr>
            <sz val="10"/>
            <color indexed="81"/>
            <rFont val="Tahoma"/>
            <family val="2"/>
          </rPr>
          <t xml:space="preserve">* Timisoara Km Auto (Responses)
</t>
        </r>
      </text>
    </comment>
    <comment ref="AD114" authorId="0" shapeId="0" xr:uid="{179003CF-4A21-437C-AF06-82964A3046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__________________________________________________________________
</t>
        </r>
        <r>
          <rPr>
            <sz val="10"/>
            <color indexed="12"/>
            <rFont val="Tahoma"/>
            <family val="2"/>
          </rPr>
          <t xml:space="preserve">  </t>
        </r>
        <r>
          <rPr>
            <sz val="10"/>
            <color indexed="81"/>
            <rFont val="Tahoma"/>
            <family val="2"/>
          </rPr>
          <t xml:space="preserve"> 2022-09-30 18:01:37 </t>
        </r>
        <r>
          <rPr>
            <b/>
            <sz val="10"/>
            <color indexed="81"/>
            <rFont val="Tahoma"/>
            <family val="2"/>
          </rPr>
          <t xml:space="preserve">= 95333 - Referinta </t>
        </r>
        <r>
          <rPr>
            <sz val="10"/>
            <color indexed="81"/>
            <rFont val="Tahoma"/>
            <family val="2"/>
          </rPr>
          <t xml:space="preserve">* Timisoara Km Auto (Responses)
   2022-10-03 08:03:44 </t>
        </r>
        <r>
          <rPr>
            <b/>
            <sz val="10"/>
            <color indexed="81"/>
            <rFont val="Tahoma"/>
            <family val="2"/>
          </rPr>
          <t xml:space="preserve">= 95388 - Normal </t>
        </r>
        <r>
          <rPr>
            <sz val="10"/>
            <color indexed="81"/>
            <rFont val="Tahoma"/>
            <family val="2"/>
          </rPr>
          <t xml:space="preserve">* Timisoara Km Auto (Responses)
</t>
        </r>
      </text>
    </comment>
    <comment ref="J115" authorId="0" shapeId="0" xr:uid="{B1B68675-4046-4194-85A6-9DFE251466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17:00:16 </t>
        </r>
        <r>
          <rPr>
            <b/>
            <sz val="10"/>
            <color indexed="81"/>
            <rFont val="Tahoma"/>
            <family val="2"/>
          </rPr>
          <t xml:space="preserve">= 99529 - Referinta </t>
        </r>
        <r>
          <rPr>
            <sz val="10"/>
            <color indexed="81"/>
            <rFont val="Tahoma"/>
            <family val="2"/>
          </rPr>
          <t xml:space="preserve">* Timisoara Km Auto (Responses)
   2022-09-05 08:10:38 </t>
        </r>
        <r>
          <rPr>
            <b/>
            <sz val="10"/>
            <color indexed="81"/>
            <rFont val="Tahoma"/>
            <family val="2"/>
          </rPr>
          <t xml:space="preserve">= 99542 - Interes Serviciu </t>
        </r>
        <r>
          <rPr>
            <sz val="10"/>
            <color indexed="81"/>
            <rFont val="Tahoma"/>
            <family val="2"/>
          </rPr>
          <t xml:space="preserve">* Timisoara Km Auto (Responses)
</t>
        </r>
      </text>
    </comment>
    <comment ref="O115" authorId="0" shapeId="0" xr:uid="{2022D7DF-9296-4929-8C81-08BA57082D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18:28:34 </t>
        </r>
        <r>
          <rPr>
            <b/>
            <sz val="10"/>
            <color indexed="81"/>
            <rFont val="Tahoma"/>
            <family val="2"/>
          </rPr>
          <t xml:space="preserve">= 100031 - Referinta </t>
        </r>
        <r>
          <rPr>
            <sz val="10"/>
            <color indexed="81"/>
            <rFont val="Tahoma"/>
            <family val="2"/>
          </rPr>
          <t xml:space="preserve">* Timisoara Km Auto (Responses)
</t>
        </r>
      </text>
    </comment>
    <comment ref="T115" authorId="0" shapeId="0" xr:uid="{D493F9E0-9158-4E64-8B2A-D5D98DBF5D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10:05:53 </t>
        </r>
        <r>
          <rPr>
            <b/>
            <sz val="10"/>
            <color indexed="81"/>
            <rFont val="Tahoma"/>
            <family val="2"/>
          </rPr>
          <t xml:space="preserve">= 100044 - Referinta </t>
        </r>
        <r>
          <rPr>
            <sz val="10"/>
            <color indexed="81"/>
            <rFont val="Tahoma"/>
            <family val="2"/>
          </rPr>
          <t xml:space="preserve">* Timisoara Km Auto (Responses)
</t>
        </r>
      </text>
    </comment>
    <comment ref="Y115" authorId="0" shapeId="0" xr:uid="{B85CDF3E-C6D5-4776-8D22-D53CA17E440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__________________________________________________________________
</t>
        </r>
        <r>
          <rPr>
            <sz val="10"/>
            <color indexed="12"/>
            <rFont val="Tahoma"/>
            <family val="2"/>
          </rPr>
          <t xml:space="preserve">  </t>
        </r>
        <r>
          <rPr>
            <sz val="10"/>
            <color indexed="81"/>
            <rFont val="Tahoma"/>
            <family val="2"/>
          </rPr>
          <t xml:space="preserve"> 2022-09-23 16:29:47 </t>
        </r>
        <r>
          <rPr>
            <b/>
            <sz val="10"/>
            <color indexed="81"/>
            <rFont val="Tahoma"/>
            <family val="2"/>
          </rPr>
          <t xml:space="preserve">= 100404 - Referinta </t>
        </r>
        <r>
          <rPr>
            <sz val="10"/>
            <color indexed="81"/>
            <rFont val="Tahoma"/>
            <family val="2"/>
          </rPr>
          <t xml:space="preserve">* Timisoara Km Auto (Responses)
   2022-09-26 08:21:30 </t>
        </r>
        <r>
          <rPr>
            <b/>
            <sz val="10"/>
            <color indexed="81"/>
            <rFont val="Tahoma"/>
            <family val="2"/>
          </rPr>
          <t xml:space="preserve">= 100434 - Normal </t>
        </r>
        <r>
          <rPr>
            <sz val="10"/>
            <color indexed="81"/>
            <rFont val="Tahoma"/>
            <family val="2"/>
          </rPr>
          <t xml:space="preserve">* Timisoara Km Auto (Responses)
</t>
        </r>
      </text>
    </comment>
    <comment ref="AD115" authorId="0" shapeId="0" xr:uid="{3605A48A-4000-408E-B301-8852D8B047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16:40:16 </t>
        </r>
        <r>
          <rPr>
            <b/>
            <sz val="10"/>
            <color indexed="81"/>
            <rFont val="Tahoma"/>
            <family val="2"/>
          </rPr>
          <t xml:space="preserve">= 101139 - Referinta </t>
        </r>
        <r>
          <rPr>
            <sz val="10"/>
            <color indexed="81"/>
            <rFont val="Tahoma"/>
            <family val="2"/>
          </rPr>
          <t xml:space="preserve">* Timisoara Km Auto (Responses)
   2022-10-03 08:06:30 </t>
        </r>
        <r>
          <rPr>
            <b/>
            <sz val="10"/>
            <color indexed="81"/>
            <rFont val="Tahoma"/>
            <family val="2"/>
          </rPr>
          <t xml:space="preserve">= 101152 - Interes serviciu </t>
        </r>
        <r>
          <rPr>
            <sz val="10"/>
            <color indexed="81"/>
            <rFont val="Tahoma"/>
            <family val="2"/>
          </rPr>
          <t xml:space="preserve">* Timisoara Km Auto (Responses)
</t>
        </r>
      </text>
    </comment>
    <comment ref="J116" authorId="0" shapeId="0" xr:uid="{636021BA-5267-49B5-AD4E-03B6AAA9D8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11:56:50 </t>
        </r>
        <r>
          <rPr>
            <b/>
            <sz val="10"/>
            <color indexed="81"/>
            <rFont val="Tahoma"/>
            <family val="2"/>
          </rPr>
          <t xml:space="preserve">= 16114 - Referinta </t>
        </r>
        <r>
          <rPr>
            <sz val="10"/>
            <color indexed="81"/>
            <rFont val="Tahoma"/>
            <family val="2"/>
          </rPr>
          <t xml:space="preserve">* Timisoara Km Auto (Responses)
   2022-09-05 07:50:58 </t>
        </r>
        <r>
          <rPr>
            <b/>
            <sz val="10"/>
            <color indexed="81"/>
            <rFont val="Tahoma"/>
            <family val="2"/>
          </rPr>
          <t xml:space="preserve">= 16128 - Normal </t>
        </r>
        <r>
          <rPr>
            <sz val="10"/>
            <color indexed="81"/>
            <rFont val="Tahoma"/>
            <family val="2"/>
          </rPr>
          <t xml:space="preserve">* Timisoara Km Auto (Responses)
</t>
        </r>
      </text>
    </comment>
    <comment ref="O116" authorId="0" shapeId="0" xr:uid="{FF252C69-E64D-49FF-83D4-FBF3ECBBE3D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__________________________________________________________________
</t>
        </r>
        <r>
          <rPr>
            <sz val="10"/>
            <color indexed="12"/>
            <rFont val="Tahoma"/>
            <family val="2"/>
          </rPr>
          <t xml:space="preserve">  </t>
        </r>
        <r>
          <rPr>
            <sz val="10"/>
            <color indexed="81"/>
            <rFont val="Tahoma"/>
            <family val="2"/>
          </rPr>
          <t xml:space="preserve"> 2022-09-09 16:54:39 </t>
        </r>
        <r>
          <rPr>
            <b/>
            <sz val="10"/>
            <color indexed="81"/>
            <rFont val="Tahoma"/>
            <family val="2"/>
          </rPr>
          <t xml:space="preserve">= 17250 - Referinta </t>
        </r>
        <r>
          <rPr>
            <sz val="10"/>
            <color indexed="81"/>
            <rFont val="Tahoma"/>
            <family val="2"/>
          </rPr>
          <t xml:space="preserve">* Timisoara Km Auto (Responses)
   2022-09-12 07:33:00 </t>
        </r>
        <r>
          <rPr>
            <b/>
            <sz val="10"/>
            <color indexed="81"/>
            <rFont val="Tahoma"/>
            <family val="2"/>
          </rPr>
          <t xml:space="preserve">= 17269 - Normal </t>
        </r>
        <r>
          <rPr>
            <sz val="10"/>
            <color indexed="81"/>
            <rFont val="Tahoma"/>
            <family val="2"/>
          </rPr>
          <t xml:space="preserve">* Timisoara Km Auto (Responses)
</t>
        </r>
      </text>
    </comment>
    <comment ref="T116" authorId="0" shapeId="0" xr:uid="{CB6521CB-6EE8-4F4A-8EBD-CFC0CF1148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__________________________________________________________________
</t>
        </r>
        <r>
          <rPr>
            <sz val="10"/>
            <color indexed="12"/>
            <rFont val="Tahoma"/>
            <family val="2"/>
          </rPr>
          <t xml:space="preserve">  </t>
        </r>
        <r>
          <rPr>
            <sz val="10"/>
            <color indexed="81"/>
            <rFont val="Tahoma"/>
            <family val="2"/>
          </rPr>
          <t xml:space="preserve"> 2022-09-16 17:27:41 </t>
        </r>
        <r>
          <rPr>
            <b/>
            <sz val="10"/>
            <color indexed="81"/>
            <rFont val="Tahoma"/>
            <family val="2"/>
          </rPr>
          <t xml:space="preserve">= 18517 - Referinta </t>
        </r>
        <r>
          <rPr>
            <sz val="10"/>
            <color indexed="81"/>
            <rFont val="Tahoma"/>
            <family val="2"/>
          </rPr>
          <t xml:space="preserve">* Timisoara Km Auto (Responses)
   2022-09-19 07:36:08 </t>
        </r>
        <r>
          <rPr>
            <b/>
            <sz val="10"/>
            <color indexed="81"/>
            <rFont val="Tahoma"/>
            <family val="2"/>
          </rPr>
          <t xml:space="preserve">= 18529 - Normal </t>
        </r>
        <r>
          <rPr>
            <sz val="10"/>
            <color indexed="81"/>
            <rFont val="Tahoma"/>
            <family val="2"/>
          </rPr>
          <t xml:space="preserve">* Timisoara Km Auto (Responses)
</t>
        </r>
      </text>
    </comment>
    <comment ref="Y116" authorId="0" shapeId="0" xr:uid="{D477A10A-C843-4075-B697-142A114039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16:43:25 </t>
        </r>
        <r>
          <rPr>
            <b/>
            <sz val="10"/>
            <color indexed="81"/>
            <rFont val="Tahoma"/>
            <family val="2"/>
          </rPr>
          <t xml:space="preserve">= 18729 - Referinta </t>
        </r>
        <r>
          <rPr>
            <sz val="10"/>
            <color indexed="81"/>
            <rFont val="Tahoma"/>
            <family val="2"/>
          </rPr>
          <t xml:space="preserve">* Timisoara Km Auto (Responses)
   2022-09-26 07:48:24 </t>
        </r>
        <r>
          <rPr>
            <b/>
            <sz val="10"/>
            <color indexed="81"/>
            <rFont val="Tahoma"/>
            <family val="2"/>
          </rPr>
          <t xml:space="preserve">= 18732 - Normal </t>
        </r>
        <r>
          <rPr>
            <sz val="10"/>
            <color indexed="81"/>
            <rFont val="Tahoma"/>
            <family val="2"/>
          </rPr>
          <t xml:space="preserve">* Timisoara Km Auto (Responses)
</t>
        </r>
      </text>
    </comment>
    <comment ref="AD116" authorId="0" shapeId="0" xr:uid="{EE531F56-0891-493D-B166-E61A9B981B6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18:52:02 </t>
        </r>
        <r>
          <rPr>
            <b/>
            <sz val="10"/>
            <color indexed="81"/>
            <rFont val="Tahoma"/>
            <family val="2"/>
          </rPr>
          <t xml:space="preserve">= 19570 - Referinta </t>
        </r>
        <r>
          <rPr>
            <sz val="10"/>
            <color indexed="81"/>
            <rFont val="Tahoma"/>
            <family val="2"/>
          </rPr>
          <t xml:space="preserve">* Timisoara Km Auto (Responses)
   2022-10-03 04:54:42 </t>
        </r>
        <r>
          <rPr>
            <b/>
            <sz val="10"/>
            <color indexed="81"/>
            <rFont val="Tahoma"/>
            <family val="2"/>
          </rPr>
          <t xml:space="preserve">= 19743 - Normal </t>
        </r>
        <r>
          <rPr>
            <sz val="10"/>
            <color indexed="81"/>
            <rFont val="Tahoma"/>
            <family val="2"/>
          </rPr>
          <t xml:space="preserve">* Timisoara Km Auto (Responses)
</t>
        </r>
      </text>
    </comment>
    <comment ref="J117" authorId="0" shapeId="0" xr:uid="{B972DB73-1CFA-4420-9075-EA741124B98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16:56:05 </t>
        </r>
        <r>
          <rPr>
            <b/>
            <sz val="10"/>
            <color indexed="81"/>
            <rFont val="Tahoma"/>
            <family val="2"/>
          </rPr>
          <t xml:space="preserve">= 113274 - Referinta </t>
        </r>
        <r>
          <rPr>
            <sz val="10"/>
            <color indexed="81"/>
            <rFont val="Tahoma"/>
            <family val="2"/>
          </rPr>
          <t xml:space="preserve">* Timisoara Km Auto (Responses)
   2022-09-05 08:02:56 </t>
        </r>
        <r>
          <rPr>
            <b/>
            <sz val="10"/>
            <color indexed="81"/>
            <rFont val="Tahoma"/>
            <family val="2"/>
          </rPr>
          <t xml:space="preserve">= 113276 - Interes Serviciu </t>
        </r>
        <r>
          <rPr>
            <sz val="10"/>
            <color indexed="81"/>
            <rFont val="Tahoma"/>
            <family val="2"/>
          </rPr>
          <t xml:space="preserve">* Timisoara Km Auto (Responses)
</t>
        </r>
      </text>
    </comment>
    <comment ref="O117" authorId="0" shapeId="0" xr:uid="{03D82458-A51C-4C00-81E3-CEB179C335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2022-09-09 16:58:56 </t>
        </r>
        <r>
          <rPr>
            <b/>
            <sz val="10"/>
            <color indexed="81"/>
            <rFont val="Tahoma"/>
            <family val="2"/>
          </rPr>
          <t xml:space="preserve">= 114372 - Referinta </t>
        </r>
        <r>
          <rPr>
            <sz val="10"/>
            <color indexed="81"/>
            <rFont val="Tahoma"/>
            <family val="2"/>
          </rPr>
          <t xml:space="preserve">* Timisoara Km Auto (Responses)
   2022-09-12 08:04:25 </t>
        </r>
        <r>
          <rPr>
            <b/>
            <sz val="10"/>
            <color indexed="81"/>
            <rFont val="Tahoma"/>
            <family val="2"/>
          </rPr>
          <t xml:space="preserve">= 114373 - Normal </t>
        </r>
        <r>
          <rPr>
            <sz val="10"/>
            <color indexed="81"/>
            <rFont val="Tahoma"/>
            <family val="2"/>
          </rPr>
          <t xml:space="preserve">* Timisoara Km Auto (Responses)
</t>
        </r>
      </text>
    </comment>
    <comment ref="T117" authorId="0" shapeId="0" xr:uid="{562A1FA6-51C6-4C14-BCFC-05F440B713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2022-09-16 15:28:27 </t>
        </r>
        <r>
          <rPr>
            <b/>
            <sz val="10"/>
            <color indexed="81"/>
            <rFont val="Tahoma"/>
            <family val="2"/>
          </rPr>
          <t xml:space="preserve">= 114862 - Referinta </t>
        </r>
        <r>
          <rPr>
            <sz val="10"/>
            <color indexed="81"/>
            <rFont val="Tahoma"/>
            <family val="2"/>
          </rPr>
          <t xml:space="preserve">* Timisoara Km Auto (Responses)
   2022-09-19 08:14:54 </t>
        </r>
        <r>
          <rPr>
            <b/>
            <sz val="10"/>
            <color indexed="81"/>
            <rFont val="Tahoma"/>
            <family val="2"/>
          </rPr>
          <t xml:space="preserve">= 114863 - Normal </t>
        </r>
        <r>
          <rPr>
            <sz val="10"/>
            <color indexed="81"/>
            <rFont val="Tahoma"/>
            <family val="2"/>
          </rPr>
          <t xml:space="preserve">* Timisoara Km Auto (Responses)
</t>
        </r>
      </text>
    </comment>
    <comment ref="Y117" authorId="0" shapeId="0" xr:uid="{EBA81725-B178-450C-A658-4330B46C51E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2022-09-23 16:24:04 </t>
        </r>
        <r>
          <rPr>
            <b/>
            <sz val="10"/>
            <color indexed="81"/>
            <rFont val="Tahoma"/>
            <family val="2"/>
          </rPr>
          <t xml:space="preserve">= 116328 - Referinta </t>
        </r>
        <r>
          <rPr>
            <sz val="10"/>
            <color indexed="81"/>
            <rFont val="Tahoma"/>
            <family val="2"/>
          </rPr>
          <t xml:space="preserve">* Timisoara Km Auto (Responses)
   2022-09-26 08:12:28 </t>
        </r>
        <r>
          <rPr>
            <b/>
            <sz val="10"/>
            <color indexed="81"/>
            <rFont val="Tahoma"/>
            <family val="2"/>
          </rPr>
          <t xml:space="preserve">= 116329 - Normal </t>
        </r>
        <r>
          <rPr>
            <sz val="10"/>
            <color indexed="81"/>
            <rFont val="Tahoma"/>
            <family val="2"/>
          </rPr>
          <t xml:space="preserve">* Timisoara Km Auto (Responses)
</t>
        </r>
      </text>
    </comment>
    <comment ref="AD117" authorId="0" shapeId="0" xr:uid="{F0DCF2E3-9506-420A-9A1D-7AA094BA38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2022-09-30 15:56:00 </t>
        </r>
        <r>
          <rPr>
            <b/>
            <sz val="10"/>
            <color indexed="81"/>
            <rFont val="Tahoma"/>
            <family val="2"/>
          </rPr>
          <t xml:space="preserve">= 117202 - Referinta </t>
        </r>
        <r>
          <rPr>
            <sz val="10"/>
            <color indexed="81"/>
            <rFont val="Tahoma"/>
            <family val="2"/>
          </rPr>
          <t xml:space="preserve">* Timisoara Km Auto (Responses)
   2022-10-03 08:05:24 </t>
        </r>
        <r>
          <rPr>
            <b/>
            <sz val="10"/>
            <color indexed="81"/>
            <rFont val="Tahoma"/>
            <family val="2"/>
          </rPr>
          <t xml:space="preserve">= 117204 - Normal </t>
        </r>
        <r>
          <rPr>
            <sz val="10"/>
            <color indexed="81"/>
            <rFont val="Tahoma"/>
            <family val="2"/>
          </rPr>
          <t xml:space="preserve">* Timisoara Km Auto (Responses)
</t>
        </r>
      </text>
    </comment>
    <comment ref="J118" authorId="0" shapeId="0" xr:uid="{E491E61B-4670-40B7-8FB1-A65DA562AF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16:52:25 </t>
        </r>
        <r>
          <rPr>
            <b/>
            <sz val="10"/>
            <color indexed="81"/>
            <rFont val="Tahoma"/>
            <family val="2"/>
          </rPr>
          <t xml:space="preserve">= 33673 - Referinta </t>
        </r>
        <r>
          <rPr>
            <sz val="10"/>
            <color indexed="81"/>
            <rFont val="Tahoma"/>
            <family val="2"/>
          </rPr>
          <t xml:space="preserve">* Timisoara Km Auto (Responses)
   2022-09-05 07:30:24 </t>
        </r>
        <r>
          <rPr>
            <b/>
            <sz val="10"/>
            <color indexed="81"/>
            <rFont val="Tahoma"/>
            <family val="2"/>
          </rPr>
          <t xml:space="preserve">= 33674 - Normal </t>
        </r>
        <r>
          <rPr>
            <sz val="10"/>
            <color indexed="81"/>
            <rFont val="Tahoma"/>
            <family val="2"/>
          </rPr>
          <t xml:space="preserve">* Timisoara Km Auto (Responses)
</t>
        </r>
      </text>
    </comment>
    <comment ref="O118" authorId="0" shapeId="0" xr:uid="{F8D9CB23-C3AA-4E19-BED9-C85777F1FB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18:29:51 </t>
        </r>
        <r>
          <rPr>
            <b/>
            <sz val="10"/>
            <color indexed="81"/>
            <rFont val="Tahoma"/>
            <family val="2"/>
          </rPr>
          <t xml:space="preserve">= 34051 - Referinta </t>
        </r>
        <r>
          <rPr>
            <sz val="10"/>
            <color indexed="81"/>
            <rFont val="Tahoma"/>
            <family val="2"/>
          </rPr>
          <t xml:space="preserve">* Timisoara Km Auto (Responses)
   2022-09-12 07:32:28 </t>
        </r>
        <r>
          <rPr>
            <b/>
            <sz val="10"/>
            <color indexed="81"/>
            <rFont val="Tahoma"/>
            <family val="2"/>
          </rPr>
          <t xml:space="preserve">= 34052 - Normal </t>
        </r>
        <r>
          <rPr>
            <sz val="10"/>
            <color indexed="81"/>
            <rFont val="Tahoma"/>
            <family val="2"/>
          </rPr>
          <t xml:space="preserve">* Timisoara Km Auto (Responses)
</t>
        </r>
      </text>
    </comment>
    <comment ref="T118" authorId="0" shapeId="0" xr:uid="{E032EA6E-3B29-430C-97EB-0AA42D493D3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20:26:06 </t>
        </r>
        <r>
          <rPr>
            <b/>
            <sz val="10"/>
            <color indexed="81"/>
            <rFont val="Tahoma"/>
            <family val="2"/>
          </rPr>
          <t xml:space="preserve">= 34744 - Referinta </t>
        </r>
        <r>
          <rPr>
            <sz val="10"/>
            <color indexed="81"/>
            <rFont val="Tahoma"/>
            <family val="2"/>
          </rPr>
          <t xml:space="preserve">* Timisoara Km Auto (Responses)
   2022-09-19 07:33:16 </t>
        </r>
        <r>
          <rPr>
            <b/>
            <sz val="10"/>
            <color indexed="81"/>
            <rFont val="Tahoma"/>
            <family val="2"/>
          </rPr>
          <t xml:space="preserve">= 34746 - Normal </t>
        </r>
        <r>
          <rPr>
            <sz val="10"/>
            <color indexed="81"/>
            <rFont val="Tahoma"/>
            <family val="2"/>
          </rPr>
          <t xml:space="preserve">* Timisoara Km Auto (Responses)
</t>
        </r>
      </text>
    </comment>
    <comment ref="Y118" authorId="0" shapeId="0" xr:uid="{389821CD-3C3F-401F-B5EF-CA5FEE9304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20:23:43 </t>
        </r>
        <r>
          <rPr>
            <b/>
            <sz val="10"/>
            <color indexed="81"/>
            <rFont val="Tahoma"/>
            <family val="2"/>
          </rPr>
          <t xml:space="preserve">= 35191 - Referinta </t>
        </r>
        <r>
          <rPr>
            <sz val="10"/>
            <color indexed="81"/>
            <rFont val="Tahoma"/>
            <family val="2"/>
          </rPr>
          <t xml:space="preserve">* Timisoara Km Auto (Responses)
   2022-09-26 07:30:32 </t>
        </r>
        <r>
          <rPr>
            <b/>
            <sz val="10"/>
            <color indexed="81"/>
            <rFont val="Tahoma"/>
            <family val="2"/>
          </rPr>
          <t xml:space="preserve">= 35243 - Normal </t>
        </r>
        <r>
          <rPr>
            <sz val="10"/>
            <color indexed="81"/>
            <rFont val="Tahoma"/>
            <family val="2"/>
          </rPr>
          <t xml:space="preserve">* Timisoara Km Auto (Responses)
</t>
        </r>
      </text>
    </comment>
    <comment ref="AD118" authorId="0" shapeId="0" xr:uid="{AAC87F10-B54B-4005-A17D-A4BB6F9972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19:10:28 </t>
        </r>
        <r>
          <rPr>
            <b/>
            <sz val="10"/>
            <color indexed="81"/>
            <rFont val="Tahoma"/>
            <family val="2"/>
          </rPr>
          <t xml:space="preserve">= 35495 - Referinta </t>
        </r>
        <r>
          <rPr>
            <sz val="10"/>
            <color indexed="81"/>
            <rFont val="Tahoma"/>
            <family val="2"/>
          </rPr>
          <t xml:space="preserve">* Timisoara Km Auto (Responses)
   2022-10-03 07:31:18 </t>
        </r>
        <r>
          <rPr>
            <b/>
            <sz val="10"/>
            <color indexed="81"/>
            <rFont val="Tahoma"/>
            <family val="2"/>
          </rPr>
          <t xml:space="preserve">= 35566 - Normal </t>
        </r>
        <r>
          <rPr>
            <sz val="10"/>
            <color indexed="81"/>
            <rFont val="Tahoma"/>
            <family val="2"/>
          </rPr>
          <t xml:space="preserve">* Timisoara Km Auto (Responses)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Vicentiu MINCIOR</author>
  </authors>
  <commentList>
    <comment ref="J1" authorId="0" shapeId="0" xr:uid="{3FA66965-4FFF-4E1E-B902-E695ACF99BE8}">
      <text>
        <r>
          <rPr>
            <sz val="10"/>
            <color indexed="81"/>
            <rFont val="Tahoma"/>
            <family val="2"/>
          </rPr>
          <t>Perioada pentru introducere date: 
2022-09-02:2022-09-08</t>
        </r>
      </text>
    </comment>
    <comment ref="O1" authorId="0" shapeId="0" xr:uid="{16DCDCF1-EB75-4517-8D3C-1C6534A2D6C8}">
      <text>
        <r>
          <rPr>
            <sz val="10"/>
            <color indexed="81"/>
            <rFont val="Tahoma"/>
            <family val="2"/>
          </rPr>
          <t>Perioada pentru introducere date: 
2022-09-09:2022-09-15</t>
        </r>
      </text>
    </comment>
    <comment ref="T1" authorId="0" shapeId="0" xr:uid="{CA18C2F8-B58D-4ADD-8903-B64AD1184DFB}">
      <text>
        <r>
          <rPr>
            <sz val="10"/>
            <color indexed="81"/>
            <rFont val="Tahoma"/>
            <family val="2"/>
          </rPr>
          <t>Perioada pentru introducere date: 
2022-09-16:2022-09-22</t>
        </r>
      </text>
    </comment>
    <comment ref="Y1" authorId="0" shapeId="0" xr:uid="{8A09DF37-10FC-4E3D-A208-C55E87B11205}">
      <text>
        <r>
          <rPr>
            <sz val="10"/>
            <color indexed="81"/>
            <rFont val="Tahoma"/>
            <family val="2"/>
          </rPr>
          <t>Perioada pentru introducere date: 
2022-09-23:2022-09-29</t>
        </r>
      </text>
    </comment>
    <comment ref="AD1" authorId="0" shapeId="0" xr:uid="{E1D985CA-276A-4BBA-937B-BC1F8B81CEF2}">
      <text>
        <r>
          <rPr>
            <sz val="10"/>
            <color indexed="81"/>
            <rFont val="Tahoma"/>
            <family val="2"/>
          </rPr>
          <t>Perioada pentru introducere date: 
2022-09-30:2022-10-06</t>
        </r>
      </text>
    </comment>
    <comment ref="O3" authorId="0" shapeId="0" xr:uid="{7E54C4B3-EF78-478C-841D-381267DB58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 
__________________________________________________________________
</t>
        </r>
        <r>
          <rPr>
            <sz val="10"/>
            <color indexed="12"/>
            <rFont val="Tahoma"/>
            <family val="2"/>
          </rPr>
          <t xml:space="preserve">  </t>
        </r>
        <r>
          <rPr>
            <sz val="10"/>
            <color indexed="81"/>
            <rFont val="Tahoma"/>
            <family val="2"/>
          </rPr>
          <t xml:space="preserve"> 2022-09-09 05:25:00 </t>
        </r>
        <r>
          <rPr>
            <b/>
            <sz val="10"/>
            <color indexed="81"/>
            <rFont val="Tahoma"/>
            <family val="2"/>
          </rPr>
          <t xml:space="preserve">= 34460 - Referinta </t>
        </r>
        <r>
          <rPr>
            <sz val="10"/>
            <color indexed="81"/>
            <rFont val="Tahoma"/>
            <family val="2"/>
          </rPr>
          <t xml:space="preserve">* Bucuresti Km Auto Vanzari (Responses)
   2022-09-12 08:36:00 </t>
        </r>
        <r>
          <rPr>
            <b/>
            <sz val="10"/>
            <color indexed="81"/>
            <rFont val="Tahoma"/>
            <family val="2"/>
          </rPr>
          <t xml:space="preserve">= 34460 - Normal </t>
        </r>
        <r>
          <rPr>
            <sz val="10"/>
            <color indexed="81"/>
            <rFont val="Tahoma"/>
            <family val="2"/>
          </rPr>
          <t xml:space="preserve">* Bucuresti Km Auto Vanzari (Responses)
</t>
        </r>
      </text>
    </comment>
    <comment ref="T3" authorId="0" shapeId="0" xr:uid="{4CE1DE14-056A-4E2A-A936-931F72F1810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 
__________________________________________________________________
</t>
        </r>
        <r>
          <rPr>
            <sz val="10"/>
            <color indexed="12"/>
            <rFont val="Tahoma"/>
            <family val="2"/>
          </rPr>
          <t xml:space="preserve">  </t>
        </r>
        <r>
          <rPr>
            <sz val="10"/>
            <color indexed="81"/>
            <rFont val="Tahoma"/>
            <family val="2"/>
          </rPr>
          <t xml:space="preserve"> 2022-09-16 07:11:00 </t>
        </r>
        <r>
          <rPr>
            <b/>
            <sz val="10"/>
            <color indexed="81"/>
            <rFont val="Tahoma"/>
            <family val="2"/>
          </rPr>
          <t xml:space="preserve">= 34705 - Referinta </t>
        </r>
        <r>
          <rPr>
            <sz val="10"/>
            <color indexed="81"/>
            <rFont val="Tahoma"/>
            <family val="2"/>
          </rPr>
          <t xml:space="preserve">* Bucuresti Km Auto Vanzari (Responses)
   2022-09-19 07:05:00 </t>
        </r>
        <r>
          <rPr>
            <b/>
            <sz val="10"/>
            <color indexed="81"/>
            <rFont val="Tahoma"/>
            <family val="2"/>
          </rPr>
          <t xml:space="preserve">= 34705 - Normal </t>
        </r>
        <r>
          <rPr>
            <sz val="10"/>
            <color indexed="81"/>
            <rFont val="Tahoma"/>
            <family val="2"/>
          </rPr>
          <t xml:space="preserve">* Bucuresti Km Auto Vanzari (Responses)
</t>
        </r>
      </text>
    </comment>
    <comment ref="Y3" authorId="0" shapeId="0" xr:uid="{7D330818-3345-46C0-BC81-278AF296B2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 
__________________________________________________________________
</t>
        </r>
        <r>
          <rPr>
            <sz val="10"/>
            <color indexed="12"/>
            <rFont val="Tahoma"/>
            <family val="2"/>
          </rPr>
          <t xml:space="preserve">  </t>
        </r>
        <r>
          <rPr>
            <sz val="10"/>
            <color indexed="81"/>
            <rFont val="Tahoma"/>
            <family val="2"/>
          </rPr>
          <t xml:space="preserve"> 2022-09-24 05:05:00 </t>
        </r>
        <r>
          <rPr>
            <b/>
            <sz val="10"/>
            <color indexed="81"/>
            <rFont val="Tahoma"/>
            <family val="2"/>
          </rPr>
          <t xml:space="preserve">= 34814 - Referinta </t>
        </r>
        <r>
          <rPr>
            <sz val="10"/>
            <color indexed="81"/>
            <rFont val="Tahoma"/>
            <family val="2"/>
          </rPr>
          <t xml:space="preserve">* Bucuresti Km Auto Vanzari (Responses)
   2022-09-26 07:21:00 </t>
        </r>
        <r>
          <rPr>
            <b/>
            <sz val="10"/>
            <color indexed="81"/>
            <rFont val="Tahoma"/>
            <family val="2"/>
          </rPr>
          <t xml:space="preserve">= 34834 - Normal </t>
        </r>
        <r>
          <rPr>
            <sz val="10"/>
            <color indexed="81"/>
            <rFont val="Tahoma"/>
            <family val="2"/>
          </rPr>
          <t xml:space="preserve">* Bucuresti Km Auto Vanzari (Responses)
</t>
        </r>
      </text>
    </comment>
    <comment ref="J4" authorId="0" shapeId="0" xr:uid="{F9811E40-01C4-4761-8986-4A6C86D67A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2022-09-02 16:20:48 </t>
        </r>
        <r>
          <rPr>
            <b/>
            <sz val="10"/>
            <color indexed="81"/>
            <rFont val="Tahoma"/>
            <family val="2"/>
          </rPr>
          <t xml:space="preserve">= 83826 - Referinta </t>
        </r>
        <r>
          <rPr>
            <sz val="10"/>
            <color indexed="81"/>
            <rFont val="Tahoma"/>
            <family val="2"/>
          </rPr>
          <t xml:space="preserve">* Brasov Km Auto (Responses)
   2022-09-06 02:00:00 </t>
        </r>
        <r>
          <rPr>
            <b/>
            <sz val="10"/>
            <color indexed="81"/>
            <rFont val="Tahoma"/>
            <family val="2"/>
          </rPr>
          <t xml:space="preserve">= 83971 - Normal </t>
        </r>
        <r>
          <rPr>
            <sz val="10"/>
            <color indexed="81"/>
            <rFont val="Tahoma"/>
            <family val="2"/>
          </rPr>
          <t xml:space="preserve">* Brasov Km Auto (Responses)
</t>
        </r>
      </text>
    </comment>
    <comment ref="O4" authorId="0" shapeId="0" xr:uid="{916DF1E5-6018-4B2D-9B67-7D2911BCB5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2022-09-09 08:00:00 </t>
        </r>
        <r>
          <rPr>
            <b/>
            <sz val="10"/>
            <color indexed="81"/>
            <rFont val="Tahoma"/>
            <family val="2"/>
          </rPr>
          <t xml:space="preserve">= 84140 - Referinta </t>
        </r>
        <r>
          <rPr>
            <sz val="10"/>
            <color indexed="81"/>
            <rFont val="Tahoma"/>
            <family val="2"/>
          </rPr>
          <t xml:space="preserve">* Brasov Km Auto (Responses)
   2022-09-11 01:00:00 </t>
        </r>
        <r>
          <rPr>
            <b/>
            <sz val="10"/>
            <color indexed="81"/>
            <rFont val="Tahoma"/>
            <family val="2"/>
          </rPr>
          <t xml:space="preserve">= 84144 - Normal </t>
        </r>
        <r>
          <rPr>
            <sz val="10"/>
            <color indexed="81"/>
            <rFont val="Tahoma"/>
            <family val="2"/>
          </rPr>
          <t xml:space="preserve">* Brasov Km Auto (Responses)
</t>
        </r>
      </text>
    </comment>
    <comment ref="J5" authorId="0" shapeId="0" xr:uid="{345629A6-58AE-4EF8-8765-D7B9A772FE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15:45:07 </t>
        </r>
        <r>
          <rPr>
            <b/>
            <sz val="10"/>
            <color indexed="81"/>
            <rFont val="Tahoma"/>
            <family val="2"/>
          </rPr>
          <t xml:space="preserve">= 322516 - Referinta </t>
        </r>
        <r>
          <rPr>
            <sz val="10"/>
            <color indexed="81"/>
            <rFont val="Tahoma"/>
            <family val="2"/>
          </rPr>
          <t xml:space="preserve">* Brasov Km Auto (Responses)
   2022-09-05 08:10:38 </t>
        </r>
        <r>
          <rPr>
            <b/>
            <sz val="10"/>
            <color indexed="81"/>
            <rFont val="Tahoma"/>
            <family val="2"/>
          </rPr>
          <t xml:space="preserve">= 322532 - Normal </t>
        </r>
        <r>
          <rPr>
            <sz val="10"/>
            <color indexed="81"/>
            <rFont val="Tahoma"/>
            <family val="2"/>
          </rPr>
          <t xml:space="preserve">* Brasov Km Auto (Responses)
</t>
        </r>
      </text>
    </comment>
    <comment ref="O5" authorId="0" shapeId="0" xr:uid="{6A4EE0BD-C09A-4CE4-95C9-1098D82319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2022-09-09 15:38:43 </t>
        </r>
        <r>
          <rPr>
            <b/>
            <sz val="10"/>
            <color indexed="81"/>
            <rFont val="Tahoma"/>
            <family val="2"/>
          </rPr>
          <t xml:space="preserve">= 323428 - Referinta </t>
        </r>
        <r>
          <rPr>
            <sz val="10"/>
            <color indexed="81"/>
            <rFont val="Tahoma"/>
            <family val="2"/>
          </rPr>
          <t xml:space="preserve">* Brasov Km Auto (Responses)
   2022-09-12 08:39:25 </t>
        </r>
        <r>
          <rPr>
            <b/>
            <sz val="10"/>
            <color indexed="81"/>
            <rFont val="Tahoma"/>
            <family val="2"/>
          </rPr>
          <t xml:space="preserve">= 323442 - Normal </t>
        </r>
        <r>
          <rPr>
            <sz val="10"/>
            <color indexed="81"/>
            <rFont val="Tahoma"/>
            <family val="2"/>
          </rPr>
          <t xml:space="preserve">* Brasov Km Auto (Responses)
</t>
        </r>
      </text>
    </comment>
    <comment ref="T5" authorId="0" shapeId="0" xr:uid="{EA09533D-F211-4804-A302-18E7430174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2022-09-16 18:24:22 </t>
        </r>
        <r>
          <rPr>
            <b/>
            <sz val="10"/>
            <color indexed="81"/>
            <rFont val="Tahoma"/>
            <family val="2"/>
          </rPr>
          <t xml:space="preserve">= 324370 - Referinta </t>
        </r>
        <r>
          <rPr>
            <sz val="10"/>
            <color indexed="81"/>
            <rFont val="Tahoma"/>
            <family val="2"/>
          </rPr>
          <t xml:space="preserve">* Brasov Km Auto (Responses)
   2022-09-20 08:30:38 </t>
        </r>
        <r>
          <rPr>
            <b/>
            <sz val="10"/>
            <color indexed="81"/>
            <rFont val="Tahoma"/>
            <family val="2"/>
          </rPr>
          <t xml:space="preserve">= 324370 - Normal </t>
        </r>
        <r>
          <rPr>
            <sz val="10"/>
            <color indexed="81"/>
            <rFont val="Tahoma"/>
            <family val="2"/>
          </rPr>
          <t xml:space="preserve">* Brasov Km Auto (Responses)
</t>
        </r>
      </text>
    </comment>
    <comment ref="Y5" authorId="0" shapeId="0" xr:uid="{C946B060-CFE1-4C9F-89A0-6E4914D711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2022-09-23 15:39:44 </t>
        </r>
        <r>
          <rPr>
            <b/>
            <sz val="10"/>
            <color indexed="81"/>
            <rFont val="Tahoma"/>
            <family val="2"/>
          </rPr>
          <t xml:space="preserve">= 325052 - Referinta </t>
        </r>
        <r>
          <rPr>
            <sz val="10"/>
            <color indexed="81"/>
            <rFont val="Tahoma"/>
            <family val="2"/>
          </rPr>
          <t xml:space="preserve">* Brasov Km Auto (Responses)
   2022-09-26 08:17:56 </t>
        </r>
        <r>
          <rPr>
            <b/>
            <sz val="10"/>
            <color indexed="81"/>
            <rFont val="Tahoma"/>
            <family val="2"/>
          </rPr>
          <t xml:space="preserve">= 325052 - Normal </t>
        </r>
        <r>
          <rPr>
            <sz val="10"/>
            <color indexed="81"/>
            <rFont val="Tahoma"/>
            <family val="2"/>
          </rPr>
          <t xml:space="preserve">* Brasov Km Auto (Responses)
</t>
        </r>
      </text>
    </comment>
    <comment ref="AD5" authorId="0" shapeId="0" xr:uid="{7E40AE5D-0379-45E9-B089-019EEB21E9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 
__________________________________________________________________
</t>
        </r>
        <r>
          <rPr>
            <sz val="10"/>
            <color indexed="12"/>
            <rFont val="Tahoma"/>
            <family val="2"/>
          </rPr>
          <t xml:space="preserve">  </t>
        </r>
        <r>
          <rPr>
            <sz val="10"/>
            <color indexed="81"/>
            <rFont val="Tahoma"/>
            <family val="2"/>
          </rPr>
          <t xml:space="preserve"> 2022-09-30 15:26:51 </t>
        </r>
        <r>
          <rPr>
            <b/>
            <sz val="10"/>
            <color indexed="81"/>
            <rFont val="Tahoma"/>
            <family val="2"/>
          </rPr>
          <t xml:space="preserve">= 326137 - Referinta </t>
        </r>
        <r>
          <rPr>
            <sz val="10"/>
            <color indexed="81"/>
            <rFont val="Tahoma"/>
            <family val="2"/>
          </rPr>
          <t xml:space="preserve">* Brasov Km Auto (Responses)
   2022-10-03 08:15:36 </t>
        </r>
        <r>
          <rPr>
            <b/>
            <sz val="10"/>
            <color indexed="81"/>
            <rFont val="Tahoma"/>
            <family val="2"/>
          </rPr>
          <t xml:space="preserve">= 326137 - Normal </t>
        </r>
        <r>
          <rPr>
            <sz val="10"/>
            <color indexed="81"/>
            <rFont val="Tahoma"/>
            <family val="2"/>
          </rPr>
          <t xml:space="preserve">* Brasov Km Auto (Responses)
</t>
        </r>
      </text>
    </comment>
    <comment ref="J6" authorId="0" shapeId="0" xr:uid="{DBFD5F24-CED9-4324-A87F-CE9279F8D86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16:00:08 </t>
        </r>
        <r>
          <rPr>
            <b/>
            <sz val="10"/>
            <color indexed="81"/>
            <rFont val="Tahoma"/>
            <family val="2"/>
          </rPr>
          <t xml:space="preserve">= 117761 - Referinta </t>
        </r>
        <r>
          <rPr>
            <sz val="10"/>
            <color indexed="81"/>
            <rFont val="Tahoma"/>
            <family val="2"/>
          </rPr>
          <t xml:space="preserve">* Brasov Km Auto (Responses)
   2022-09-05 07:28:09 </t>
        </r>
        <r>
          <rPr>
            <b/>
            <sz val="10"/>
            <color indexed="81"/>
            <rFont val="Tahoma"/>
            <family val="2"/>
          </rPr>
          <t xml:space="preserve">= 117772 - Normal </t>
        </r>
        <r>
          <rPr>
            <sz val="10"/>
            <color indexed="81"/>
            <rFont val="Tahoma"/>
            <family val="2"/>
          </rPr>
          <t xml:space="preserve">* Brasov Km Auto (Responses)
</t>
        </r>
      </text>
    </comment>
    <comment ref="O6" authorId="0" shapeId="0" xr:uid="{4E1A8C44-C50C-4064-9CF9-FAD7A3419F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04:54:00 </t>
        </r>
        <r>
          <rPr>
            <b/>
            <sz val="10"/>
            <color indexed="81"/>
            <rFont val="Tahoma"/>
            <family val="2"/>
          </rPr>
          <t xml:space="preserve">= 118136 - Referinta </t>
        </r>
        <r>
          <rPr>
            <sz val="10"/>
            <color indexed="81"/>
            <rFont val="Tahoma"/>
            <family val="2"/>
          </rPr>
          <t xml:space="preserve">* Brasov Km Auto (Responses)
   2022-09-12 07:32:00 </t>
        </r>
        <r>
          <rPr>
            <b/>
            <sz val="10"/>
            <color indexed="81"/>
            <rFont val="Tahoma"/>
            <family val="2"/>
          </rPr>
          <t xml:space="preserve">= 118175 - Normal </t>
        </r>
        <r>
          <rPr>
            <sz val="10"/>
            <color indexed="81"/>
            <rFont val="Tahoma"/>
            <family val="2"/>
          </rPr>
          <t xml:space="preserve">* Brasov Km Auto (Responses)
</t>
        </r>
      </text>
    </comment>
    <comment ref="T6" authorId="0" shapeId="0" xr:uid="{5A2ED00A-B0A7-4FE2-B7C0-C25A7B7729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04:51:00 </t>
        </r>
        <r>
          <rPr>
            <b/>
            <sz val="10"/>
            <color indexed="81"/>
            <rFont val="Tahoma"/>
            <family val="2"/>
          </rPr>
          <t xml:space="preserve">= 118526 - Referinta </t>
        </r>
        <r>
          <rPr>
            <sz val="10"/>
            <color indexed="81"/>
            <rFont val="Tahoma"/>
            <family val="2"/>
          </rPr>
          <t xml:space="preserve">* Brasov Km Auto (Responses)
   2022-09-19 07:32:00 </t>
        </r>
        <r>
          <rPr>
            <b/>
            <sz val="10"/>
            <color indexed="81"/>
            <rFont val="Tahoma"/>
            <family val="2"/>
          </rPr>
          <t xml:space="preserve">= 119002 - Normal </t>
        </r>
        <r>
          <rPr>
            <sz val="10"/>
            <color indexed="81"/>
            <rFont val="Tahoma"/>
            <family val="2"/>
          </rPr>
          <t xml:space="preserve">* Brasov Km Auto (Responses)
</t>
        </r>
      </text>
    </comment>
    <comment ref="Y6" authorId="0" shapeId="0" xr:uid="{9A57CD97-E9BD-40B0-AA8A-FA30DDBA34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07:08:00 </t>
        </r>
        <r>
          <rPr>
            <b/>
            <sz val="10"/>
            <color indexed="81"/>
            <rFont val="Tahoma"/>
            <family val="2"/>
          </rPr>
          <t xml:space="preserve">= 119331 - Referinta </t>
        </r>
        <r>
          <rPr>
            <sz val="10"/>
            <color indexed="81"/>
            <rFont val="Tahoma"/>
            <family val="2"/>
          </rPr>
          <t xml:space="preserve">* Brasov Km Auto (Responses)
   2022-09-26 07:04:00 </t>
        </r>
        <r>
          <rPr>
            <b/>
            <sz val="10"/>
            <color indexed="81"/>
            <rFont val="Tahoma"/>
            <family val="2"/>
          </rPr>
          <t xml:space="preserve">= 119402 - Normal </t>
        </r>
        <r>
          <rPr>
            <sz val="10"/>
            <color indexed="81"/>
            <rFont val="Tahoma"/>
            <family val="2"/>
          </rPr>
          <t xml:space="preserve">* Brasov Km Auto (Responses)
</t>
        </r>
      </text>
    </comment>
    <comment ref="AD6" authorId="0" shapeId="0" xr:uid="{DBF9C3F1-3C76-4EC5-B09B-691B54EC87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 
__________________________________________________________________
</t>
        </r>
        <r>
          <rPr>
            <sz val="10"/>
            <color indexed="12"/>
            <rFont val="Tahoma"/>
            <family val="2"/>
          </rPr>
          <t xml:space="preserve">  </t>
        </r>
        <r>
          <rPr>
            <sz val="10"/>
            <color indexed="81"/>
            <rFont val="Tahoma"/>
            <family val="2"/>
          </rPr>
          <t xml:space="preserve"> 2022-09-30 21:15:37 </t>
        </r>
        <r>
          <rPr>
            <b/>
            <sz val="10"/>
            <color indexed="81"/>
            <rFont val="Tahoma"/>
            <family val="2"/>
          </rPr>
          <t xml:space="preserve">= 119781 - Referinta </t>
        </r>
        <r>
          <rPr>
            <sz val="10"/>
            <color indexed="81"/>
            <rFont val="Tahoma"/>
            <family val="2"/>
          </rPr>
          <t xml:space="preserve">* Brasov Km Auto (Responses)
</t>
        </r>
      </text>
    </comment>
    <comment ref="J7" authorId="0" shapeId="0" xr:uid="{D567553D-609A-41EC-93D4-2A7BBE084C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18:14:19 </t>
        </r>
        <r>
          <rPr>
            <b/>
            <sz val="10"/>
            <color indexed="81"/>
            <rFont val="Tahoma"/>
            <family val="2"/>
          </rPr>
          <t xml:space="preserve">= 79613 - Referinta </t>
        </r>
        <r>
          <rPr>
            <sz val="10"/>
            <color indexed="81"/>
            <rFont val="Tahoma"/>
            <family val="2"/>
          </rPr>
          <t xml:space="preserve">* Brasov Km Auto (Responses)
   2022-09-05 08:55:28 </t>
        </r>
        <r>
          <rPr>
            <b/>
            <sz val="10"/>
            <color indexed="81"/>
            <rFont val="Tahoma"/>
            <family val="2"/>
          </rPr>
          <t xml:space="preserve">= 79665 - Normal </t>
        </r>
        <r>
          <rPr>
            <sz val="10"/>
            <color indexed="81"/>
            <rFont val="Tahoma"/>
            <family val="2"/>
          </rPr>
          <t xml:space="preserve">* Brasov Km Auto (Responses)
</t>
        </r>
      </text>
    </comment>
    <comment ref="O7" authorId="0" shapeId="0" xr:uid="{F0E54807-B1F6-4274-8E11-1BDEB22CA7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2022-09-10 11:11:02 </t>
        </r>
        <r>
          <rPr>
            <b/>
            <sz val="10"/>
            <color indexed="81"/>
            <rFont val="Tahoma"/>
            <family val="2"/>
          </rPr>
          <t xml:space="preserve">= 79980 - Referinta </t>
        </r>
        <r>
          <rPr>
            <sz val="10"/>
            <color indexed="81"/>
            <rFont val="Tahoma"/>
            <family val="2"/>
          </rPr>
          <t xml:space="preserve">* Brasov Km Auto (Responses)
   2022-09-12 05:00:00 </t>
        </r>
        <r>
          <rPr>
            <b/>
            <sz val="10"/>
            <color indexed="81"/>
            <rFont val="Tahoma"/>
            <family val="2"/>
          </rPr>
          <t xml:space="preserve">= 80000 - Normal </t>
        </r>
        <r>
          <rPr>
            <sz val="10"/>
            <color indexed="81"/>
            <rFont val="Tahoma"/>
            <family val="2"/>
          </rPr>
          <t xml:space="preserve">* Brasov Km Auto (Responses)
</t>
        </r>
      </text>
    </comment>
    <comment ref="T7" authorId="0" shapeId="0" xr:uid="{A5347837-2675-4250-91E0-F3748D8CF5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2022-09-16 21:11:35 </t>
        </r>
        <r>
          <rPr>
            <b/>
            <sz val="10"/>
            <color indexed="81"/>
            <rFont val="Tahoma"/>
            <family val="2"/>
          </rPr>
          <t xml:space="preserve">= 80162 - Referinta </t>
        </r>
        <r>
          <rPr>
            <sz val="10"/>
            <color indexed="81"/>
            <rFont val="Tahoma"/>
            <family val="2"/>
          </rPr>
          <t xml:space="preserve">* Brasov Km Auto (Responses)
   2022-09-19 09:28:23 </t>
        </r>
        <r>
          <rPr>
            <b/>
            <sz val="10"/>
            <color indexed="81"/>
            <rFont val="Tahoma"/>
            <family val="2"/>
          </rPr>
          <t xml:space="preserve">= 80213 - Normal </t>
        </r>
        <r>
          <rPr>
            <sz val="10"/>
            <color indexed="81"/>
            <rFont val="Tahoma"/>
            <family val="2"/>
          </rPr>
          <t xml:space="preserve">* Brasov Km Auto (Responses)
</t>
        </r>
      </text>
    </comment>
    <comment ref="Y7" authorId="0" shapeId="0" xr:uid="{C683F2DF-040E-4BA7-86F9-0B9DD8689C9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2022-09-23 21:11:25 </t>
        </r>
        <r>
          <rPr>
            <b/>
            <sz val="10"/>
            <color indexed="81"/>
            <rFont val="Tahoma"/>
            <family val="2"/>
          </rPr>
          <t xml:space="preserve">= 80655 - Referinta </t>
        </r>
        <r>
          <rPr>
            <sz val="10"/>
            <color indexed="81"/>
            <rFont val="Tahoma"/>
            <family val="2"/>
          </rPr>
          <t xml:space="preserve">* Brasov Km Auto (Responses)
   2022-09-26 11:53:49 </t>
        </r>
        <r>
          <rPr>
            <b/>
            <sz val="10"/>
            <color indexed="81"/>
            <rFont val="Tahoma"/>
            <family val="2"/>
          </rPr>
          <t xml:space="preserve">= 81044 - Normal </t>
        </r>
        <r>
          <rPr>
            <sz val="10"/>
            <color indexed="81"/>
            <rFont val="Tahoma"/>
            <family val="2"/>
          </rPr>
          <t xml:space="preserve">* Brasov Km Auto (Responses)
</t>
        </r>
      </text>
    </comment>
    <comment ref="AD7" authorId="0" shapeId="0" xr:uid="{3440FAF6-B9C5-43C4-8698-45A482BCD6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 
__________________________________________________________________
</t>
        </r>
        <r>
          <rPr>
            <sz val="10"/>
            <color indexed="12"/>
            <rFont val="Tahoma"/>
            <family val="2"/>
          </rPr>
          <t xml:space="preserve">  </t>
        </r>
        <r>
          <rPr>
            <sz val="10"/>
            <color indexed="81"/>
            <rFont val="Tahoma"/>
            <family val="2"/>
          </rPr>
          <t xml:space="preserve"> 2022-09-30 21:06:16 </t>
        </r>
        <r>
          <rPr>
            <b/>
            <sz val="10"/>
            <color indexed="81"/>
            <rFont val="Tahoma"/>
            <family val="2"/>
          </rPr>
          <t xml:space="preserve">= 81587 - Referinta </t>
        </r>
        <r>
          <rPr>
            <sz val="10"/>
            <color indexed="81"/>
            <rFont val="Tahoma"/>
            <family val="2"/>
          </rPr>
          <t xml:space="preserve">* Brasov Km Auto (Responses)
   2022-10-03 18:53:48 </t>
        </r>
        <r>
          <rPr>
            <b/>
            <sz val="10"/>
            <color indexed="81"/>
            <rFont val="Tahoma"/>
            <family val="2"/>
          </rPr>
          <t xml:space="preserve">= 81591 - Normal </t>
        </r>
        <r>
          <rPr>
            <sz val="10"/>
            <color indexed="81"/>
            <rFont val="Tahoma"/>
            <family val="2"/>
          </rPr>
          <t xml:space="preserve">* Brasov Km Auto (Responses)
</t>
        </r>
      </text>
    </comment>
    <comment ref="T8" authorId="0" shapeId="0" xr:uid="{4AAE11A1-4445-498E-8322-3EA733D605F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2022-09-16 16:56:09 </t>
        </r>
        <r>
          <rPr>
            <b/>
            <sz val="10"/>
            <color indexed="81"/>
            <rFont val="Tahoma"/>
            <family val="2"/>
          </rPr>
          <t xml:space="preserve">= 33459 - Referinta </t>
        </r>
        <r>
          <rPr>
            <sz val="10"/>
            <color indexed="81"/>
            <rFont val="Tahoma"/>
            <family val="2"/>
          </rPr>
          <t xml:space="preserve">* Brasov Km Auto (Responses)
   2022-09-19 08:00:00 </t>
        </r>
        <r>
          <rPr>
            <b/>
            <sz val="10"/>
            <color indexed="81"/>
            <rFont val="Tahoma"/>
            <family val="2"/>
          </rPr>
          <t xml:space="preserve">= 33481 - Normal </t>
        </r>
        <r>
          <rPr>
            <sz val="10"/>
            <color indexed="81"/>
            <rFont val="Tahoma"/>
            <family val="2"/>
          </rPr>
          <t xml:space="preserve">* Brasov Km Auto (Responses)
</t>
        </r>
      </text>
    </comment>
    <comment ref="Y8" authorId="0" shapeId="0" xr:uid="{35D4EB6C-89A8-4D35-9D9C-22DCB9D7A4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2022-09-23 05:00:00 </t>
        </r>
        <r>
          <rPr>
            <b/>
            <sz val="10"/>
            <color indexed="81"/>
            <rFont val="Tahoma"/>
            <family val="2"/>
          </rPr>
          <t xml:space="preserve">= 33881 - Referinta </t>
        </r>
        <r>
          <rPr>
            <sz val="10"/>
            <color indexed="81"/>
            <rFont val="Tahoma"/>
            <family val="2"/>
          </rPr>
          <t xml:space="preserve">* Brasov Km Auto (Responses)
   2022-09-26 08:40:00 </t>
        </r>
        <r>
          <rPr>
            <b/>
            <sz val="10"/>
            <color indexed="81"/>
            <rFont val="Tahoma"/>
            <family val="2"/>
          </rPr>
          <t xml:space="preserve">= 33881 - Normal </t>
        </r>
        <r>
          <rPr>
            <sz val="10"/>
            <color indexed="81"/>
            <rFont val="Tahoma"/>
            <family val="2"/>
          </rPr>
          <t xml:space="preserve">* Brasov Km Auto (Responses)
</t>
        </r>
      </text>
    </comment>
    <comment ref="AD8" authorId="0" shapeId="0" xr:uid="{E3AC4100-88B3-40A2-8C50-7943848373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34033 - Referinta </t>
        </r>
        <r>
          <rPr>
            <sz val="10"/>
            <color indexed="81"/>
            <rFont val="Tahoma"/>
            <family val="2"/>
          </rPr>
          <t xml:space="preserve">* Brasov Km Auto (Responses)
   2022-10-03 08:00:00 </t>
        </r>
        <r>
          <rPr>
            <b/>
            <sz val="10"/>
            <color indexed="81"/>
            <rFont val="Tahoma"/>
            <family val="2"/>
          </rPr>
          <t xml:space="preserve">= 34033 - Normal </t>
        </r>
        <r>
          <rPr>
            <sz val="10"/>
            <color indexed="81"/>
            <rFont val="Tahoma"/>
            <family val="2"/>
          </rPr>
          <t xml:space="preserve">* Brasov Km Auto (Responses)
</t>
        </r>
      </text>
    </comment>
    <comment ref="J9" authorId="0" shapeId="0" xr:uid="{D4A04BDA-17D8-499B-86E6-767D912785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16:54:58 </t>
        </r>
        <r>
          <rPr>
            <b/>
            <sz val="10"/>
            <color indexed="81"/>
            <rFont val="Tahoma"/>
            <family val="2"/>
          </rPr>
          <t xml:space="preserve">= 104308 - Referinta </t>
        </r>
        <r>
          <rPr>
            <sz val="10"/>
            <color indexed="81"/>
            <rFont val="Tahoma"/>
            <family val="2"/>
          </rPr>
          <t xml:space="preserve">* Brasov Km Auto (Responses)
   2022-09-05 07:58:28 </t>
        </r>
        <r>
          <rPr>
            <b/>
            <sz val="10"/>
            <color indexed="81"/>
            <rFont val="Tahoma"/>
            <family val="2"/>
          </rPr>
          <t xml:space="preserve">= 104329 - Normal </t>
        </r>
        <r>
          <rPr>
            <sz val="10"/>
            <color indexed="81"/>
            <rFont val="Tahoma"/>
            <family val="2"/>
          </rPr>
          <t xml:space="preserve">* Brasov Km Auto (Responses)
</t>
        </r>
      </text>
    </comment>
    <comment ref="O9" authorId="0" shapeId="0" xr:uid="{13A4351C-0B9A-49DB-981A-DE2DF314ED6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06:42:00 </t>
        </r>
        <r>
          <rPr>
            <b/>
            <sz val="10"/>
            <color indexed="81"/>
            <rFont val="Tahoma"/>
            <family val="2"/>
          </rPr>
          <t xml:space="preserve">= 104554 - Referinta </t>
        </r>
        <r>
          <rPr>
            <sz val="10"/>
            <color indexed="81"/>
            <rFont val="Tahoma"/>
            <family val="2"/>
          </rPr>
          <t xml:space="preserve">* Brasov Km Auto (Responses)
   2022-09-12 08:00:00 </t>
        </r>
        <r>
          <rPr>
            <b/>
            <sz val="10"/>
            <color indexed="81"/>
            <rFont val="Tahoma"/>
            <family val="2"/>
          </rPr>
          <t xml:space="preserve">= 104574 - Normal </t>
        </r>
        <r>
          <rPr>
            <sz val="10"/>
            <color indexed="81"/>
            <rFont val="Tahoma"/>
            <family val="2"/>
          </rPr>
          <t xml:space="preserve">* Brasov Km Auto (Responses)
</t>
        </r>
      </text>
    </comment>
    <comment ref="T9" authorId="0" shapeId="0" xr:uid="{BF879D88-4208-4128-98FF-09FD83D5C4A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__________________________________________________________________
</t>
        </r>
        <r>
          <rPr>
            <sz val="10"/>
            <color indexed="12"/>
            <rFont val="Tahoma"/>
            <family val="2"/>
          </rPr>
          <t xml:space="preserve">  </t>
        </r>
        <r>
          <rPr>
            <sz val="10"/>
            <color indexed="81"/>
            <rFont val="Tahoma"/>
            <family val="2"/>
          </rPr>
          <t xml:space="preserve"> 2022-09-16 05:17:00 </t>
        </r>
        <r>
          <rPr>
            <b/>
            <sz val="10"/>
            <color indexed="81"/>
            <rFont val="Tahoma"/>
            <family val="2"/>
          </rPr>
          <t xml:space="preserve">= 104558 - Referinta </t>
        </r>
        <r>
          <rPr>
            <sz val="10"/>
            <color indexed="81"/>
            <rFont val="Tahoma"/>
            <family val="2"/>
          </rPr>
          <t xml:space="preserve">* Brasov Km Auto (Responses)
   2022-09-20 07:54:00 </t>
        </r>
        <r>
          <rPr>
            <b/>
            <sz val="10"/>
            <color indexed="81"/>
            <rFont val="Tahoma"/>
            <family val="2"/>
          </rPr>
          <t xml:space="preserve">= 104578 - Normal </t>
        </r>
        <r>
          <rPr>
            <sz val="10"/>
            <color indexed="81"/>
            <rFont val="Tahoma"/>
            <family val="2"/>
          </rPr>
          <t xml:space="preserve">* Brasov Km Auto (Responses)
</t>
        </r>
      </text>
    </comment>
    <comment ref="Y9" authorId="0" shapeId="0" xr:uid="{B11FB36A-CE45-4956-9002-9E9ACC793D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__________________________________________________________________
</t>
        </r>
        <r>
          <rPr>
            <sz val="10"/>
            <color indexed="12"/>
            <rFont val="Tahoma"/>
            <family val="2"/>
          </rPr>
          <t xml:space="preserve">  </t>
        </r>
        <r>
          <rPr>
            <sz val="10"/>
            <color indexed="81"/>
            <rFont val="Tahoma"/>
            <family val="2"/>
          </rPr>
          <t xml:space="preserve"> 2022-09-23 17:04:34 </t>
        </r>
        <r>
          <rPr>
            <b/>
            <sz val="10"/>
            <color indexed="81"/>
            <rFont val="Tahoma"/>
            <family val="2"/>
          </rPr>
          <t xml:space="preserve">= 104693 - Referinta </t>
        </r>
        <r>
          <rPr>
            <sz val="10"/>
            <color indexed="81"/>
            <rFont val="Tahoma"/>
            <family val="2"/>
          </rPr>
          <t xml:space="preserve">* Brasov Km Auto (Responses)
   2022-09-26 08:22:43 </t>
        </r>
        <r>
          <rPr>
            <b/>
            <sz val="10"/>
            <color indexed="81"/>
            <rFont val="Tahoma"/>
            <family val="2"/>
          </rPr>
          <t xml:space="preserve">= 104710 - Normal </t>
        </r>
        <r>
          <rPr>
            <sz val="10"/>
            <color indexed="81"/>
            <rFont val="Tahoma"/>
            <family val="2"/>
          </rPr>
          <t xml:space="preserve">* Brasov Km Auto (Responses)
</t>
        </r>
      </text>
    </comment>
    <comment ref="AD9" authorId="0" shapeId="0" xr:uid="{463C344D-3D1F-4FA8-AEBC-40A07C854A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 
__________________________________________________________________
</t>
        </r>
        <r>
          <rPr>
            <sz val="10"/>
            <color indexed="12"/>
            <rFont val="Tahoma"/>
            <family val="2"/>
          </rPr>
          <t xml:space="preserve">  </t>
        </r>
        <r>
          <rPr>
            <sz val="10"/>
            <color indexed="81"/>
            <rFont val="Tahoma"/>
            <family val="2"/>
          </rPr>
          <t xml:space="preserve"> 2022-09-30 18:30:07 </t>
        </r>
        <r>
          <rPr>
            <b/>
            <sz val="10"/>
            <color indexed="81"/>
            <rFont val="Tahoma"/>
            <family val="2"/>
          </rPr>
          <t xml:space="preserve">= 104962 - Referinta </t>
        </r>
        <r>
          <rPr>
            <sz val="10"/>
            <color indexed="81"/>
            <rFont val="Tahoma"/>
            <family val="2"/>
          </rPr>
          <t xml:space="preserve">* Brasov Km Auto (Responses)
   2022-10-03 07:49:12 </t>
        </r>
        <r>
          <rPr>
            <b/>
            <sz val="10"/>
            <color indexed="81"/>
            <rFont val="Tahoma"/>
            <family val="2"/>
          </rPr>
          <t xml:space="preserve">= 104980 - Normal </t>
        </r>
        <r>
          <rPr>
            <sz val="10"/>
            <color indexed="81"/>
            <rFont val="Tahoma"/>
            <family val="2"/>
          </rPr>
          <t xml:space="preserve">* Brasov Km Auto (Responses)
</t>
        </r>
      </text>
    </comment>
    <comment ref="J10" authorId="0" shapeId="0" xr:uid="{C6C5E7CA-EE49-427C-927C-734AAA4B13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08:00:00 </t>
        </r>
        <r>
          <rPr>
            <b/>
            <sz val="10"/>
            <color indexed="81"/>
            <rFont val="Tahoma"/>
            <family val="2"/>
          </rPr>
          <t xml:space="preserve">= 132321 - Referinta </t>
        </r>
        <r>
          <rPr>
            <sz val="10"/>
            <color indexed="81"/>
            <rFont val="Tahoma"/>
            <family val="2"/>
          </rPr>
          <t xml:space="preserve">* Brasov Km Auto (Responses)
   2022-09-06 08:15:19 </t>
        </r>
        <r>
          <rPr>
            <b/>
            <sz val="10"/>
            <color indexed="81"/>
            <rFont val="Tahoma"/>
            <family val="2"/>
          </rPr>
          <t xml:space="preserve">= 132341 - Normal </t>
        </r>
        <r>
          <rPr>
            <sz val="10"/>
            <color indexed="81"/>
            <rFont val="Tahoma"/>
            <family val="2"/>
          </rPr>
          <t xml:space="preserve">* Brasov Km Auto (Responses)
</t>
        </r>
      </text>
    </comment>
    <comment ref="O10" authorId="0" shapeId="0" xr:uid="{B953B897-63A6-4357-BAA0-C5583419B66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2022-09-09 16:50:34 </t>
        </r>
        <r>
          <rPr>
            <b/>
            <sz val="10"/>
            <color indexed="81"/>
            <rFont val="Tahoma"/>
            <family val="2"/>
          </rPr>
          <t xml:space="preserve">= 132550 - Referinta </t>
        </r>
        <r>
          <rPr>
            <sz val="10"/>
            <color indexed="81"/>
            <rFont val="Tahoma"/>
            <family val="2"/>
          </rPr>
          <t xml:space="preserve">* Brasov Km Auto (Responses)
   2022-09-12 07:13:34 </t>
        </r>
        <r>
          <rPr>
            <b/>
            <sz val="10"/>
            <color indexed="81"/>
            <rFont val="Tahoma"/>
            <family val="2"/>
          </rPr>
          <t xml:space="preserve">= 132573 - Normal </t>
        </r>
        <r>
          <rPr>
            <sz val="10"/>
            <color indexed="81"/>
            <rFont val="Tahoma"/>
            <family val="2"/>
          </rPr>
          <t xml:space="preserve">* Brasov Km Auto (Responses)
</t>
        </r>
      </text>
    </comment>
    <comment ref="T10" authorId="0" shapeId="0" xr:uid="{7A2D6874-750A-4A5B-923E-A0D7717C6C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2022-09-16 16:26:40 </t>
        </r>
        <r>
          <rPr>
            <b/>
            <sz val="10"/>
            <color indexed="81"/>
            <rFont val="Tahoma"/>
            <family val="2"/>
          </rPr>
          <t xml:space="preserve">= 132995 - Referinta </t>
        </r>
        <r>
          <rPr>
            <sz val="10"/>
            <color indexed="81"/>
            <rFont val="Tahoma"/>
            <family val="2"/>
          </rPr>
          <t xml:space="preserve">* Brasov Km Auto (Responses)
   2022-09-19 07:22:14 </t>
        </r>
        <r>
          <rPr>
            <b/>
            <sz val="10"/>
            <color indexed="81"/>
            <rFont val="Tahoma"/>
            <family val="2"/>
          </rPr>
          <t xml:space="preserve">= 132997 - Normal </t>
        </r>
        <r>
          <rPr>
            <sz val="10"/>
            <color indexed="81"/>
            <rFont val="Tahoma"/>
            <family val="2"/>
          </rPr>
          <t xml:space="preserve">* Brasov Km Auto (Responses)
</t>
        </r>
      </text>
    </comment>
    <comment ref="Y10" authorId="0" shapeId="0" xr:uid="{B5667D0A-6C09-4029-8DC7-2CCB065488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2022-09-23 16:29:20 </t>
        </r>
        <r>
          <rPr>
            <b/>
            <sz val="10"/>
            <color indexed="81"/>
            <rFont val="Tahoma"/>
            <family val="2"/>
          </rPr>
          <t xml:space="preserve">= 133180 - Referinta </t>
        </r>
        <r>
          <rPr>
            <sz val="10"/>
            <color indexed="81"/>
            <rFont val="Tahoma"/>
            <family val="2"/>
          </rPr>
          <t xml:space="preserve">* Brasov Km Auto (Responses)
   2022-09-26 07:23:52 </t>
        </r>
        <r>
          <rPr>
            <b/>
            <sz val="10"/>
            <color indexed="81"/>
            <rFont val="Tahoma"/>
            <family val="2"/>
          </rPr>
          <t xml:space="preserve">= 133191 - Normal </t>
        </r>
        <r>
          <rPr>
            <sz val="10"/>
            <color indexed="81"/>
            <rFont val="Tahoma"/>
            <family val="2"/>
          </rPr>
          <t xml:space="preserve">* Brasov Km Auto (Responses)
</t>
        </r>
      </text>
    </comment>
    <comment ref="AD10" authorId="0" shapeId="0" xr:uid="{E5D473AE-4EA5-44BA-AA1F-4C9FA864E54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 
__________________________________________________________________
</t>
        </r>
        <r>
          <rPr>
            <sz val="10"/>
            <color indexed="12"/>
            <rFont val="Tahoma"/>
            <family val="2"/>
          </rPr>
          <t xml:space="preserve">  </t>
        </r>
        <r>
          <rPr>
            <sz val="10"/>
            <color indexed="81"/>
            <rFont val="Tahoma"/>
            <family val="2"/>
          </rPr>
          <t xml:space="preserve"> 2022-09-30 16:38:32 </t>
        </r>
        <r>
          <rPr>
            <b/>
            <sz val="10"/>
            <color indexed="81"/>
            <rFont val="Tahoma"/>
            <family val="2"/>
          </rPr>
          <t xml:space="preserve">= 133503 - Referinta </t>
        </r>
        <r>
          <rPr>
            <sz val="10"/>
            <color indexed="81"/>
            <rFont val="Tahoma"/>
            <family val="2"/>
          </rPr>
          <t xml:space="preserve">* Brasov Km Auto (Responses)
   2022-10-03 07:26:35 </t>
        </r>
        <r>
          <rPr>
            <b/>
            <sz val="10"/>
            <color indexed="81"/>
            <rFont val="Tahoma"/>
            <family val="2"/>
          </rPr>
          <t xml:space="preserve">= 133525 - Normal </t>
        </r>
        <r>
          <rPr>
            <sz val="10"/>
            <color indexed="81"/>
            <rFont val="Tahoma"/>
            <family val="2"/>
          </rPr>
          <t xml:space="preserve">* Brasov Km Auto (Responses)
</t>
        </r>
      </text>
    </comment>
    <comment ref="J11" authorId="0" shapeId="0" xr:uid="{FBF17765-074B-405F-B975-BB07A18FE91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15:29:10 </t>
        </r>
        <r>
          <rPr>
            <b/>
            <sz val="10"/>
            <color indexed="81"/>
            <rFont val="Tahoma"/>
            <family val="2"/>
          </rPr>
          <t xml:space="preserve">= 6829 - Referinta </t>
        </r>
        <r>
          <rPr>
            <sz val="10"/>
            <color indexed="81"/>
            <rFont val="Tahoma"/>
            <family val="2"/>
          </rPr>
          <t xml:space="preserve">* Bucuresti Km Auto Tesa (Responses)
   2022-09-05 16:42:09 </t>
        </r>
        <r>
          <rPr>
            <b/>
            <sz val="10"/>
            <color indexed="81"/>
            <rFont val="Tahoma"/>
            <family val="2"/>
          </rPr>
          <t xml:space="preserve">= 6829 - Normal </t>
        </r>
        <r>
          <rPr>
            <sz val="10"/>
            <color indexed="81"/>
            <rFont val="Tahoma"/>
            <family val="2"/>
          </rPr>
          <t xml:space="preserve">* Bucuresti Km Auto Tesa (Responses)
</t>
        </r>
      </text>
    </comment>
    <comment ref="O11" authorId="0" shapeId="0" xr:uid="{E8A4C075-C939-4FD2-943A-8F1F77E176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2022-09-09 08:00:00 </t>
        </r>
        <r>
          <rPr>
            <b/>
            <sz val="10"/>
            <color indexed="81"/>
            <rFont val="Tahoma"/>
            <family val="2"/>
          </rPr>
          <t xml:space="preserve">= 6850 - Referinta </t>
        </r>
        <r>
          <rPr>
            <sz val="10"/>
            <color indexed="81"/>
            <rFont val="Tahoma"/>
            <family val="2"/>
          </rPr>
          <t xml:space="preserve">* Bucuresti Km Auto Tesa (Responses)
   2022-09-14 12:36:14 </t>
        </r>
        <r>
          <rPr>
            <b/>
            <sz val="10"/>
            <color indexed="81"/>
            <rFont val="Tahoma"/>
            <family val="2"/>
          </rPr>
          <t xml:space="preserve">= 6856 - Normal </t>
        </r>
        <r>
          <rPr>
            <sz val="10"/>
            <color indexed="81"/>
            <rFont val="Tahoma"/>
            <family val="2"/>
          </rPr>
          <t xml:space="preserve">* Bucuresti Km Auto Tesa (Responses)
</t>
        </r>
      </text>
    </comment>
    <comment ref="T11" authorId="0" shapeId="0" xr:uid="{5D98075F-B48D-45E0-9959-AC573414BB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2022-09-16 04:08:00 </t>
        </r>
        <r>
          <rPr>
            <b/>
            <sz val="10"/>
            <color indexed="81"/>
            <rFont val="Tahoma"/>
            <family val="2"/>
          </rPr>
          <t xml:space="preserve">= 6928 - Referinta </t>
        </r>
        <r>
          <rPr>
            <sz val="10"/>
            <color indexed="81"/>
            <rFont val="Tahoma"/>
            <family val="2"/>
          </rPr>
          <t xml:space="preserve">* Bucuresti Km Auto Tesa (Responses)
   2022-09-19 07:24:00 </t>
        </r>
        <r>
          <rPr>
            <b/>
            <sz val="10"/>
            <color indexed="81"/>
            <rFont val="Tahoma"/>
            <family val="2"/>
          </rPr>
          <t xml:space="preserve">= 7522 - Interes serviciu </t>
        </r>
        <r>
          <rPr>
            <sz val="10"/>
            <color indexed="81"/>
            <rFont val="Tahoma"/>
            <family val="2"/>
          </rPr>
          <t xml:space="preserve">* Bucuresti Km Auto Tesa (Responses)
   2022-09-19 14:23:18 </t>
        </r>
        <r>
          <rPr>
            <b/>
            <sz val="10"/>
            <color indexed="81"/>
            <rFont val="Tahoma"/>
            <family val="2"/>
          </rPr>
          <t xml:space="preserve">= 7522 - Interes serviciu </t>
        </r>
        <r>
          <rPr>
            <sz val="10"/>
            <color indexed="81"/>
            <rFont val="Tahoma"/>
            <family val="2"/>
          </rPr>
          <t xml:space="preserve">* Bucuresti Km Auto Tesa (Responses)
</t>
        </r>
      </text>
    </comment>
    <comment ref="Y11" authorId="0" shapeId="0" xr:uid="{0993048F-79A3-4354-B5CC-3BA6CD0DAD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2022-09-23 04:30:00 </t>
        </r>
        <r>
          <rPr>
            <b/>
            <sz val="10"/>
            <color indexed="81"/>
            <rFont val="Tahoma"/>
            <family val="2"/>
          </rPr>
          <t xml:space="preserve">= 7669 - Referinta </t>
        </r>
        <r>
          <rPr>
            <sz val="10"/>
            <color indexed="81"/>
            <rFont val="Tahoma"/>
            <family val="2"/>
          </rPr>
          <t xml:space="preserve">* Bucuresti Km Auto Tesa (Responses)
   2022-09-26 17:11:53 </t>
        </r>
        <r>
          <rPr>
            <b/>
            <sz val="10"/>
            <color indexed="81"/>
            <rFont val="Tahoma"/>
            <family val="2"/>
          </rPr>
          <t xml:space="preserve">= 7669 - Normal </t>
        </r>
        <r>
          <rPr>
            <sz val="10"/>
            <color indexed="81"/>
            <rFont val="Tahoma"/>
            <family val="2"/>
          </rPr>
          <t xml:space="preserve">* Bucuresti Km Auto Tesa (Responses)
</t>
        </r>
      </text>
    </comment>
    <comment ref="AD11" authorId="0" shapeId="0" xr:uid="{A4AC1ABC-6FFE-40EF-8670-A457CD19668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 
__________________________________________________________________
</t>
        </r>
        <r>
          <rPr>
            <sz val="10"/>
            <color indexed="12"/>
            <rFont val="Tahoma"/>
            <family val="2"/>
          </rPr>
          <t xml:space="preserve">  </t>
        </r>
        <r>
          <rPr>
            <sz val="10"/>
            <color indexed="81"/>
            <rFont val="Tahoma"/>
            <family val="2"/>
          </rPr>
          <t xml:space="preserve"> 2022-09-30 20:18:03 </t>
        </r>
        <r>
          <rPr>
            <b/>
            <sz val="10"/>
            <color indexed="81"/>
            <rFont val="Tahoma"/>
            <family val="2"/>
          </rPr>
          <t xml:space="preserve">= 7687 - Referinta </t>
        </r>
        <r>
          <rPr>
            <sz val="10"/>
            <color indexed="81"/>
            <rFont val="Tahoma"/>
            <family val="2"/>
          </rPr>
          <t xml:space="preserve">* Bucuresti Km Auto Tesa (Responses)
   2022-10-03 10:21:34 </t>
        </r>
        <r>
          <rPr>
            <b/>
            <sz val="10"/>
            <color indexed="81"/>
            <rFont val="Tahoma"/>
            <family val="2"/>
          </rPr>
          <t xml:space="preserve">= 7687 - Normal </t>
        </r>
        <r>
          <rPr>
            <sz val="10"/>
            <color indexed="81"/>
            <rFont val="Tahoma"/>
            <family val="2"/>
          </rPr>
          <t xml:space="preserve">* Bucuresti Km Auto Tesa (Responses)
</t>
        </r>
      </text>
    </comment>
    <comment ref="O12" authorId="0" shapeId="0" xr:uid="{92A52059-1573-4E1E-864B-A0A71692FC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B-182-CLT</t>
        </r>
        <r>
          <rPr>
            <b/>
            <sz val="10"/>
            <color indexed="12"/>
            <rFont val="Tahoma"/>
            <family val="2"/>
          </rPr>
          <t xml:space="preserve"> - Salajan Cristian : 
__________________________________________________________________
</t>
        </r>
        <r>
          <rPr>
            <sz val="10"/>
            <color indexed="12"/>
            <rFont val="Tahoma"/>
            <family val="2"/>
          </rPr>
          <t xml:space="preserve">  </t>
        </r>
        <r>
          <rPr>
            <sz val="10"/>
            <color indexed="81"/>
            <rFont val="Tahoma"/>
            <family val="2"/>
          </rPr>
          <t xml:space="preserve"> 2022-09-10 02:17:00 </t>
        </r>
        <r>
          <rPr>
            <b/>
            <sz val="10"/>
            <color indexed="81"/>
            <rFont val="Tahoma"/>
            <family val="2"/>
          </rPr>
          <t xml:space="preserve">= 104278 - Referinta </t>
        </r>
        <r>
          <rPr>
            <sz val="10"/>
            <color indexed="81"/>
            <rFont val="Tahoma"/>
            <family val="2"/>
          </rPr>
          <t xml:space="preserve">* Bucuresti Km Auto Tesa (Responses)
</t>
        </r>
      </text>
    </comment>
    <comment ref="J13" authorId="0" shapeId="0" xr:uid="{38B6B94A-6BD1-478B-99D9-C5E2316610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11:23:16 </t>
        </r>
        <r>
          <rPr>
            <b/>
            <sz val="10"/>
            <color indexed="81"/>
            <rFont val="Tahoma"/>
            <family val="2"/>
          </rPr>
          <t xml:space="preserve">= 208664 - Referinta </t>
        </r>
        <r>
          <rPr>
            <sz val="10"/>
            <color indexed="81"/>
            <rFont val="Tahoma"/>
            <family val="2"/>
          </rPr>
          <t xml:space="preserve">* Bucuresti Km Auto Tesa (Responses)
   2022-09-05 06:52:33 </t>
        </r>
        <r>
          <rPr>
            <b/>
            <sz val="10"/>
            <color indexed="81"/>
            <rFont val="Tahoma"/>
            <family val="2"/>
          </rPr>
          <t xml:space="preserve">= 208704 - Normal </t>
        </r>
        <r>
          <rPr>
            <sz val="10"/>
            <color indexed="81"/>
            <rFont val="Tahoma"/>
            <family val="2"/>
          </rPr>
          <t xml:space="preserve">* Bucuresti Km Auto Tesa (Responses)
</t>
        </r>
      </text>
    </comment>
    <comment ref="O13" authorId="0" shapeId="0" xr:uid="{20C0462D-E42E-4C78-9FF0-DFAE42024E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2022-09-11 10:10:00 </t>
        </r>
        <r>
          <rPr>
            <b/>
            <sz val="10"/>
            <color indexed="81"/>
            <rFont val="Tahoma"/>
            <family val="2"/>
          </rPr>
          <t xml:space="preserve">= 209261 - Referinta </t>
        </r>
        <r>
          <rPr>
            <sz val="10"/>
            <color indexed="81"/>
            <rFont val="Tahoma"/>
            <family val="2"/>
          </rPr>
          <t xml:space="preserve">* Bucuresti Km Auto Tesa (Responses)
   2022-09-12 06:52:58 </t>
        </r>
        <r>
          <rPr>
            <b/>
            <sz val="10"/>
            <color indexed="81"/>
            <rFont val="Tahoma"/>
            <family val="2"/>
          </rPr>
          <t xml:space="preserve">= 209287 - Normal </t>
        </r>
        <r>
          <rPr>
            <sz val="10"/>
            <color indexed="81"/>
            <rFont val="Tahoma"/>
            <family val="2"/>
          </rPr>
          <t xml:space="preserve">* Bucuresti Km Auto Tesa (Responses)
</t>
        </r>
      </text>
    </comment>
    <comment ref="T13" authorId="0" shapeId="0" xr:uid="{07BD1620-70B4-4CF3-8588-EA7A7EC801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2022-09-17 08:17:12 </t>
        </r>
        <r>
          <rPr>
            <b/>
            <sz val="10"/>
            <color indexed="81"/>
            <rFont val="Tahoma"/>
            <family val="2"/>
          </rPr>
          <t xml:space="preserve">= 209856 - Referinta </t>
        </r>
        <r>
          <rPr>
            <sz val="10"/>
            <color indexed="81"/>
            <rFont val="Tahoma"/>
            <family val="2"/>
          </rPr>
          <t xml:space="preserve">* Bucuresti Km Auto Tesa (Responses)
   2022-09-19 07:17:15 </t>
        </r>
        <r>
          <rPr>
            <b/>
            <sz val="10"/>
            <color indexed="81"/>
            <rFont val="Tahoma"/>
            <family val="2"/>
          </rPr>
          <t xml:space="preserve">= 209933 - Normal </t>
        </r>
        <r>
          <rPr>
            <sz val="10"/>
            <color indexed="81"/>
            <rFont val="Tahoma"/>
            <family val="2"/>
          </rPr>
          <t xml:space="preserve">* Bucuresti Km Auto Tesa (Responses)
</t>
        </r>
      </text>
    </comment>
    <comment ref="Y13" authorId="0" shapeId="0" xr:uid="{3AE72E75-F86B-4E71-B70A-FE41C9FC33B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2022-09-23 08:00:00 </t>
        </r>
        <r>
          <rPr>
            <b/>
            <sz val="10"/>
            <color indexed="81"/>
            <rFont val="Tahoma"/>
            <family val="2"/>
          </rPr>
          <t xml:space="preserve">= 210500 - Referinta </t>
        </r>
        <r>
          <rPr>
            <sz val="10"/>
            <color indexed="81"/>
            <rFont val="Tahoma"/>
            <family val="2"/>
          </rPr>
          <t xml:space="preserve">* Bucuresti Km Auto Tesa (Responses)
   2022-09-26 08:00:00 </t>
        </r>
        <r>
          <rPr>
            <b/>
            <sz val="10"/>
            <color indexed="81"/>
            <rFont val="Tahoma"/>
            <family val="2"/>
          </rPr>
          <t xml:space="preserve">= 210590 - Normal </t>
        </r>
        <r>
          <rPr>
            <sz val="10"/>
            <color indexed="81"/>
            <rFont val="Tahoma"/>
            <family val="2"/>
          </rPr>
          <t xml:space="preserve">* Bucuresti Km Auto Tesa (Responses)
</t>
        </r>
      </text>
    </comment>
    <comment ref="AD13" authorId="0" shapeId="0" xr:uid="{9320E4FD-8030-47C3-82C9-E61C2ADCBE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 
__________________________________________________________________
</t>
        </r>
        <r>
          <rPr>
            <sz val="10"/>
            <color indexed="12"/>
            <rFont val="Tahoma"/>
            <family val="2"/>
          </rPr>
          <t xml:space="preserve">  </t>
        </r>
        <r>
          <rPr>
            <sz val="10"/>
            <color indexed="81"/>
            <rFont val="Tahoma"/>
            <family val="2"/>
          </rPr>
          <t xml:space="preserve"> 2022-10-01 10:05:08 </t>
        </r>
        <r>
          <rPr>
            <b/>
            <sz val="10"/>
            <color indexed="81"/>
            <rFont val="Tahoma"/>
            <family val="2"/>
          </rPr>
          <t xml:space="preserve">= 211085 - Referinta </t>
        </r>
        <r>
          <rPr>
            <sz val="10"/>
            <color indexed="81"/>
            <rFont val="Tahoma"/>
            <family val="2"/>
          </rPr>
          <t xml:space="preserve">* Bucuresti Km Auto Tesa (Responses)
   2022-10-03 07:04:43 </t>
        </r>
        <r>
          <rPr>
            <b/>
            <sz val="10"/>
            <color indexed="81"/>
            <rFont val="Tahoma"/>
            <family val="2"/>
          </rPr>
          <t xml:space="preserve">= 211216 - Normal </t>
        </r>
        <r>
          <rPr>
            <sz val="10"/>
            <color indexed="81"/>
            <rFont val="Tahoma"/>
            <family val="2"/>
          </rPr>
          <t xml:space="preserve">* Bucuresti Km Auto Tesa (Responses)
</t>
        </r>
      </text>
    </comment>
    <comment ref="J14" authorId="0" shapeId="0" xr:uid="{4A79B28D-ED13-42EC-9D9F-5978E6A64F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17:56:41 </t>
        </r>
        <r>
          <rPr>
            <b/>
            <sz val="10"/>
            <color indexed="81"/>
            <rFont val="Tahoma"/>
            <family val="2"/>
          </rPr>
          <t xml:space="preserve">= 26282 - Referinta </t>
        </r>
        <r>
          <rPr>
            <sz val="10"/>
            <color indexed="81"/>
            <rFont val="Tahoma"/>
            <family val="2"/>
          </rPr>
          <t xml:space="preserve">* Bucuresti Km Auto Tesa (Responses)
   2022-09-05 17:02:44 </t>
        </r>
        <r>
          <rPr>
            <b/>
            <sz val="10"/>
            <color indexed="81"/>
            <rFont val="Tahoma"/>
            <family val="2"/>
          </rPr>
          <t xml:space="preserve">= 26282 - Normal </t>
        </r>
        <r>
          <rPr>
            <sz val="10"/>
            <color indexed="81"/>
            <rFont val="Tahoma"/>
            <family val="2"/>
          </rPr>
          <t xml:space="preserve">* Bucuresti Km Auto Tesa (Responses)
</t>
        </r>
      </text>
    </comment>
    <comment ref="O14" authorId="0" shapeId="0" xr:uid="{F53FFC4C-683B-4DBF-A382-F242BE2855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2022-09-09 19:03:45 </t>
        </r>
        <r>
          <rPr>
            <b/>
            <sz val="10"/>
            <color indexed="81"/>
            <rFont val="Tahoma"/>
            <family val="2"/>
          </rPr>
          <t xml:space="preserve">= 26525 - Referinta </t>
        </r>
        <r>
          <rPr>
            <sz val="10"/>
            <color indexed="81"/>
            <rFont val="Tahoma"/>
            <family val="2"/>
          </rPr>
          <t xml:space="preserve">* Bucuresti Km Auto Tesa (Responses)
   2022-09-12 06:57:56 </t>
        </r>
        <r>
          <rPr>
            <b/>
            <sz val="10"/>
            <color indexed="81"/>
            <rFont val="Tahoma"/>
            <family val="2"/>
          </rPr>
          <t xml:space="preserve">= 26525 - Normal </t>
        </r>
        <r>
          <rPr>
            <sz val="10"/>
            <color indexed="81"/>
            <rFont val="Tahoma"/>
            <family val="2"/>
          </rPr>
          <t xml:space="preserve">* Bucuresti Km Auto Tesa (Responses)
</t>
        </r>
      </text>
    </comment>
    <comment ref="T14" authorId="0" shapeId="0" xr:uid="{012E0B7A-1DCD-49A5-B8F8-0A047D7027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2022-09-16 17:17:58 </t>
        </r>
        <r>
          <rPr>
            <b/>
            <sz val="10"/>
            <color indexed="81"/>
            <rFont val="Tahoma"/>
            <family val="2"/>
          </rPr>
          <t xml:space="preserve">= 26760 - Referinta </t>
        </r>
        <r>
          <rPr>
            <sz val="10"/>
            <color indexed="81"/>
            <rFont val="Tahoma"/>
            <family val="2"/>
          </rPr>
          <t xml:space="preserve">* Bucuresti Km Auto Tesa (Responses)
   2022-09-19 06:26:07 </t>
        </r>
        <r>
          <rPr>
            <b/>
            <sz val="10"/>
            <color indexed="81"/>
            <rFont val="Tahoma"/>
            <family val="2"/>
          </rPr>
          <t xml:space="preserve">= 26760 - Normal </t>
        </r>
        <r>
          <rPr>
            <sz val="10"/>
            <color indexed="81"/>
            <rFont val="Tahoma"/>
            <family val="2"/>
          </rPr>
          <t xml:space="preserve">* Bucuresti Km Auto Tesa (Responses)
</t>
        </r>
      </text>
    </comment>
    <comment ref="Y14" authorId="0" shapeId="0" xr:uid="{27DD7672-CBDA-44CF-950C-1F5B4E75D3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2022-09-23 17:00:52 </t>
        </r>
        <r>
          <rPr>
            <b/>
            <sz val="10"/>
            <color indexed="81"/>
            <rFont val="Tahoma"/>
            <family val="2"/>
          </rPr>
          <t xml:space="preserve">= 27078 - Referinta </t>
        </r>
        <r>
          <rPr>
            <sz val="10"/>
            <color indexed="81"/>
            <rFont val="Tahoma"/>
            <family val="2"/>
          </rPr>
          <t xml:space="preserve">* Bucuresti Km Auto Tesa (Responses)
   2022-09-26 06:34:31 </t>
        </r>
        <r>
          <rPr>
            <b/>
            <sz val="10"/>
            <color indexed="81"/>
            <rFont val="Tahoma"/>
            <family val="2"/>
          </rPr>
          <t xml:space="preserve">= 27078 - Normal </t>
        </r>
        <r>
          <rPr>
            <sz val="10"/>
            <color indexed="81"/>
            <rFont val="Tahoma"/>
            <family val="2"/>
          </rPr>
          <t xml:space="preserve">* Bucuresti Km Auto Tesa (Responses)
</t>
        </r>
      </text>
    </comment>
    <comment ref="AD14" authorId="0" shapeId="0" xr:uid="{1F94AFAC-6ECE-4871-9914-B9B512EA44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 
__________________________________________________________________
</t>
        </r>
        <r>
          <rPr>
            <sz val="10"/>
            <color indexed="12"/>
            <rFont val="Tahoma"/>
            <family val="2"/>
          </rPr>
          <t xml:space="preserve">  </t>
        </r>
        <r>
          <rPr>
            <sz val="10"/>
            <color indexed="81"/>
            <rFont val="Tahoma"/>
            <family val="2"/>
          </rPr>
          <t xml:space="preserve"> 2022-09-30 17:31:34 </t>
        </r>
        <r>
          <rPr>
            <b/>
            <sz val="10"/>
            <color indexed="81"/>
            <rFont val="Tahoma"/>
            <family val="2"/>
          </rPr>
          <t xml:space="preserve">= 27349 - Referinta </t>
        </r>
        <r>
          <rPr>
            <sz val="10"/>
            <color indexed="81"/>
            <rFont val="Tahoma"/>
            <family val="2"/>
          </rPr>
          <t xml:space="preserve">* Bucuresti Km Auto Tesa (Responses)
   2022-10-03 06:41:24 </t>
        </r>
        <r>
          <rPr>
            <b/>
            <sz val="10"/>
            <color indexed="81"/>
            <rFont val="Tahoma"/>
            <family val="2"/>
          </rPr>
          <t xml:space="preserve">= 27349 - Normal </t>
        </r>
        <r>
          <rPr>
            <sz val="10"/>
            <color indexed="81"/>
            <rFont val="Tahoma"/>
            <family val="2"/>
          </rPr>
          <t xml:space="preserve">* Bucuresti Km Auto Tesa (Responses)
</t>
        </r>
      </text>
    </comment>
    <comment ref="J15" authorId="0" shapeId="0" xr:uid="{B6BFEB13-E713-400E-8B4E-88BAD5D708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17:29:02 </t>
        </r>
        <r>
          <rPr>
            <b/>
            <sz val="10"/>
            <color indexed="81"/>
            <rFont val="Tahoma"/>
            <family val="2"/>
          </rPr>
          <t xml:space="preserve">= 181118 - Referinta </t>
        </r>
        <r>
          <rPr>
            <sz val="10"/>
            <color indexed="81"/>
            <rFont val="Tahoma"/>
            <family val="2"/>
          </rPr>
          <t xml:space="preserve">* Bucuresti Km Auto Tesa (Responses)
   2022-09-05 07:28:15 </t>
        </r>
        <r>
          <rPr>
            <b/>
            <sz val="10"/>
            <color indexed="81"/>
            <rFont val="Tahoma"/>
            <family val="2"/>
          </rPr>
          <t xml:space="preserve">= 181143 - Normal </t>
        </r>
        <r>
          <rPr>
            <sz val="10"/>
            <color indexed="81"/>
            <rFont val="Tahoma"/>
            <family val="2"/>
          </rPr>
          <t xml:space="preserve">* Bucuresti Km Auto Tesa (Responses)
</t>
        </r>
      </text>
    </comment>
    <comment ref="O15" authorId="0" shapeId="0" xr:uid="{54F01E03-297F-4685-87F3-834B24B52B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2022-09-09 16:55:20 </t>
        </r>
        <r>
          <rPr>
            <b/>
            <sz val="10"/>
            <color indexed="81"/>
            <rFont val="Tahoma"/>
            <family val="2"/>
          </rPr>
          <t xml:space="preserve">= 181344 - Referinta </t>
        </r>
        <r>
          <rPr>
            <sz val="10"/>
            <color indexed="81"/>
            <rFont val="Tahoma"/>
            <family val="2"/>
          </rPr>
          <t xml:space="preserve">* Bucuresti Km Auto Tesa (Responses)
   2022-09-12 06:42:27 </t>
        </r>
        <r>
          <rPr>
            <b/>
            <sz val="10"/>
            <color indexed="81"/>
            <rFont val="Tahoma"/>
            <family val="2"/>
          </rPr>
          <t xml:space="preserve">= 181344 - Normal </t>
        </r>
        <r>
          <rPr>
            <sz val="10"/>
            <color indexed="81"/>
            <rFont val="Tahoma"/>
            <family val="2"/>
          </rPr>
          <t xml:space="preserve">* Bucuresti Km Auto Tesa (Responses)
</t>
        </r>
      </text>
    </comment>
    <comment ref="T15" authorId="0" shapeId="0" xr:uid="{3637052D-87B6-4546-9E0A-B8C6DD8A32B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2022-09-16 17:22:15 </t>
        </r>
        <r>
          <rPr>
            <b/>
            <sz val="10"/>
            <color indexed="81"/>
            <rFont val="Tahoma"/>
            <family val="2"/>
          </rPr>
          <t xml:space="preserve">= 181527 - Referinta </t>
        </r>
        <r>
          <rPr>
            <sz val="10"/>
            <color indexed="81"/>
            <rFont val="Tahoma"/>
            <family val="2"/>
          </rPr>
          <t xml:space="preserve">* Bucuresti Km Auto Tesa (Responses)
   2022-09-19 06:43:34 </t>
        </r>
        <r>
          <rPr>
            <b/>
            <sz val="10"/>
            <color indexed="81"/>
            <rFont val="Tahoma"/>
            <family val="2"/>
          </rPr>
          <t xml:space="preserve">= 181527 - Normal </t>
        </r>
        <r>
          <rPr>
            <sz val="10"/>
            <color indexed="81"/>
            <rFont val="Tahoma"/>
            <family val="2"/>
          </rPr>
          <t xml:space="preserve">* Bucuresti Km Auto Tesa (Responses)
</t>
        </r>
      </text>
    </comment>
    <comment ref="Y15" authorId="0" shapeId="0" xr:uid="{7BB1AFF9-71D2-413D-9C3A-EE15AD2D3C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2022-09-23 17:32:46 </t>
        </r>
        <r>
          <rPr>
            <b/>
            <sz val="10"/>
            <color indexed="81"/>
            <rFont val="Tahoma"/>
            <family val="2"/>
          </rPr>
          <t xml:space="preserve">= 181753 - Referinta </t>
        </r>
        <r>
          <rPr>
            <sz val="10"/>
            <color indexed="81"/>
            <rFont val="Tahoma"/>
            <family val="2"/>
          </rPr>
          <t xml:space="preserve">* Bucuresti Km Auto Tesa (Responses)
   2022-09-26 06:49:25 </t>
        </r>
        <r>
          <rPr>
            <b/>
            <sz val="10"/>
            <color indexed="81"/>
            <rFont val="Tahoma"/>
            <family val="2"/>
          </rPr>
          <t xml:space="preserve">= 181753 - Normal </t>
        </r>
        <r>
          <rPr>
            <sz val="10"/>
            <color indexed="81"/>
            <rFont val="Tahoma"/>
            <family val="2"/>
          </rPr>
          <t xml:space="preserve">* Bucuresti Km Auto Tesa (Responses)
</t>
        </r>
      </text>
    </comment>
    <comment ref="AD15" authorId="0" shapeId="0" xr:uid="{4970AA91-94EA-4A58-8771-97840728E8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 
__________________________________________________________________
</t>
        </r>
        <r>
          <rPr>
            <sz val="10"/>
            <color indexed="12"/>
            <rFont val="Tahoma"/>
            <family val="2"/>
          </rPr>
          <t xml:space="preserve">  </t>
        </r>
        <r>
          <rPr>
            <sz val="10"/>
            <color indexed="81"/>
            <rFont val="Tahoma"/>
            <family val="2"/>
          </rPr>
          <t xml:space="preserve"> 2022-09-30 17:23:28 </t>
        </r>
        <r>
          <rPr>
            <b/>
            <sz val="10"/>
            <color indexed="81"/>
            <rFont val="Tahoma"/>
            <family val="2"/>
          </rPr>
          <t xml:space="preserve">= 181973 - Referinta </t>
        </r>
        <r>
          <rPr>
            <sz val="10"/>
            <color indexed="81"/>
            <rFont val="Tahoma"/>
            <family val="2"/>
          </rPr>
          <t xml:space="preserve">* Bucuresti Km Auto Tesa (Responses)
   2022-10-03 06:57:24 </t>
        </r>
        <r>
          <rPr>
            <b/>
            <sz val="10"/>
            <color indexed="81"/>
            <rFont val="Tahoma"/>
            <family val="2"/>
          </rPr>
          <t xml:space="preserve">= 181974 - Normal </t>
        </r>
        <r>
          <rPr>
            <sz val="10"/>
            <color indexed="81"/>
            <rFont val="Tahoma"/>
            <family val="2"/>
          </rPr>
          <t xml:space="preserve">* Bucuresti Km Auto Tesa (Responses)
</t>
        </r>
      </text>
    </comment>
    <comment ref="J16" authorId="0" shapeId="0" xr:uid="{EA14E71A-71EF-4430-9154-C8892E8A16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14:21:48 </t>
        </r>
        <r>
          <rPr>
            <b/>
            <sz val="10"/>
            <color indexed="81"/>
            <rFont val="Tahoma"/>
            <family val="2"/>
          </rPr>
          <t xml:space="preserve">= 133898 - Referinta </t>
        </r>
        <r>
          <rPr>
            <sz val="10"/>
            <color indexed="81"/>
            <rFont val="Tahoma"/>
            <family val="2"/>
          </rPr>
          <t xml:space="preserve">* Bucuresti Km Auto Tesa (Responses)
   2022-09-05 07:50:08 </t>
        </r>
        <r>
          <rPr>
            <b/>
            <sz val="10"/>
            <color indexed="81"/>
            <rFont val="Tahoma"/>
            <family val="2"/>
          </rPr>
          <t xml:space="preserve">= 133898 - Normal </t>
        </r>
        <r>
          <rPr>
            <sz val="10"/>
            <color indexed="81"/>
            <rFont val="Tahoma"/>
            <family val="2"/>
          </rPr>
          <t xml:space="preserve">* Bucuresti Km Auto Tesa (Responses)
</t>
        </r>
      </text>
    </comment>
    <comment ref="O16" authorId="0" shapeId="0" xr:uid="{F935C3B5-DC31-4CEB-960F-4EB81F6D5A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2022-09-09 08:14:44 </t>
        </r>
        <r>
          <rPr>
            <b/>
            <sz val="10"/>
            <color indexed="81"/>
            <rFont val="Tahoma"/>
            <family val="2"/>
          </rPr>
          <t xml:space="preserve">= 133932 - Referinta </t>
        </r>
        <r>
          <rPr>
            <sz val="10"/>
            <color indexed="81"/>
            <rFont val="Tahoma"/>
            <family val="2"/>
          </rPr>
          <t xml:space="preserve">* Bucuresti Km Auto Tesa (Responses)
   2022-09-12 07:52:50 </t>
        </r>
        <r>
          <rPr>
            <b/>
            <sz val="10"/>
            <color indexed="81"/>
            <rFont val="Tahoma"/>
            <family val="2"/>
          </rPr>
          <t xml:space="preserve">= 133932 - Normal </t>
        </r>
        <r>
          <rPr>
            <sz val="10"/>
            <color indexed="81"/>
            <rFont val="Tahoma"/>
            <family val="2"/>
          </rPr>
          <t xml:space="preserve">* Bucuresti Km Auto Tesa (Responses)
</t>
        </r>
      </text>
    </comment>
    <comment ref="T16" authorId="0" shapeId="0" xr:uid="{6DD6CF7B-6FA3-40B9-80A1-18A2CDFC6B6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2022-09-16 15:00:01 </t>
        </r>
        <r>
          <rPr>
            <b/>
            <sz val="10"/>
            <color indexed="81"/>
            <rFont val="Tahoma"/>
            <family val="2"/>
          </rPr>
          <t xml:space="preserve">= 134009 - Referinta </t>
        </r>
        <r>
          <rPr>
            <sz val="10"/>
            <color indexed="81"/>
            <rFont val="Tahoma"/>
            <family val="2"/>
          </rPr>
          <t xml:space="preserve">* Bucuresti Km Auto Tesa (Responses)
   2022-09-19 07:42:39 </t>
        </r>
        <r>
          <rPr>
            <b/>
            <sz val="10"/>
            <color indexed="81"/>
            <rFont val="Tahoma"/>
            <family val="2"/>
          </rPr>
          <t xml:space="preserve">= 134009 - Normal </t>
        </r>
        <r>
          <rPr>
            <sz val="10"/>
            <color indexed="81"/>
            <rFont val="Tahoma"/>
            <family val="2"/>
          </rPr>
          <t xml:space="preserve">* Bucuresti Km Auto Tesa (Responses)
</t>
        </r>
      </text>
    </comment>
    <comment ref="Y16" authorId="0" shapeId="0" xr:uid="{AF20FBC3-83D1-4B00-9EAA-32329BC05D6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2022-09-23 17:44:10 </t>
        </r>
        <r>
          <rPr>
            <b/>
            <sz val="10"/>
            <color indexed="81"/>
            <rFont val="Tahoma"/>
            <family val="2"/>
          </rPr>
          <t xml:space="preserve">= 134058 - Referinta </t>
        </r>
        <r>
          <rPr>
            <sz val="10"/>
            <color indexed="81"/>
            <rFont val="Tahoma"/>
            <family val="2"/>
          </rPr>
          <t xml:space="preserve">* Bucuresti Km Auto Tesa (Responses)
   2022-09-26 08:32:24 </t>
        </r>
        <r>
          <rPr>
            <b/>
            <sz val="10"/>
            <color indexed="81"/>
            <rFont val="Tahoma"/>
            <family val="2"/>
          </rPr>
          <t xml:space="preserve">= 134058 - Normal </t>
        </r>
        <r>
          <rPr>
            <sz val="10"/>
            <color indexed="81"/>
            <rFont val="Tahoma"/>
            <family val="2"/>
          </rPr>
          <t xml:space="preserve">* Bucuresti Km Auto Tesa (Responses)
</t>
        </r>
      </text>
    </comment>
    <comment ref="AD16" authorId="0" shapeId="0" xr:uid="{21510E23-D815-4721-8A03-54B21A5338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 
__________________________________________________________________
</t>
        </r>
        <r>
          <rPr>
            <sz val="10"/>
            <color indexed="12"/>
            <rFont val="Tahoma"/>
            <family val="2"/>
          </rPr>
          <t xml:space="preserve">  </t>
        </r>
        <r>
          <rPr>
            <sz val="10"/>
            <color indexed="81"/>
            <rFont val="Tahoma"/>
            <family val="2"/>
          </rPr>
          <t xml:space="preserve"> 2022-09-30 14:04:36 </t>
        </r>
        <r>
          <rPr>
            <b/>
            <sz val="10"/>
            <color indexed="81"/>
            <rFont val="Tahoma"/>
            <family val="2"/>
          </rPr>
          <t xml:space="preserve">= 134116 - Referinta </t>
        </r>
        <r>
          <rPr>
            <sz val="10"/>
            <color indexed="81"/>
            <rFont val="Tahoma"/>
            <family val="2"/>
          </rPr>
          <t xml:space="preserve">* Bucuresti Km Auto Tesa (Responses)
   2022-10-03 08:00:40 </t>
        </r>
        <r>
          <rPr>
            <b/>
            <sz val="10"/>
            <color indexed="81"/>
            <rFont val="Tahoma"/>
            <family val="2"/>
          </rPr>
          <t xml:space="preserve">= 134116 - Normal </t>
        </r>
        <r>
          <rPr>
            <sz val="10"/>
            <color indexed="81"/>
            <rFont val="Tahoma"/>
            <family val="2"/>
          </rPr>
          <t xml:space="preserve">* Bucuresti Km Auto Tesa (Responses)
</t>
        </r>
      </text>
    </comment>
    <comment ref="O17" authorId="0" shapeId="0" xr:uid="{02D96AA8-5ACB-4F1D-9814-EF40A016F9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 
__________________________________________________________________
</t>
        </r>
        <r>
          <rPr>
            <sz val="10"/>
            <color indexed="12"/>
            <rFont val="Tahoma"/>
            <family val="2"/>
          </rPr>
          <t xml:space="preserve">  </t>
        </r>
        <r>
          <rPr>
            <sz val="10"/>
            <color indexed="81"/>
            <rFont val="Tahoma"/>
            <family val="2"/>
          </rPr>
          <t xml:space="preserve"> 2022-09-09 16:37:17 </t>
        </r>
        <r>
          <rPr>
            <b/>
            <sz val="10"/>
            <color indexed="81"/>
            <rFont val="Tahoma"/>
            <family val="2"/>
          </rPr>
          <t xml:space="preserve">= 19416 - Referinta </t>
        </r>
        <r>
          <rPr>
            <sz val="10"/>
            <color indexed="81"/>
            <rFont val="Tahoma"/>
            <family val="2"/>
          </rPr>
          <t xml:space="preserve">* Bucuresti Km Auto Vanzari (Responses)
   2022-09-13 07:49:18 </t>
        </r>
        <r>
          <rPr>
            <b/>
            <sz val="10"/>
            <color indexed="81"/>
            <rFont val="Tahoma"/>
            <family val="2"/>
          </rPr>
          <t xml:space="preserve">= 19416 - Normal </t>
        </r>
        <r>
          <rPr>
            <sz val="10"/>
            <color indexed="81"/>
            <rFont val="Tahoma"/>
            <family val="2"/>
          </rPr>
          <t xml:space="preserve">* Bucuresti Km Auto Vanzari (Responses)
</t>
        </r>
      </text>
    </comment>
    <comment ref="T17" authorId="0" shapeId="0" xr:uid="{7E815A53-EF43-4EFE-B641-BA7486DCC9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 
__________________________________________________________________
</t>
        </r>
        <r>
          <rPr>
            <sz val="10"/>
            <color indexed="12"/>
            <rFont val="Tahoma"/>
            <family val="2"/>
          </rPr>
          <t xml:space="preserve">  </t>
        </r>
        <r>
          <rPr>
            <sz val="10"/>
            <color indexed="81"/>
            <rFont val="Tahoma"/>
            <family val="2"/>
          </rPr>
          <t xml:space="preserve"> 2022-09-16 16:04:56 </t>
        </r>
        <r>
          <rPr>
            <b/>
            <sz val="10"/>
            <color indexed="81"/>
            <rFont val="Tahoma"/>
            <family val="2"/>
          </rPr>
          <t xml:space="preserve">= 20329 - Referinta </t>
        </r>
        <r>
          <rPr>
            <sz val="10"/>
            <color indexed="81"/>
            <rFont val="Tahoma"/>
            <family val="2"/>
          </rPr>
          <t xml:space="preserve">* Bucuresti Km Auto Vanzari (Responses)
   2022-09-19 07:28:39 </t>
        </r>
        <r>
          <rPr>
            <b/>
            <sz val="10"/>
            <color indexed="81"/>
            <rFont val="Tahoma"/>
            <family val="2"/>
          </rPr>
          <t xml:space="preserve">= 20329 - Normal </t>
        </r>
        <r>
          <rPr>
            <sz val="10"/>
            <color indexed="81"/>
            <rFont val="Tahoma"/>
            <family val="2"/>
          </rPr>
          <t xml:space="preserve">* Bucuresti Km Auto Vanzari (Responses)
</t>
        </r>
      </text>
    </comment>
    <comment ref="AD17" authorId="0" shapeId="0" xr:uid="{E2A48204-F4DB-43E8-9DD2-11E3617D90F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 
__________________________________________________________________
</t>
        </r>
        <r>
          <rPr>
            <sz val="10"/>
            <color indexed="12"/>
            <rFont val="Tahoma"/>
            <family val="2"/>
          </rPr>
          <t xml:space="preserve">  </t>
        </r>
        <r>
          <rPr>
            <sz val="10"/>
            <color indexed="81"/>
            <rFont val="Tahoma"/>
            <family val="2"/>
          </rPr>
          <t xml:space="preserve"> 2022-10-02 02:58:00 </t>
        </r>
        <r>
          <rPr>
            <b/>
            <sz val="10"/>
            <color indexed="81"/>
            <rFont val="Tahoma"/>
            <family val="2"/>
          </rPr>
          <t xml:space="preserve">= 21182 - Referinta </t>
        </r>
        <r>
          <rPr>
            <sz val="10"/>
            <color indexed="81"/>
            <rFont val="Tahoma"/>
            <family val="2"/>
          </rPr>
          <t xml:space="preserve">* Bucuresti Km Auto Vanzari (Responses)
   2022-10-03 07:26:59 </t>
        </r>
        <r>
          <rPr>
            <b/>
            <sz val="10"/>
            <color indexed="81"/>
            <rFont val="Tahoma"/>
            <family val="2"/>
          </rPr>
          <t xml:space="preserve">= 21182 - Normal </t>
        </r>
        <r>
          <rPr>
            <sz val="10"/>
            <color indexed="81"/>
            <rFont val="Tahoma"/>
            <family val="2"/>
          </rPr>
          <t xml:space="preserve">* Bucuresti Km Auto Vanzari (Responses)
</t>
        </r>
      </text>
    </comment>
    <comment ref="J18" authorId="0" shapeId="0" xr:uid="{8614A72E-75C8-4EA4-99E0-63FA46AED5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15:28:16 </t>
        </r>
        <r>
          <rPr>
            <b/>
            <sz val="10"/>
            <color indexed="81"/>
            <rFont val="Tahoma"/>
            <family val="2"/>
          </rPr>
          <t xml:space="preserve">= 3894 - Referinta </t>
        </r>
        <r>
          <rPr>
            <sz val="10"/>
            <color indexed="81"/>
            <rFont val="Tahoma"/>
            <family val="2"/>
          </rPr>
          <t xml:space="preserve">* Bucuresti Marfa Km Auto (Responses)
   2022-09-05 07:36:42 </t>
        </r>
        <r>
          <rPr>
            <b/>
            <sz val="10"/>
            <color indexed="81"/>
            <rFont val="Tahoma"/>
            <family val="2"/>
          </rPr>
          <t xml:space="preserve">= 3894 - Normal </t>
        </r>
        <r>
          <rPr>
            <sz val="10"/>
            <color indexed="81"/>
            <rFont val="Tahoma"/>
            <family val="2"/>
          </rPr>
          <t xml:space="preserve">* Bucuresti Marfa Km Auto (Responses)
</t>
        </r>
      </text>
    </comment>
    <comment ref="O18" authorId="0" shapeId="0" xr:uid="{63B93003-709A-4128-BD7F-B2879683C6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16:17:35 </t>
        </r>
        <r>
          <rPr>
            <b/>
            <sz val="10"/>
            <color indexed="81"/>
            <rFont val="Tahoma"/>
            <family val="2"/>
          </rPr>
          <t xml:space="preserve">= 4449 - Referinta </t>
        </r>
        <r>
          <rPr>
            <sz val="10"/>
            <color indexed="81"/>
            <rFont val="Tahoma"/>
            <family val="2"/>
          </rPr>
          <t xml:space="preserve">* Bucuresti Marfa Km Auto (Responses)
   2022-09-12 07:28:01 </t>
        </r>
        <r>
          <rPr>
            <b/>
            <sz val="10"/>
            <color indexed="81"/>
            <rFont val="Tahoma"/>
            <family val="2"/>
          </rPr>
          <t xml:space="preserve">= 4449 - Normal </t>
        </r>
        <r>
          <rPr>
            <sz val="10"/>
            <color indexed="81"/>
            <rFont val="Tahoma"/>
            <family val="2"/>
          </rPr>
          <t xml:space="preserve">* Bucuresti Marfa Km Auto (Responses)
</t>
        </r>
      </text>
    </comment>
    <comment ref="T18" authorId="0" shapeId="0" xr:uid="{1FAC6C4A-AFAE-4EFF-B44F-1825F44E79B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16:41:58 </t>
        </r>
        <r>
          <rPr>
            <b/>
            <sz val="10"/>
            <color indexed="81"/>
            <rFont val="Tahoma"/>
            <family val="2"/>
          </rPr>
          <t xml:space="preserve">= 4658 - Referinta </t>
        </r>
        <r>
          <rPr>
            <sz val="10"/>
            <color indexed="81"/>
            <rFont val="Tahoma"/>
            <family val="2"/>
          </rPr>
          <t xml:space="preserve">* Bucuresti Marfa Km Auto (Responses)
   2022-09-19 11:06:20 </t>
        </r>
        <r>
          <rPr>
            <b/>
            <sz val="10"/>
            <color indexed="81"/>
            <rFont val="Tahoma"/>
            <family val="2"/>
          </rPr>
          <t xml:space="preserve">= 4658 - Normal </t>
        </r>
        <r>
          <rPr>
            <sz val="10"/>
            <color indexed="81"/>
            <rFont val="Tahoma"/>
            <family val="2"/>
          </rPr>
          <t xml:space="preserve">* Bucuresti Marfa Km Auto (Responses)
</t>
        </r>
      </text>
    </comment>
    <comment ref="Y18" authorId="0" shapeId="0" xr:uid="{3CD256D8-5248-4A5A-8B9D-BD688B0E3B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__________________________________________________________________
</t>
        </r>
        <r>
          <rPr>
            <sz val="10"/>
            <color indexed="12"/>
            <rFont val="Tahoma"/>
            <family val="2"/>
          </rPr>
          <t xml:space="preserve">  </t>
        </r>
        <r>
          <rPr>
            <sz val="10"/>
            <color indexed="81"/>
            <rFont val="Tahoma"/>
            <family val="2"/>
          </rPr>
          <t xml:space="preserve"> 2022-09-23 16:21:34 </t>
        </r>
        <r>
          <rPr>
            <b/>
            <sz val="10"/>
            <color indexed="81"/>
            <rFont val="Tahoma"/>
            <family val="2"/>
          </rPr>
          <t xml:space="preserve">= 4940 - Referinta </t>
        </r>
        <r>
          <rPr>
            <sz val="10"/>
            <color indexed="81"/>
            <rFont val="Tahoma"/>
            <family val="2"/>
          </rPr>
          <t xml:space="preserve">* Bucuresti Marfa Km Auto (Responses)
   2022-09-26 07:33:01 </t>
        </r>
        <r>
          <rPr>
            <b/>
            <sz val="10"/>
            <color indexed="81"/>
            <rFont val="Tahoma"/>
            <family val="2"/>
          </rPr>
          <t xml:space="preserve">= 4940 - Normal </t>
        </r>
        <r>
          <rPr>
            <sz val="10"/>
            <color indexed="81"/>
            <rFont val="Tahoma"/>
            <family val="2"/>
          </rPr>
          <t xml:space="preserve">* Bucuresti Marfa Km Auto (Responses)
</t>
        </r>
      </text>
    </comment>
    <comment ref="AD18" authorId="0" shapeId="0" xr:uid="{0A3B30B0-EB4B-472A-8CB3-5A21A64C41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15:38:57 </t>
        </r>
        <r>
          <rPr>
            <b/>
            <sz val="10"/>
            <color indexed="81"/>
            <rFont val="Tahoma"/>
            <family val="2"/>
          </rPr>
          <t xml:space="preserve">= 5277 - Referinta </t>
        </r>
        <r>
          <rPr>
            <sz val="10"/>
            <color indexed="81"/>
            <rFont val="Tahoma"/>
            <family val="2"/>
          </rPr>
          <t xml:space="preserve">* Bucuresti Marfa Km Auto (Responses)
   2022-10-03 07:35:15 </t>
        </r>
        <r>
          <rPr>
            <b/>
            <sz val="10"/>
            <color indexed="81"/>
            <rFont val="Tahoma"/>
            <family val="2"/>
          </rPr>
          <t xml:space="preserve">= 5277 - Normal </t>
        </r>
        <r>
          <rPr>
            <sz val="10"/>
            <color indexed="81"/>
            <rFont val="Tahoma"/>
            <family val="2"/>
          </rPr>
          <t xml:space="preserve">* Bucuresti Marfa Km Auto (Responses)
</t>
        </r>
      </text>
    </comment>
    <comment ref="J19" authorId="0" shapeId="0" xr:uid="{CE2C334E-AA0E-4D45-ADE7-FA6B6364A9C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16:08:54 </t>
        </r>
        <r>
          <rPr>
            <b/>
            <sz val="10"/>
            <color indexed="81"/>
            <rFont val="Tahoma"/>
            <family val="2"/>
          </rPr>
          <t xml:space="preserve">= 3892 - Referinta </t>
        </r>
        <r>
          <rPr>
            <sz val="10"/>
            <color indexed="81"/>
            <rFont val="Tahoma"/>
            <family val="2"/>
          </rPr>
          <t xml:space="preserve">* Bucuresti Marfa Km Auto (Responses)
   2022-09-05 07:06:50 </t>
        </r>
        <r>
          <rPr>
            <b/>
            <sz val="10"/>
            <color indexed="81"/>
            <rFont val="Tahoma"/>
            <family val="2"/>
          </rPr>
          <t xml:space="preserve">= 3895 - Interes Serviciu </t>
        </r>
        <r>
          <rPr>
            <sz val="10"/>
            <color indexed="81"/>
            <rFont val="Tahoma"/>
            <family val="2"/>
          </rPr>
          <t xml:space="preserve">* Bucuresti Marfa Km Auto (Responses)
</t>
        </r>
      </text>
    </comment>
    <comment ref="O19" authorId="0" shapeId="0" xr:uid="{37594CDA-8C3B-4087-B6F7-54840D2C1D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16:20:48 </t>
        </r>
        <r>
          <rPr>
            <b/>
            <sz val="10"/>
            <color indexed="81"/>
            <rFont val="Tahoma"/>
            <family val="2"/>
          </rPr>
          <t xml:space="preserve">= 4223 - Referinta </t>
        </r>
        <r>
          <rPr>
            <sz val="10"/>
            <color indexed="81"/>
            <rFont val="Tahoma"/>
            <family val="2"/>
          </rPr>
          <t xml:space="preserve">* Bucuresti Marfa Km Auto (Responses)
   2022-09-12 06:57:59 </t>
        </r>
        <r>
          <rPr>
            <b/>
            <sz val="10"/>
            <color indexed="81"/>
            <rFont val="Tahoma"/>
            <family val="2"/>
          </rPr>
          <t xml:space="preserve">= 4223 - Interes serviciu </t>
        </r>
        <r>
          <rPr>
            <sz val="10"/>
            <color indexed="81"/>
            <rFont val="Tahoma"/>
            <family val="2"/>
          </rPr>
          <t xml:space="preserve">* Bucuresti Marfa Km Auto (Responses)
</t>
        </r>
      </text>
    </comment>
    <comment ref="T19" authorId="0" shapeId="0" xr:uid="{8287DDEC-5248-4FD2-9F9E-CD454106EDB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__________________________________________________________________
</t>
        </r>
        <r>
          <rPr>
            <sz val="10"/>
            <color indexed="12"/>
            <rFont val="Tahoma"/>
            <family val="2"/>
          </rPr>
          <t xml:space="preserve">  </t>
        </r>
        <r>
          <rPr>
            <sz val="10"/>
            <color indexed="81"/>
            <rFont val="Tahoma"/>
            <family val="2"/>
          </rPr>
          <t xml:space="preserve"> 2022-09-16 15:55:32 </t>
        </r>
        <r>
          <rPr>
            <b/>
            <sz val="10"/>
            <color indexed="81"/>
            <rFont val="Tahoma"/>
            <family val="2"/>
          </rPr>
          <t xml:space="preserve">= 4581 - Referinta </t>
        </r>
        <r>
          <rPr>
            <sz val="10"/>
            <color indexed="81"/>
            <rFont val="Tahoma"/>
            <family val="2"/>
          </rPr>
          <t xml:space="preserve">* Bucuresti Marfa Km Auto (Responses)
   2022-09-19 07:05:29 </t>
        </r>
        <r>
          <rPr>
            <b/>
            <sz val="10"/>
            <color indexed="81"/>
            <rFont val="Tahoma"/>
            <family val="2"/>
          </rPr>
          <t xml:space="preserve">= 4581 - Normal </t>
        </r>
        <r>
          <rPr>
            <sz val="10"/>
            <color indexed="81"/>
            <rFont val="Tahoma"/>
            <family val="2"/>
          </rPr>
          <t xml:space="preserve">* Bucuresti Marfa Km Auto (Responses)
</t>
        </r>
      </text>
    </comment>
    <comment ref="Y19" authorId="0" shapeId="0" xr:uid="{3E96F6B0-CEE6-4E09-8C26-09E7D2FF1A7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__________________________________________________________________
</t>
        </r>
        <r>
          <rPr>
            <sz val="10"/>
            <color indexed="12"/>
            <rFont val="Tahoma"/>
            <family val="2"/>
          </rPr>
          <t xml:space="preserve">  </t>
        </r>
        <r>
          <rPr>
            <sz val="10"/>
            <color indexed="81"/>
            <rFont val="Tahoma"/>
            <family val="2"/>
          </rPr>
          <t xml:space="preserve"> 2022-09-23 16:26:09 </t>
        </r>
        <r>
          <rPr>
            <b/>
            <sz val="10"/>
            <color indexed="81"/>
            <rFont val="Tahoma"/>
            <family val="2"/>
          </rPr>
          <t xml:space="preserve">= 4931 - Referinta </t>
        </r>
        <r>
          <rPr>
            <sz val="10"/>
            <color indexed="81"/>
            <rFont val="Tahoma"/>
            <family val="2"/>
          </rPr>
          <t xml:space="preserve">* Bucuresti Marfa Km Auto (Responses)
   2022-09-26 07:11:03 </t>
        </r>
        <r>
          <rPr>
            <b/>
            <sz val="10"/>
            <color indexed="81"/>
            <rFont val="Tahoma"/>
            <family val="2"/>
          </rPr>
          <t xml:space="preserve">= 4931 - Normal </t>
        </r>
        <r>
          <rPr>
            <sz val="10"/>
            <color indexed="81"/>
            <rFont val="Tahoma"/>
            <family val="2"/>
          </rPr>
          <t xml:space="preserve">* Bucuresti Marfa Km Auto (Responses)
</t>
        </r>
      </text>
    </comment>
    <comment ref="AD19" authorId="0" shapeId="0" xr:uid="{993A1598-8E41-4146-9D71-A5CA51BF1B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 
__________________________________________________________________
</t>
        </r>
        <r>
          <rPr>
            <sz val="10"/>
            <color indexed="12"/>
            <rFont val="Tahoma"/>
            <family val="2"/>
          </rPr>
          <t xml:space="preserve">  </t>
        </r>
        <r>
          <rPr>
            <sz val="10"/>
            <color indexed="81"/>
            <rFont val="Tahoma"/>
            <family val="2"/>
          </rPr>
          <t xml:space="preserve"> 2022-09-30 16:35:20 </t>
        </r>
        <r>
          <rPr>
            <b/>
            <sz val="10"/>
            <color indexed="81"/>
            <rFont val="Tahoma"/>
            <family val="2"/>
          </rPr>
          <t xml:space="preserve">= 5217 - Referinta </t>
        </r>
        <r>
          <rPr>
            <sz val="10"/>
            <color indexed="81"/>
            <rFont val="Tahoma"/>
            <family val="2"/>
          </rPr>
          <t xml:space="preserve">* Bucuresti Marfa Km Auto (Responses)
   2022-10-03 08:23:31 </t>
        </r>
        <r>
          <rPr>
            <b/>
            <sz val="10"/>
            <color indexed="81"/>
            <rFont val="Tahoma"/>
            <family val="2"/>
          </rPr>
          <t xml:space="preserve">= 5217 - Normal </t>
        </r>
        <r>
          <rPr>
            <sz val="10"/>
            <color indexed="81"/>
            <rFont val="Tahoma"/>
            <family val="2"/>
          </rPr>
          <t xml:space="preserve">* Bucuresti Marfa Km Auto (Responses)
</t>
        </r>
      </text>
    </comment>
    <comment ref="J20" authorId="0" shapeId="0" xr:uid="{D0E74874-00E0-49CF-9CDF-1E0613DEC2B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18:17:46 </t>
        </r>
        <r>
          <rPr>
            <b/>
            <sz val="10"/>
            <color indexed="81"/>
            <rFont val="Tahoma"/>
            <family val="2"/>
          </rPr>
          <t xml:space="preserve">= 5105 - Referinta </t>
        </r>
        <r>
          <rPr>
            <sz val="10"/>
            <color indexed="81"/>
            <rFont val="Tahoma"/>
            <family val="2"/>
          </rPr>
          <t xml:space="preserve">* Bucuresti Marfa Km Auto (Responses)
   2022-09-05 08:42:26 </t>
        </r>
        <r>
          <rPr>
            <b/>
            <sz val="10"/>
            <color indexed="81"/>
            <rFont val="Tahoma"/>
            <family val="2"/>
          </rPr>
          <t xml:space="preserve">= 5105 - Normal </t>
        </r>
        <r>
          <rPr>
            <sz val="10"/>
            <color indexed="81"/>
            <rFont val="Tahoma"/>
            <family val="2"/>
          </rPr>
          <t xml:space="preserve">* Bucuresti Marfa Km Auto (Responses)
</t>
        </r>
      </text>
    </comment>
    <comment ref="T20" authorId="0" shapeId="0" xr:uid="{B8EB725A-57D6-4E26-91A6-02A124BE71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__________________________________________________________________
</t>
        </r>
        <r>
          <rPr>
            <sz val="10"/>
            <color indexed="12"/>
            <rFont val="Tahoma"/>
            <family val="2"/>
          </rPr>
          <t xml:space="preserve">  </t>
        </r>
        <r>
          <rPr>
            <sz val="10"/>
            <color indexed="81"/>
            <rFont val="Tahoma"/>
            <family val="2"/>
          </rPr>
          <t xml:space="preserve"> 2022-09-16 17:21:53 </t>
        </r>
        <r>
          <rPr>
            <b/>
            <sz val="10"/>
            <color indexed="81"/>
            <rFont val="Tahoma"/>
            <family val="2"/>
          </rPr>
          <t xml:space="preserve">= 6098 - Referinta </t>
        </r>
        <r>
          <rPr>
            <sz val="10"/>
            <color indexed="81"/>
            <rFont val="Tahoma"/>
            <family val="2"/>
          </rPr>
          <t xml:space="preserve">* Bucuresti Marfa Km Auto (Responses)
   2022-09-19 08:38:21 </t>
        </r>
        <r>
          <rPr>
            <b/>
            <sz val="10"/>
            <color indexed="81"/>
            <rFont val="Tahoma"/>
            <family val="2"/>
          </rPr>
          <t xml:space="preserve">= 6098 - Normal </t>
        </r>
        <r>
          <rPr>
            <sz val="10"/>
            <color indexed="81"/>
            <rFont val="Tahoma"/>
            <family val="2"/>
          </rPr>
          <t xml:space="preserve">* Bucuresti Marfa Km Auto (Responses)
   2022-09-19 11:33:04 </t>
        </r>
        <r>
          <rPr>
            <b/>
            <sz val="10"/>
            <color indexed="81"/>
            <rFont val="Tahoma"/>
            <family val="2"/>
          </rPr>
          <t xml:space="preserve">= 6120 - Normal </t>
        </r>
        <r>
          <rPr>
            <sz val="10"/>
            <color indexed="81"/>
            <rFont val="Tahoma"/>
            <family val="2"/>
          </rPr>
          <t xml:space="preserve">* Bucuresti Marfa Km Auto (Responses)
</t>
        </r>
      </text>
    </comment>
    <comment ref="Y20" authorId="0" shapeId="0" xr:uid="{177A25B1-5DFB-4795-B4DD-74B72E46EA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__________________________________________________________________
</t>
        </r>
        <r>
          <rPr>
            <sz val="10"/>
            <color indexed="12"/>
            <rFont val="Tahoma"/>
            <family val="2"/>
          </rPr>
          <t xml:space="preserve">  </t>
        </r>
        <r>
          <rPr>
            <sz val="10"/>
            <color indexed="81"/>
            <rFont val="Tahoma"/>
            <family val="2"/>
          </rPr>
          <t xml:space="preserve"> 2022-09-23 19:33:08 </t>
        </r>
        <r>
          <rPr>
            <b/>
            <sz val="10"/>
            <color indexed="81"/>
            <rFont val="Tahoma"/>
            <family val="2"/>
          </rPr>
          <t xml:space="preserve">= 6627 - Referinta </t>
        </r>
        <r>
          <rPr>
            <sz val="10"/>
            <color indexed="81"/>
            <rFont val="Tahoma"/>
            <family val="2"/>
          </rPr>
          <t xml:space="preserve">* Bucuresti Marfa Km Auto (Responses)
   2022-09-26 08:42:17 </t>
        </r>
        <r>
          <rPr>
            <b/>
            <sz val="10"/>
            <color indexed="81"/>
            <rFont val="Tahoma"/>
            <family val="2"/>
          </rPr>
          <t xml:space="preserve">= 6627 - Normal </t>
        </r>
        <r>
          <rPr>
            <sz val="10"/>
            <color indexed="81"/>
            <rFont val="Tahoma"/>
            <family val="2"/>
          </rPr>
          <t xml:space="preserve">* Bucuresti Marfa Km Auto (Responses)
</t>
        </r>
      </text>
    </comment>
    <comment ref="AD20" authorId="0" shapeId="0" xr:uid="{ED5D4799-63C2-44BA-9519-8E1CCEF72C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 
__________________________________________________________________
</t>
        </r>
        <r>
          <rPr>
            <sz val="10"/>
            <color indexed="12"/>
            <rFont val="Tahoma"/>
            <family val="2"/>
          </rPr>
          <t xml:space="preserve">  </t>
        </r>
        <r>
          <rPr>
            <sz val="10"/>
            <color indexed="81"/>
            <rFont val="Tahoma"/>
            <family val="2"/>
          </rPr>
          <t xml:space="preserve"> 2022-09-30 17:36:07 </t>
        </r>
        <r>
          <rPr>
            <b/>
            <sz val="10"/>
            <color indexed="81"/>
            <rFont val="Tahoma"/>
            <family val="2"/>
          </rPr>
          <t xml:space="preserve">= 6979 - Referinta </t>
        </r>
        <r>
          <rPr>
            <sz val="10"/>
            <color indexed="81"/>
            <rFont val="Tahoma"/>
            <family val="2"/>
          </rPr>
          <t xml:space="preserve">* Bucuresti Marfa Km Auto (Responses)
   2022-10-03 08:49:17 </t>
        </r>
        <r>
          <rPr>
            <b/>
            <sz val="10"/>
            <color indexed="81"/>
            <rFont val="Tahoma"/>
            <family val="2"/>
          </rPr>
          <t xml:space="preserve">= 6979 - Normal </t>
        </r>
        <r>
          <rPr>
            <sz val="10"/>
            <color indexed="81"/>
            <rFont val="Tahoma"/>
            <family val="2"/>
          </rPr>
          <t xml:space="preserve">* Bucuresti Marfa Km Auto (Responses)
</t>
        </r>
      </text>
    </comment>
    <comment ref="O21" authorId="0" shapeId="0" xr:uid="{CFC620A1-F52E-4808-9150-1B1832811E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Radu Paul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17:38:46 </t>
        </r>
        <r>
          <rPr>
            <b/>
            <sz val="10"/>
            <color indexed="81"/>
            <rFont val="Tahoma"/>
            <family val="2"/>
          </rPr>
          <t xml:space="preserve">= 5683 - Referinta </t>
        </r>
        <r>
          <rPr>
            <sz val="10"/>
            <color indexed="81"/>
            <rFont val="Tahoma"/>
            <family val="2"/>
          </rPr>
          <t xml:space="preserve">* Bucuresti Marfa Km Auto (Responses)
   2022-09-12 09:37:13 </t>
        </r>
        <r>
          <rPr>
            <b/>
            <sz val="10"/>
            <color indexed="81"/>
            <rFont val="Tahoma"/>
            <family val="2"/>
          </rPr>
          <t xml:space="preserve">= 5720 - Normal </t>
        </r>
        <r>
          <rPr>
            <sz val="10"/>
            <color indexed="81"/>
            <rFont val="Tahoma"/>
            <family val="2"/>
          </rPr>
          <t xml:space="preserve">* Bucuresti Marfa Km Auto (Responses)
</t>
        </r>
      </text>
    </comment>
    <comment ref="J22" authorId="0" shapeId="0" xr:uid="{D44F4BF5-9CA3-4BE9-9FAE-04633B9323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08:56:30 </t>
        </r>
        <r>
          <rPr>
            <b/>
            <sz val="10"/>
            <color indexed="81"/>
            <rFont val="Tahoma"/>
            <family val="2"/>
          </rPr>
          <t xml:space="preserve">= 107939 - Referinta </t>
        </r>
        <r>
          <rPr>
            <sz val="10"/>
            <color indexed="81"/>
            <rFont val="Tahoma"/>
            <family val="2"/>
          </rPr>
          <t xml:space="preserve">* Bucuresti Km Auto Vanzari (Responses)
   2022-09-05 08:57:24 </t>
        </r>
        <r>
          <rPr>
            <b/>
            <sz val="10"/>
            <color indexed="81"/>
            <rFont val="Tahoma"/>
            <family val="2"/>
          </rPr>
          <t xml:space="preserve">= 108024 - Normal </t>
        </r>
        <r>
          <rPr>
            <sz val="10"/>
            <color indexed="81"/>
            <rFont val="Tahoma"/>
            <family val="2"/>
          </rPr>
          <t xml:space="preserve">* Bucuresti Km Auto Vanzari (Responses)
</t>
        </r>
      </text>
    </comment>
    <comment ref="O22" authorId="0" shapeId="0" xr:uid="{7E8BBFE4-3C21-4A7A-8012-624CFF9617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__________________________________________________________________
</t>
        </r>
        <r>
          <rPr>
            <sz val="10"/>
            <color indexed="12"/>
            <rFont val="Tahoma"/>
            <family val="2"/>
          </rPr>
          <t xml:space="preserve">  </t>
        </r>
        <r>
          <rPr>
            <sz val="10"/>
            <color indexed="81"/>
            <rFont val="Tahoma"/>
            <family val="2"/>
          </rPr>
          <t xml:space="preserve"> 2022-09-09 03:30:00 </t>
        </r>
        <r>
          <rPr>
            <b/>
            <sz val="10"/>
            <color indexed="81"/>
            <rFont val="Tahoma"/>
            <family val="2"/>
          </rPr>
          <t xml:space="preserve">= 108180 - Referinta </t>
        </r>
        <r>
          <rPr>
            <sz val="10"/>
            <color indexed="81"/>
            <rFont val="Tahoma"/>
            <family val="2"/>
          </rPr>
          <t xml:space="preserve">* Bucuresti Km Auto Vanzari (Responses)
   2022-09-12 08:00:00 </t>
        </r>
        <r>
          <rPr>
            <b/>
            <sz val="10"/>
            <color indexed="81"/>
            <rFont val="Tahoma"/>
            <family val="2"/>
          </rPr>
          <t xml:space="preserve">= 108239 - Normal </t>
        </r>
        <r>
          <rPr>
            <sz val="10"/>
            <color indexed="81"/>
            <rFont val="Tahoma"/>
            <family val="2"/>
          </rPr>
          <t xml:space="preserve">* Bucuresti Km Auto Vanzari (Responses)
</t>
        </r>
      </text>
    </comment>
    <comment ref="T22" authorId="0" shapeId="0" xr:uid="{1C56FAEC-6556-4713-83DD-3343690D74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__________________________________________________________________
</t>
        </r>
        <r>
          <rPr>
            <sz val="10"/>
            <color indexed="12"/>
            <rFont val="Tahoma"/>
            <family val="2"/>
          </rPr>
          <t xml:space="preserve">  </t>
        </r>
        <r>
          <rPr>
            <sz val="10"/>
            <color indexed="81"/>
            <rFont val="Tahoma"/>
            <family val="2"/>
          </rPr>
          <t xml:space="preserve"> 2022-09-17 11:00:00 </t>
        </r>
        <r>
          <rPr>
            <b/>
            <sz val="10"/>
            <color indexed="81"/>
            <rFont val="Tahoma"/>
            <family val="2"/>
          </rPr>
          <t xml:space="preserve">= 108394 - Referinta </t>
        </r>
        <r>
          <rPr>
            <sz val="10"/>
            <color indexed="81"/>
            <rFont val="Tahoma"/>
            <family val="2"/>
          </rPr>
          <t xml:space="preserve">* Bucuresti Km Auto Vanzari (Responses)
   2022-09-19 08:05:00 </t>
        </r>
        <r>
          <rPr>
            <b/>
            <sz val="10"/>
            <color indexed="81"/>
            <rFont val="Tahoma"/>
            <family val="2"/>
          </rPr>
          <t xml:space="preserve">= 108411 - Normal </t>
        </r>
        <r>
          <rPr>
            <sz val="10"/>
            <color indexed="81"/>
            <rFont val="Tahoma"/>
            <family val="2"/>
          </rPr>
          <t xml:space="preserve">* Bucuresti Km Auto Vanzari (Responses)
</t>
        </r>
      </text>
    </comment>
    <comment ref="Y22" authorId="0" shapeId="0" xr:uid="{9B9B4FD2-76CA-4E99-A120-45A6D4A7EC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__________________________________________________________________
</t>
        </r>
        <r>
          <rPr>
            <sz val="10"/>
            <color indexed="12"/>
            <rFont val="Tahoma"/>
            <family val="2"/>
          </rPr>
          <t xml:space="preserve">  </t>
        </r>
        <r>
          <rPr>
            <sz val="10"/>
            <color indexed="81"/>
            <rFont val="Tahoma"/>
            <family val="2"/>
          </rPr>
          <t xml:space="preserve"> 2022-09-23 07:00:00 </t>
        </r>
        <r>
          <rPr>
            <b/>
            <sz val="10"/>
            <color indexed="81"/>
            <rFont val="Tahoma"/>
            <family val="2"/>
          </rPr>
          <t xml:space="preserve">= 108600 - Referinta </t>
        </r>
        <r>
          <rPr>
            <sz val="10"/>
            <color indexed="81"/>
            <rFont val="Tahoma"/>
            <family val="2"/>
          </rPr>
          <t xml:space="preserve">* Bucuresti Km Auto Vanzari (Responses)
   2022-09-26 10:00:00 </t>
        </r>
        <r>
          <rPr>
            <b/>
            <sz val="10"/>
            <color indexed="81"/>
            <rFont val="Tahoma"/>
            <family val="2"/>
          </rPr>
          <t xml:space="preserve">= 108617 - Normal </t>
        </r>
        <r>
          <rPr>
            <sz val="10"/>
            <color indexed="81"/>
            <rFont val="Tahoma"/>
            <family val="2"/>
          </rPr>
          <t xml:space="preserve">* Bucuresti Km Auto Vanzari (Responses)
</t>
        </r>
      </text>
    </comment>
    <comment ref="AD22" authorId="0" shapeId="0" xr:uid="{CC8F1843-9D7C-4509-9A36-3DB74B7C54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09:00:00 </t>
        </r>
        <r>
          <rPr>
            <b/>
            <sz val="10"/>
            <color indexed="81"/>
            <rFont val="Tahoma"/>
            <family val="2"/>
          </rPr>
          <t xml:space="preserve">= 108848 - Referinta </t>
        </r>
        <r>
          <rPr>
            <sz val="10"/>
            <color indexed="81"/>
            <rFont val="Tahoma"/>
            <family val="2"/>
          </rPr>
          <t xml:space="preserve">* Bucuresti Km Auto Vanzari (Responses)
</t>
        </r>
      </text>
    </comment>
    <comment ref="J23" authorId="0" shapeId="0" xr:uid="{7871CCDC-2D4A-4B46-B203-C18C4E8BC2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2022-09-06 08:11:48 </t>
        </r>
        <r>
          <rPr>
            <b/>
            <sz val="10"/>
            <color indexed="81"/>
            <rFont val="Tahoma"/>
            <family val="2"/>
          </rPr>
          <t xml:space="preserve">= 30135 - Referinta </t>
        </r>
        <r>
          <rPr>
            <sz val="10"/>
            <color indexed="81"/>
            <rFont val="Tahoma"/>
            <family val="2"/>
          </rPr>
          <t xml:space="preserve">* Bucuresti Marfa Km Auto (Responses)
</t>
        </r>
      </text>
    </comment>
    <comment ref="O23" authorId="0" shapeId="0" xr:uid="{FACC40D8-88A7-4948-BA10-1A417688C1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20:49:38 </t>
        </r>
        <r>
          <rPr>
            <b/>
            <sz val="10"/>
            <color indexed="81"/>
            <rFont val="Tahoma"/>
            <family val="2"/>
          </rPr>
          <t xml:space="preserve">= 30676 - Referinta </t>
        </r>
        <r>
          <rPr>
            <sz val="10"/>
            <color indexed="81"/>
            <rFont val="Tahoma"/>
            <family val="2"/>
          </rPr>
          <t xml:space="preserve">* Bucuresti Marfa Km Auto (Responses)
   2022-09-12 07:44:56 </t>
        </r>
        <r>
          <rPr>
            <b/>
            <sz val="10"/>
            <color indexed="81"/>
            <rFont val="Tahoma"/>
            <family val="2"/>
          </rPr>
          <t xml:space="preserve">= 30676 - Normal </t>
        </r>
        <r>
          <rPr>
            <sz val="10"/>
            <color indexed="81"/>
            <rFont val="Tahoma"/>
            <family val="2"/>
          </rPr>
          <t xml:space="preserve">* Bucuresti Marfa Km Auto (Responses)
</t>
        </r>
      </text>
    </comment>
    <comment ref="T23" authorId="0" shapeId="0" xr:uid="{5A3DE619-0333-4B2B-99C7-C0B6A74AED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07:43:37 </t>
        </r>
        <r>
          <rPr>
            <b/>
            <sz val="10"/>
            <color indexed="81"/>
            <rFont val="Tahoma"/>
            <family val="2"/>
          </rPr>
          <t xml:space="preserve">= 30922 - Referinta </t>
        </r>
        <r>
          <rPr>
            <sz val="10"/>
            <color indexed="81"/>
            <rFont val="Tahoma"/>
            <family val="2"/>
          </rPr>
          <t xml:space="preserve">* Bucuresti Marfa Km Auto (Responses)
</t>
        </r>
      </text>
    </comment>
    <comment ref="Y23" authorId="0" shapeId="0" xr:uid="{5A5C6CAA-9C3C-405A-AFAC-F5212E9110B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2022-09-26 08:30:55 </t>
        </r>
        <r>
          <rPr>
            <b/>
            <sz val="10"/>
            <color indexed="81"/>
            <rFont val="Tahoma"/>
            <family val="2"/>
          </rPr>
          <t xml:space="preserve">= 31513 - Referinta </t>
        </r>
        <r>
          <rPr>
            <sz val="10"/>
            <color indexed="81"/>
            <rFont val="Tahoma"/>
            <family val="2"/>
          </rPr>
          <t xml:space="preserve">* Bucuresti Marfa Km Auto (Responses)
   2022-09-26 08:35:00 </t>
        </r>
        <r>
          <rPr>
            <b/>
            <sz val="10"/>
            <color indexed="81"/>
            <rFont val="Tahoma"/>
            <family val="2"/>
          </rPr>
          <t xml:space="preserve">= 31513 - Normal </t>
        </r>
        <r>
          <rPr>
            <sz val="10"/>
            <color indexed="81"/>
            <rFont val="Tahoma"/>
            <family val="2"/>
          </rPr>
          <t xml:space="preserve">* Bucuresti Marfa Km Auto (Responses)
</t>
        </r>
      </text>
    </comment>
    <comment ref="AD23" authorId="0" shapeId="0" xr:uid="{F7941B7C-37CB-445A-BF81-BC895F1B61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 
__________________________________________________________________
</t>
        </r>
        <r>
          <rPr>
            <sz val="10"/>
            <color indexed="12"/>
            <rFont val="Tahoma"/>
            <family val="2"/>
          </rPr>
          <t xml:space="preserve">  </t>
        </r>
        <r>
          <rPr>
            <sz val="10"/>
            <color indexed="81"/>
            <rFont val="Tahoma"/>
            <family val="2"/>
          </rPr>
          <t xml:space="preserve"> 2022-10-01 15:57:05 </t>
        </r>
        <r>
          <rPr>
            <b/>
            <sz val="10"/>
            <color indexed="81"/>
            <rFont val="Tahoma"/>
            <family val="2"/>
          </rPr>
          <t xml:space="preserve">= 32485 - Referinta </t>
        </r>
        <r>
          <rPr>
            <sz val="10"/>
            <color indexed="81"/>
            <rFont val="Tahoma"/>
            <family val="2"/>
          </rPr>
          <t xml:space="preserve">* Bucuresti Marfa Km Auto (Responses)
   2022-10-03 07:51:23 </t>
        </r>
        <r>
          <rPr>
            <b/>
            <sz val="10"/>
            <color indexed="81"/>
            <rFont val="Tahoma"/>
            <family val="2"/>
          </rPr>
          <t xml:space="preserve">= 32485 - Normal </t>
        </r>
        <r>
          <rPr>
            <sz val="10"/>
            <color indexed="81"/>
            <rFont val="Tahoma"/>
            <family val="2"/>
          </rPr>
          <t xml:space="preserve">* Bucuresti Marfa Km Auto (Responses)
</t>
        </r>
      </text>
    </comment>
    <comment ref="O24" authorId="0" shapeId="0" xr:uid="{C362AF06-5CB3-411C-9A6A-37DF4701B1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__________________________________________________________________
</t>
        </r>
        <r>
          <rPr>
            <sz val="10"/>
            <color indexed="12"/>
            <rFont val="Tahoma"/>
            <family val="2"/>
          </rPr>
          <t xml:space="preserve">  </t>
        </r>
        <r>
          <rPr>
            <sz val="10"/>
            <color indexed="81"/>
            <rFont val="Tahoma"/>
            <family val="2"/>
          </rPr>
          <t xml:space="preserve"> 2022-09-09 03:30:00 </t>
        </r>
        <r>
          <rPr>
            <b/>
            <sz val="10"/>
            <color indexed="81"/>
            <rFont val="Tahoma"/>
            <family val="2"/>
          </rPr>
          <t xml:space="preserve">= 129037 - Referinta </t>
        </r>
        <r>
          <rPr>
            <sz val="10"/>
            <color indexed="81"/>
            <rFont val="Tahoma"/>
            <family val="2"/>
          </rPr>
          <t xml:space="preserve">* Bucuresti Marfa Km Auto (Responses)
   2022-09-12 07:50:00 </t>
        </r>
        <r>
          <rPr>
            <b/>
            <sz val="10"/>
            <color indexed="81"/>
            <rFont val="Tahoma"/>
            <family val="2"/>
          </rPr>
          <t xml:space="preserve">= 129037 - Normal </t>
        </r>
        <r>
          <rPr>
            <sz val="10"/>
            <color indexed="81"/>
            <rFont val="Tahoma"/>
            <family val="2"/>
          </rPr>
          <t xml:space="preserve">* Bucuresti Marfa Km Auto (Responses)
</t>
        </r>
      </text>
    </comment>
    <comment ref="T24" authorId="0" shapeId="0" xr:uid="{A0FD44AD-6C69-4639-B07F-A4E495FBEE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__________________________________________________________________
</t>
        </r>
        <r>
          <rPr>
            <sz val="10"/>
            <color indexed="12"/>
            <rFont val="Tahoma"/>
            <family val="2"/>
          </rPr>
          <t xml:space="preserve">  </t>
        </r>
        <r>
          <rPr>
            <sz val="10"/>
            <color indexed="81"/>
            <rFont val="Tahoma"/>
            <family val="2"/>
          </rPr>
          <t xml:space="preserve"> 2022-09-17 20:53:24 </t>
        </r>
        <r>
          <rPr>
            <b/>
            <sz val="10"/>
            <color indexed="81"/>
            <rFont val="Tahoma"/>
            <family val="2"/>
          </rPr>
          <t xml:space="preserve">= 129270 - Referinta </t>
        </r>
        <r>
          <rPr>
            <sz val="10"/>
            <color indexed="81"/>
            <rFont val="Tahoma"/>
            <family val="2"/>
          </rPr>
          <t xml:space="preserve">* Bucuresti Marfa Km Auto (Responses)
</t>
        </r>
      </text>
    </comment>
    <comment ref="Y24" authorId="0" shapeId="0" xr:uid="{52F140EC-794B-483C-9209-FE0754CE5B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04:00:00 </t>
        </r>
        <r>
          <rPr>
            <b/>
            <sz val="10"/>
            <color indexed="81"/>
            <rFont val="Tahoma"/>
            <family val="2"/>
          </rPr>
          <t xml:space="preserve">= 129535 - Referinta </t>
        </r>
        <r>
          <rPr>
            <sz val="10"/>
            <color indexed="81"/>
            <rFont val="Tahoma"/>
            <family val="2"/>
          </rPr>
          <t xml:space="preserve">* Bucuresti Marfa Km Auto (Responses)
   2022-09-26 08:00:00 </t>
        </r>
        <r>
          <rPr>
            <b/>
            <sz val="10"/>
            <color indexed="81"/>
            <rFont val="Tahoma"/>
            <family val="2"/>
          </rPr>
          <t xml:space="preserve">= 129535 - Normal </t>
        </r>
        <r>
          <rPr>
            <sz val="10"/>
            <color indexed="81"/>
            <rFont val="Tahoma"/>
            <family val="2"/>
          </rPr>
          <t xml:space="preserve">* Bucuresti Marfa Km Auto (Responses)
</t>
        </r>
      </text>
    </comment>
    <comment ref="AD24" authorId="0" shapeId="0" xr:uid="{958D4E4C-9AC6-4137-83DD-E903DEF428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07:46:24 </t>
        </r>
        <r>
          <rPr>
            <b/>
            <sz val="10"/>
            <color indexed="81"/>
            <rFont val="Tahoma"/>
            <family val="2"/>
          </rPr>
          <t xml:space="preserve">= 129750 - Referinta </t>
        </r>
        <r>
          <rPr>
            <sz val="10"/>
            <color indexed="81"/>
            <rFont val="Tahoma"/>
            <family val="2"/>
          </rPr>
          <t xml:space="preserve">* Bucuresti Marfa Km Auto (Responses)
</t>
        </r>
      </text>
    </comment>
    <comment ref="J25" authorId="0" shapeId="0" xr:uid="{EF3E71E6-3572-453F-95C9-8E81B9F0A62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15:38:31 </t>
        </r>
        <r>
          <rPr>
            <b/>
            <sz val="10"/>
            <color indexed="81"/>
            <rFont val="Tahoma"/>
            <family val="2"/>
          </rPr>
          <t xml:space="preserve">= 60485 - Referinta </t>
        </r>
        <r>
          <rPr>
            <sz val="10"/>
            <color indexed="81"/>
            <rFont val="Tahoma"/>
            <family val="2"/>
          </rPr>
          <t xml:space="preserve">* Bucuresti Km Auto Vanzari (Responses)
   2022-09-05 07:35:45 </t>
        </r>
        <r>
          <rPr>
            <b/>
            <sz val="10"/>
            <color indexed="81"/>
            <rFont val="Tahoma"/>
            <family val="2"/>
          </rPr>
          <t xml:space="preserve">= 60825 - Normal </t>
        </r>
        <r>
          <rPr>
            <sz val="10"/>
            <color indexed="81"/>
            <rFont val="Tahoma"/>
            <family val="2"/>
          </rPr>
          <t xml:space="preserve">* Bucuresti Km Auto Vanzari (Responses)
</t>
        </r>
      </text>
    </comment>
    <comment ref="O25" authorId="0" shapeId="0" xr:uid="{541D1B11-8225-457D-9DB1-5E8DD3F2DF8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05:00:00 </t>
        </r>
        <r>
          <rPr>
            <b/>
            <sz val="10"/>
            <color indexed="81"/>
            <rFont val="Tahoma"/>
            <family val="2"/>
          </rPr>
          <t xml:space="preserve">= 61089 - Referinta </t>
        </r>
        <r>
          <rPr>
            <sz val="10"/>
            <color indexed="81"/>
            <rFont val="Tahoma"/>
            <family val="2"/>
          </rPr>
          <t xml:space="preserve">* Bucuresti Km Auto Vanzari (Responses)
   2022-09-12 07:30:00 </t>
        </r>
        <r>
          <rPr>
            <b/>
            <sz val="10"/>
            <color indexed="81"/>
            <rFont val="Tahoma"/>
            <family val="2"/>
          </rPr>
          <t xml:space="preserve">= 61287 - Normal </t>
        </r>
        <r>
          <rPr>
            <sz val="10"/>
            <color indexed="81"/>
            <rFont val="Tahoma"/>
            <family val="2"/>
          </rPr>
          <t xml:space="preserve">* Bucuresti Km Auto Vanzari (Responses)
</t>
        </r>
      </text>
    </comment>
    <comment ref="AD25" authorId="0" shapeId="0" xr:uid="{9F9F092C-DA28-4747-9732-3EE5DE61FB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03:30:00 </t>
        </r>
        <r>
          <rPr>
            <b/>
            <sz val="10"/>
            <color indexed="81"/>
            <rFont val="Tahoma"/>
            <family val="2"/>
          </rPr>
          <t xml:space="preserve">= 62464 - Referinta </t>
        </r>
        <r>
          <rPr>
            <sz val="10"/>
            <color indexed="81"/>
            <rFont val="Tahoma"/>
            <family val="2"/>
          </rPr>
          <t xml:space="preserve">* Bucuresti Km Auto Vanzari (Responses)
   2022-10-03 07:35:00 </t>
        </r>
        <r>
          <rPr>
            <b/>
            <sz val="10"/>
            <color indexed="81"/>
            <rFont val="Tahoma"/>
            <family val="2"/>
          </rPr>
          <t xml:space="preserve">= 62791 - Normal </t>
        </r>
        <r>
          <rPr>
            <sz val="10"/>
            <color indexed="81"/>
            <rFont val="Tahoma"/>
            <family val="2"/>
          </rPr>
          <t xml:space="preserve">* Bucuresti Km Auto Vanzari (Responses)
</t>
        </r>
      </text>
    </comment>
    <comment ref="J26" authorId="0" shapeId="0" xr:uid="{C21064B0-F9CE-4DE0-A528-CDF98FAB02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17:07:49 </t>
        </r>
        <r>
          <rPr>
            <b/>
            <sz val="10"/>
            <color indexed="81"/>
            <rFont val="Tahoma"/>
            <family val="2"/>
          </rPr>
          <t xml:space="preserve">= 22165 - Referinta </t>
        </r>
        <r>
          <rPr>
            <sz val="10"/>
            <color indexed="81"/>
            <rFont val="Tahoma"/>
            <family val="2"/>
          </rPr>
          <t xml:space="preserve">* Bucuresti Marfa Km Auto (Responses)
   2022-09-05 10:51:02 </t>
        </r>
        <r>
          <rPr>
            <b/>
            <sz val="10"/>
            <color indexed="81"/>
            <rFont val="Tahoma"/>
            <family val="2"/>
          </rPr>
          <t xml:space="preserve">= 22165 - Normal </t>
        </r>
        <r>
          <rPr>
            <sz val="10"/>
            <color indexed="81"/>
            <rFont val="Tahoma"/>
            <family val="2"/>
          </rPr>
          <t xml:space="preserve">* Bucuresti Marfa Km Auto (Responses)
</t>
        </r>
      </text>
    </comment>
    <comment ref="O26" authorId="0" shapeId="0" xr:uid="{9CCB8767-91CA-461B-8F44-3D67A870DB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14:42:47 </t>
        </r>
        <r>
          <rPr>
            <b/>
            <sz val="10"/>
            <color indexed="81"/>
            <rFont val="Tahoma"/>
            <family val="2"/>
          </rPr>
          <t xml:space="preserve">= 22476 - Referinta </t>
        </r>
        <r>
          <rPr>
            <sz val="10"/>
            <color indexed="81"/>
            <rFont val="Tahoma"/>
            <family val="2"/>
          </rPr>
          <t xml:space="preserve">* Bucuresti Marfa Km Auto (Responses)
   2022-09-12 08:24:02 </t>
        </r>
        <r>
          <rPr>
            <b/>
            <sz val="10"/>
            <color indexed="81"/>
            <rFont val="Tahoma"/>
            <family val="2"/>
          </rPr>
          <t xml:space="preserve">= 22476 - Normal </t>
        </r>
        <r>
          <rPr>
            <sz val="10"/>
            <color indexed="81"/>
            <rFont val="Tahoma"/>
            <family val="2"/>
          </rPr>
          <t xml:space="preserve">* Bucuresti Marfa Km Auto (Responses)
</t>
        </r>
      </text>
    </comment>
    <comment ref="T26" authorId="0" shapeId="0" xr:uid="{59114CAE-F48D-49D9-AAA1-04E02FAA6E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03:30:00 </t>
        </r>
        <r>
          <rPr>
            <b/>
            <sz val="10"/>
            <color indexed="81"/>
            <rFont val="Tahoma"/>
            <family val="2"/>
          </rPr>
          <t xml:space="preserve">= 23209 - Referinta </t>
        </r>
        <r>
          <rPr>
            <sz val="10"/>
            <color indexed="81"/>
            <rFont val="Tahoma"/>
            <family val="2"/>
          </rPr>
          <t xml:space="preserve">* Bucuresti Marfa Km Auto (Responses)
   2022-09-19 09:18:47 </t>
        </r>
        <r>
          <rPr>
            <b/>
            <sz val="10"/>
            <color indexed="81"/>
            <rFont val="Tahoma"/>
            <family val="2"/>
          </rPr>
          <t xml:space="preserve">= 23209 - Normal </t>
        </r>
        <r>
          <rPr>
            <sz val="10"/>
            <color indexed="81"/>
            <rFont val="Tahoma"/>
            <family val="2"/>
          </rPr>
          <t xml:space="preserve">* Bucuresti Marfa Km Auto (Responses)
</t>
        </r>
      </text>
    </comment>
    <comment ref="Y26" authorId="0" shapeId="0" xr:uid="{C9FB6349-FC98-4240-99F7-1B83C54FC3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 
__________________________________________________________________
</t>
        </r>
        <r>
          <rPr>
            <sz val="10"/>
            <color indexed="12"/>
            <rFont val="Tahoma"/>
            <family val="2"/>
          </rPr>
          <t xml:space="preserve">  </t>
        </r>
        <r>
          <rPr>
            <sz val="10"/>
            <color indexed="81"/>
            <rFont val="Tahoma"/>
            <family val="2"/>
          </rPr>
          <t xml:space="preserve"> 2022-09-23 03:30:00 </t>
        </r>
        <r>
          <rPr>
            <b/>
            <sz val="10"/>
            <color indexed="81"/>
            <rFont val="Tahoma"/>
            <family val="2"/>
          </rPr>
          <t xml:space="preserve">= 23765 - Referinta </t>
        </r>
        <r>
          <rPr>
            <sz val="10"/>
            <color indexed="81"/>
            <rFont val="Tahoma"/>
            <family val="2"/>
          </rPr>
          <t xml:space="preserve">* Bucuresti Marfa Km Auto (Responses)
   2022-09-26 09:30:00 </t>
        </r>
        <r>
          <rPr>
            <b/>
            <sz val="10"/>
            <color indexed="81"/>
            <rFont val="Tahoma"/>
            <family val="2"/>
          </rPr>
          <t xml:space="preserve">= 23765 - Normal </t>
        </r>
        <r>
          <rPr>
            <sz val="10"/>
            <color indexed="81"/>
            <rFont val="Tahoma"/>
            <family val="2"/>
          </rPr>
          <t xml:space="preserve">* Bucuresti Marfa Km Auto (Responses)
</t>
        </r>
      </text>
    </comment>
    <comment ref="AD27" authorId="0" shapeId="0" xr:uid="{60966434-B9F1-49EC-BCE2-15EB86E4D1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Barascu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08:25:00 </t>
        </r>
        <r>
          <rPr>
            <b/>
            <sz val="10"/>
            <color indexed="81"/>
            <rFont val="Tahoma"/>
            <family val="2"/>
          </rPr>
          <t xml:space="preserve">= 46045 - Referinta </t>
        </r>
        <r>
          <rPr>
            <sz val="10"/>
            <color indexed="81"/>
            <rFont val="Tahoma"/>
            <family val="2"/>
          </rPr>
          <t xml:space="preserve">* Bucuresti Marfa Km Auto (Responses)
</t>
        </r>
      </text>
    </comment>
    <comment ref="T28" authorId="0" shapeId="0" xr:uid="{B4ED9587-33CC-4AC2-A235-6D82DF2706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Radu Paul : 
__________________________________________________________________
</t>
        </r>
        <r>
          <rPr>
            <sz val="10"/>
            <color indexed="12"/>
            <rFont val="Tahoma"/>
            <family val="2"/>
          </rPr>
          <t xml:space="preserve">  </t>
        </r>
        <r>
          <rPr>
            <sz val="10"/>
            <color indexed="81"/>
            <rFont val="Tahoma"/>
            <family val="2"/>
          </rPr>
          <t xml:space="preserve"> 2022-09-16 16:42:52 </t>
        </r>
        <r>
          <rPr>
            <b/>
            <sz val="10"/>
            <color indexed="81"/>
            <rFont val="Tahoma"/>
            <family val="2"/>
          </rPr>
          <t xml:space="preserve">= 45569 - Referinta </t>
        </r>
        <r>
          <rPr>
            <sz val="10"/>
            <color indexed="81"/>
            <rFont val="Tahoma"/>
            <family val="2"/>
          </rPr>
          <t xml:space="preserve">* Bucuresti Marfa Km Auto (Responses)
   2022-09-19 09:02:42 </t>
        </r>
        <r>
          <rPr>
            <b/>
            <sz val="10"/>
            <color indexed="81"/>
            <rFont val="Tahoma"/>
            <family val="2"/>
          </rPr>
          <t xml:space="preserve">= 45593 - Normal </t>
        </r>
        <r>
          <rPr>
            <sz val="10"/>
            <color indexed="81"/>
            <rFont val="Tahoma"/>
            <family val="2"/>
          </rPr>
          <t xml:space="preserve">* Bucuresti Marfa Km Auto (Responses)
</t>
        </r>
      </text>
    </comment>
    <comment ref="J29" authorId="0" shapeId="0" xr:uid="{4405982C-4A79-4EAE-846E-500420CC9A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15:07:59 </t>
        </r>
        <r>
          <rPr>
            <b/>
            <sz val="10"/>
            <color indexed="81"/>
            <rFont val="Tahoma"/>
            <family val="2"/>
          </rPr>
          <t xml:space="preserve">= 20859 - Referinta </t>
        </r>
        <r>
          <rPr>
            <sz val="10"/>
            <color indexed="81"/>
            <rFont val="Tahoma"/>
            <family val="2"/>
          </rPr>
          <t xml:space="preserve">* Bucuresti Marfa Km Auto (Responses)
   2022-09-05 06:53:22 </t>
        </r>
        <r>
          <rPr>
            <b/>
            <sz val="10"/>
            <color indexed="81"/>
            <rFont val="Tahoma"/>
            <family val="2"/>
          </rPr>
          <t xml:space="preserve">= 20859 - Normal </t>
        </r>
        <r>
          <rPr>
            <sz val="10"/>
            <color indexed="81"/>
            <rFont val="Tahoma"/>
            <family val="2"/>
          </rPr>
          <t xml:space="preserve">* Bucuresti Marfa Km Auto (Responses)
</t>
        </r>
      </text>
    </comment>
    <comment ref="O29" authorId="0" shapeId="0" xr:uid="{401A8D3B-5027-4D3E-A8A4-2BFEE65404D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03:00:00 </t>
        </r>
        <r>
          <rPr>
            <b/>
            <sz val="10"/>
            <color indexed="81"/>
            <rFont val="Tahoma"/>
            <family val="2"/>
          </rPr>
          <t xml:space="preserve">= 21149 - Referinta </t>
        </r>
        <r>
          <rPr>
            <sz val="10"/>
            <color indexed="81"/>
            <rFont val="Tahoma"/>
            <family val="2"/>
          </rPr>
          <t xml:space="preserve">* Bucuresti Marfa Km Auto (Responses)
   2022-09-12 07:51:00 </t>
        </r>
        <r>
          <rPr>
            <b/>
            <sz val="10"/>
            <color indexed="81"/>
            <rFont val="Tahoma"/>
            <family val="2"/>
          </rPr>
          <t xml:space="preserve">= 21149 - Normal </t>
        </r>
        <r>
          <rPr>
            <sz val="10"/>
            <color indexed="81"/>
            <rFont val="Tahoma"/>
            <family val="2"/>
          </rPr>
          <t xml:space="preserve">* Bucuresti Marfa Km Auto (Responses)
</t>
        </r>
      </text>
    </comment>
    <comment ref="T29" authorId="0" shapeId="0" xr:uid="{CC699E56-DF2B-44A9-AFA9-E457FA66796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__________________________________________________________________
</t>
        </r>
        <r>
          <rPr>
            <sz val="10"/>
            <color indexed="12"/>
            <rFont val="Tahoma"/>
            <family val="2"/>
          </rPr>
          <t xml:space="preserve">  </t>
        </r>
        <r>
          <rPr>
            <sz val="10"/>
            <color indexed="81"/>
            <rFont val="Tahoma"/>
            <family val="2"/>
          </rPr>
          <t xml:space="preserve"> 2022-09-16 03:10:00 </t>
        </r>
        <r>
          <rPr>
            <b/>
            <sz val="10"/>
            <color indexed="81"/>
            <rFont val="Tahoma"/>
            <family val="2"/>
          </rPr>
          <t xml:space="preserve">= 21485 - Referinta </t>
        </r>
        <r>
          <rPr>
            <sz val="10"/>
            <color indexed="81"/>
            <rFont val="Tahoma"/>
            <family val="2"/>
          </rPr>
          <t xml:space="preserve">* Bucuresti Marfa Km Auto (Responses)
   2022-09-19 07:00:00 </t>
        </r>
        <r>
          <rPr>
            <b/>
            <sz val="10"/>
            <color indexed="81"/>
            <rFont val="Tahoma"/>
            <family val="2"/>
          </rPr>
          <t xml:space="preserve">= 21485 - Normal </t>
        </r>
        <r>
          <rPr>
            <sz val="10"/>
            <color indexed="81"/>
            <rFont val="Tahoma"/>
            <family val="2"/>
          </rPr>
          <t xml:space="preserve">* Bucuresti Marfa Km Auto (Responses)
</t>
        </r>
      </text>
    </comment>
    <comment ref="AD29" authorId="0" shapeId="0" xr:uid="{510BB5FA-6EDB-40C0-96BF-040EBF819D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 
__________________________________________________________________
</t>
        </r>
        <r>
          <rPr>
            <sz val="10"/>
            <color indexed="12"/>
            <rFont val="Tahoma"/>
            <family val="2"/>
          </rPr>
          <t xml:space="preserve">  </t>
        </r>
        <r>
          <rPr>
            <sz val="10"/>
            <color indexed="81"/>
            <rFont val="Tahoma"/>
            <family val="2"/>
          </rPr>
          <t xml:space="preserve"> 2022-09-30 15:10:54 </t>
        </r>
        <r>
          <rPr>
            <b/>
            <sz val="10"/>
            <color indexed="81"/>
            <rFont val="Tahoma"/>
            <family val="2"/>
          </rPr>
          <t xml:space="preserve">= 21818 - Referinta </t>
        </r>
        <r>
          <rPr>
            <sz val="10"/>
            <color indexed="81"/>
            <rFont val="Tahoma"/>
            <family val="2"/>
          </rPr>
          <t xml:space="preserve">* Bucuresti Marfa Km Auto (Responses)
   2022-10-03 06:59:57 </t>
        </r>
        <r>
          <rPr>
            <b/>
            <sz val="10"/>
            <color indexed="81"/>
            <rFont val="Tahoma"/>
            <family val="2"/>
          </rPr>
          <t xml:space="preserve">= 21818 - Normal </t>
        </r>
        <r>
          <rPr>
            <sz val="10"/>
            <color indexed="81"/>
            <rFont val="Tahoma"/>
            <family val="2"/>
          </rPr>
          <t xml:space="preserve">* Bucuresti Marfa Km Auto (Responses)
</t>
        </r>
      </text>
    </comment>
    <comment ref="T30" authorId="0" shapeId="0" xr:uid="{3CBA93C6-8BD2-42A1-AC4A-E897072E9D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17:17:26 </t>
        </r>
        <r>
          <rPr>
            <b/>
            <sz val="10"/>
            <color indexed="81"/>
            <rFont val="Tahoma"/>
            <family val="2"/>
          </rPr>
          <t xml:space="preserve">= 18512 - Referinta </t>
        </r>
        <r>
          <rPr>
            <sz val="10"/>
            <color indexed="81"/>
            <rFont val="Tahoma"/>
            <family val="2"/>
          </rPr>
          <t xml:space="preserve">* Bucuresti Marfa Km Auto (Responses)
</t>
        </r>
      </text>
    </comment>
    <comment ref="Y30" authorId="0" shapeId="0" xr:uid="{A565EA96-4218-48EB-BEF7-E032B692A9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 
__________________________________________________________________
</t>
        </r>
        <r>
          <rPr>
            <sz val="10"/>
            <color indexed="12"/>
            <rFont val="Tahoma"/>
            <family val="2"/>
          </rPr>
          <t xml:space="preserve">  </t>
        </r>
        <r>
          <rPr>
            <sz val="10"/>
            <color indexed="81"/>
            <rFont val="Tahoma"/>
            <family val="2"/>
          </rPr>
          <t xml:space="preserve"> 2022-09-23 18:19:52 </t>
        </r>
        <r>
          <rPr>
            <b/>
            <sz val="10"/>
            <color indexed="81"/>
            <rFont val="Tahoma"/>
            <family val="2"/>
          </rPr>
          <t xml:space="preserve">= 18931 - Referinta </t>
        </r>
        <r>
          <rPr>
            <sz val="10"/>
            <color indexed="81"/>
            <rFont val="Tahoma"/>
            <family val="2"/>
          </rPr>
          <t xml:space="preserve">* Bucuresti Marfa Km Auto (Responses)
   2022-09-26 08:55:28 </t>
        </r>
        <r>
          <rPr>
            <b/>
            <sz val="10"/>
            <color indexed="81"/>
            <rFont val="Tahoma"/>
            <family val="2"/>
          </rPr>
          <t xml:space="preserve">= 18931 - Normal </t>
        </r>
        <r>
          <rPr>
            <sz val="10"/>
            <color indexed="81"/>
            <rFont val="Tahoma"/>
            <family val="2"/>
          </rPr>
          <t xml:space="preserve">* Bucuresti Marfa Km Auto (Responses)
</t>
        </r>
      </text>
    </comment>
    <comment ref="AD30" authorId="0" shapeId="0" xr:uid="{8CFC39C6-C6E9-40BC-821B-DD668EF77B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09:08:05 </t>
        </r>
        <r>
          <rPr>
            <b/>
            <sz val="10"/>
            <color indexed="81"/>
            <rFont val="Tahoma"/>
            <family val="2"/>
          </rPr>
          <t xml:space="preserve">= 19269 - Referinta </t>
        </r>
        <r>
          <rPr>
            <sz val="10"/>
            <color indexed="81"/>
            <rFont val="Tahoma"/>
            <family val="2"/>
          </rPr>
          <t xml:space="preserve">* Bucuresti Marfa Km Auto (Responses)
</t>
        </r>
      </text>
    </comment>
    <comment ref="Y31" authorId="0" shapeId="0" xr:uid="{88C5A3DF-4A68-4959-A073-81774591378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Andrei Rus : 
__________________________________________________________________
</t>
        </r>
        <r>
          <rPr>
            <sz val="10"/>
            <color indexed="12"/>
            <rFont val="Tahoma"/>
            <family val="2"/>
          </rPr>
          <t xml:space="preserve">  </t>
        </r>
        <r>
          <rPr>
            <sz val="10"/>
            <color indexed="81"/>
            <rFont val="Tahoma"/>
            <family val="2"/>
          </rPr>
          <t xml:space="preserve"> 2022-09-23 05:20:00 </t>
        </r>
        <r>
          <rPr>
            <b/>
            <sz val="10"/>
            <color indexed="81"/>
            <rFont val="Tahoma"/>
            <family val="2"/>
          </rPr>
          <t xml:space="preserve">= 23194 - Referinta </t>
        </r>
        <r>
          <rPr>
            <sz val="10"/>
            <color indexed="81"/>
            <rFont val="Tahoma"/>
            <family val="2"/>
          </rPr>
          <t xml:space="preserve">* Bucuresti Marfa Km Auto (Responses)
   2022-09-26 08:02:10 </t>
        </r>
        <r>
          <rPr>
            <b/>
            <sz val="10"/>
            <color indexed="81"/>
            <rFont val="Tahoma"/>
            <family val="2"/>
          </rPr>
          <t xml:space="preserve">= 23194 - Normal </t>
        </r>
        <r>
          <rPr>
            <sz val="10"/>
            <color indexed="81"/>
            <rFont val="Tahoma"/>
            <family val="2"/>
          </rPr>
          <t xml:space="preserve">* Bucuresti Marfa Km Auto (Responses)
</t>
        </r>
      </text>
    </comment>
    <comment ref="J32" authorId="0" shapeId="0" xr:uid="{C2177FC3-63AD-46ED-8560-0C075174FE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16:33:13 </t>
        </r>
        <r>
          <rPr>
            <b/>
            <sz val="10"/>
            <color indexed="81"/>
            <rFont val="Tahoma"/>
            <family val="2"/>
          </rPr>
          <t xml:space="preserve">= 22013 - Referinta </t>
        </r>
        <r>
          <rPr>
            <sz val="10"/>
            <color indexed="81"/>
            <rFont val="Tahoma"/>
            <family val="2"/>
          </rPr>
          <t xml:space="preserve">* Bucuresti Marfa Km Auto (Responses)
   2022-09-05 09:16:23 </t>
        </r>
        <r>
          <rPr>
            <b/>
            <sz val="10"/>
            <color indexed="81"/>
            <rFont val="Tahoma"/>
            <family val="2"/>
          </rPr>
          <t xml:space="preserve">= 22013 - Normal </t>
        </r>
        <r>
          <rPr>
            <sz val="10"/>
            <color indexed="81"/>
            <rFont val="Tahoma"/>
            <family val="2"/>
          </rPr>
          <t xml:space="preserve">* Bucuresti Marfa Km Auto (Responses)
</t>
        </r>
      </text>
    </comment>
    <comment ref="O32" authorId="0" shapeId="0" xr:uid="{BA2B97A7-8A3D-4108-AB98-6A02829ECE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04:45:00 </t>
        </r>
        <r>
          <rPr>
            <b/>
            <sz val="10"/>
            <color indexed="81"/>
            <rFont val="Tahoma"/>
            <family val="2"/>
          </rPr>
          <t xml:space="preserve">= 22532 - Referinta </t>
        </r>
        <r>
          <rPr>
            <sz val="10"/>
            <color indexed="81"/>
            <rFont val="Tahoma"/>
            <family val="2"/>
          </rPr>
          <t xml:space="preserve">* Bucuresti Marfa Km Auto (Responses)
   2022-09-12 07:50:00 </t>
        </r>
        <r>
          <rPr>
            <b/>
            <sz val="10"/>
            <color indexed="81"/>
            <rFont val="Tahoma"/>
            <family val="2"/>
          </rPr>
          <t xml:space="preserve">= 22532 - Normal </t>
        </r>
        <r>
          <rPr>
            <sz val="10"/>
            <color indexed="81"/>
            <rFont val="Tahoma"/>
            <family val="2"/>
          </rPr>
          <t xml:space="preserve">* Bucuresti Marfa Km Auto (Responses)
   2022-09-15 09:30:00 </t>
        </r>
        <r>
          <rPr>
            <b/>
            <sz val="10"/>
            <color indexed="81"/>
            <rFont val="Tahoma"/>
            <family val="2"/>
          </rPr>
          <t xml:space="preserve">= 22839 - Concediu </t>
        </r>
        <r>
          <rPr>
            <sz val="10"/>
            <color indexed="81"/>
            <rFont val="Tahoma"/>
            <family val="2"/>
          </rPr>
          <t xml:space="preserve">* Bucuresti Marfa Km Auto (Responses)
</t>
        </r>
      </text>
    </comment>
    <comment ref="J33" authorId="0" shapeId="0" xr:uid="{B4660DCC-131A-4865-A9F6-E92E371DA1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15:16:30 </t>
        </r>
        <r>
          <rPr>
            <b/>
            <sz val="10"/>
            <color indexed="81"/>
            <rFont val="Tahoma"/>
            <family val="2"/>
          </rPr>
          <t xml:space="preserve">= 215633 - Referinta </t>
        </r>
        <r>
          <rPr>
            <sz val="10"/>
            <color indexed="81"/>
            <rFont val="Tahoma"/>
            <family val="2"/>
          </rPr>
          <t xml:space="preserve">* Sibiu Km Auto (Responses)
   2022-09-02 15:17:19 </t>
        </r>
        <r>
          <rPr>
            <b/>
            <sz val="10"/>
            <color indexed="81"/>
            <rFont val="Tahoma"/>
            <family val="2"/>
          </rPr>
          <t xml:space="preserve">= 215633 - Normal </t>
        </r>
        <r>
          <rPr>
            <sz val="10"/>
            <color indexed="81"/>
            <rFont val="Tahoma"/>
            <family val="2"/>
          </rPr>
          <t xml:space="preserve">* Sibiu Km Auto (Responses)
   2022-09-06 11:42:02 </t>
        </r>
        <r>
          <rPr>
            <b/>
            <sz val="10"/>
            <color indexed="81"/>
            <rFont val="Tahoma"/>
            <family val="2"/>
          </rPr>
          <t xml:space="preserve">= 215767 - Normal </t>
        </r>
        <r>
          <rPr>
            <sz val="10"/>
            <color indexed="81"/>
            <rFont val="Tahoma"/>
            <family val="2"/>
          </rPr>
          <t xml:space="preserve">* Sibiu Km Auto (Responses)
   2022-09-06 11:42:31 </t>
        </r>
        <r>
          <rPr>
            <b/>
            <sz val="10"/>
            <color indexed="81"/>
            <rFont val="Tahoma"/>
            <family val="2"/>
          </rPr>
          <t xml:space="preserve">= 215767 - Normal </t>
        </r>
        <r>
          <rPr>
            <sz val="10"/>
            <color indexed="81"/>
            <rFont val="Tahoma"/>
            <family val="2"/>
          </rPr>
          <t xml:space="preserve">* Sibiu Km Auto (Responses)
</t>
        </r>
      </text>
    </comment>
    <comment ref="O33" authorId="0" shapeId="0" xr:uid="{94953B54-6D7F-49B5-ACEB-1EF6AD4DFC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216055 - Referinta </t>
        </r>
        <r>
          <rPr>
            <sz val="10"/>
            <color indexed="81"/>
            <rFont val="Tahoma"/>
            <family val="2"/>
          </rPr>
          <t xml:space="preserve">* Sibiu Km Auto (Responses)
   2022-09-12 09:21:35 </t>
        </r>
        <r>
          <rPr>
            <b/>
            <sz val="10"/>
            <color indexed="81"/>
            <rFont val="Tahoma"/>
            <family val="2"/>
          </rPr>
          <t xml:space="preserve">= 216055 - Normal </t>
        </r>
        <r>
          <rPr>
            <sz val="10"/>
            <color indexed="81"/>
            <rFont val="Tahoma"/>
            <family val="2"/>
          </rPr>
          <t xml:space="preserve">* Sibiu Km Auto (Responses)
</t>
        </r>
      </text>
    </comment>
    <comment ref="J34" authorId="0" shapeId="0" xr:uid="{0A87CCC2-F77D-4422-BA64-4766A36A0C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07:50:58 </t>
        </r>
        <r>
          <rPr>
            <b/>
            <sz val="10"/>
            <color indexed="81"/>
            <rFont val="Tahoma"/>
            <family val="2"/>
          </rPr>
          <t xml:space="preserve">= 34145 - Referinta </t>
        </r>
        <r>
          <rPr>
            <sz val="10"/>
            <color indexed="81"/>
            <rFont val="Tahoma"/>
            <family val="2"/>
          </rPr>
          <t xml:space="preserve">* Bucuresti Marfa Km Auto (Responses)
</t>
        </r>
      </text>
    </comment>
    <comment ref="O34" authorId="0" shapeId="0" xr:uid="{2FC9252A-4964-499A-91B8-9172542D95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08:39:47 </t>
        </r>
        <r>
          <rPr>
            <b/>
            <sz val="10"/>
            <color indexed="81"/>
            <rFont val="Tahoma"/>
            <family val="2"/>
          </rPr>
          <t xml:space="preserve">= 34755 - Referinta </t>
        </r>
        <r>
          <rPr>
            <sz val="10"/>
            <color indexed="81"/>
            <rFont val="Tahoma"/>
            <family val="2"/>
          </rPr>
          <t xml:space="preserve">* Bucuresti Marfa Km Auto (Responses)
</t>
        </r>
      </text>
    </comment>
    <comment ref="AD34" authorId="0" shapeId="0" xr:uid="{DD62315A-D1FD-4B88-B401-D14ED6C081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 
__________________________________________________________________
</t>
        </r>
        <r>
          <rPr>
            <sz val="10"/>
            <color indexed="12"/>
            <rFont val="Tahoma"/>
            <family val="2"/>
          </rPr>
          <t xml:space="preserve">  </t>
        </r>
        <r>
          <rPr>
            <sz val="10"/>
            <color indexed="81"/>
            <rFont val="Tahoma"/>
            <family val="2"/>
          </rPr>
          <t xml:space="preserve"> 2022-09-30 03:16:00 </t>
        </r>
        <r>
          <rPr>
            <b/>
            <sz val="10"/>
            <color indexed="81"/>
            <rFont val="Tahoma"/>
            <family val="2"/>
          </rPr>
          <t xml:space="preserve">= 35820 - Referinta </t>
        </r>
        <r>
          <rPr>
            <sz val="10"/>
            <color indexed="81"/>
            <rFont val="Tahoma"/>
            <family val="2"/>
          </rPr>
          <t xml:space="preserve">* Bucuresti Marfa Km Auto (Responses)
   2022-10-03 08:30:00 </t>
        </r>
        <r>
          <rPr>
            <b/>
            <sz val="10"/>
            <color indexed="81"/>
            <rFont val="Tahoma"/>
            <family val="2"/>
          </rPr>
          <t xml:space="preserve">= 35820 - Normal </t>
        </r>
        <r>
          <rPr>
            <sz val="10"/>
            <color indexed="81"/>
            <rFont val="Tahoma"/>
            <family val="2"/>
          </rPr>
          <t xml:space="preserve">* Bucuresti Marfa Km Auto (Responses)
</t>
        </r>
      </text>
    </comment>
    <comment ref="J35" authorId="0" shapeId="0" xr:uid="{AA762877-1A16-46C3-B0DB-01B3707017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16:57:43 </t>
        </r>
        <r>
          <rPr>
            <b/>
            <sz val="10"/>
            <color indexed="81"/>
            <rFont val="Tahoma"/>
            <family val="2"/>
          </rPr>
          <t xml:space="preserve">= 17272 - Referinta </t>
        </r>
        <r>
          <rPr>
            <sz val="10"/>
            <color indexed="81"/>
            <rFont val="Tahoma"/>
            <family val="2"/>
          </rPr>
          <t xml:space="preserve">* Bucuresti Km Auto Vanzari (Responses)
</t>
        </r>
      </text>
    </comment>
    <comment ref="O35" authorId="0" shapeId="0" xr:uid="{4E1D1B72-5CD6-4F17-B55B-D13668B99B6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__________________________________________________________________
</t>
        </r>
        <r>
          <rPr>
            <sz val="10"/>
            <color indexed="12"/>
            <rFont val="Tahoma"/>
            <family val="2"/>
          </rPr>
          <t xml:space="preserve">  </t>
        </r>
        <r>
          <rPr>
            <sz val="10"/>
            <color indexed="81"/>
            <rFont val="Tahoma"/>
            <family val="2"/>
          </rPr>
          <t xml:space="preserve"> 2022-09-09 19:50:31 </t>
        </r>
        <r>
          <rPr>
            <b/>
            <sz val="10"/>
            <color indexed="81"/>
            <rFont val="Tahoma"/>
            <family val="2"/>
          </rPr>
          <t xml:space="preserve">= 17548 - Referinta </t>
        </r>
        <r>
          <rPr>
            <sz val="10"/>
            <color indexed="81"/>
            <rFont val="Tahoma"/>
            <family val="2"/>
          </rPr>
          <t xml:space="preserve">* Bucuresti Km Auto Vanzari (Responses)
   2022-09-12 08:28:00 </t>
        </r>
        <r>
          <rPr>
            <b/>
            <sz val="10"/>
            <color indexed="81"/>
            <rFont val="Tahoma"/>
            <family val="2"/>
          </rPr>
          <t xml:space="preserve">= 17629 - Normal </t>
        </r>
        <r>
          <rPr>
            <sz val="10"/>
            <color indexed="81"/>
            <rFont val="Tahoma"/>
            <family val="2"/>
          </rPr>
          <t xml:space="preserve">* Bucuresti Km Auto Vanzari (Responses)
   2022-09-14 08:05:00 </t>
        </r>
        <r>
          <rPr>
            <b/>
            <sz val="10"/>
            <color indexed="81"/>
            <rFont val="Tahoma"/>
            <family val="2"/>
          </rPr>
          <t xml:space="preserve">= 17653 - Concediu </t>
        </r>
        <r>
          <rPr>
            <sz val="10"/>
            <color indexed="81"/>
            <rFont val="Tahoma"/>
            <family val="2"/>
          </rPr>
          <t xml:space="preserve">* Bucuresti Km Auto Vanzari (Responses)
</t>
        </r>
      </text>
    </comment>
    <comment ref="T35" authorId="0" shapeId="0" xr:uid="{25A9C37F-01DF-4613-8325-4513EA8FB6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08:12:00 </t>
        </r>
        <r>
          <rPr>
            <b/>
            <sz val="10"/>
            <color indexed="81"/>
            <rFont val="Tahoma"/>
            <family val="2"/>
          </rPr>
          <t xml:space="preserve">= 17662 - Referinta </t>
        </r>
        <r>
          <rPr>
            <sz val="10"/>
            <color indexed="81"/>
            <rFont val="Tahoma"/>
            <family val="2"/>
          </rPr>
          <t xml:space="preserve">* Bucuresti Km Auto Vanzari (Responses)
</t>
        </r>
      </text>
    </comment>
    <comment ref="Y35" authorId="0" shapeId="0" xr:uid="{AD90A16D-9733-45C0-91F8-A461F475DBE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__________________________________________________________________
</t>
        </r>
        <r>
          <rPr>
            <sz val="10"/>
            <color indexed="12"/>
            <rFont val="Tahoma"/>
            <family val="2"/>
          </rPr>
          <t xml:space="preserve">  </t>
        </r>
        <r>
          <rPr>
            <sz val="10"/>
            <color indexed="81"/>
            <rFont val="Tahoma"/>
            <family val="2"/>
          </rPr>
          <t xml:space="preserve"> 2022-09-23 04:12:00 </t>
        </r>
        <r>
          <rPr>
            <b/>
            <sz val="10"/>
            <color indexed="81"/>
            <rFont val="Tahoma"/>
            <family val="2"/>
          </rPr>
          <t xml:space="preserve">= 17806 - Referinta </t>
        </r>
        <r>
          <rPr>
            <sz val="10"/>
            <color indexed="81"/>
            <rFont val="Tahoma"/>
            <family val="2"/>
          </rPr>
          <t xml:space="preserve">* Bucuresti Km Auto Vanzari (Responses)
   2022-09-26 08:00:00 </t>
        </r>
        <r>
          <rPr>
            <b/>
            <sz val="10"/>
            <color indexed="81"/>
            <rFont val="Tahoma"/>
            <family val="2"/>
          </rPr>
          <t xml:space="preserve">= 17815 - Normal </t>
        </r>
        <r>
          <rPr>
            <sz val="10"/>
            <color indexed="81"/>
            <rFont val="Tahoma"/>
            <family val="2"/>
          </rPr>
          <t xml:space="preserve">* Bucuresti Km Auto Vanzari (Responses)
</t>
        </r>
      </text>
    </comment>
    <comment ref="AD35" authorId="0" shapeId="0" xr:uid="{0BDAB73A-E5B8-4C9C-901A-1D83AEE195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 
__________________________________________________________________
</t>
        </r>
        <r>
          <rPr>
            <sz val="10"/>
            <color indexed="12"/>
            <rFont val="Tahoma"/>
            <family val="2"/>
          </rPr>
          <t xml:space="preserve">  </t>
        </r>
        <r>
          <rPr>
            <sz val="10"/>
            <color indexed="81"/>
            <rFont val="Tahoma"/>
            <family val="2"/>
          </rPr>
          <t xml:space="preserve"> 2022-09-30 05:48:00 </t>
        </r>
        <r>
          <rPr>
            <b/>
            <sz val="10"/>
            <color indexed="81"/>
            <rFont val="Tahoma"/>
            <family val="2"/>
          </rPr>
          <t xml:space="preserve">= 17971 - Referinta </t>
        </r>
        <r>
          <rPr>
            <sz val="10"/>
            <color indexed="81"/>
            <rFont val="Tahoma"/>
            <family val="2"/>
          </rPr>
          <t xml:space="preserve">* Bucuresti Km Auto Vanzari (Responses)
   2022-10-03 08:27:00 </t>
        </r>
        <r>
          <rPr>
            <b/>
            <sz val="10"/>
            <color indexed="81"/>
            <rFont val="Tahoma"/>
            <family val="2"/>
          </rPr>
          <t xml:space="preserve">= 17980 - Normal </t>
        </r>
        <r>
          <rPr>
            <sz val="10"/>
            <color indexed="81"/>
            <rFont val="Tahoma"/>
            <family val="2"/>
          </rPr>
          <t xml:space="preserve">* Bucuresti Km Auto Vanzari (Responses)
</t>
        </r>
      </text>
    </comment>
    <comment ref="J36" authorId="0" shapeId="0" xr:uid="{620A6783-01C1-4805-8E33-E01FA9EAD7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16:01:26 </t>
        </r>
        <r>
          <rPr>
            <b/>
            <sz val="10"/>
            <color indexed="81"/>
            <rFont val="Tahoma"/>
            <family val="2"/>
          </rPr>
          <t xml:space="preserve">= 144035 - Referinta </t>
        </r>
        <r>
          <rPr>
            <sz val="10"/>
            <color indexed="81"/>
            <rFont val="Tahoma"/>
            <family val="2"/>
          </rPr>
          <t xml:space="preserve">* Bucuresti Km Auto Vanzari (Responses)
   2022-09-05 17:42:45 </t>
        </r>
        <r>
          <rPr>
            <b/>
            <sz val="10"/>
            <color indexed="81"/>
            <rFont val="Tahoma"/>
            <family val="2"/>
          </rPr>
          <t xml:space="preserve">= 144095 - Normal </t>
        </r>
        <r>
          <rPr>
            <sz val="10"/>
            <color indexed="81"/>
            <rFont val="Tahoma"/>
            <family val="2"/>
          </rPr>
          <t xml:space="preserve">* Bucuresti Km Auto Vanzari (Responses)
</t>
        </r>
      </text>
    </comment>
    <comment ref="O36" authorId="0" shapeId="0" xr:uid="{0173A76F-F9D9-4DC2-838E-07FD5473F7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03:47:00 </t>
        </r>
        <r>
          <rPr>
            <b/>
            <sz val="10"/>
            <color indexed="81"/>
            <rFont val="Tahoma"/>
            <family val="2"/>
          </rPr>
          <t xml:space="preserve">= 144179 - Referinta </t>
        </r>
        <r>
          <rPr>
            <sz val="10"/>
            <color indexed="81"/>
            <rFont val="Tahoma"/>
            <family val="2"/>
          </rPr>
          <t xml:space="preserve">* Bucuresti Km Auto Vanzari (Responses)
   2022-09-12 08:04:00 </t>
        </r>
        <r>
          <rPr>
            <b/>
            <sz val="10"/>
            <color indexed="81"/>
            <rFont val="Tahoma"/>
            <family val="2"/>
          </rPr>
          <t xml:space="preserve">= 144297 - Normal </t>
        </r>
        <r>
          <rPr>
            <sz val="10"/>
            <color indexed="81"/>
            <rFont val="Tahoma"/>
            <family val="2"/>
          </rPr>
          <t xml:space="preserve">* Bucuresti Km Auto Vanzari (Responses)
</t>
        </r>
      </text>
    </comment>
    <comment ref="T36" authorId="0" shapeId="0" xr:uid="{264ED967-8326-4257-A2BB-D485916FC9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04:14:00 </t>
        </r>
        <r>
          <rPr>
            <b/>
            <sz val="10"/>
            <color indexed="81"/>
            <rFont val="Tahoma"/>
            <family val="2"/>
          </rPr>
          <t xml:space="preserve">= 144387 - Referinta </t>
        </r>
        <r>
          <rPr>
            <sz val="10"/>
            <color indexed="81"/>
            <rFont val="Tahoma"/>
            <family val="2"/>
          </rPr>
          <t xml:space="preserve">* Bucuresti Km Auto Vanzari (Responses)
   2022-09-19 07:28:00 </t>
        </r>
        <r>
          <rPr>
            <b/>
            <sz val="10"/>
            <color indexed="81"/>
            <rFont val="Tahoma"/>
            <family val="2"/>
          </rPr>
          <t xml:space="preserve">= 144462 - Normal </t>
        </r>
        <r>
          <rPr>
            <sz val="10"/>
            <color indexed="81"/>
            <rFont val="Tahoma"/>
            <family val="2"/>
          </rPr>
          <t xml:space="preserve">* Bucuresti Km Auto Vanzari (Responses)
</t>
        </r>
      </text>
    </comment>
    <comment ref="J37" authorId="0" shapeId="0" xr:uid="{DC97590C-B550-40D1-9DB4-BDFECBC84E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15:52:19 </t>
        </r>
        <r>
          <rPr>
            <b/>
            <sz val="10"/>
            <color indexed="81"/>
            <rFont val="Tahoma"/>
            <family val="2"/>
          </rPr>
          <t xml:space="preserve">= 14007 - Referinta </t>
        </r>
        <r>
          <rPr>
            <sz val="10"/>
            <color indexed="81"/>
            <rFont val="Tahoma"/>
            <family val="2"/>
          </rPr>
          <t xml:space="preserve">* Bucuresti Km Auto Vanzari (Responses)
   2022-09-05 07:24:37 </t>
        </r>
        <r>
          <rPr>
            <b/>
            <sz val="10"/>
            <color indexed="81"/>
            <rFont val="Tahoma"/>
            <family val="2"/>
          </rPr>
          <t xml:space="preserve">= 14024 - Interes Serviciu </t>
        </r>
        <r>
          <rPr>
            <sz val="10"/>
            <color indexed="81"/>
            <rFont val="Tahoma"/>
            <family val="2"/>
          </rPr>
          <t xml:space="preserve">* Bucuresti Km Auto Vanzari (Responses)
</t>
        </r>
      </text>
    </comment>
    <comment ref="O37" authorId="0" shapeId="0" xr:uid="{A3463365-C1A8-40BB-9127-02C35B79FF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2022-09-09 15:50:02 </t>
        </r>
        <r>
          <rPr>
            <b/>
            <sz val="10"/>
            <color indexed="81"/>
            <rFont val="Tahoma"/>
            <family val="2"/>
          </rPr>
          <t xml:space="preserve">= 14259 - Referinta </t>
        </r>
        <r>
          <rPr>
            <sz val="10"/>
            <color indexed="81"/>
            <rFont val="Tahoma"/>
            <family val="2"/>
          </rPr>
          <t xml:space="preserve">* Bucuresti Km Auto Vanzari (Responses)
   2022-09-12 07:25:21 </t>
        </r>
        <r>
          <rPr>
            <b/>
            <sz val="10"/>
            <color indexed="81"/>
            <rFont val="Tahoma"/>
            <family val="2"/>
          </rPr>
          <t xml:space="preserve">= 14276 - Normal </t>
        </r>
        <r>
          <rPr>
            <sz val="10"/>
            <color indexed="81"/>
            <rFont val="Tahoma"/>
            <family val="2"/>
          </rPr>
          <t xml:space="preserve">* Bucuresti Km Auto Vanzari (Responses)
</t>
        </r>
      </text>
    </comment>
    <comment ref="T37" authorId="0" shapeId="0" xr:uid="{4732306D-241C-444B-8BB9-F5A203B176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2022-09-16 18:41:22 </t>
        </r>
        <r>
          <rPr>
            <b/>
            <sz val="10"/>
            <color indexed="81"/>
            <rFont val="Tahoma"/>
            <family val="2"/>
          </rPr>
          <t xml:space="preserve">= 14628 - Referinta </t>
        </r>
        <r>
          <rPr>
            <sz val="10"/>
            <color indexed="81"/>
            <rFont val="Tahoma"/>
            <family val="2"/>
          </rPr>
          <t xml:space="preserve">* Bucuresti Km Auto Vanzari (Responses)
   2022-09-19 08:04:37 </t>
        </r>
        <r>
          <rPr>
            <b/>
            <sz val="10"/>
            <color indexed="81"/>
            <rFont val="Tahoma"/>
            <family val="2"/>
          </rPr>
          <t xml:space="preserve">= 14645 - Normal </t>
        </r>
        <r>
          <rPr>
            <sz val="10"/>
            <color indexed="81"/>
            <rFont val="Tahoma"/>
            <family val="2"/>
          </rPr>
          <t xml:space="preserve">* Bucuresti Km Auto Vanzari (Responses)
</t>
        </r>
      </text>
    </comment>
    <comment ref="Y37" authorId="0" shapeId="0" xr:uid="{A25A371B-6A4D-450E-890A-E66723EB52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2022-09-23 16:15:14 </t>
        </r>
        <r>
          <rPr>
            <b/>
            <sz val="10"/>
            <color indexed="81"/>
            <rFont val="Tahoma"/>
            <family val="2"/>
          </rPr>
          <t xml:space="preserve">= 15071 - Referinta </t>
        </r>
        <r>
          <rPr>
            <sz val="10"/>
            <color indexed="81"/>
            <rFont val="Tahoma"/>
            <family val="2"/>
          </rPr>
          <t xml:space="preserve">* Bucuresti Km Auto Vanzari (Responses)
   2022-09-26 07:21:02 </t>
        </r>
        <r>
          <rPr>
            <b/>
            <sz val="10"/>
            <color indexed="81"/>
            <rFont val="Tahoma"/>
            <family val="2"/>
          </rPr>
          <t xml:space="preserve">= 15087 - Normal </t>
        </r>
        <r>
          <rPr>
            <sz val="10"/>
            <color indexed="81"/>
            <rFont val="Tahoma"/>
            <family val="2"/>
          </rPr>
          <t xml:space="preserve">* Bucuresti Km Auto Vanzari (Responses)
</t>
        </r>
      </text>
    </comment>
    <comment ref="AD37" authorId="0" shapeId="0" xr:uid="{4CEC0BE6-0582-4F52-AF36-5D3D5CF043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 
__________________________________________________________________
</t>
        </r>
        <r>
          <rPr>
            <sz val="10"/>
            <color indexed="12"/>
            <rFont val="Tahoma"/>
            <family val="2"/>
          </rPr>
          <t xml:space="preserve">  </t>
        </r>
        <r>
          <rPr>
            <sz val="10"/>
            <color indexed="81"/>
            <rFont val="Tahoma"/>
            <family val="2"/>
          </rPr>
          <t xml:space="preserve"> 2022-09-30 16:29:37 </t>
        </r>
        <r>
          <rPr>
            <b/>
            <sz val="10"/>
            <color indexed="81"/>
            <rFont val="Tahoma"/>
            <family val="2"/>
          </rPr>
          <t xml:space="preserve">= 15323 - Referinta </t>
        </r>
        <r>
          <rPr>
            <sz val="10"/>
            <color indexed="81"/>
            <rFont val="Tahoma"/>
            <family val="2"/>
          </rPr>
          <t xml:space="preserve">* Bucuresti Km Auto Vanzari (Responses)
   2022-10-03 11:57:17 </t>
        </r>
        <r>
          <rPr>
            <b/>
            <sz val="10"/>
            <color indexed="81"/>
            <rFont val="Tahoma"/>
            <family val="2"/>
          </rPr>
          <t xml:space="preserve">= 15340 - Normal </t>
        </r>
        <r>
          <rPr>
            <sz val="10"/>
            <color indexed="81"/>
            <rFont val="Tahoma"/>
            <family val="2"/>
          </rPr>
          <t xml:space="preserve">* Bucuresti Km Auto Vanzari (Responses)
</t>
        </r>
      </text>
    </comment>
    <comment ref="J38" authorId="0" shapeId="0" xr:uid="{7CD9E741-DC10-46F6-BE87-2019220717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2022-09-02 15:12:46 </t>
        </r>
        <r>
          <rPr>
            <b/>
            <sz val="10"/>
            <color indexed="81"/>
            <rFont val="Tahoma"/>
            <family val="2"/>
          </rPr>
          <t xml:space="preserve">= 34257 - Referinta </t>
        </r>
        <r>
          <rPr>
            <sz val="10"/>
            <color indexed="81"/>
            <rFont val="Tahoma"/>
            <family val="2"/>
          </rPr>
          <t xml:space="preserve">* Bucuresti Km Auto Vanzari (Responses)
   2022-09-06 09:55:44 </t>
        </r>
        <r>
          <rPr>
            <b/>
            <sz val="10"/>
            <color indexed="81"/>
            <rFont val="Tahoma"/>
            <family val="2"/>
          </rPr>
          <t xml:space="preserve">= 34262 - Normal </t>
        </r>
        <r>
          <rPr>
            <sz val="10"/>
            <color indexed="81"/>
            <rFont val="Tahoma"/>
            <family val="2"/>
          </rPr>
          <t xml:space="preserve">* Bucuresti Km Auto Vanzari (Responses)
</t>
        </r>
      </text>
    </comment>
    <comment ref="O38" authorId="0" shapeId="0" xr:uid="{1EC14A1F-DD01-40A8-8DC2-38EF2B73C2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08:14:29 </t>
        </r>
        <r>
          <rPr>
            <b/>
            <sz val="10"/>
            <color indexed="81"/>
            <rFont val="Tahoma"/>
            <family val="2"/>
          </rPr>
          <t xml:space="preserve">= 34456 - Referinta </t>
        </r>
        <r>
          <rPr>
            <sz val="10"/>
            <color indexed="81"/>
            <rFont val="Tahoma"/>
            <family val="2"/>
          </rPr>
          <t xml:space="preserve">* Bucuresti Km Auto Vanzari (Responses)
</t>
        </r>
      </text>
    </comment>
    <comment ref="T38" authorId="0" shapeId="0" xr:uid="{1CA89951-6180-408F-ABA6-1079B2C7A1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2022-09-16 16:02:44 </t>
        </r>
        <r>
          <rPr>
            <b/>
            <sz val="10"/>
            <color indexed="81"/>
            <rFont val="Tahoma"/>
            <family val="2"/>
          </rPr>
          <t xml:space="preserve">= 34656 - Referinta </t>
        </r>
        <r>
          <rPr>
            <sz val="10"/>
            <color indexed="81"/>
            <rFont val="Tahoma"/>
            <family val="2"/>
          </rPr>
          <t xml:space="preserve">* Bucuresti Km Auto Vanzari (Responses)
   2022-09-19 17:45:46 </t>
        </r>
        <r>
          <rPr>
            <b/>
            <sz val="10"/>
            <color indexed="81"/>
            <rFont val="Tahoma"/>
            <family val="2"/>
          </rPr>
          <t xml:space="preserve">= 34659 - Normal </t>
        </r>
        <r>
          <rPr>
            <sz val="10"/>
            <color indexed="81"/>
            <rFont val="Tahoma"/>
            <family val="2"/>
          </rPr>
          <t xml:space="preserve">* Bucuresti Km Auto Vanzari (Responses)
</t>
        </r>
      </text>
    </comment>
    <comment ref="Y38" authorId="0" shapeId="0" xr:uid="{7DF90281-A89C-44DE-99C0-6DBA175DD0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2022-09-23 16:10:02 </t>
        </r>
        <r>
          <rPr>
            <b/>
            <sz val="10"/>
            <color indexed="81"/>
            <rFont val="Tahoma"/>
            <family val="2"/>
          </rPr>
          <t xml:space="preserve">= 34934 - Referinta </t>
        </r>
        <r>
          <rPr>
            <sz val="10"/>
            <color indexed="81"/>
            <rFont val="Tahoma"/>
            <family val="2"/>
          </rPr>
          <t xml:space="preserve">* Bucuresti Km Auto Vanzari (Responses)
</t>
        </r>
      </text>
    </comment>
    <comment ref="AD38" authorId="0" shapeId="0" xr:uid="{C61C883A-8407-474C-BC27-E71873E9E2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 
__________________________________________________________________
</t>
        </r>
        <r>
          <rPr>
            <sz val="10"/>
            <color indexed="12"/>
            <rFont val="Tahoma"/>
            <family val="2"/>
          </rPr>
          <t xml:space="preserve">  </t>
        </r>
        <r>
          <rPr>
            <sz val="10"/>
            <color indexed="81"/>
            <rFont val="Tahoma"/>
            <family val="2"/>
          </rPr>
          <t xml:space="preserve"> 2022-09-30 18:25:22 </t>
        </r>
        <r>
          <rPr>
            <b/>
            <sz val="10"/>
            <color indexed="81"/>
            <rFont val="Tahoma"/>
            <family val="2"/>
          </rPr>
          <t xml:space="preserve">= 35191 - Referinta </t>
        </r>
        <r>
          <rPr>
            <sz val="10"/>
            <color indexed="81"/>
            <rFont val="Tahoma"/>
            <family val="2"/>
          </rPr>
          <t xml:space="preserve">* Bucuresti Km Auto Vanzari (Responses)
   2022-10-03 08:38:40 </t>
        </r>
        <r>
          <rPr>
            <b/>
            <sz val="10"/>
            <color indexed="81"/>
            <rFont val="Tahoma"/>
            <family val="2"/>
          </rPr>
          <t xml:space="preserve">= 35194 - Normal </t>
        </r>
        <r>
          <rPr>
            <sz val="10"/>
            <color indexed="81"/>
            <rFont val="Tahoma"/>
            <family val="2"/>
          </rPr>
          <t xml:space="preserve">* Bucuresti Km Auto Vanzari (Responses)
</t>
        </r>
      </text>
    </comment>
    <comment ref="J39" authorId="0" shapeId="0" xr:uid="{9A03CD6E-5616-476A-894C-9D36248CFE1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17:07:14 </t>
        </r>
        <r>
          <rPr>
            <b/>
            <sz val="10"/>
            <color indexed="81"/>
            <rFont val="Tahoma"/>
            <family val="2"/>
          </rPr>
          <t xml:space="preserve">= 18328 - Referinta </t>
        </r>
        <r>
          <rPr>
            <sz val="10"/>
            <color indexed="81"/>
            <rFont val="Tahoma"/>
            <family val="2"/>
          </rPr>
          <t xml:space="preserve">* Bucuresti Km Auto Vanzari (Responses)
</t>
        </r>
      </text>
    </comment>
    <comment ref="O39" authorId="0" shapeId="0" xr:uid="{E83EAE6A-F24C-4FDA-81C2-C8DC6D07A9E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2022-09-09 15:39:41 </t>
        </r>
        <r>
          <rPr>
            <b/>
            <sz val="10"/>
            <color indexed="81"/>
            <rFont val="Tahoma"/>
            <family val="2"/>
          </rPr>
          <t xml:space="preserve">= 18465 - Referinta </t>
        </r>
        <r>
          <rPr>
            <sz val="10"/>
            <color indexed="81"/>
            <rFont val="Tahoma"/>
            <family val="2"/>
          </rPr>
          <t xml:space="preserve">* Bucuresti Km Auto Vanzari (Responses)
   2022-09-12 08:19:00 </t>
        </r>
        <r>
          <rPr>
            <b/>
            <sz val="10"/>
            <color indexed="81"/>
            <rFont val="Tahoma"/>
            <family val="2"/>
          </rPr>
          <t xml:space="preserve">= 18473 - Normal </t>
        </r>
        <r>
          <rPr>
            <sz val="10"/>
            <color indexed="81"/>
            <rFont val="Tahoma"/>
            <family val="2"/>
          </rPr>
          <t xml:space="preserve">* Bucuresti Km Auto Vanzari (Responses)
</t>
        </r>
      </text>
    </comment>
    <comment ref="T39" authorId="0" shapeId="0" xr:uid="{C2F835D6-15A6-472A-99C8-4EBA6CCFD4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2022-09-16 16:17:02 </t>
        </r>
        <r>
          <rPr>
            <b/>
            <sz val="10"/>
            <color indexed="81"/>
            <rFont val="Tahoma"/>
            <family val="2"/>
          </rPr>
          <t xml:space="preserve">= 18586 - Referinta </t>
        </r>
        <r>
          <rPr>
            <sz val="10"/>
            <color indexed="81"/>
            <rFont val="Tahoma"/>
            <family val="2"/>
          </rPr>
          <t xml:space="preserve">* Bucuresti Km Auto Vanzari (Responses)
   2022-09-19 08:10:00 </t>
        </r>
        <r>
          <rPr>
            <b/>
            <sz val="10"/>
            <color indexed="81"/>
            <rFont val="Tahoma"/>
            <family val="2"/>
          </rPr>
          <t xml:space="preserve">= 18601 - Normal </t>
        </r>
        <r>
          <rPr>
            <sz val="10"/>
            <color indexed="81"/>
            <rFont val="Tahoma"/>
            <family val="2"/>
          </rPr>
          <t xml:space="preserve">* Bucuresti Km Auto Vanzari (Responses)
</t>
        </r>
      </text>
    </comment>
    <comment ref="Y39" authorId="0" shapeId="0" xr:uid="{FF48CAD8-5F6B-440A-926F-01D3A35DB3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2022-09-23 03:30:00 </t>
        </r>
        <r>
          <rPr>
            <b/>
            <sz val="10"/>
            <color indexed="81"/>
            <rFont val="Tahoma"/>
            <family val="2"/>
          </rPr>
          <t xml:space="preserve">= 18727 - Referinta </t>
        </r>
        <r>
          <rPr>
            <sz val="10"/>
            <color indexed="81"/>
            <rFont val="Tahoma"/>
            <family val="2"/>
          </rPr>
          <t xml:space="preserve">* Bucuresti Km Auto Vanzari (Responses)
   2022-09-26 08:00:00 </t>
        </r>
        <r>
          <rPr>
            <b/>
            <sz val="10"/>
            <color indexed="81"/>
            <rFont val="Tahoma"/>
            <family val="2"/>
          </rPr>
          <t xml:space="preserve">= 19139 - Normal </t>
        </r>
        <r>
          <rPr>
            <sz val="10"/>
            <color indexed="81"/>
            <rFont val="Tahoma"/>
            <family val="2"/>
          </rPr>
          <t xml:space="preserve">* Bucuresti Km Auto Vanzari (Responses)
</t>
        </r>
      </text>
    </comment>
    <comment ref="AD39" authorId="0" shapeId="0" xr:uid="{BEFB359C-FA10-46D5-A170-65471CC92F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 
__________________________________________________________________
</t>
        </r>
        <r>
          <rPr>
            <sz val="10"/>
            <color indexed="12"/>
            <rFont val="Tahoma"/>
            <family val="2"/>
          </rPr>
          <t xml:space="preserve">  </t>
        </r>
        <r>
          <rPr>
            <sz val="10"/>
            <color indexed="81"/>
            <rFont val="Tahoma"/>
            <family val="2"/>
          </rPr>
          <t xml:space="preserve"> 2022-09-30 03:30:00 </t>
        </r>
        <r>
          <rPr>
            <b/>
            <sz val="10"/>
            <color indexed="81"/>
            <rFont val="Tahoma"/>
            <family val="2"/>
          </rPr>
          <t xml:space="preserve">= 19298 - Referinta </t>
        </r>
        <r>
          <rPr>
            <sz val="10"/>
            <color indexed="81"/>
            <rFont val="Tahoma"/>
            <family val="2"/>
          </rPr>
          <t xml:space="preserve">* Bucuresti Km Auto Vanzari (Responses)
   2022-10-03 08:00:00 </t>
        </r>
        <r>
          <rPr>
            <b/>
            <sz val="10"/>
            <color indexed="81"/>
            <rFont val="Tahoma"/>
            <family val="2"/>
          </rPr>
          <t xml:space="preserve">= 19362 - Normal </t>
        </r>
        <r>
          <rPr>
            <sz val="10"/>
            <color indexed="81"/>
            <rFont val="Tahoma"/>
            <family val="2"/>
          </rPr>
          <t xml:space="preserve">* Bucuresti Km Auto Vanzari (Responses)
</t>
        </r>
      </text>
    </comment>
    <comment ref="J40" authorId="0" shapeId="0" xr:uid="{51399E66-39BC-46B3-8FC7-536D48A72A7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19:06:56 </t>
        </r>
        <r>
          <rPr>
            <b/>
            <sz val="10"/>
            <color indexed="81"/>
            <rFont val="Tahoma"/>
            <family val="2"/>
          </rPr>
          <t xml:space="preserve">= 130864 - Referinta </t>
        </r>
        <r>
          <rPr>
            <sz val="10"/>
            <color indexed="81"/>
            <rFont val="Tahoma"/>
            <family val="2"/>
          </rPr>
          <t xml:space="preserve">* Bucuresti Km Auto Vanzari (Responses)
   2022-09-05 07:49:13 </t>
        </r>
        <r>
          <rPr>
            <b/>
            <sz val="10"/>
            <color indexed="81"/>
            <rFont val="Tahoma"/>
            <family val="2"/>
          </rPr>
          <t xml:space="preserve">= 130881 - Normal </t>
        </r>
        <r>
          <rPr>
            <sz val="10"/>
            <color indexed="81"/>
            <rFont val="Tahoma"/>
            <family val="2"/>
          </rPr>
          <t xml:space="preserve">* Bucuresti Km Auto Vanzari (Responses)
</t>
        </r>
      </text>
    </comment>
    <comment ref="O40" authorId="0" shapeId="0" xr:uid="{62F34A9F-E9D3-4AB3-96D1-7DE6814BB5A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22:27:10 </t>
        </r>
        <r>
          <rPr>
            <b/>
            <sz val="10"/>
            <color indexed="81"/>
            <rFont val="Tahoma"/>
            <family val="2"/>
          </rPr>
          <t xml:space="preserve">= 131078 - Referinta </t>
        </r>
        <r>
          <rPr>
            <sz val="10"/>
            <color indexed="81"/>
            <rFont val="Tahoma"/>
            <family val="2"/>
          </rPr>
          <t xml:space="preserve">* Bucuresti Km Auto Vanzari (Responses)
   2022-09-12 08:02:59 </t>
        </r>
        <r>
          <rPr>
            <b/>
            <sz val="10"/>
            <color indexed="81"/>
            <rFont val="Tahoma"/>
            <family val="2"/>
          </rPr>
          <t xml:space="preserve">= 131574 - Normal </t>
        </r>
        <r>
          <rPr>
            <sz val="10"/>
            <color indexed="81"/>
            <rFont val="Tahoma"/>
            <family val="2"/>
          </rPr>
          <t xml:space="preserve">* Bucuresti Km Auto Vanzari (Responses)
</t>
        </r>
      </text>
    </comment>
    <comment ref="T40" authorId="0" shapeId="0" xr:uid="{F83699F9-C460-4AD9-93D9-E3DF83928A4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18:16:34 </t>
        </r>
        <r>
          <rPr>
            <b/>
            <sz val="10"/>
            <color indexed="81"/>
            <rFont val="Tahoma"/>
            <family val="2"/>
          </rPr>
          <t xml:space="preserve">= 131826 - Referinta </t>
        </r>
        <r>
          <rPr>
            <sz val="10"/>
            <color indexed="81"/>
            <rFont val="Tahoma"/>
            <family val="2"/>
          </rPr>
          <t xml:space="preserve">* Bucuresti Km Auto Vanzari (Responses)
   2022-09-19 07:52:45 </t>
        </r>
        <r>
          <rPr>
            <b/>
            <sz val="10"/>
            <color indexed="81"/>
            <rFont val="Tahoma"/>
            <family val="2"/>
          </rPr>
          <t xml:space="preserve">= 132123 - Normal </t>
        </r>
        <r>
          <rPr>
            <sz val="10"/>
            <color indexed="81"/>
            <rFont val="Tahoma"/>
            <family val="2"/>
          </rPr>
          <t xml:space="preserve">* Bucuresti Km Auto Vanzari (Responses)
</t>
        </r>
      </text>
    </comment>
    <comment ref="Y40" authorId="0" shapeId="0" xr:uid="{D70D3262-357C-4FC0-8D0E-1633CF8126D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17:49:24 </t>
        </r>
        <r>
          <rPr>
            <b/>
            <sz val="10"/>
            <color indexed="81"/>
            <rFont val="Tahoma"/>
            <family val="2"/>
          </rPr>
          <t xml:space="preserve">= 132208 - Referinta </t>
        </r>
        <r>
          <rPr>
            <sz val="10"/>
            <color indexed="81"/>
            <rFont val="Tahoma"/>
            <family val="2"/>
          </rPr>
          <t xml:space="preserve">* Bucuresti Km Auto Vanzari (Responses)
   2022-09-26 12:38:51 </t>
        </r>
        <r>
          <rPr>
            <b/>
            <sz val="10"/>
            <color indexed="81"/>
            <rFont val="Tahoma"/>
            <family val="2"/>
          </rPr>
          <t xml:space="preserve">= 132226 - Normal </t>
        </r>
        <r>
          <rPr>
            <sz val="10"/>
            <color indexed="81"/>
            <rFont val="Tahoma"/>
            <family val="2"/>
          </rPr>
          <t xml:space="preserve">* Bucuresti Km Auto Vanzari (Responses)
</t>
        </r>
      </text>
    </comment>
    <comment ref="AD40" authorId="0" shapeId="0" xr:uid="{E6D0B8F3-D61A-48C2-A622-6FA7631EF4B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20:08:07 </t>
        </r>
        <r>
          <rPr>
            <b/>
            <sz val="10"/>
            <color indexed="81"/>
            <rFont val="Tahoma"/>
            <family val="2"/>
          </rPr>
          <t xml:space="preserve">= 132332 - Referinta </t>
        </r>
        <r>
          <rPr>
            <sz val="10"/>
            <color indexed="81"/>
            <rFont val="Tahoma"/>
            <family val="2"/>
          </rPr>
          <t xml:space="preserve">* Bucuresti Km Auto Vanzari (Responses)
   2022-10-03 07:31:09 </t>
        </r>
        <r>
          <rPr>
            <b/>
            <sz val="10"/>
            <color indexed="81"/>
            <rFont val="Tahoma"/>
            <family val="2"/>
          </rPr>
          <t xml:space="preserve">= 132378 - Normal </t>
        </r>
        <r>
          <rPr>
            <sz val="10"/>
            <color indexed="81"/>
            <rFont val="Tahoma"/>
            <family val="2"/>
          </rPr>
          <t xml:space="preserve">* Bucuresti Km Auto Vanzari (Responses)
</t>
        </r>
      </text>
    </comment>
    <comment ref="T41" authorId="0" shapeId="0" xr:uid="{15A6CAD2-D828-4CE5-BB21-01DDC57A52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11:58:00 </t>
        </r>
        <r>
          <rPr>
            <b/>
            <sz val="10"/>
            <color indexed="81"/>
            <rFont val="Tahoma"/>
            <family val="2"/>
          </rPr>
          <t xml:space="preserve">= 93398 - Referinta </t>
        </r>
        <r>
          <rPr>
            <sz val="10"/>
            <color indexed="81"/>
            <rFont val="Tahoma"/>
            <family val="2"/>
          </rPr>
          <t xml:space="preserve">* Bucuresti Km Auto Vanzari (Responses)
   2022-09-19 07:18:00 </t>
        </r>
        <r>
          <rPr>
            <b/>
            <sz val="10"/>
            <color indexed="81"/>
            <rFont val="Tahoma"/>
            <family val="2"/>
          </rPr>
          <t xml:space="preserve">= 93400 - Normal </t>
        </r>
        <r>
          <rPr>
            <sz val="10"/>
            <color indexed="81"/>
            <rFont val="Tahoma"/>
            <family val="2"/>
          </rPr>
          <t xml:space="preserve">* Bucuresti Km Auto Vanzari (Responses)
</t>
        </r>
      </text>
    </comment>
    <comment ref="Y41" authorId="0" shapeId="0" xr:uid="{AD85EB7E-A9D7-49BA-A533-19C229E665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07:05:00 </t>
        </r>
        <r>
          <rPr>
            <b/>
            <sz val="10"/>
            <color indexed="81"/>
            <rFont val="Tahoma"/>
            <family val="2"/>
          </rPr>
          <t xml:space="preserve">= 93609 - Referinta </t>
        </r>
        <r>
          <rPr>
            <sz val="10"/>
            <color indexed="81"/>
            <rFont val="Tahoma"/>
            <family val="2"/>
          </rPr>
          <t xml:space="preserve">* Bucuresti Km Auto Vanzari (Responses)
   2022-09-26 08:26:00 </t>
        </r>
        <r>
          <rPr>
            <b/>
            <sz val="10"/>
            <color indexed="81"/>
            <rFont val="Tahoma"/>
            <family val="2"/>
          </rPr>
          <t xml:space="preserve">= 93672 - Normal </t>
        </r>
        <r>
          <rPr>
            <sz val="10"/>
            <color indexed="81"/>
            <rFont val="Tahoma"/>
            <family val="2"/>
          </rPr>
          <t xml:space="preserve">* Bucuresti Km Auto Vanzari (Responses)
</t>
        </r>
      </text>
    </comment>
    <comment ref="AD41" authorId="0" shapeId="0" xr:uid="{2B47946E-26F6-48F9-B7FA-B026BC44256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06:05:00 </t>
        </r>
        <r>
          <rPr>
            <b/>
            <sz val="10"/>
            <color indexed="81"/>
            <rFont val="Tahoma"/>
            <family val="2"/>
          </rPr>
          <t xml:space="preserve">= 94072 - Referinta </t>
        </r>
        <r>
          <rPr>
            <sz val="10"/>
            <color indexed="81"/>
            <rFont val="Tahoma"/>
            <family val="2"/>
          </rPr>
          <t xml:space="preserve">* Bucuresti Km Auto Vanzari (Responses)
   2022-10-03 07:26:00 </t>
        </r>
        <r>
          <rPr>
            <b/>
            <sz val="10"/>
            <color indexed="81"/>
            <rFont val="Tahoma"/>
            <family val="2"/>
          </rPr>
          <t xml:space="preserve">= 94162 - Normal </t>
        </r>
        <r>
          <rPr>
            <sz val="10"/>
            <color indexed="81"/>
            <rFont val="Tahoma"/>
            <family val="2"/>
          </rPr>
          <t xml:space="preserve">* Bucuresti Km Auto Vanzari (Responses)
</t>
        </r>
      </text>
    </comment>
    <comment ref="O42" authorId="0" shapeId="0" xr:uid="{64E14B93-35A6-4190-8C7E-BCC6E005AB2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2022-09-10 01:24:00 </t>
        </r>
        <r>
          <rPr>
            <b/>
            <sz val="10"/>
            <color indexed="81"/>
            <rFont val="Tahoma"/>
            <family val="2"/>
          </rPr>
          <t xml:space="preserve">= 30385 - Referinta </t>
        </r>
        <r>
          <rPr>
            <sz val="10"/>
            <color indexed="81"/>
            <rFont val="Tahoma"/>
            <family val="2"/>
          </rPr>
          <t xml:space="preserve">* Bucuresti Km Auto Tesa (Responses)
   2022-09-11 04:57:00 </t>
        </r>
        <r>
          <rPr>
            <b/>
            <sz val="10"/>
            <color indexed="81"/>
            <rFont val="Tahoma"/>
            <family val="2"/>
          </rPr>
          <t xml:space="preserve">= 30385 - Normal </t>
        </r>
        <r>
          <rPr>
            <sz val="10"/>
            <color indexed="81"/>
            <rFont val="Tahoma"/>
            <family val="2"/>
          </rPr>
          <t xml:space="preserve">* Bucuresti Km Auto Tesa (Responses)
</t>
        </r>
      </text>
    </comment>
    <comment ref="T42" authorId="0" shapeId="0" xr:uid="{1D79AA04-0465-4BD4-9E6A-31FEE3FDF9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__________________________________________________________________
</t>
        </r>
        <r>
          <rPr>
            <sz val="10"/>
            <color indexed="12"/>
            <rFont val="Tahoma"/>
            <family val="2"/>
          </rPr>
          <t xml:space="preserve">  </t>
        </r>
        <r>
          <rPr>
            <sz val="10"/>
            <color indexed="81"/>
            <rFont val="Tahoma"/>
            <family val="2"/>
          </rPr>
          <t xml:space="preserve"> 2022-09-17 02:20:00 </t>
        </r>
        <r>
          <rPr>
            <b/>
            <sz val="10"/>
            <color indexed="81"/>
            <rFont val="Tahoma"/>
            <family val="2"/>
          </rPr>
          <t xml:space="preserve">= 30933 - Referinta </t>
        </r>
        <r>
          <rPr>
            <sz val="10"/>
            <color indexed="81"/>
            <rFont val="Tahoma"/>
            <family val="2"/>
          </rPr>
          <t xml:space="preserve">* Bucuresti Km Auto Tesa (Responses)
   2022-09-18 05:07:00 </t>
        </r>
        <r>
          <rPr>
            <b/>
            <sz val="10"/>
            <color indexed="81"/>
            <rFont val="Tahoma"/>
            <family val="2"/>
          </rPr>
          <t xml:space="preserve">= 30947 - Normal </t>
        </r>
        <r>
          <rPr>
            <sz val="10"/>
            <color indexed="81"/>
            <rFont val="Tahoma"/>
            <family val="2"/>
          </rPr>
          <t xml:space="preserve">* Bucuresti Km Auto Tesa (Responses)
</t>
        </r>
      </text>
    </comment>
    <comment ref="Y42" authorId="0" shapeId="0" xr:uid="{A1243139-4F40-4AB6-BCF9-70BBB1507F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__________________________________________________________________
</t>
        </r>
        <r>
          <rPr>
            <sz val="10"/>
            <color indexed="12"/>
            <rFont val="Tahoma"/>
            <family val="2"/>
          </rPr>
          <t xml:space="preserve">  </t>
        </r>
        <r>
          <rPr>
            <sz val="10"/>
            <color indexed="81"/>
            <rFont val="Tahoma"/>
            <family val="2"/>
          </rPr>
          <t xml:space="preserve"> 2022-09-23 07:52:00 </t>
        </r>
        <r>
          <rPr>
            <b/>
            <sz val="10"/>
            <color indexed="81"/>
            <rFont val="Tahoma"/>
            <family val="2"/>
          </rPr>
          <t xml:space="preserve">= 31407 - Referinta </t>
        </r>
        <r>
          <rPr>
            <sz val="10"/>
            <color indexed="81"/>
            <rFont val="Tahoma"/>
            <family val="2"/>
          </rPr>
          <t xml:space="preserve">* Bucuresti Km Auto Tesa (Responses)
   2022-09-25 04:51:00 </t>
        </r>
        <r>
          <rPr>
            <b/>
            <sz val="10"/>
            <color indexed="81"/>
            <rFont val="Tahoma"/>
            <family val="2"/>
          </rPr>
          <t xml:space="preserve">= 31414 - Normal </t>
        </r>
        <r>
          <rPr>
            <sz val="10"/>
            <color indexed="81"/>
            <rFont val="Tahoma"/>
            <family val="2"/>
          </rPr>
          <t xml:space="preserve">* Bucuresti Km Auto Tesa (Responses)
</t>
        </r>
      </text>
    </comment>
    <comment ref="AD42" authorId="0" shapeId="0" xr:uid="{711D2DEE-867A-46DA-B707-F6FD556C88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 
__________________________________________________________________
</t>
        </r>
        <r>
          <rPr>
            <sz val="10"/>
            <color indexed="12"/>
            <rFont val="Tahoma"/>
            <family val="2"/>
          </rPr>
          <t xml:space="preserve">  </t>
        </r>
        <r>
          <rPr>
            <sz val="10"/>
            <color indexed="81"/>
            <rFont val="Tahoma"/>
            <family val="2"/>
          </rPr>
          <t xml:space="preserve"> 2022-10-01 12:22:00 </t>
        </r>
        <r>
          <rPr>
            <b/>
            <sz val="10"/>
            <color indexed="81"/>
            <rFont val="Tahoma"/>
            <family val="2"/>
          </rPr>
          <t xml:space="preserve">= 31747 - Referinta </t>
        </r>
        <r>
          <rPr>
            <sz val="10"/>
            <color indexed="81"/>
            <rFont val="Tahoma"/>
            <family val="2"/>
          </rPr>
          <t xml:space="preserve">* Bucuresti Km Auto Tesa (Responses)
   2022-10-02 01:51:00 </t>
        </r>
        <r>
          <rPr>
            <b/>
            <sz val="10"/>
            <color indexed="81"/>
            <rFont val="Tahoma"/>
            <family val="2"/>
          </rPr>
          <t xml:space="preserve">= 31783 - Normal </t>
        </r>
        <r>
          <rPr>
            <sz val="10"/>
            <color indexed="81"/>
            <rFont val="Tahoma"/>
            <family val="2"/>
          </rPr>
          <t xml:space="preserve">* Bucuresti Km Auto Tesa (Responses)
</t>
        </r>
      </text>
    </comment>
    <comment ref="J43" authorId="0" shapeId="0" xr:uid="{464E9689-E0BF-4C02-8C65-F988A203A0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21:48:23 </t>
        </r>
        <r>
          <rPr>
            <b/>
            <sz val="10"/>
            <color indexed="81"/>
            <rFont val="Tahoma"/>
            <family val="2"/>
          </rPr>
          <t xml:space="preserve">= 2822 - Referinta </t>
        </r>
        <r>
          <rPr>
            <sz val="10"/>
            <color indexed="81"/>
            <rFont val="Tahoma"/>
            <family val="2"/>
          </rPr>
          <t xml:space="preserve">* Bucuresti Km Auto Tesa (Responses)
   2022-09-05 08:03:18 </t>
        </r>
        <r>
          <rPr>
            <b/>
            <sz val="10"/>
            <color indexed="81"/>
            <rFont val="Tahoma"/>
            <family val="2"/>
          </rPr>
          <t xml:space="preserve">= 2842 - Normal </t>
        </r>
        <r>
          <rPr>
            <sz val="10"/>
            <color indexed="81"/>
            <rFont val="Tahoma"/>
            <family val="2"/>
          </rPr>
          <t xml:space="preserve">* Bucuresti Km Auto Tesa (Responses)
</t>
        </r>
      </text>
    </comment>
    <comment ref="O43" authorId="0" shapeId="0" xr:uid="{8C180FA6-6218-4039-92AD-972284FA19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2022-09-09 23:20:09 </t>
        </r>
        <r>
          <rPr>
            <b/>
            <sz val="10"/>
            <color indexed="81"/>
            <rFont val="Tahoma"/>
            <family val="2"/>
          </rPr>
          <t xml:space="preserve">= 3066 - Referinta </t>
        </r>
        <r>
          <rPr>
            <sz val="10"/>
            <color indexed="81"/>
            <rFont val="Tahoma"/>
            <family val="2"/>
          </rPr>
          <t xml:space="preserve">* Bucuresti Km Auto Tesa (Responses)
   2022-09-12 08:42:43 </t>
        </r>
        <r>
          <rPr>
            <b/>
            <sz val="10"/>
            <color indexed="81"/>
            <rFont val="Tahoma"/>
            <family val="2"/>
          </rPr>
          <t xml:space="preserve">= 3084 - Normal </t>
        </r>
        <r>
          <rPr>
            <sz val="10"/>
            <color indexed="81"/>
            <rFont val="Tahoma"/>
            <family val="2"/>
          </rPr>
          <t xml:space="preserve">* Bucuresti Km Auto Tesa (Responses)
</t>
        </r>
      </text>
    </comment>
    <comment ref="T43" authorId="0" shapeId="0" xr:uid="{59F70C9F-4E59-4E92-8706-0066780081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2022-09-16 22:16:00 </t>
        </r>
        <r>
          <rPr>
            <b/>
            <sz val="10"/>
            <color indexed="81"/>
            <rFont val="Tahoma"/>
            <family val="2"/>
          </rPr>
          <t xml:space="preserve">= 3328 - Referinta </t>
        </r>
        <r>
          <rPr>
            <sz val="10"/>
            <color indexed="81"/>
            <rFont val="Tahoma"/>
            <family val="2"/>
          </rPr>
          <t xml:space="preserve">* Bucuresti Km Auto Tesa (Responses)
   2022-09-19 08:32:51 </t>
        </r>
        <r>
          <rPr>
            <b/>
            <sz val="10"/>
            <color indexed="81"/>
            <rFont val="Tahoma"/>
            <family val="2"/>
          </rPr>
          <t xml:space="preserve">= 3344 - Normal </t>
        </r>
        <r>
          <rPr>
            <sz val="10"/>
            <color indexed="81"/>
            <rFont val="Tahoma"/>
            <family val="2"/>
          </rPr>
          <t xml:space="preserve">* Bucuresti Km Auto Tesa (Responses)
</t>
        </r>
      </text>
    </comment>
    <comment ref="Y43" authorId="0" shapeId="0" xr:uid="{442CD93C-9F2B-4EC2-A2DC-AB04365DD53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2022-09-23 23:09:25 </t>
        </r>
        <r>
          <rPr>
            <b/>
            <sz val="10"/>
            <color indexed="81"/>
            <rFont val="Tahoma"/>
            <family val="2"/>
          </rPr>
          <t xml:space="preserve">= 3697 - Referinta </t>
        </r>
        <r>
          <rPr>
            <sz val="10"/>
            <color indexed="81"/>
            <rFont val="Tahoma"/>
            <family val="2"/>
          </rPr>
          <t xml:space="preserve">* Bucuresti Km Auto Tesa (Responses)
   2022-09-26 09:21:53 </t>
        </r>
        <r>
          <rPr>
            <b/>
            <sz val="10"/>
            <color indexed="81"/>
            <rFont val="Tahoma"/>
            <family val="2"/>
          </rPr>
          <t xml:space="preserve">= 3714 - Normal </t>
        </r>
        <r>
          <rPr>
            <sz val="10"/>
            <color indexed="81"/>
            <rFont val="Tahoma"/>
            <family val="2"/>
          </rPr>
          <t xml:space="preserve">* Bucuresti Km Auto Tesa (Responses)
</t>
        </r>
      </text>
    </comment>
    <comment ref="AD43" authorId="0" shapeId="0" xr:uid="{5685F02C-D3BE-49F6-AF21-8A63A8D079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 
__________________________________________________________________
</t>
        </r>
        <r>
          <rPr>
            <sz val="10"/>
            <color indexed="12"/>
            <rFont val="Tahoma"/>
            <family val="2"/>
          </rPr>
          <t xml:space="preserve">  </t>
        </r>
        <r>
          <rPr>
            <sz val="10"/>
            <color indexed="81"/>
            <rFont val="Tahoma"/>
            <family val="2"/>
          </rPr>
          <t xml:space="preserve"> 2022-09-30 21:02:54 </t>
        </r>
        <r>
          <rPr>
            <b/>
            <sz val="10"/>
            <color indexed="81"/>
            <rFont val="Tahoma"/>
            <family val="2"/>
          </rPr>
          <t xml:space="preserve">= 4129 - Referinta </t>
        </r>
        <r>
          <rPr>
            <sz val="10"/>
            <color indexed="81"/>
            <rFont val="Tahoma"/>
            <family val="2"/>
          </rPr>
          <t xml:space="preserve">* Bucuresti Km Auto Tesa (Responses)
   2022-10-03 20:17:20 </t>
        </r>
        <r>
          <rPr>
            <b/>
            <sz val="10"/>
            <color indexed="81"/>
            <rFont val="Tahoma"/>
            <family val="2"/>
          </rPr>
          <t xml:space="preserve">= 4147 - Normal </t>
        </r>
        <r>
          <rPr>
            <sz val="10"/>
            <color indexed="81"/>
            <rFont val="Tahoma"/>
            <family val="2"/>
          </rPr>
          <t xml:space="preserve">* Bucuresti Km Auto Tesa (Responses)
</t>
        </r>
      </text>
    </comment>
    <comment ref="J44" authorId="0" shapeId="0" xr:uid="{59F18421-9DA8-4740-B5F6-7F7A026CBF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2022-09-03 13:55:28 </t>
        </r>
        <r>
          <rPr>
            <b/>
            <sz val="10"/>
            <color indexed="81"/>
            <rFont val="Tahoma"/>
            <family val="2"/>
          </rPr>
          <t xml:space="preserve">= 50322 - Referinta </t>
        </r>
        <r>
          <rPr>
            <sz val="10"/>
            <color indexed="81"/>
            <rFont val="Tahoma"/>
            <family val="2"/>
          </rPr>
          <t xml:space="preserve">* Cluj &amp; Oradea Km Auto (Responses)
   2022-09-05 06:16:35 </t>
        </r>
        <r>
          <rPr>
            <b/>
            <sz val="10"/>
            <color indexed="81"/>
            <rFont val="Tahoma"/>
            <family val="2"/>
          </rPr>
          <t xml:space="preserve">= 50398 - Normal </t>
        </r>
        <r>
          <rPr>
            <sz val="10"/>
            <color indexed="81"/>
            <rFont val="Tahoma"/>
            <family val="2"/>
          </rPr>
          <t xml:space="preserve">* Cluj &amp; Oradea Km Auto (Responses)
</t>
        </r>
      </text>
    </comment>
    <comment ref="O44" authorId="0" shapeId="0" xr:uid="{35AB3962-2DBF-4245-83B8-7A41EBB31C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2022-09-09 18:42:41 </t>
        </r>
        <r>
          <rPr>
            <b/>
            <sz val="10"/>
            <color indexed="81"/>
            <rFont val="Tahoma"/>
            <family val="2"/>
          </rPr>
          <t xml:space="preserve">= 50808 - Referinta </t>
        </r>
        <r>
          <rPr>
            <sz val="10"/>
            <color indexed="81"/>
            <rFont val="Tahoma"/>
            <family val="2"/>
          </rPr>
          <t xml:space="preserve">* Cluj &amp; Oradea Km Auto (Responses)
   2022-09-12 07:08:27 </t>
        </r>
        <r>
          <rPr>
            <b/>
            <sz val="10"/>
            <color indexed="81"/>
            <rFont val="Tahoma"/>
            <family val="2"/>
          </rPr>
          <t xml:space="preserve">= 51120 - Normal </t>
        </r>
        <r>
          <rPr>
            <sz val="10"/>
            <color indexed="81"/>
            <rFont val="Tahoma"/>
            <family val="2"/>
          </rPr>
          <t xml:space="preserve">* Cluj &amp; Oradea Km Auto (Responses)
</t>
        </r>
      </text>
    </comment>
    <comment ref="T44" authorId="0" shapeId="0" xr:uid="{5F1B586E-4AF2-4F66-AA30-4CF13AD80B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2022-09-17 14:23:45 </t>
        </r>
        <r>
          <rPr>
            <b/>
            <sz val="10"/>
            <color indexed="81"/>
            <rFont val="Tahoma"/>
            <family val="2"/>
          </rPr>
          <t xml:space="preserve">= 51452 - Referinta </t>
        </r>
        <r>
          <rPr>
            <sz val="10"/>
            <color indexed="81"/>
            <rFont val="Tahoma"/>
            <family val="2"/>
          </rPr>
          <t xml:space="preserve">* Cluj &amp; Oradea Km Auto (Responses)
   2022-09-19 06:18:29 </t>
        </r>
        <r>
          <rPr>
            <b/>
            <sz val="10"/>
            <color indexed="81"/>
            <rFont val="Tahoma"/>
            <family val="2"/>
          </rPr>
          <t xml:space="preserve">= 51498 - Normal </t>
        </r>
        <r>
          <rPr>
            <sz val="10"/>
            <color indexed="81"/>
            <rFont val="Tahoma"/>
            <family val="2"/>
          </rPr>
          <t xml:space="preserve">* Cluj &amp; Oradea Km Auto (Responses)
</t>
        </r>
      </text>
    </comment>
    <comment ref="Y44" authorId="0" shapeId="0" xr:uid="{9D09D4EB-DDEE-4022-86ED-E0F6E834417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2022-09-24 02:37:27 </t>
        </r>
        <r>
          <rPr>
            <b/>
            <sz val="10"/>
            <color indexed="81"/>
            <rFont val="Tahoma"/>
            <family val="2"/>
          </rPr>
          <t xml:space="preserve">= 51857 - Referinta </t>
        </r>
        <r>
          <rPr>
            <sz val="10"/>
            <color indexed="81"/>
            <rFont val="Tahoma"/>
            <family val="2"/>
          </rPr>
          <t xml:space="preserve">* Cluj &amp; Oradea Km Auto (Responses)
   2022-09-26 08:00:00 </t>
        </r>
        <r>
          <rPr>
            <b/>
            <sz val="10"/>
            <color indexed="81"/>
            <rFont val="Tahoma"/>
            <family val="2"/>
          </rPr>
          <t xml:space="preserve">= 51957 - Normal </t>
        </r>
        <r>
          <rPr>
            <sz val="10"/>
            <color indexed="81"/>
            <rFont val="Tahoma"/>
            <family val="2"/>
          </rPr>
          <t xml:space="preserve">* Cluj &amp; Oradea Km Auto (Responses)
</t>
        </r>
      </text>
    </comment>
    <comment ref="AD44" authorId="0" shapeId="0" xr:uid="{D466E52F-9ED9-4E91-9700-D426E04385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 
__________________________________________________________________
</t>
        </r>
        <r>
          <rPr>
            <sz val="10"/>
            <color indexed="12"/>
            <rFont val="Tahoma"/>
            <family val="2"/>
          </rPr>
          <t xml:space="preserve">  </t>
        </r>
        <r>
          <rPr>
            <sz val="10"/>
            <color indexed="81"/>
            <rFont val="Tahoma"/>
            <family val="2"/>
          </rPr>
          <t xml:space="preserve"> 2022-10-01 12:48:52 </t>
        </r>
        <r>
          <rPr>
            <b/>
            <sz val="10"/>
            <color indexed="81"/>
            <rFont val="Tahoma"/>
            <family val="2"/>
          </rPr>
          <t xml:space="preserve">= 52299 - Referinta </t>
        </r>
        <r>
          <rPr>
            <sz val="10"/>
            <color indexed="81"/>
            <rFont val="Tahoma"/>
            <family val="2"/>
          </rPr>
          <t xml:space="preserve">* Cluj &amp; Oradea Km Auto (Responses)
   2022-10-03 06:45:35 </t>
        </r>
        <r>
          <rPr>
            <b/>
            <sz val="10"/>
            <color indexed="81"/>
            <rFont val="Tahoma"/>
            <family val="2"/>
          </rPr>
          <t xml:space="preserve">= 52388 - Normal </t>
        </r>
        <r>
          <rPr>
            <sz val="10"/>
            <color indexed="81"/>
            <rFont val="Tahoma"/>
            <family val="2"/>
          </rPr>
          <t xml:space="preserve">* Cluj &amp; Oradea Km Auto (Responses)
</t>
        </r>
      </text>
    </comment>
    <comment ref="J45" authorId="0" shapeId="0" xr:uid="{307D5DF5-F987-4736-913D-A99DAE3064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08:14:29 </t>
        </r>
        <r>
          <rPr>
            <b/>
            <sz val="10"/>
            <color indexed="81"/>
            <rFont val="Tahoma"/>
            <family val="2"/>
          </rPr>
          <t xml:space="preserve">= 35453 - Referinta </t>
        </r>
        <r>
          <rPr>
            <sz val="10"/>
            <color indexed="81"/>
            <rFont val="Tahoma"/>
            <family val="2"/>
          </rPr>
          <t xml:space="preserve">* Cluj &amp; Oradea Km Auto (Responses)
   2022-09-05 08:15:21 </t>
        </r>
        <r>
          <rPr>
            <b/>
            <sz val="10"/>
            <color indexed="81"/>
            <rFont val="Tahoma"/>
            <family val="2"/>
          </rPr>
          <t xml:space="preserve">= 35474 - Normal </t>
        </r>
        <r>
          <rPr>
            <sz val="10"/>
            <color indexed="81"/>
            <rFont val="Tahoma"/>
            <family val="2"/>
          </rPr>
          <t xml:space="preserve">* Cluj &amp; Oradea Km Auto (Responses)
</t>
        </r>
      </text>
    </comment>
    <comment ref="O45" authorId="0" shapeId="0" xr:uid="{B0407A93-9F5D-42B6-A43B-87C84B5F3D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__________________________________________________________________
</t>
        </r>
        <r>
          <rPr>
            <sz val="10"/>
            <color indexed="12"/>
            <rFont val="Tahoma"/>
            <family val="2"/>
          </rPr>
          <t xml:space="preserve">  </t>
        </r>
        <r>
          <rPr>
            <sz val="10"/>
            <color indexed="81"/>
            <rFont val="Tahoma"/>
            <family val="2"/>
          </rPr>
          <t xml:space="preserve"> 2022-09-09 05:10:00 </t>
        </r>
        <r>
          <rPr>
            <b/>
            <sz val="10"/>
            <color indexed="81"/>
            <rFont val="Tahoma"/>
            <family val="2"/>
          </rPr>
          <t xml:space="preserve">= 35730 - Referinta </t>
        </r>
        <r>
          <rPr>
            <sz val="10"/>
            <color indexed="81"/>
            <rFont val="Tahoma"/>
            <family val="2"/>
          </rPr>
          <t xml:space="preserve">* Cluj &amp; Oradea Km Auto (Responses)
   2022-09-12 07:55:15 </t>
        </r>
        <r>
          <rPr>
            <b/>
            <sz val="10"/>
            <color indexed="81"/>
            <rFont val="Tahoma"/>
            <family val="2"/>
          </rPr>
          <t xml:space="preserve">= 35787 - Normal </t>
        </r>
        <r>
          <rPr>
            <sz val="10"/>
            <color indexed="81"/>
            <rFont val="Tahoma"/>
            <family val="2"/>
          </rPr>
          <t xml:space="preserve">* Cluj &amp; Oradea Km Auto (Responses)
</t>
        </r>
      </text>
    </comment>
    <comment ref="T45" authorId="0" shapeId="0" xr:uid="{1C23CACE-AE38-40FA-A4A7-F7614AD114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19:51:53 </t>
        </r>
        <r>
          <rPr>
            <b/>
            <sz val="10"/>
            <color indexed="81"/>
            <rFont val="Tahoma"/>
            <family val="2"/>
          </rPr>
          <t xml:space="preserve">= 35896 - Referinta </t>
        </r>
        <r>
          <rPr>
            <sz val="10"/>
            <color indexed="81"/>
            <rFont val="Tahoma"/>
            <family val="2"/>
          </rPr>
          <t xml:space="preserve">* Cluj &amp; Oradea Km Auto (Responses)
   2022-09-19 07:37:15 </t>
        </r>
        <r>
          <rPr>
            <b/>
            <sz val="10"/>
            <color indexed="81"/>
            <rFont val="Tahoma"/>
            <family val="2"/>
          </rPr>
          <t xml:space="preserve">= 35918 - Normal </t>
        </r>
        <r>
          <rPr>
            <sz val="10"/>
            <color indexed="81"/>
            <rFont val="Tahoma"/>
            <family val="2"/>
          </rPr>
          <t xml:space="preserve">* Cluj &amp; Oradea Km Auto (Responses)
</t>
        </r>
      </text>
    </comment>
    <comment ref="Y45" authorId="0" shapeId="0" xr:uid="{4FB9E026-4C42-4BE1-B04C-5BB46113AF8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18:03:34 </t>
        </r>
        <r>
          <rPr>
            <b/>
            <sz val="10"/>
            <color indexed="81"/>
            <rFont val="Tahoma"/>
            <family val="2"/>
          </rPr>
          <t xml:space="preserve">= 36149 - Referinta </t>
        </r>
        <r>
          <rPr>
            <sz val="10"/>
            <color indexed="81"/>
            <rFont val="Tahoma"/>
            <family val="2"/>
          </rPr>
          <t xml:space="preserve">* Cluj &amp; Oradea Km Auto (Responses)
   2022-09-26 07:39:11 </t>
        </r>
        <r>
          <rPr>
            <b/>
            <sz val="10"/>
            <color indexed="81"/>
            <rFont val="Tahoma"/>
            <family val="2"/>
          </rPr>
          <t xml:space="preserve">= 36173 - Normal </t>
        </r>
        <r>
          <rPr>
            <sz val="10"/>
            <color indexed="81"/>
            <rFont val="Tahoma"/>
            <family val="2"/>
          </rPr>
          <t xml:space="preserve">* Cluj &amp; Oradea Km Auto (Responses)
</t>
        </r>
      </text>
    </comment>
    <comment ref="AD45" authorId="0" shapeId="0" xr:uid="{42D6322F-92D4-42D7-B1F5-292D32F735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19:01:40 </t>
        </r>
        <r>
          <rPr>
            <b/>
            <sz val="10"/>
            <color indexed="81"/>
            <rFont val="Tahoma"/>
            <family val="2"/>
          </rPr>
          <t xml:space="preserve">= 36310 - Referinta </t>
        </r>
        <r>
          <rPr>
            <sz val="10"/>
            <color indexed="81"/>
            <rFont val="Tahoma"/>
            <family val="2"/>
          </rPr>
          <t xml:space="preserve">* Cluj &amp; Oradea Km Auto (Responses)
   2022-10-03 10:19:06 </t>
        </r>
        <r>
          <rPr>
            <b/>
            <sz val="10"/>
            <color indexed="81"/>
            <rFont val="Tahoma"/>
            <family val="2"/>
          </rPr>
          <t xml:space="preserve">= 36338 - Normal </t>
        </r>
        <r>
          <rPr>
            <sz val="10"/>
            <color indexed="81"/>
            <rFont val="Tahoma"/>
            <family val="2"/>
          </rPr>
          <t xml:space="preserve">* Cluj &amp; Oradea Km Auto (Responses)
</t>
        </r>
      </text>
    </comment>
    <comment ref="T46" authorId="0" shapeId="0" xr:uid="{053D8C9E-A326-4A05-B362-079F8CD24D8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16:30:52 </t>
        </r>
        <r>
          <rPr>
            <b/>
            <sz val="10"/>
            <color indexed="81"/>
            <rFont val="Tahoma"/>
            <family val="2"/>
          </rPr>
          <t xml:space="preserve">= 40412 - Referinta </t>
        </r>
        <r>
          <rPr>
            <sz val="10"/>
            <color indexed="81"/>
            <rFont val="Tahoma"/>
            <family val="2"/>
          </rPr>
          <t xml:space="preserve">* Cluj &amp; Oradea Km Auto (Responses)
   2022-09-19 07:35:29 </t>
        </r>
        <r>
          <rPr>
            <b/>
            <sz val="10"/>
            <color indexed="81"/>
            <rFont val="Tahoma"/>
            <family val="2"/>
          </rPr>
          <t xml:space="preserve">= 40442 - Normal </t>
        </r>
        <r>
          <rPr>
            <sz val="10"/>
            <color indexed="81"/>
            <rFont val="Tahoma"/>
            <family val="2"/>
          </rPr>
          <t xml:space="preserve">* Cluj &amp; Oradea Km Auto (Responses)
</t>
        </r>
      </text>
    </comment>
    <comment ref="Y46" authorId="0" shapeId="0" xr:uid="{929E332B-F837-474E-8973-FE09E149E5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16:57:40 </t>
        </r>
        <r>
          <rPr>
            <b/>
            <sz val="10"/>
            <color indexed="81"/>
            <rFont val="Tahoma"/>
            <family val="2"/>
          </rPr>
          <t xml:space="preserve">= 41047 - Referinta </t>
        </r>
        <r>
          <rPr>
            <sz val="10"/>
            <color indexed="81"/>
            <rFont val="Tahoma"/>
            <family val="2"/>
          </rPr>
          <t xml:space="preserve">* Cluj &amp; Oradea Km Auto (Responses)
   2022-09-26 07:37:21 </t>
        </r>
        <r>
          <rPr>
            <b/>
            <sz val="10"/>
            <color indexed="81"/>
            <rFont val="Tahoma"/>
            <family val="2"/>
          </rPr>
          <t xml:space="preserve">= 41185 - Normal </t>
        </r>
        <r>
          <rPr>
            <sz val="10"/>
            <color indexed="81"/>
            <rFont val="Tahoma"/>
            <family val="2"/>
          </rPr>
          <t xml:space="preserve">* Cluj &amp; Oradea Km Auto (Responses)
</t>
        </r>
      </text>
    </comment>
    <comment ref="AD46" authorId="0" shapeId="0" xr:uid="{814896CF-8651-448F-8F60-F1BF798F76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 
__________________________________________________________________
</t>
        </r>
        <r>
          <rPr>
            <sz val="10"/>
            <color indexed="12"/>
            <rFont val="Tahoma"/>
            <family val="2"/>
          </rPr>
          <t xml:space="preserve">  </t>
        </r>
        <r>
          <rPr>
            <sz val="10"/>
            <color indexed="81"/>
            <rFont val="Tahoma"/>
            <family val="2"/>
          </rPr>
          <t xml:space="preserve"> 2022-09-30 16:37:23 </t>
        </r>
        <r>
          <rPr>
            <b/>
            <sz val="10"/>
            <color indexed="81"/>
            <rFont val="Tahoma"/>
            <family val="2"/>
          </rPr>
          <t xml:space="preserve">= 42511 - Referinta </t>
        </r>
        <r>
          <rPr>
            <sz val="10"/>
            <color indexed="81"/>
            <rFont val="Tahoma"/>
            <family val="2"/>
          </rPr>
          <t xml:space="preserve">* Cluj &amp; Oradea Km Auto (Responses)
   2022-10-03 07:30:00 </t>
        </r>
        <r>
          <rPr>
            <b/>
            <sz val="10"/>
            <color indexed="81"/>
            <rFont val="Tahoma"/>
            <family val="2"/>
          </rPr>
          <t xml:space="preserve">= 42511 - Normal </t>
        </r>
        <r>
          <rPr>
            <sz val="10"/>
            <color indexed="81"/>
            <rFont val="Tahoma"/>
            <family val="2"/>
          </rPr>
          <t xml:space="preserve">* Cluj &amp; Oradea Km Auto (Responses)
</t>
        </r>
      </text>
    </comment>
    <comment ref="J47" authorId="0" shapeId="0" xr:uid="{929B8A36-202B-463B-A6EA-07D9329FFD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16:03:07 </t>
        </r>
        <r>
          <rPr>
            <b/>
            <sz val="10"/>
            <color indexed="81"/>
            <rFont val="Tahoma"/>
            <family val="2"/>
          </rPr>
          <t xml:space="preserve">= 61147 - Referinta </t>
        </r>
        <r>
          <rPr>
            <sz val="10"/>
            <color indexed="81"/>
            <rFont val="Tahoma"/>
            <family val="2"/>
          </rPr>
          <t xml:space="preserve">* Cluj &amp; Oradea Km Auto (Responses)
   2022-09-05 08:44:09 </t>
        </r>
        <r>
          <rPr>
            <b/>
            <sz val="10"/>
            <color indexed="81"/>
            <rFont val="Tahoma"/>
            <family val="2"/>
          </rPr>
          <t xml:space="preserve">= 61147 - Normal </t>
        </r>
        <r>
          <rPr>
            <sz val="10"/>
            <color indexed="81"/>
            <rFont val="Tahoma"/>
            <family val="2"/>
          </rPr>
          <t xml:space="preserve">* Cluj &amp; Oradea Km Auto (Responses)
</t>
        </r>
      </text>
    </comment>
    <comment ref="O47" authorId="0" shapeId="0" xr:uid="{B371B157-ECC0-475A-80EF-F79096E06B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20:07:36 </t>
        </r>
        <r>
          <rPr>
            <b/>
            <sz val="10"/>
            <color indexed="81"/>
            <rFont val="Tahoma"/>
            <family val="2"/>
          </rPr>
          <t xml:space="preserve">= 61544 - Referinta </t>
        </r>
        <r>
          <rPr>
            <sz val="10"/>
            <color indexed="81"/>
            <rFont val="Tahoma"/>
            <family val="2"/>
          </rPr>
          <t xml:space="preserve">* Cluj &amp; Oradea Km Auto (Responses)
   2022-09-12 08:22:49 </t>
        </r>
        <r>
          <rPr>
            <b/>
            <sz val="10"/>
            <color indexed="81"/>
            <rFont val="Tahoma"/>
            <family val="2"/>
          </rPr>
          <t xml:space="preserve">= 61567 - Normal </t>
        </r>
        <r>
          <rPr>
            <sz val="10"/>
            <color indexed="81"/>
            <rFont val="Tahoma"/>
            <family val="2"/>
          </rPr>
          <t xml:space="preserve">* Cluj &amp; Oradea Km Auto (Responses)
</t>
        </r>
      </text>
    </comment>
    <comment ref="T47" authorId="0" shapeId="0" xr:uid="{0CAE9461-2CFC-4615-9698-777D16C106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16:20:20 </t>
        </r>
        <r>
          <rPr>
            <b/>
            <sz val="10"/>
            <color indexed="81"/>
            <rFont val="Tahoma"/>
            <family val="2"/>
          </rPr>
          <t xml:space="preserve">= 61742 - Referinta </t>
        </r>
        <r>
          <rPr>
            <sz val="10"/>
            <color indexed="81"/>
            <rFont val="Tahoma"/>
            <family val="2"/>
          </rPr>
          <t xml:space="preserve">* Cluj &amp; Oradea Km Auto (Responses)
   2022-09-19 08:27:56 </t>
        </r>
        <r>
          <rPr>
            <b/>
            <sz val="10"/>
            <color indexed="81"/>
            <rFont val="Tahoma"/>
            <family val="2"/>
          </rPr>
          <t xml:space="preserve">= 61747 - Normal </t>
        </r>
        <r>
          <rPr>
            <sz val="10"/>
            <color indexed="81"/>
            <rFont val="Tahoma"/>
            <family val="2"/>
          </rPr>
          <t xml:space="preserve">* Cluj &amp; Oradea Km Auto (Responses)
</t>
        </r>
      </text>
    </comment>
    <comment ref="Y47" authorId="0" shapeId="0" xr:uid="{258BAE9E-9B0B-403E-877B-99E9FD0B61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15:38:38 </t>
        </r>
        <r>
          <rPr>
            <b/>
            <sz val="10"/>
            <color indexed="81"/>
            <rFont val="Tahoma"/>
            <family val="2"/>
          </rPr>
          <t xml:space="preserve">= 61864 - Referinta </t>
        </r>
        <r>
          <rPr>
            <sz val="10"/>
            <color indexed="81"/>
            <rFont val="Tahoma"/>
            <family val="2"/>
          </rPr>
          <t xml:space="preserve">* Cluj &amp; Oradea Km Auto (Responses)
   2022-09-26 08:31:13 </t>
        </r>
        <r>
          <rPr>
            <b/>
            <sz val="10"/>
            <color indexed="81"/>
            <rFont val="Tahoma"/>
            <family val="2"/>
          </rPr>
          <t xml:space="preserve">= 61879 - Normal </t>
        </r>
        <r>
          <rPr>
            <sz val="10"/>
            <color indexed="81"/>
            <rFont val="Tahoma"/>
            <family val="2"/>
          </rPr>
          <t xml:space="preserve">* Cluj &amp; Oradea Km Auto (Responses)
</t>
        </r>
      </text>
    </comment>
    <comment ref="AD47" authorId="0" shapeId="0" xr:uid="{8F42E0A8-1484-4693-9C2E-5F4C8F3736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16:08:51 </t>
        </r>
        <r>
          <rPr>
            <b/>
            <sz val="10"/>
            <color indexed="81"/>
            <rFont val="Tahoma"/>
            <family val="2"/>
          </rPr>
          <t xml:space="preserve">= 62053 - Referinta </t>
        </r>
        <r>
          <rPr>
            <sz val="10"/>
            <color indexed="81"/>
            <rFont val="Tahoma"/>
            <family val="2"/>
          </rPr>
          <t xml:space="preserve">* Cluj &amp; Oradea Km Auto (Responses)
   2022-10-03 08:15:13 </t>
        </r>
        <r>
          <rPr>
            <b/>
            <sz val="10"/>
            <color indexed="81"/>
            <rFont val="Tahoma"/>
            <family val="2"/>
          </rPr>
          <t xml:space="preserve">= 62053 - Normal </t>
        </r>
        <r>
          <rPr>
            <sz val="10"/>
            <color indexed="81"/>
            <rFont val="Tahoma"/>
            <family val="2"/>
          </rPr>
          <t xml:space="preserve">* Cluj &amp; Oradea Km Auto (Responses)
   2022-10-06 18:56:18 </t>
        </r>
        <r>
          <rPr>
            <b/>
            <sz val="10"/>
            <color indexed="81"/>
            <rFont val="Tahoma"/>
            <family val="2"/>
          </rPr>
          <t xml:space="preserve">= 62089 - Referinta </t>
        </r>
        <r>
          <rPr>
            <sz val="10"/>
            <color indexed="81"/>
            <rFont val="Tahoma"/>
            <family val="2"/>
          </rPr>
          <t xml:space="preserve">* Cluj &amp; Oradea Km Auto (Responses)
</t>
        </r>
      </text>
    </comment>
    <comment ref="J48" authorId="0" shapeId="0" xr:uid="{C6AA58C3-E75F-4685-8E20-297CDAACCE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16:53:17 </t>
        </r>
        <r>
          <rPr>
            <b/>
            <sz val="10"/>
            <color indexed="81"/>
            <rFont val="Tahoma"/>
            <family val="2"/>
          </rPr>
          <t xml:space="preserve">= 96562 - Referinta </t>
        </r>
        <r>
          <rPr>
            <sz val="10"/>
            <color indexed="81"/>
            <rFont val="Tahoma"/>
            <family val="2"/>
          </rPr>
          <t xml:space="preserve">* Cluj &amp; Oradea Km Auto (Responses)
   2022-09-05 07:11:12 </t>
        </r>
        <r>
          <rPr>
            <b/>
            <sz val="10"/>
            <color indexed="81"/>
            <rFont val="Tahoma"/>
            <family val="2"/>
          </rPr>
          <t xml:space="preserve">= 96605 - Normal </t>
        </r>
        <r>
          <rPr>
            <sz val="10"/>
            <color indexed="81"/>
            <rFont val="Tahoma"/>
            <family val="2"/>
          </rPr>
          <t xml:space="preserve">* Cluj &amp; Oradea Km Auto (Responses)
</t>
        </r>
      </text>
    </comment>
    <comment ref="O48" authorId="0" shapeId="0" xr:uid="{D8212EC0-3439-45F7-A75F-1DFDA4ED0C6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2022-09-09 18:27:03 </t>
        </r>
        <r>
          <rPr>
            <b/>
            <sz val="10"/>
            <color indexed="81"/>
            <rFont val="Tahoma"/>
            <family val="2"/>
          </rPr>
          <t xml:space="preserve">= 97067 - Referinta </t>
        </r>
        <r>
          <rPr>
            <sz val="10"/>
            <color indexed="81"/>
            <rFont val="Tahoma"/>
            <family val="2"/>
          </rPr>
          <t xml:space="preserve">* Cluj &amp; Oradea Km Auto (Responses)
   2022-09-12 07:01:23 </t>
        </r>
        <r>
          <rPr>
            <b/>
            <sz val="10"/>
            <color indexed="81"/>
            <rFont val="Tahoma"/>
            <family val="2"/>
          </rPr>
          <t xml:space="preserve">= 97270 - Normal </t>
        </r>
        <r>
          <rPr>
            <sz val="10"/>
            <color indexed="81"/>
            <rFont val="Tahoma"/>
            <family val="2"/>
          </rPr>
          <t xml:space="preserve">* Cluj &amp; Oradea Km Auto (Responses)
</t>
        </r>
      </text>
    </comment>
    <comment ref="T48" authorId="0" shapeId="0" xr:uid="{54253B74-5BCB-4782-86FF-1743F120B5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2022-09-16 16:56:17 </t>
        </r>
        <r>
          <rPr>
            <b/>
            <sz val="10"/>
            <color indexed="81"/>
            <rFont val="Tahoma"/>
            <family val="2"/>
          </rPr>
          <t xml:space="preserve">= 97629 - Referinta </t>
        </r>
        <r>
          <rPr>
            <sz val="10"/>
            <color indexed="81"/>
            <rFont val="Tahoma"/>
            <family val="2"/>
          </rPr>
          <t xml:space="preserve">* Cluj &amp; Oradea Km Auto (Responses)
   2022-09-19 07:14:34 </t>
        </r>
        <r>
          <rPr>
            <b/>
            <sz val="10"/>
            <color indexed="81"/>
            <rFont val="Tahoma"/>
            <family val="2"/>
          </rPr>
          <t xml:space="preserve">= 97932 - Normal </t>
        </r>
        <r>
          <rPr>
            <sz val="10"/>
            <color indexed="81"/>
            <rFont val="Tahoma"/>
            <family val="2"/>
          </rPr>
          <t xml:space="preserve">* Cluj &amp; Oradea Km Auto (Responses)
</t>
        </r>
      </text>
    </comment>
    <comment ref="Y48" authorId="0" shapeId="0" xr:uid="{3E6C2319-0B3F-4B87-BC54-009A06A602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2022-09-23 17:59:14 </t>
        </r>
        <r>
          <rPr>
            <b/>
            <sz val="10"/>
            <color indexed="81"/>
            <rFont val="Tahoma"/>
            <family val="2"/>
          </rPr>
          <t xml:space="preserve">= 98480 - Referinta </t>
        </r>
        <r>
          <rPr>
            <sz val="10"/>
            <color indexed="81"/>
            <rFont val="Tahoma"/>
            <family val="2"/>
          </rPr>
          <t xml:space="preserve">* Cluj &amp; Oradea Km Auto (Responses)
   2022-09-26 07:15:31 </t>
        </r>
        <r>
          <rPr>
            <b/>
            <sz val="10"/>
            <color indexed="81"/>
            <rFont val="Tahoma"/>
            <family val="2"/>
          </rPr>
          <t xml:space="preserve">= 98482 - Normal </t>
        </r>
        <r>
          <rPr>
            <sz val="10"/>
            <color indexed="81"/>
            <rFont val="Tahoma"/>
            <family val="2"/>
          </rPr>
          <t xml:space="preserve">* Cluj &amp; Oradea Km Auto (Responses)
</t>
        </r>
      </text>
    </comment>
    <comment ref="AD48" authorId="0" shapeId="0" xr:uid="{2E6D695F-1AA9-4490-8157-E2E51B55C9E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 
__________________________________________________________________
</t>
        </r>
        <r>
          <rPr>
            <sz val="10"/>
            <color indexed="12"/>
            <rFont val="Tahoma"/>
            <family val="2"/>
          </rPr>
          <t xml:space="preserve">  </t>
        </r>
        <r>
          <rPr>
            <sz val="10"/>
            <color indexed="81"/>
            <rFont val="Tahoma"/>
            <family val="2"/>
          </rPr>
          <t xml:space="preserve"> 2022-09-30 16:59:38 </t>
        </r>
        <r>
          <rPr>
            <b/>
            <sz val="10"/>
            <color indexed="81"/>
            <rFont val="Tahoma"/>
            <family val="2"/>
          </rPr>
          <t xml:space="preserve">= 98775 - Referinta </t>
        </r>
        <r>
          <rPr>
            <sz val="10"/>
            <color indexed="81"/>
            <rFont val="Tahoma"/>
            <family val="2"/>
          </rPr>
          <t xml:space="preserve">* Cluj &amp; Oradea Km Auto (Responses)
   2022-10-03 07:12:42 </t>
        </r>
        <r>
          <rPr>
            <b/>
            <sz val="10"/>
            <color indexed="81"/>
            <rFont val="Tahoma"/>
            <family val="2"/>
          </rPr>
          <t xml:space="preserve">= 98985 - Normal </t>
        </r>
        <r>
          <rPr>
            <sz val="10"/>
            <color indexed="81"/>
            <rFont val="Tahoma"/>
            <family val="2"/>
          </rPr>
          <t xml:space="preserve">* Cluj &amp; Oradea Km Auto (Responses)
</t>
        </r>
      </text>
    </comment>
    <comment ref="J49" authorId="0" shapeId="0" xr:uid="{632263C9-4A22-40A0-992E-82DE1314DE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15:32:03 </t>
        </r>
        <r>
          <rPr>
            <b/>
            <sz val="10"/>
            <color indexed="81"/>
            <rFont val="Tahoma"/>
            <family val="2"/>
          </rPr>
          <t xml:space="preserve">= 98529 - Referinta </t>
        </r>
        <r>
          <rPr>
            <sz val="10"/>
            <color indexed="81"/>
            <rFont val="Tahoma"/>
            <family val="2"/>
          </rPr>
          <t xml:space="preserve">* Cluj &amp; Oradea Km Auto (Responses)
   2022-09-05 08:53:36 </t>
        </r>
        <r>
          <rPr>
            <b/>
            <sz val="10"/>
            <color indexed="81"/>
            <rFont val="Tahoma"/>
            <family val="2"/>
          </rPr>
          <t xml:space="preserve">= 98529 - Normal </t>
        </r>
        <r>
          <rPr>
            <sz val="10"/>
            <color indexed="81"/>
            <rFont val="Tahoma"/>
            <family val="2"/>
          </rPr>
          <t xml:space="preserve">* Cluj &amp; Oradea Km Auto (Responses)
</t>
        </r>
      </text>
    </comment>
    <comment ref="O49" authorId="0" shapeId="0" xr:uid="{970CCCD5-AA21-4A4B-9483-86C376E936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2022-09-10 16:16:43 </t>
        </r>
        <r>
          <rPr>
            <b/>
            <sz val="10"/>
            <color indexed="81"/>
            <rFont val="Tahoma"/>
            <family val="2"/>
          </rPr>
          <t xml:space="preserve">= 99370 - Referinta </t>
        </r>
        <r>
          <rPr>
            <sz val="10"/>
            <color indexed="81"/>
            <rFont val="Tahoma"/>
            <family val="2"/>
          </rPr>
          <t xml:space="preserve">* Cluj &amp; Oradea Km Auto (Responses)
   2022-09-12 08:11:32 </t>
        </r>
        <r>
          <rPr>
            <b/>
            <sz val="10"/>
            <color indexed="81"/>
            <rFont val="Tahoma"/>
            <family val="2"/>
          </rPr>
          <t xml:space="preserve">= 99371 - Normal </t>
        </r>
        <r>
          <rPr>
            <sz val="10"/>
            <color indexed="81"/>
            <rFont val="Tahoma"/>
            <family val="2"/>
          </rPr>
          <t xml:space="preserve">* Cluj &amp; Oradea Km Auto (Responses)
</t>
        </r>
      </text>
    </comment>
    <comment ref="T49" authorId="0" shapeId="0" xr:uid="{89CAF4E0-0663-4F9B-9840-C379D2C42B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15:48:38 </t>
        </r>
        <r>
          <rPr>
            <b/>
            <sz val="10"/>
            <color indexed="81"/>
            <rFont val="Tahoma"/>
            <family val="2"/>
          </rPr>
          <t xml:space="preserve">= 100422 - Referinta </t>
        </r>
        <r>
          <rPr>
            <sz val="10"/>
            <color indexed="81"/>
            <rFont val="Tahoma"/>
            <family val="2"/>
          </rPr>
          <t xml:space="preserve">* Cluj &amp; Oradea Km Auto (Responses)
   2022-09-19 08:30:16 </t>
        </r>
        <r>
          <rPr>
            <b/>
            <sz val="10"/>
            <color indexed="81"/>
            <rFont val="Tahoma"/>
            <family val="2"/>
          </rPr>
          <t xml:space="preserve">= 100422 - Normal </t>
        </r>
        <r>
          <rPr>
            <sz val="10"/>
            <color indexed="81"/>
            <rFont val="Tahoma"/>
            <family val="2"/>
          </rPr>
          <t xml:space="preserve">* Cluj &amp; Oradea Km Auto (Responses)
</t>
        </r>
      </text>
    </comment>
    <comment ref="Y49" authorId="0" shapeId="0" xr:uid="{A26F8F80-C716-4F30-BD45-8C212E5C8A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__________________________________________________________________
</t>
        </r>
        <r>
          <rPr>
            <sz val="10"/>
            <color indexed="12"/>
            <rFont val="Tahoma"/>
            <family val="2"/>
          </rPr>
          <t xml:space="preserve">  </t>
        </r>
        <r>
          <rPr>
            <sz val="10"/>
            <color indexed="81"/>
            <rFont val="Tahoma"/>
            <family val="2"/>
          </rPr>
          <t xml:space="preserve"> 2022-09-23 15:20:37 </t>
        </r>
        <r>
          <rPr>
            <b/>
            <sz val="10"/>
            <color indexed="81"/>
            <rFont val="Tahoma"/>
            <family val="2"/>
          </rPr>
          <t xml:space="preserve">= 101159 - Referinta </t>
        </r>
        <r>
          <rPr>
            <sz val="10"/>
            <color indexed="81"/>
            <rFont val="Tahoma"/>
            <family val="2"/>
          </rPr>
          <t xml:space="preserve">* Cluj &amp; Oradea Km Auto (Responses)
</t>
        </r>
      </text>
    </comment>
    <comment ref="AD49" authorId="0" shapeId="0" xr:uid="{2DDC5DE0-80F6-4BDD-96FF-9781EFEA10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 
__________________________________________________________________
</t>
        </r>
        <r>
          <rPr>
            <sz val="10"/>
            <color indexed="12"/>
            <rFont val="Tahoma"/>
            <family val="2"/>
          </rPr>
          <t xml:space="preserve">  </t>
        </r>
        <r>
          <rPr>
            <sz val="10"/>
            <color indexed="81"/>
            <rFont val="Tahoma"/>
            <family val="2"/>
          </rPr>
          <t xml:space="preserve"> 2022-09-30 20:34:39 </t>
        </r>
        <r>
          <rPr>
            <b/>
            <sz val="10"/>
            <color indexed="81"/>
            <rFont val="Tahoma"/>
            <family val="2"/>
          </rPr>
          <t xml:space="preserve">= 102170 - Referinta </t>
        </r>
        <r>
          <rPr>
            <sz val="10"/>
            <color indexed="81"/>
            <rFont val="Tahoma"/>
            <family val="2"/>
          </rPr>
          <t xml:space="preserve">* Cluj &amp; Oradea Km Auto (Responses)
   2022-10-03 13:04:47 </t>
        </r>
        <r>
          <rPr>
            <b/>
            <sz val="10"/>
            <color indexed="81"/>
            <rFont val="Tahoma"/>
            <family val="2"/>
          </rPr>
          <t xml:space="preserve">= 102170 - Normal </t>
        </r>
        <r>
          <rPr>
            <sz val="10"/>
            <color indexed="81"/>
            <rFont val="Tahoma"/>
            <family val="2"/>
          </rPr>
          <t xml:space="preserve">* Cluj &amp; Oradea Km Auto (Responses)
   2022-10-03 13:06:09 </t>
        </r>
        <r>
          <rPr>
            <b/>
            <sz val="10"/>
            <color indexed="81"/>
            <rFont val="Tahoma"/>
            <family val="2"/>
          </rPr>
          <t xml:space="preserve">= 102170 - Normal </t>
        </r>
        <r>
          <rPr>
            <sz val="10"/>
            <color indexed="81"/>
            <rFont val="Tahoma"/>
            <family val="2"/>
          </rPr>
          <t xml:space="preserve">* Cluj &amp; Oradea Km Auto (Responses)
</t>
        </r>
      </text>
    </comment>
    <comment ref="J50" authorId="0" shapeId="0" xr:uid="{3590A697-AE74-4A47-BDB0-4898C84DF5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16:50:55 </t>
        </r>
        <r>
          <rPr>
            <b/>
            <sz val="10"/>
            <color indexed="81"/>
            <rFont val="Tahoma"/>
            <family val="2"/>
          </rPr>
          <t xml:space="preserve">= 19919 - Referinta </t>
        </r>
        <r>
          <rPr>
            <sz val="10"/>
            <color indexed="81"/>
            <rFont val="Tahoma"/>
            <family val="2"/>
          </rPr>
          <t xml:space="preserve">* Cluj &amp; Oradea Km Auto (Responses)
   2022-09-05 07:05:41 </t>
        </r>
        <r>
          <rPr>
            <b/>
            <sz val="10"/>
            <color indexed="81"/>
            <rFont val="Tahoma"/>
            <family val="2"/>
          </rPr>
          <t xml:space="preserve">= 19919 - Normal </t>
        </r>
        <r>
          <rPr>
            <sz val="10"/>
            <color indexed="81"/>
            <rFont val="Tahoma"/>
            <family val="2"/>
          </rPr>
          <t xml:space="preserve">* Cluj &amp; Oradea Km Auto (Responses)
</t>
        </r>
      </text>
    </comment>
    <comment ref="O50" authorId="0" shapeId="0" xr:uid="{8B8D6FE9-444C-4FF9-9E37-D4EB92FC43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18:17:03 </t>
        </r>
        <r>
          <rPr>
            <b/>
            <sz val="10"/>
            <color indexed="81"/>
            <rFont val="Tahoma"/>
            <family val="2"/>
          </rPr>
          <t xml:space="preserve">= 20729 - Referinta </t>
        </r>
        <r>
          <rPr>
            <sz val="10"/>
            <color indexed="81"/>
            <rFont val="Tahoma"/>
            <family val="2"/>
          </rPr>
          <t xml:space="preserve">* Cluj &amp; Oradea Km Auto (Responses)
   2022-09-12 07:50:37 </t>
        </r>
        <r>
          <rPr>
            <b/>
            <sz val="10"/>
            <color indexed="81"/>
            <rFont val="Tahoma"/>
            <family val="2"/>
          </rPr>
          <t xml:space="preserve">= 20729 - Normal </t>
        </r>
        <r>
          <rPr>
            <sz val="10"/>
            <color indexed="81"/>
            <rFont val="Tahoma"/>
            <family val="2"/>
          </rPr>
          <t xml:space="preserve">* Cluj &amp; Oradea Km Auto (Responses)
</t>
        </r>
      </text>
    </comment>
    <comment ref="J51" authorId="0" shapeId="0" xr:uid="{AC2B8741-F2B8-4541-8B0C-5D758B149B6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15:39:04 </t>
        </r>
        <r>
          <rPr>
            <b/>
            <sz val="10"/>
            <color indexed="81"/>
            <rFont val="Tahoma"/>
            <family val="2"/>
          </rPr>
          <t xml:space="preserve">= 198675 - Referinta </t>
        </r>
        <r>
          <rPr>
            <sz val="10"/>
            <color indexed="81"/>
            <rFont val="Tahoma"/>
            <family val="2"/>
          </rPr>
          <t xml:space="preserve">* Cluj &amp; Oradea Km Auto (Responses)
   2022-09-05 08:33:23 </t>
        </r>
        <r>
          <rPr>
            <b/>
            <sz val="10"/>
            <color indexed="81"/>
            <rFont val="Tahoma"/>
            <family val="2"/>
          </rPr>
          <t xml:space="preserve">= 198675 - Concediu </t>
        </r>
        <r>
          <rPr>
            <sz val="10"/>
            <color indexed="81"/>
            <rFont val="Tahoma"/>
            <family val="2"/>
          </rPr>
          <t xml:space="preserve">* Cluj &amp; Oradea Km Auto (Responses)
</t>
        </r>
      </text>
    </comment>
    <comment ref="O51" authorId="0" shapeId="0" xr:uid="{9C4A2A39-FC1B-4562-9B2E-B8298834DD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08:15:03 </t>
        </r>
        <r>
          <rPr>
            <b/>
            <sz val="10"/>
            <color indexed="81"/>
            <rFont val="Tahoma"/>
            <family val="2"/>
          </rPr>
          <t xml:space="preserve">= 199311 - Referinta </t>
        </r>
        <r>
          <rPr>
            <sz val="10"/>
            <color indexed="81"/>
            <rFont val="Tahoma"/>
            <family val="2"/>
          </rPr>
          <t xml:space="preserve">* Cluj &amp; Oradea Km Auto (Responses)
</t>
        </r>
      </text>
    </comment>
    <comment ref="T51" authorId="0" shapeId="0" xr:uid="{FDBD1107-BB71-4E45-9311-209CEA5770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__________________________________________________________________
</t>
        </r>
        <r>
          <rPr>
            <sz val="10"/>
            <color indexed="12"/>
            <rFont val="Tahoma"/>
            <family val="2"/>
          </rPr>
          <t xml:space="preserve">  </t>
        </r>
        <r>
          <rPr>
            <sz val="10"/>
            <color indexed="81"/>
            <rFont val="Tahoma"/>
            <family val="2"/>
          </rPr>
          <t xml:space="preserve"> 2022-09-16 18:19:10 </t>
        </r>
        <r>
          <rPr>
            <b/>
            <sz val="10"/>
            <color indexed="81"/>
            <rFont val="Tahoma"/>
            <family val="2"/>
          </rPr>
          <t xml:space="preserve">= 199992 - Referinta </t>
        </r>
        <r>
          <rPr>
            <sz val="10"/>
            <color indexed="81"/>
            <rFont val="Tahoma"/>
            <family val="2"/>
          </rPr>
          <t xml:space="preserve">* Cluj &amp; Oradea Km Auto (Responses)
   2022-09-19 07:25:54 </t>
        </r>
        <r>
          <rPr>
            <b/>
            <sz val="10"/>
            <color indexed="81"/>
            <rFont val="Tahoma"/>
            <family val="2"/>
          </rPr>
          <t xml:space="preserve">= 199992 - Normal </t>
        </r>
        <r>
          <rPr>
            <sz val="10"/>
            <color indexed="81"/>
            <rFont val="Tahoma"/>
            <family val="2"/>
          </rPr>
          <t xml:space="preserve">* Cluj &amp; Oradea Km Auto (Responses)
</t>
        </r>
      </text>
    </comment>
    <comment ref="Y51" authorId="0" shapeId="0" xr:uid="{B9B5A04A-E916-45BD-AA89-249B8AD522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__________________________________________________________________
</t>
        </r>
        <r>
          <rPr>
            <sz val="10"/>
            <color indexed="12"/>
            <rFont val="Tahoma"/>
            <family val="2"/>
          </rPr>
          <t xml:space="preserve">  </t>
        </r>
        <r>
          <rPr>
            <sz val="10"/>
            <color indexed="81"/>
            <rFont val="Tahoma"/>
            <family val="2"/>
          </rPr>
          <t xml:space="preserve"> 2022-09-23 19:57:21 </t>
        </r>
        <r>
          <rPr>
            <b/>
            <sz val="10"/>
            <color indexed="81"/>
            <rFont val="Tahoma"/>
            <family val="2"/>
          </rPr>
          <t xml:space="preserve">= 201618 - Referinta </t>
        </r>
        <r>
          <rPr>
            <sz val="10"/>
            <color indexed="81"/>
            <rFont val="Tahoma"/>
            <family val="2"/>
          </rPr>
          <t xml:space="preserve">* Cluj &amp; Oradea Km Auto (Responses)
   2022-09-26 06:34:45 </t>
        </r>
        <r>
          <rPr>
            <b/>
            <sz val="10"/>
            <color indexed="81"/>
            <rFont val="Tahoma"/>
            <family val="2"/>
          </rPr>
          <t xml:space="preserve">= 201647 - Normal </t>
        </r>
        <r>
          <rPr>
            <sz val="10"/>
            <color indexed="81"/>
            <rFont val="Tahoma"/>
            <family val="2"/>
          </rPr>
          <t xml:space="preserve">* Cluj &amp; Oradea Km Auto (Responses)
</t>
        </r>
      </text>
    </comment>
    <comment ref="AD51" authorId="0" shapeId="0" xr:uid="{A4471DD2-A261-4E9F-9D7C-BDD7D3667D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 
__________________________________________________________________
</t>
        </r>
        <r>
          <rPr>
            <sz val="10"/>
            <color indexed="12"/>
            <rFont val="Tahoma"/>
            <family val="2"/>
          </rPr>
          <t xml:space="preserve">  </t>
        </r>
        <r>
          <rPr>
            <sz val="10"/>
            <color indexed="81"/>
            <rFont val="Tahoma"/>
            <family val="2"/>
          </rPr>
          <t xml:space="preserve"> 2022-09-30 18:37:31 </t>
        </r>
        <r>
          <rPr>
            <b/>
            <sz val="10"/>
            <color indexed="81"/>
            <rFont val="Tahoma"/>
            <family val="2"/>
          </rPr>
          <t xml:space="preserve">= 202651 - Referinta </t>
        </r>
        <r>
          <rPr>
            <sz val="10"/>
            <color indexed="81"/>
            <rFont val="Tahoma"/>
            <family val="2"/>
          </rPr>
          <t xml:space="preserve">* Cluj &amp; Oradea Km Auto (Responses)
   2022-10-03 06:29:05 </t>
        </r>
        <r>
          <rPr>
            <b/>
            <sz val="10"/>
            <color indexed="81"/>
            <rFont val="Tahoma"/>
            <family val="2"/>
          </rPr>
          <t xml:space="preserve">= 202661 - Normal </t>
        </r>
        <r>
          <rPr>
            <sz val="10"/>
            <color indexed="81"/>
            <rFont val="Tahoma"/>
            <family val="2"/>
          </rPr>
          <t xml:space="preserve">* Cluj &amp; Oradea Km Auto (Responses)
</t>
        </r>
      </text>
    </comment>
    <comment ref="O52" authorId="0" shapeId="0" xr:uid="{85BCC60C-6782-469C-9067-6EC76CCF58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B-187-CLT</t>
        </r>
        <r>
          <rPr>
            <b/>
            <sz val="10"/>
            <color indexed="12"/>
            <rFont val="Tahoma"/>
            <family val="2"/>
          </rPr>
          <t xml:space="preserve"> - Marius Neaga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18:44:04 </t>
        </r>
        <r>
          <rPr>
            <b/>
            <sz val="10"/>
            <color indexed="81"/>
            <rFont val="Tahoma"/>
            <family val="2"/>
          </rPr>
          <t xml:space="preserve">= 88909 - Referinta </t>
        </r>
        <r>
          <rPr>
            <sz val="10"/>
            <color indexed="81"/>
            <rFont val="Tahoma"/>
            <family val="2"/>
          </rPr>
          <t xml:space="preserve">* Cluj &amp; Oradea Km Auto (Responses)
   2022-09-12 07:07:11 </t>
        </r>
        <r>
          <rPr>
            <b/>
            <sz val="10"/>
            <color indexed="81"/>
            <rFont val="Tahoma"/>
            <family val="2"/>
          </rPr>
          <t xml:space="preserve">= 89018 - Normal </t>
        </r>
        <r>
          <rPr>
            <sz val="10"/>
            <color indexed="81"/>
            <rFont val="Tahoma"/>
            <family val="2"/>
          </rPr>
          <t xml:space="preserve">* Cluj &amp; Oradea Km Auto (Responses)
</t>
        </r>
      </text>
    </comment>
    <comment ref="J53" authorId="0" shapeId="0" xr:uid="{3FE02003-5ECD-4D31-9C8A-A4380114F0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19:48:57 </t>
        </r>
        <r>
          <rPr>
            <b/>
            <sz val="10"/>
            <color indexed="81"/>
            <rFont val="Tahoma"/>
            <family val="2"/>
          </rPr>
          <t xml:space="preserve">= 32531 - Referinta </t>
        </r>
        <r>
          <rPr>
            <sz val="10"/>
            <color indexed="81"/>
            <rFont val="Tahoma"/>
            <family val="2"/>
          </rPr>
          <t xml:space="preserve">* Cluj &amp; Oradea Km Auto (Responses)
   2022-09-05 07:32:22 </t>
        </r>
        <r>
          <rPr>
            <b/>
            <sz val="10"/>
            <color indexed="81"/>
            <rFont val="Tahoma"/>
            <family val="2"/>
          </rPr>
          <t xml:space="preserve">= 32531 - Normal </t>
        </r>
        <r>
          <rPr>
            <sz val="10"/>
            <color indexed="81"/>
            <rFont val="Tahoma"/>
            <family val="2"/>
          </rPr>
          <t xml:space="preserve">* Cluj &amp; Oradea Km Auto (Responses)
</t>
        </r>
      </text>
    </comment>
    <comment ref="O53" authorId="0" shapeId="0" xr:uid="{C1BA4480-1F2E-446C-8FCA-9E1FEF7EEF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2022-09-09 22:02:43 </t>
        </r>
        <r>
          <rPr>
            <b/>
            <sz val="10"/>
            <color indexed="81"/>
            <rFont val="Tahoma"/>
            <family val="2"/>
          </rPr>
          <t xml:space="preserve">= 33169 - Referinta </t>
        </r>
        <r>
          <rPr>
            <sz val="10"/>
            <color indexed="81"/>
            <rFont val="Tahoma"/>
            <family val="2"/>
          </rPr>
          <t xml:space="preserve">* Cluj &amp; Oradea Km Auto (Responses)
   2022-09-12 06:49:00 </t>
        </r>
        <r>
          <rPr>
            <b/>
            <sz val="10"/>
            <color indexed="81"/>
            <rFont val="Tahoma"/>
            <family val="2"/>
          </rPr>
          <t xml:space="preserve">= 33169 - Interes serviciu </t>
        </r>
        <r>
          <rPr>
            <sz val="10"/>
            <color indexed="81"/>
            <rFont val="Tahoma"/>
            <family val="2"/>
          </rPr>
          <t xml:space="preserve">* Cluj &amp; Oradea Km Auto (Responses)
</t>
        </r>
      </text>
    </comment>
    <comment ref="T53" authorId="0" shapeId="0" xr:uid="{86BF7A35-E703-4421-9A4B-224A1932D8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2022-09-16 09:35:00 </t>
        </r>
        <r>
          <rPr>
            <b/>
            <sz val="10"/>
            <color indexed="81"/>
            <rFont val="Tahoma"/>
            <family val="2"/>
          </rPr>
          <t xml:space="preserve">= 33444 - Referinta </t>
        </r>
        <r>
          <rPr>
            <sz val="10"/>
            <color indexed="81"/>
            <rFont val="Tahoma"/>
            <family val="2"/>
          </rPr>
          <t xml:space="preserve">* Cluj &amp; Oradea Km Auto (Responses)
   2022-09-19 07:15:00 </t>
        </r>
        <r>
          <rPr>
            <b/>
            <sz val="10"/>
            <color indexed="81"/>
            <rFont val="Tahoma"/>
            <family val="2"/>
          </rPr>
          <t xml:space="preserve">= 33484 - Normal </t>
        </r>
        <r>
          <rPr>
            <sz val="10"/>
            <color indexed="81"/>
            <rFont val="Tahoma"/>
            <family val="2"/>
          </rPr>
          <t xml:space="preserve">* Cluj &amp; Oradea Km Auto (Responses)
</t>
        </r>
      </text>
    </comment>
    <comment ref="Y53" authorId="0" shapeId="0" xr:uid="{2A3F4D84-728D-4E01-8420-FB297997AFD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2022-09-23 09:55:00 </t>
        </r>
        <r>
          <rPr>
            <b/>
            <sz val="10"/>
            <color indexed="81"/>
            <rFont val="Tahoma"/>
            <family val="2"/>
          </rPr>
          <t xml:space="preserve">= 34735 - Referinta </t>
        </r>
        <r>
          <rPr>
            <sz val="10"/>
            <color indexed="81"/>
            <rFont val="Tahoma"/>
            <family val="2"/>
          </rPr>
          <t xml:space="preserve">* Cluj &amp; Oradea Km Auto (Responses)
   2022-09-26 10:20:00 </t>
        </r>
        <r>
          <rPr>
            <b/>
            <sz val="10"/>
            <color indexed="81"/>
            <rFont val="Tahoma"/>
            <family val="2"/>
          </rPr>
          <t xml:space="preserve">= 34740 - Normal </t>
        </r>
        <r>
          <rPr>
            <sz val="10"/>
            <color indexed="81"/>
            <rFont val="Tahoma"/>
            <family val="2"/>
          </rPr>
          <t xml:space="preserve">* Cluj &amp; Oradea Km Auto (Responses)
</t>
        </r>
      </text>
    </comment>
    <comment ref="AD53" authorId="0" shapeId="0" xr:uid="{E941531E-BBB1-4624-9D67-7714F8AEE5C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 
__________________________________________________________________
</t>
        </r>
        <r>
          <rPr>
            <sz val="10"/>
            <color indexed="12"/>
            <rFont val="Tahoma"/>
            <family val="2"/>
          </rPr>
          <t xml:space="preserve">  </t>
        </r>
        <r>
          <rPr>
            <sz val="10"/>
            <color indexed="81"/>
            <rFont val="Tahoma"/>
            <family val="2"/>
          </rPr>
          <t xml:space="preserve"> 2022-09-30 09:28:00 </t>
        </r>
        <r>
          <rPr>
            <b/>
            <sz val="10"/>
            <color indexed="81"/>
            <rFont val="Tahoma"/>
            <family val="2"/>
          </rPr>
          <t xml:space="preserve">= 35942 - Referinta </t>
        </r>
        <r>
          <rPr>
            <sz val="10"/>
            <color indexed="81"/>
            <rFont val="Tahoma"/>
            <family val="2"/>
          </rPr>
          <t xml:space="preserve">* Cluj &amp; Oradea Km Auto (Responses)
   2022-10-03 07:00:00 </t>
        </r>
        <r>
          <rPr>
            <b/>
            <sz val="10"/>
            <color indexed="81"/>
            <rFont val="Tahoma"/>
            <family val="2"/>
          </rPr>
          <t xml:space="preserve">= 35964 - Normal </t>
        </r>
        <r>
          <rPr>
            <sz val="10"/>
            <color indexed="81"/>
            <rFont val="Tahoma"/>
            <family val="2"/>
          </rPr>
          <t xml:space="preserve">* Cluj &amp; Oradea Km Auto (Responses)
</t>
        </r>
      </text>
    </comment>
    <comment ref="AD54" authorId="0" shapeId="0" xr:uid="{78C3E7AC-A151-4E04-A845-34E0D4E2B5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Adrian Caba : Referinta a fost pusa automat
__________________________________________________________________
</t>
        </r>
        <r>
          <rPr>
            <sz val="10"/>
            <color indexed="12"/>
            <rFont val="Tahoma"/>
            <family val="2"/>
          </rPr>
          <t xml:space="preserve">  </t>
        </r>
        <r>
          <rPr>
            <sz val="10"/>
            <color indexed="81"/>
            <rFont val="Tahoma"/>
            <family val="2"/>
          </rPr>
          <t xml:space="preserve"> 2022-10-04 11:20:19 </t>
        </r>
        <r>
          <rPr>
            <b/>
            <sz val="10"/>
            <color indexed="81"/>
            <rFont val="Tahoma"/>
            <family val="2"/>
          </rPr>
          <t xml:space="preserve">= 32565 - Referinta </t>
        </r>
        <r>
          <rPr>
            <sz val="10"/>
            <color indexed="81"/>
            <rFont val="Tahoma"/>
            <family val="2"/>
          </rPr>
          <t xml:space="preserve">* Cluj &amp; Oradea Km Auto (Responses)
</t>
        </r>
      </text>
    </comment>
    <comment ref="J55" authorId="0" shapeId="0" xr:uid="{47508039-6506-4845-8009-EAA6F8067E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19:51:58 </t>
        </r>
        <r>
          <rPr>
            <b/>
            <sz val="10"/>
            <color indexed="81"/>
            <rFont val="Tahoma"/>
            <family val="2"/>
          </rPr>
          <t xml:space="preserve">= 30943 - Referinta </t>
        </r>
        <r>
          <rPr>
            <sz val="10"/>
            <color indexed="81"/>
            <rFont val="Tahoma"/>
            <family val="2"/>
          </rPr>
          <t xml:space="preserve">* Cluj &amp; Oradea Km Auto (Responses)
   2022-09-05 09:38:10 </t>
        </r>
        <r>
          <rPr>
            <b/>
            <sz val="10"/>
            <color indexed="81"/>
            <rFont val="Tahoma"/>
            <family val="2"/>
          </rPr>
          <t xml:space="preserve">= 30947 - Normal </t>
        </r>
        <r>
          <rPr>
            <sz val="10"/>
            <color indexed="81"/>
            <rFont val="Tahoma"/>
            <family val="2"/>
          </rPr>
          <t xml:space="preserve">* Cluj &amp; Oradea Km Auto (Responses)
</t>
        </r>
      </text>
    </comment>
    <comment ref="O55" authorId="0" shapeId="0" xr:uid="{671C1AD5-8BB7-497F-8771-CE0117F825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23:59:38 </t>
        </r>
        <r>
          <rPr>
            <b/>
            <sz val="10"/>
            <color indexed="81"/>
            <rFont val="Tahoma"/>
            <family val="2"/>
          </rPr>
          <t xml:space="preserve">= 31241 - Referinta </t>
        </r>
        <r>
          <rPr>
            <sz val="10"/>
            <color indexed="81"/>
            <rFont val="Tahoma"/>
            <family val="2"/>
          </rPr>
          <t xml:space="preserve">* Cluj &amp; Oradea Km Auto (Responses)
   2022-09-12 09:55:24 </t>
        </r>
        <r>
          <rPr>
            <b/>
            <sz val="10"/>
            <color indexed="81"/>
            <rFont val="Tahoma"/>
            <family val="2"/>
          </rPr>
          <t xml:space="preserve">= 31253 - Normal </t>
        </r>
        <r>
          <rPr>
            <sz val="10"/>
            <color indexed="81"/>
            <rFont val="Tahoma"/>
            <family val="2"/>
          </rPr>
          <t xml:space="preserve">* Cluj &amp; Oradea Km Auto (Responses)
</t>
        </r>
      </text>
    </comment>
    <comment ref="T55" authorId="0" shapeId="0" xr:uid="{8D94A9CA-CA5F-4BCD-BF67-C4B474205DE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__________________________________________________________________
</t>
        </r>
        <r>
          <rPr>
            <sz val="10"/>
            <color indexed="12"/>
            <rFont val="Tahoma"/>
            <family val="2"/>
          </rPr>
          <t xml:space="preserve">  </t>
        </r>
        <r>
          <rPr>
            <sz val="10"/>
            <color indexed="81"/>
            <rFont val="Tahoma"/>
            <family val="2"/>
          </rPr>
          <t xml:space="preserve"> 2022-09-16 19:42:13 </t>
        </r>
        <r>
          <rPr>
            <b/>
            <sz val="10"/>
            <color indexed="81"/>
            <rFont val="Tahoma"/>
            <family val="2"/>
          </rPr>
          <t xml:space="preserve">= 31461 - Referinta </t>
        </r>
        <r>
          <rPr>
            <sz val="10"/>
            <color indexed="81"/>
            <rFont val="Tahoma"/>
            <family val="2"/>
          </rPr>
          <t xml:space="preserve">* Cluj &amp; Oradea Km Auto (Responses)
   2022-09-19 09:11:53 </t>
        </r>
        <r>
          <rPr>
            <b/>
            <sz val="10"/>
            <color indexed="81"/>
            <rFont val="Tahoma"/>
            <family val="2"/>
          </rPr>
          <t xml:space="preserve">= 31466 - Normal </t>
        </r>
        <r>
          <rPr>
            <sz val="10"/>
            <color indexed="81"/>
            <rFont val="Tahoma"/>
            <family val="2"/>
          </rPr>
          <t xml:space="preserve">* Cluj &amp; Oradea Km Auto (Responses)
</t>
        </r>
      </text>
    </comment>
    <comment ref="Y55" authorId="0" shapeId="0" xr:uid="{A478A673-C325-46D4-9FB6-80841664FB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__________________________________________________________________
</t>
        </r>
        <r>
          <rPr>
            <sz val="10"/>
            <color indexed="12"/>
            <rFont val="Tahoma"/>
            <family val="2"/>
          </rPr>
          <t xml:space="preserve">  </t>
        </r>
        <r>
          <rPr>
            <sz val="10"/>
            <color indexed="81"/>
            <rFont val="Tahoma"/>
            <family val="2"/>
          </rPr>
          <t xml:space="preserve"> 2022-09-23 20:21:46 </t>
        </r>
        <r>
          <rPr>
            <b/>
            <sz val="10"/>
            <color indexed="81"/>
            <rFont val="Tahoma"/>
            <family val="2"/>
          </rPr>
          <t xml:space="preserve">= 32033 - Referinta </t>
        </r>
        <r>
          <rPr>
            <sz val="10"/>
            <color indexed="81"/>
            <rFont val="Tahoma"/>
            <family val="2"/>
          </rPr>
          <t xml:space="preserve">* Cluj &amp; Oradea Km Auto (Responses)
   2022-09-27 12:40:57 </t>
        </r>
        <r>
          <rPr>
            <b/>
            <sz val="10"/>
            <color indexed="81"/>
            <rFont val="Tahoma"/>
            <family val="2"/>
          </rPr>
          <t xml:space="preserve">= 32445 - Concediu </t>
        </r>
        <r>
          <rPr>
            <sz val="10"/>
            <color indexed="81"/>
            <rFont val="Tahoma"/>
            <family val="2"/>
          </rPr>
          <t xml:space="preserve">* Cluj &amp; Oradea Km Auto (Responses)
</t>
        </r>
      </text>
    </comment>
    <comment ref="AD55" authorId="0" shapeId="0" xr:uid="{F19A15F1-17C9-4DB9-9AAB-1E24409526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13:37:25 </t>
        </r>
        <r>
          <rPr>
            <b/>
            <sz val="10"/>
            <color indexed="81"/>
            <rFont val="Tahoma"/>
            <family val="2"/>
          </rPr>
          <t xml:space="preserve">= 32445 - Referinta </t>
        </r>
        <r>
          <rPr>
            <sz val="10"/>
            <color indexed="81"/>
            <rFont val="Tahoma"/>
            <family val="2"/>
          </rPr>
          <t xml:space="preserve">* Cluj &amp; Oradea Km Auto (Responses)
   2022-09-30 14:55:56 </t>
        </r>
        <r>
          <rPr>
            <b/>
            <sz val="10"/>
            <color indexed="81"/>
            <rFont val="Tahoma"/>
            <family val="2"/>
          </rPr>
          <t xml:space="preserve">= 32565 - Normal </t>
        </r>
        <r>
          <rPr>
            <sz val="10"/>
            <color indexed="81"/>
            <rFont val="Tahoma"/>
            <family val="2"/>
          </rPr>
          <t xml:space="preserve">* Cluj &amp; Oradea Km Auto (Responses)
</t>
        </r>
      </text>
    </comment>
    <comment ref="J56" authorId="0" shapeId="0" xr:uid="{F729404E-0820-4B04-8C24-A6CC70AAA3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10:36:50 </t>
        </r>
        <r>
          <rPr>
            <b/>
            <sz val="10"/>
            <color indexed="81"/>
            <rFont val="Tahoma"/>
            <family val="2"/>
          </rPr>
          <t xml:space="preserve">= 113279 - Referinta </t>
        </r>
        <r>
          <rPr>
            <sz val="10"/>
            <color indexed="81"/>
            <rFont val="Tahoma"/>
            <family val="2"/>
          </rPr>
          <t xml:space="preserve">* Cluj &amp; Oradea Km Auto (Responses)
   2022-09-05 07:32:49 </t>
        </r>
        <r>
          <rPr>
            <b/>
            <sz val="10"/>
            <color indexed="81"/>
            <rFont val="Tahoma"/>
            <family val="2"/>
          </rPr>
          <t xml:space="preserve">= 113393 - Normal </t>
        </r>
        <r>
          <rPr>
            <sz val="10"/>
            <color indexed="81"/>
            <rFont val="Tahoma"/>
            <family val="2"/>
          </rPr>
          <t xml:space="preserve">* Cluj &amp; Oradea Km Auto (Responses)
</t>
        </r>
      </text>
    </comment>
    <comment ref="O56" authorId="0" shapeId="0" xr:uid="{52A82E19-27E0-473E-AEF3-918236D27A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Referinta a fost pusa automat
__________________________________________________________________
</t>
        </r>
        <r>
          <rPr>
            <sz val="10"/>
            <color indexed="12"/>
            <rFont val="Tahoma"/>
            <family val="2"/>
          </rPr>
          <t xml:space="preserve">  </t>
        </r>
        <r>
          <rPr>
            <sz val="10"/>
            <color indexed="81"/>
            <rFont val="Tahoma"/>
            <family val="2"/>
          </rPr>
          <t xml:space="preserve"> 2022-09-10 10:52:46 </t>
        </r>
        <r>
          <rPr>
            <b/>
            <sz val="10"/>
            <color indexed="81"/>
            <rFont val="Tahoma"/>
            <family val="2"/>
          </rPr>
          <t xml:space="preserve">= 113778 - Referinta </t>
        </r>
        <r>
          <rPr>
            <sz val="10"/>
            <color indexed="81"/>
            <rFont val="Tahoma"/>
            <family val="2"/>
          </rPr>
          <t xml:space="preserve">* Cluj &amp; Oradea Km Auto (Responses)
   2022-09-12 06:41:00 </t>
        </r>
        <r>
          <rPr>
            <b/>
            <sz val="10"/>
            <color indexed="81"/>
            <rFont val="Tahoma"/>
            <family val="2"/>
          </rPr>
          <t xml:space="preserve">= 113849 - Normal </t>
        </r>
        <r>
          <rPr>
            <sz val="10"/>
            <color indexed="81"/>
            <rFont val="Tahoma"/>
            <family val="2"/>
          </rPr>
          <t xml:space="preserve">* Cluj &amp; Oradea Km Auto (Responses)
</t>
        </r>
      </text>
    </comment>
    <comment ref="T56" authorId="0" shapeId="0" xr:uid="{0E2B2108-9F86-4580-B84F-89D71CCC24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__________________________________________________________________
</t>
        </r>
        <r>
          <rPr>
            <sz val="10"/>
            <color indexed="12"/>
            <rFont val="Tahoma"/>
            <family val="2"/>
          </rPr>
          <t xml:space="preserve">  </t>
        </r>
        <r>
          <rPr>
            <sz val="10"/>
            <color indexed="81"/>
            <rFont val="Tahoma"/>
            <family val="2"/>
          </rPr>
          <t xml:space="preserve"> 2022-09-16 04:20:00 </t>
        </r>
        <r>
          <rPr>
            <b/>
            <sz val="10"/>
            <color indexed="81"/>
            <rFont val="Tahoma"/>
            <family val="2"/>
          </rPr>
          <t xml:space="preserve">= 114193 - Referinta </t>
        </r>
        <r>
          <rPr>
            <sz val="10"/>
            <color indexed="81"/>
            <rFont val="Tahoma"/>
            <family val="2"/>
          </rPr>
          <t xml:space="preserve">* Cluj &amp; Oradea Km Auto (Responses)
   2022-09-19 07:22:00 </t>
        </r>
        <r>
          <rPr>
            <b/>
            <sz val="10"/>
            <color indexed="81"/>
            <rFont val="Tahoma"/>
            <family val="2"/>
          </rPr>
          <t xml:space="preserve">= 114193 - Normal </t>
        </r>
        <r>
          <rPr>
            <sz val="10"/>
            <color indexed="81"/>
            <rFont val="Tahoma"/>
            <family val="2"/>
          </rPr>
          <t xml:space="preserve">* Cluj &amp; Oradea Km Auto (Responses)
</t>
        </r>
      </text>
    </comment>
    <comment ref="Y56" authorId="0" shapeId="0" xr:uid="{D9F6F73A-1705-4052-BE02-BD6740E9A4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__________________________________________________________________
</t>
        </r>
        <r>
          <rPr>
            <sz val="10"/>
            <color indexed="12"/>
            <rFont val="Tahoma"/>
            <family val="2"/>
          </rPr>
          <t xml:space="preserve">  </t>
        </r>
        <r>
          <rPr>
            <sz val="10"/>
            <color indexed="81"/>
            <rFont val="Tahoma"/>
            <family val="2"/>
          </rPr>
          <t xml:space="preserve"> 2022-09-23 08:18:00 </t>
        </r>
        <r>
          <rPr>
            <b/>
            <sz val="10"/>
            <color indexed="81"/>
            <rFont val="Tahoma"/>
            <family val="2"/>
          </rPr>
          <t xml:space="preserve">= 114725 - Referinta </t>
        </r>
        <r>
          <rPr>
            <sz val="10"/>
            <color indexed="81"/>
            <rFont val="Tahoma"/>
            <family val="2"/>
          </rPr>
          <t xml:space="preserve">* Cluj &amp; Oradea Km Auto (Responses)
   2022-09-26 07:31:00 </t>
        </r>
        <r>
          <rPr>
            <b/>
            <sz val="10"/>
            <color indexed="81"/>
            <rFont val="Tahoma"/>
            <family val="2"/>
          </rPr>
          <t xml:space="preserve">= 114875 - Normal </t>
        </r>
        <r>
          <rPr>
            <sz val="10"/>
            <color indexed="81"/>
            <rFont val="Tahoma"/>
            <family val="2"/>
          </rPr>
          <t xml:space="preserve">* Cluj &amp; Oradea Km Auto (Responses)
</t>
        </r>
      </text>
    </comment>
    <comment ref="AD56" authorId="0" shapeId="0" xr:uid="{DDB7A138-1A81-49E3-9144-B8F4178392C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 
__________________________________________________________________
</t>
        </r>
        <r>
          <rPr>
            <sz val="10"/>
            <color indexed="12"/>
            <rFont val="Tahoma"/>
            <family val="2"/>
          </rPr>
          <t xml:space="preserve">  </t>
        </r>
        <r>
          <rPr>
            <sz val="10"/>
            <color indexed="81"/>
            <rFont val="Tahoma"/>
            <family val="2"/>
          </rPr>
          <t xml:space="preserve"> 2022-09-30 08:24:00 </t>
        </r>
        <r>
          <rPr>
            <b/>
            <sz val="10"/>
            <color indexed="81"/>
            <rFont val="Tahoma"/>
            <family val="2"/>
          </rPr>
          <t xml:space="preserve">= 115250 - Referinta </t>
        </r>
        <r>
          <rPr>
            <sz val="10"/>
            <color indexed="81"/>
            <rFont val="Tahoma"/>
            <family val="2"/>
          </rPr>
          <t xml:space="preserve">* Cluj &amp; Oradea Km Auto (Responses)
   2022-10-03 07:16:00 </t>
        </r>
        <r>
          <rPr>
            <b/>
            <sz val="10"/>
            <color indexed="81"/>
            <rFont val="Tahoma"/>
            <family val="2"/>
          </rPr>
          <t xml:space="preserve">= 115344 - Normal </t>
        </r>
        <r>
          <rPr>
            <sz val="10"/>
            <color indexed="81"/>
            <rFont val="Tahoma"/>
            <family val="2"/>
          </rPr>
          <t xml:space="preserve">* Cluj &amp; Oradea Km Auto (Responses)
</t>
        </r>
      </text>
    </comment>
    <comment ref="J57" authorId="0" shapeId="0" xr:uid="{9122A89A-DAAF-4E8F-9C5F-7EB406D6A2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20:55:23 </t>
        </r>
        <r>
          <rPr>
            <b/>
            <sz val="10"/>
            <color indexed="81"/>
            <rFont val="Tahoma"/>
            <family val="2"/>
          </rPr>
          <t xml:space="preserve">= 47745 - Referinta </t>
        </r>
        <r>
          <rPr>
            <sz val="10"/>
            <color indexed="81"/>
            <rFont val="Tahoma"/>
            <family val="2"/>
          </rPr>
          <t xml:space="preserve">* Cluj &amp; Oradea Km Auto (Responses)
   2022-09-05 08:28:17 </t>
        </r>
        <r>
          <rPr>
            <b/>
            <sz val="10"/>
            <color indexed="81"/>
            <rFont val="Tahoma"/>
            <family val="2"/>
          </rPr>
          <t xml:space="preserve">= 47759 - Normal </t>
        </r>
        <r>
          <rPr>
            <sz val="10"/>
            <color indexed="81"/>
            <rFont val="Tahoma"/>
            <family val="2"/>
          </rPr>
          <t xml:space="preserve">* Cluj &amp; Oradea Km Auto (Responses)
</t>
        </r>
      </text>
    </comment>
    <comment ref="O57" authorId="0" shapeId="0" xr:uid="{A3A0CD1D-4326-4C00-99C4-887F40E57E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2022-09-09 20:58:41 </t>
        </r>
        <r>
          <rPr>
            <b/>
            <sz val="10"/>
            <color indexed="81"/>
            <rFont val="Tahoma"/>
            <family val="2"/>
          </rPr>
          <t xml:space="preserve">= 48347 - Referinta </t>
        </r>
        <r>
          <rPr>
            <sz val="10"/>
            <color indexed="81"/>
            <rFont val="Tahoma"/>
            <family val="2"/>
          </rPr>
          <t xml:space="preserve">* Cluj &amp; Oradea Km Auto (Responses)
   2022-09-12 06:51:42 </t>
        </r>
        <r>
          <rPr>
            <b/>
            <sz val="10"/>
            <color indexed="81"/>
            <rFont val="Tahoma"/>
            <family val="2"/>
          </rPr>
          <t xml:space="preserve">= 48347 - Normal </t>
        </r>
        <r>
          <rPr>
            <sz val="10"/>
            <color indexed="81"/>
            <rFont val="Tahoma"/>
            <family val="2"/>
          </rPr>
          <t xml:space="preserve">* Cluj &amp; Oradea Km Auto (Responses)
</t>
        </r>
      </text>
    </comment>
    <comment ref="T57" authorId="0" shapeId="0" xr:uid="{0871392D-4DA1-463D-ACE8-1793A0E1A1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2022-09-16 18:22:36 </t>
        </r>
        <r>
          <rPr>
            <b/>
            <sz val="10"/>
            <color indexed="81"/>
            <rFont val="Tahoma"/>
            <family val="2"/>
          </rPr>
          <t xml:space="preserve">= 49225 - Referinta </t>
        </r>
        <r>
          <rPr>
            <sz val="10"/>
            <color indexed="81"/>
            <rFont val="Tahoma"/>
            <family val="2"/>
          </rPr>
          <t xml:space="preserve">* Cluj &amp; Oradea Km Auto (Responses)
   2022-09-19 07:21:42 </t>
        </r>
        <r>
          <rPr>
            <b/>
            <sz val="10"/>
            <color indexed="81"/>
            <rFont val="Tahoma"/>
            <family val="2"/>
          </rPr>
          <t xml:space="preserve">= 49225 - Normal </t>
        </r>
        <r>
          <rPr>
            <sz val="10"/>
            <color indexed="81"/>
            <rFont val="Tahoma"/>
            <family val="2"/>
          </rPr>
          <t xml:space="preserve">* Cluj &amp; Oradea Km Auto (Responses)
</t>
        </r>
      </text>
    </comment>
    <comment ref="Y57" authorId="0" shapeId="0" xr:uid="{0576C900-32B4-49D0-9FBE-52691960CE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2022-09-23 18:54:33 </t>
        </r>
        <r>
          <rPr>
            <b/>
            <sz val="10"/>
            <color indexed="81"/>
            <rFont val="Tahoma"/>
            <family val="2"/>
          </rPr>
          <t xml:space="preserve">= 49701 - Referinta </t>
        </r>
        <r>
          <rPr>
            <sz val="10"/>
            <color indexed="81"/>
            <rFont val="Tahoma"/>
            <family val="2"/>
          </rPr>
          <t xml:space="preserve">* Cluj &amp; Oradea Km Auto (Responses)
   2022-09-26 07:24:15 </t>
        </r>
        <r>
          <rPr>
            <b/>
            <sz val="10"/>
            <color indexed="81"/>
            <rFont val="Tahoma"/>
            <family val="2"/>
          </rPr>
          <t xml:space="preserve">= 49701 - Normal </t>
        </r>
        <r>
          <rPr>
            <sz val="10"/>
            <color indexed="81"/>
            <rFont val="Tahoma"/>
            <family val="2"/>
          </rPr>
          <t xml:space="preserve">* Cluj &amp; Oradea Km Auto (Responses)
</t>
        </r>
      </text>
    </comment>
    <comment ref="AD57" authorId="0" shapeId="0" xr:uid="{6B342BBB-CFB5-417B-A0F1-B531117557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 
__________________________________________________________________
</t>
        </r>
        <r>
          <rPr>
            <sz val="10"/>
            <color indexed="12"/>
            <rFont val="Tahoma"/>
            <family val="2"/>
          </rPr>
          <t xml:space="preserve">  </t>
        </r>
        <r>
          <rPr>
            <sz val="10"/>
            <color indexed="81"/>
            <rFont val="Tahoma"/>
            <family val="2"/>
          </rPr>
          <t xml:space="preserve"> 2022-09-30 19:09:27 </t>
        </r>
        <r>
          <rPr>
            <b/>
            <sz val="10"/>
            <color indexed="81"/>
            <rFont val="Tahoma"/>
            <family val="2"/>
          </rPr>
          <t xml:space="preserve">= 50076 - Referinta </t>
        </r>
        <r>
          <rPr>
            <sz val="10"/>
            <color indexed="81"/>
            <rFont val="Tahoma"/>
            <family val="2"/>
          </rPr>
          <t xml:space="preserve">* Cluj &amp; Oradea Km Auto (Responses)
   2022-10-03 07:23:43 </t>
        </r>
        <r>
          <rPr>
            <b/>
            <sz val="10"/>
            <color indexed="81"/>
            <rFont val="Tahoma"/>
            <family val="2"/>
          </rPr>
          <t xml:space="preserve">= 50076 - Normal </t>
        </r>
        <r>
          <rPr>
            <sz val="10"/>
            <color indexed="81"/>
            <rFont val="Tahoma"/>
            <family val="2"/>
          </rPr>
          <t xml:space="preserve">* Cluj &amp; Oradea Km Auto (Responses)
</t>
        </r>
      </text>
    </comment>
    <comment ref="J58" authorId="0" shapeId="0" xr:uid="{C0753252-A45B-4D25-BD5B-4FEAA6E5D0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17:40:13 </t>
        </r>
        <r>
          <rPr>
            <b/>
            <sz val="10"/>
            <color indexed="81"/>
            <rFont val="Tahoma"/>
            <family val="2"/>
          </rPr>
          <t xml:space="preserve">= 5579 - Referinta </t>
        </r>
        <r>
          <rPr>
            <sz val="10"/>
            <color indexed="81"/>
            <rFont val="Tahoma"/>
            <family val="2"/>
          </rPr>
          <t xml:space="preserve">* Constanta Km Auto (Responses)
   2022-09-05 07:57:54 </t>
        </r>
        <r>
          <rPr>
            <b/>
            <sz val="10"/>
            <color indexed="81"/>
            <rFont val="Tahoma"/>
            <family val="2"/>
          </rPr>
          <t xml:space="preserve">= 5609 - Normal </t>
        </r>
        <r>
          <rPr>
            <sz val="10"/>
            <color indexed="81"/>
            <rFont val="Tahoma"/>
            <family val="2"/>
          </rPr>
          <t xml:space="preserve">* Constanta Km Auto (Responses)
</t>
        </r>
      </text>
    </comment>
    <comment ref="O58" authorId="0" shapeId="0" xr:uid="{60140B23-C08E-47B6-A681-1164D07182E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2022-09-09 16:19:02 </t>
        </r>
        <r>
          <rPr>
            <b/>
            <sz val="10"/>
            <color indexed="81"/>
            <rFont val="Tahoma"/>
            <family val="2"/>
          </rPr>
          <t xml:space="preserve">= 5713 - Referinta </t>
        </r>
        <r>
          <rPr>
            <sz val="10"/>
            <color indexed="81"/>
            <rFont val="Tahoma"/>
            <family val="2"/>
          </rPr>
          <t xml:space="preserve">* Constanta Km Auto (Responses)
   2022-09-12 08:09:12 </t>
        </r>
        <r>
          <rPr>
            <b/>
            <sz val="10"/>
            <color indexed="81"/>
            <rFont val="Tahoma"/>
            <family val="2"/>
          </rPr>
          <t xml:space="preserve">= 5761 - Normal </t>
        </r>
        <r>
          <rPr>
            <sz val="10"/>
            <color indexed="81"/>
            <rFont val="Tahoma"/>
            <family val="2"/>
          </rPr>
          <t xml:space="preserve">* Constanta Km Auto (Responses)
</t>
        </r>
      </text>
    </comment>
    <comment ref="T58" authorId="0" shapeId="0" xr:uid="{0BC5DF7D-5652-471A-9779-6835BB4729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2022-09-16 16:09:23 </t>
        </r>
        <r>
          <rPr>
            <b/>
            <sz val="10"/>
            <color indexed="81"/>
            <rFont val="Tahoma"/>
            <family val="2"/>
          </rPr>
          <t xml:space="preserve">= 5821 - Referinta </t>
        </r>
        <r>
          <rPr>
            <sz val="10"/>
            <color indexed="81"/>
            <rFont val="Tahoma"/>
            <family val="2"/>
          </rPr>
          <t xml:space="preserve">* Constanta Km Auto (Responses)
   2022-09-19 08:00:27 </t>
        </r>
        <r>
          <rPr>
            <b/>
            <sz val="10"/>
            <color indexed="81"/>
            <rFont val="Tahoma"/>
            <family val="2"/>
          </rPr>
          <t xml:space="preserve">= 5861 - Normal </t>
        </r>
        <r>
          <rPr>
            <sz val="10"/>
            <color indexed="81"/>
            <rFont val="Tahoma"/>
            <family val="2"/>
          </rPr>
          <t xml:space="preserve">* Constanta Km Auto (Responses)
</t>
        </r>
      </text>
    </comment>
    <comment ref="Y58" authorId="0" shapeId="0" xr:uid="{B423AAB4-F477-4D33-9AB5-BD9CF23084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2022-09-23 16:12:32 </t>
        </r>
        <r>
          <rPr>
            <b/>
            <sz val="10"/>
            <color indexed="81"/>
            <rFont val="Tahoma"/>
            <family val="2"/>
          </rPr>
          <t xml:space="preserve">= 5905 - Referinta </t>
        </r>
        <r>
          <rPr>
            <sz val="10"/>
            <color indexed="81"/>
            <rFont val="Tahoma"/>
            <family val="2"/>
          </rPr>
          <t xml:space="preserve">* Constanta Km Auto (Responses)
   2022-09-26 08:01:57 </t>
        </r>
        <r>
          <rPr>
            <b/>
            <sz val="10"/>
            <color indexed="81"/>
            <rFont val="Tahoma"/>
            <family val="2"/>
          </rPr>
          <t xml:space="preserve">= 6419 - Normal </t>
        </r>
        <r>
          <rPr>
            <sz val="10"/>
            <color indexed="81"/>
            <rFont val="Tahoma"/>
            <family val="2"/>
          </rPr>
          <t xml:space="preserve">* Constanta Km Auto (Responses)
</t>
        </r>
      </text>
    </comment>
    <comment ref="AD58" authorId="0" shapeId="0" xr:uid="{467F4406-EBD9-4028-9D16-8D8A60BF37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 
__________________________________________________________________
</t>
        </r>
        <r>
          <rPr>
            <sz val="10"/>
            <color indexed="12"/>
            <rFont val="Tahoma"/>
            <family val="2"/>
          </rPr>
          <t xml:space="preserve">  </t>
        </r>
        <r>
          <rPr>
            <sz val="10"/>
            <color indexed="81"/>
            <rFont val="Tahoma"/>
            <family val="2"/>
          </rPr>
          <t xml:space="preserve"> 2022-09-30 16:11:54 </t>
        </r>
        <r>
          <rPr>
            <b/>
            <sz val="10"/>
            <color indexed="81"/>
            <rFont val="Tahoma"/>
            <family val="2"/>
          </rPr>
          <t xml:space="preserve">= 6512 - Referinta </t>
        </r>
        <r>
          <rPr>
            <sz val="10"/>
            <color indexed="81"/>
            <rFont val="Tahoma"/>
            <family val="2"/>
          </rPr>
          <t xml:space="preserve">* Constanta Km Auto (Responses)
   2022-10-03 08:03:13 </t>
        </r>
        <r>
          <rPr>
            <b/>
            <sz val="10"/>
            <color indexed="81"/>
            <rFont val="Tahoma"/>
            <family val="2"/>
          </rPr>
          <t xml:space="preserve">= 6551 - Normal </t>
        </r>
        <r>
          <rPr>
            <sz val="10"/>
            <color indexed="81"/>
            <rFont val="Tahoma"/>
            <family val="2"/>
          </rPr>
          <t xml:space="preserve">* Constanta Km Auto (Responses)
</t>
        </r>
      </text>
    </comment>
    <comment ref="J59" authorId="0" shapeId="0" xr:uid="{ED67D271-B62C-4233-8FCD-BD793642E1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07:35:29 </t>
        </r>
        <r>
          <rPr>
            <b/>
            <sz val="10"/>
            <color indexed="81"/>
            <rFont val="Tahoma"/>
            <family val="2"/>
          </rPr>
          <t xml:space="preserve">= 17439 - Referinta </t>
        </r>
        <r>
          <rPr>
            <sz val="10"/>
            <color indexed="81"/>
            <rFont val="Tahoma"/>
            <family val="2"/>
          </rPr>
          <t xml:space="preserve">* Constanta Km Auto (Responses)
   2022-09-05 07:45:40 </t>
        </r>
        <r>
          <rPr>
            <b/>
            <sz val="10"/>
            <color indexed="81"/>
            <rFont val="Tahoma"/>
            <family val="2"/>
          </rPr>
          <t xml:space="preserve">= 17446 - Normal </t>
        </r>
        <r>
          <rPr>
            <sz val="10"/>
            <color indexed="81"/>
            <rFont val="Tahoma"/>
            <family val="2"/>
          </rPr>
          <t xml:space="preserve">* Constanta Km Auto (Responses)
   2022-09-07 07:06:59 </t>
        </r>
        <r>
          <rPr>
            <b/>
            <sz val="10"/>
            <color indexed="81"/>
            <rFont val="Tahoma"/>
            <family val="2"/>
          </rPr>
          <t xml:space="preserve">= 17765 - Referinta </t>
        </r>
        <r>
          <rPr>
            <sz val="10"/>
            <color indexed="81"/>
            <rFont val="Tahoma"/>
            <family val="2"/>
          </rPr>
          <t xml:space="preserve">* Constanta Km Auto (Responses)
</t>
        </r>
      </text>
    </comment>
    <comment ref="O59" authorId="0" shapeId="0" xr:uid="{22109B3E-BD5A-4975-A8AF-49B326CF87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__________________________________________________________________
</t>
        </r>
        <r>
          <rPr>
            <sz val="10"/>
            <color indexed="12"/>
            <rFont val="Tahoma"/>
            <family val="2"/>
          </rPr>
          <t xml:space="preserve">  </t>
        </r>
        <r>
          <rPr>
            <sz val="10"/>
            <color indexed="81"/>
            <rFont val="Tahoma"/>
            <family val="2"/>
          </rPr>
          <t xml:space="preserve"> 2022-09-09 07:06:59 </t>
        </r>
        <r>
          <rPr>
            <b/>
            <sz val="10"/>
            <color indexed="81"/>
            <rFont val="Tahoma"/>
            <family val="2"/>
          </rPr>
          <t xml:space="preserve">= 17765 - Referinta </t>
        </r>
        <r>
          <rPr>
            <sz val="10"/>
            <color indexed="81"/>
            <rFont val="Tahoma"/>
            <family val="2"/>
          </rPr>
          <t xml:space="preserve">* Constanta Km Auto (Responses)
   2022-09-12 07:22:23 </t>
        </r>
        <r>
          <rPr>
            <b/>
            <sz val="10"/>
            <color indexed="81"/>
            <rFont val="Tahoma"/>
            <family val="2"/>
          </rPr>
          <t xml:space="preserve">= 17981 - Normal </t>
        </r>
        <r>
          <rPr>
            <sz val="10"/>
            <color indexed="81"/>
            <rFont val="Tahoma"/>
            <family val="2"/>
          </rPr>
          <t xml:space="preserve">* Constanta Km Auto (Responses)
</t>
        </r>
      </text>
    </comment>
    <comment ref="T59" authorId="0" shapeId="0" xr:uid="{2D64C53C-2D2E-4877-B3AA-B2023F7F52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05:22:00 </t>
        </r>
        <r>
          <rPr>
            <b/>
            <sz val="10"/>
            <color indexed="81"/>
            <rFont val="Tahoma"/>
            <family val="2"/>
          </rPr>
          <t xml:space="preserve">= 18621 - Referinta </t>
        </r>
        <r>
          <rPr>
            <sz val="10"/>
            <color indexed="81"/>
            <rFont val="Tahoma"/>
            <family val="2"/>
          </rPr>
          <t xml:space="preserve">* Constanta Km Auto (Responses)
   2022-09-19 07:11:00 </t>
        </r>
        <r>
          <rPr>
            <b/>
            <sz val="10"/>
            <color indexed="81"/>
            <rFont val="Tahoma"/>
            <family val="2"/>
          </rPr>
          <t xml:space="preserve">= 18693 - Normal </t>
        </r>
        <r>
          <rPr>
            <sz val="10"/>
            <color indexed="81"/>
            <rFont val="Tahoma"/>
            <family val="2"/>
          </rPr>
          <t xml:space="preserve">* Constanta Km Auto (Responses)
</t>
        </r>
      </text>
    </comment>
    <comment ref="Y59" authorId="0" shapeId="0" xr:uid="{BC2059BB-1198-456E-9DAE-3BC772B55CB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Referinta a fost pusa automat
__________________________________________________________________
</t>
        </r>
        <r>
          <rPr>
            <sz val="10"/>
            <color indexed="12"/>
            <rFont val="Tahoma"/>
            <family val="2"/>
          </rPr>
          <t xml:space="preserve">  </t>
        </r>
        <r>
          <rPr>
            <sz val="10"/>
            <color indexed="81"/>
            <rFont val="Tahoma"/>
            <family val="2"/>
          </rPr>
          <t xml:space="preserve"> 2022-09-25 09:40:39 </t>
        </r>
        <r>
          <rPr>
            <b/>
            <sz val="10"/>
            <color indexed="81"/>
            <rFont val="Tahoma"/>
            <family val="2"/>
          </rPr>
          <t xml:space="preserve">= 19540 - Referinta </t>
        </r>
        <r>
          <rPr>
            <sz val="10"/>
            <color indexed="81"/>
            <rFont val="Tahoma"/>
            <family val="2"/>
          </rPr>
          <t xml:space="preserve">* Constanta Km Auto (Responses)
   2022-09-26 13:43:54 </t>
        </r>
        <r>
          <rPr>
            <b/>
            <sz val="10"/>
            <color indexed="81"/>
            <rFont val="Tahoma"/>
            <family val="2"/>
          </rPr>
          <t xml:space="preserve">= 19701 - Normal </t>
        </r>
        <r>
          <rPr>
            <sz val="10"/>
            <color indexed="81"/>
            <rFont val="Tahoma"/>
            <family val="2"/>
          </rPr>
          <t xml:space="preserve">* Constanta Km Auto (Responses)
</t>
        </r>
      </text>
    </comment>
    <comment ref="AD59" authorId="0" shapeId="0" xr:uid="{D434D682-2592-48A9-A313-2CEA452105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 
__________________________________________________________________
</t>
        </r>
        <r>
          <rPr>
            <sz val="10"/>
            <color indexed="12"/>
            <rFont val="Tahoma"/>
            <family val="2"/>
          </rPr>
          <t xml:space="preserve">  </t>
        </r>
        <r>
          <rPr>
            <sz val="10"/>
            <color indexed="81"/>
            <rFont val="Tahoma"/>
            <family val="2"/>
          </rPr>
          <t xml:space="preserve"> 2022-09-30 05:22:00 </t>
        </r>
        <r>
          <rPr>
            <b/>
            <sz val="10"/>
            <color indexed="81"/>
            <rFont val="Tahoma"/>
            <family val="2"/>
          </rPr>
          <t xml:space="preserve">= 20704 - Referinta </t>
        </r>
        <r>
          <rPr>
            <sz val="10"/>
            <color indexed="81"/>
            <rFont val="Tahoma"/>
            <family val="2"/>
          </rPr>
          <t xml:space="preserve">* Constanta Km Auto (Responses)
   2022-10-03 07:16:57 </t>
        </r>
        <r>
          <rPr>
            <b/>
            <sz val="10"/>
            <color indexed="81"/>
            <rFont val="Tahoma"/>
            <family val="2"/>
          </rPr>
          <t xml:space="preserve">= 20866 - Normal </t>
        </r>
        <r>
          <rPr>
            <sz val="10"/>
            <color indexed="81"/>
            <rFont val="Tahoma"/>
            <family val="2"/>
          </rPr>
          <t xml:space="preserve">* Constanta Km Auto (Responses)
</t>
        </r>
      </text>
    </comment>
    <comment ref="J60" authorId="0" shapeId="0" xr:uid="{52BDD93D-D160-4B6B-A8C2-6D985DE791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09:16:38 </t>
        </r>
        <r>
          <rPr>
            <b/>
            <sz val="10"/>
            <color indexed="81"/>
            <rFont val="Tahoma"/>
            <family val="2"/>
          </rPr>
          <t xml:space="preserve">= 33626 - Referinta </t>
        </r>
        <r>
          <rPr>
            <sz val="10"/>
            <color indexed="81"/>
            <rFont val="Tahoma"/>
            <family val="2"/>
          </rPr>
          <t xml:space="preserve">* Constanta Km Auto (Responses)
   2022-09-05 09:17:20 </t>
        </r>
        <r>
          <rPr>
            <b/>
            <sz val="10"/>
            <color indexed="81"/>
            <rFont val="Tahoma"/>
            <family val="2"/>
          </rPr>
          <t xml:space="preserve">= 33746 - Normal </t>
        </r>
        <r>
          <rPr>
            <sz val="10"/>
            <color indexed="81"/>
            <rFont val="Tahoma"/>
            <family val="2"/>
          </rPr>
          <t xml:space="preserve">* Constanta Km Auto (Responses)
</t>
        </r>
      </text>
    </comment>
    <comment ref="O60" authorId="0" shapeId="0" xr:uid="{9442AF0D-4349-4A3F-9490-A03BD6D241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33900 - Referinta </t>
        </r>
        <r>
          <rPr>
            <sz val="10"/>
            <color indexed="81"/>
            <rFont val="Tahoma"/>
            <family val="2"/>
          </rPr>
          <t xml:space="preserve">* Constanta Km Auto (Responses)
   2022-09-12 08:00:00 </t>
        </r>
        <r>
          <rPr>
            <b/>
            <sz val="10"/>
            <color indexed="81"/>
            <rFont val="Tahoma"/>
            <family val="2"/>
          </rPr>
          <t xml:space="preserve">= 33941 - Normal </t>
        </r>
        <r>
          <rPr>
            <sz val="10"/>
            <color indexed="81"/>
            <rFont val="Tahoma"/>
            <family val="2"/>
          </rPr>
          <t xml:space="preserve">* Constanta Km Auto (Responses)
</t>
        </r>
      </text>
    </comment>
    <comment ref="T60" authorId="0" shapeId="0" xr:uid="{7A9BD94B-E9C4-4988-9499-7A4AE0928D3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04:30:00 </t>
        </r>
        <r>
          <rPr>
            <b/>
            <sz val="10"/>
            <color indexed="81"/>
            <rFont val="Tahoma"/>
            <family val="2"/>
          </rPr>
          <t xml:space="preserve">= 34373 - Referinta </t>
        </r>
        <r>
          <rPr>
            <sz val="10"/>
            <color indexed="81"/>
            <rFont val="Tahoma"/>
            <family val="2"/>
          </rPr>
          <t xml:space="preserve">* Constanta Km Auto (Responses)
   2022-09-19 08:00:00 </t>
        </r>
        <r>
          <rPr>
            <b/>
            <sz val="10"/>
            <color indexed="81"/>
            <rFont val="Tahoma"/>
            <family val="2"/>
          </rPr>
          <t xml:space="preserve">= 34554 - Normal </t>
        </r>
        <r>
          <rPr>
            <sz val="10"/>
            <color indexed="81"/>
            <rFont val="Tahoma"/>
            <family val="2"/>
          </rPr>
          <t xml:space="preserve">* Constanta Km Auto (Responses)
</t>
        </r>
      </text>
    </comment>
    <comment ref="Y60" authorId="0" shapeId="0" xr:uid="{AACF4021-9FF3-4BF9-80F5-612D672CF6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04:00:00 </t>
        </r>
        <r>
          <rPr>
            <b/>
            <sz val="10"/>
            <color indexed="81"/>
            <rFont val="Tahoma"/>
            <family val="2"/>
          </rPr>
          <t xml:space="preserve">= 34810 - Referinta </t>
        </r>
        <r>
          <rPr>
            <sz val="10"/>
            <color indexed="81"/>
            <rFont val="Tahoma"/>
            <family val="2"/>
          </rPr>
          <t xml:space="preserve">* Constanta Km Auto (Responses)
   2022-09-26 08:00:00 </t>
        </r>
        <r>
          <rPr>
            <b/>
            <sz val="10"/>
            <color indexed="81"/>
            <rFont val="Tahoma"/>
            <family val="2"/>
          </rPr>
          <t xml:space="preserve">= 34878 - Normal </t>
        </r>
        <r>
          <rPr>
            <sz val="10"/>
            <color indexed="81"/>
            <rFont val="Tahoma"/>
            <family val="2"/>
          </rPr>
          <t xml:space="preserve">* Constanta Km Auto (Responses)
</t>
        </r>
      </text>
    </comment>
    <comment ref="AD60" authorId="0" shapeId="0" xr:uid="{5CBECFF9-AB40-43F7-A5F3-DD235477BD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35146 - Referinta </t>
        </r>
        <r>
          <rPr>
            <sz val="10"/>
            <color indexed="81"/>
            <rFont val="Tahoma"/>
            <family val="2"/>
          </rPr>
          <t xml:space="preserve">* Constanta Km Auto (Responses)
   2022-10-03 08:00:00 </t>
        </r>
        <r>
          <rPr>
            <b/>
            <sz val="10"/>
            <color indexed="81"/>
            <rFont val="Tahoma"/>
            <family val="2"/>
          </rPr>
          <t xml:space="preserve">= 35214 - Normal </t>
        </r>
        <r>
          <rPr>
            <sz val="10"/>
            <color indexed="81"/>
            <rFont val="Tahoma"/>
            <family val="2"/>
          </rPr>
          <t xml:space="preserve">* Constanta Km Auto (Responses)
</t>
        </r>
      </text>
    </comment>
    <comment ref="J61" authorId="0" shapeId="0" xr:uid="{713099C5-B364-4BA3-8006-29A769C9D17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12:00:38 </t>
        </r>
        <r>
          <rPr>
            <b/>
            <sz val="10"/>
            <color indexed="81"/>
            <rFont val="Tahoma"/>
            <family val="2"/>
          </rPr>
          <t xml:space="preserve">= 316786 - Referinta </t>
        </r>
        <r>
          <rPr>
            <sz val="10"/>
            <color indexed="81"/>
            <rFont val="Tahoma"/>
            <family val="2"/>
          </rPr>
          <t xml:space="preserve">* Constanta Km Auto (Responses)
   2022-09-05 07:43:15 </t>
        </r>
        <r>
          <rPr>
            <b/>
            <sz val="10"/>
            <color indexed="81"/>
            <rFont val="Tahoma"/>
            <family val="2"/>
          </rPr>
          <t xml:space="preserve">= 316820 - Normal </t>
        </r>
        <r>
          <rPr>
            <sz val="10"/>
            <color indexed="81"/>
            <rFont val="Tahoma"/>
            <family val="2"/>
          </rPr>
          <t xml:space="preserve">* Constanta Km Auto (Responses)
</t>
        </r>
      </text>
    </comment>
    <comment ref="O61" authorId="0" shapeId="0" xr:uid="{F31DAB96-5585-4E7E-9DFF-99259930756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2022-09-09 17:39:00 </t>
        </r>
        <r>
          <rPr>
            <b/>
            <sz val="10"/>
            <color indexed="81"/>
            <rFont val="Tahoma"/>
            <family val="2"/>
          </rPr>
          <t xml:space="preserve">= 317099 - Referinta </t>
        </r>
        <r>
          <rPr>
            <sz val="10"/>
            <color indexed="81"/>
            <rFont val="Tahoma"/>
            <family val="2"/>
          </rPr>
          <t xml:space="preserve">* Constanta Km Auto (Responses)
   2022-09-12 07:45:13 </t>
        </r>
        <r>
          <rPr>
            <b/>
            <sz val="10"/>
            <color indexed="81"/>
            <rFont val="Tahoma"/>
            <family val="2"/>
          </rPr>
          <t xml:space="preserve">= 317157 - Normal </t>
        </r>
        <r>
          <rPr>
            <sz val="10"/>
            <color indexed="81"/>
            <rFont val="Tahoma"/>
            <family val="2"/>
          </rPr>
          <t xml:space="preserve">* Constanta Km Auto (Responses)
</t>
        </r>
      </text>
    </comment>
    <comment ref="T61" authorId="0" shapeId="0" xr:uid="{442E0D30-73B2-42D2-8DE8-DEC8A379D7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2022-09-17 03:06:20 </t>
        </r>
        <r>
          <rPr>
            <b/>
            <sz val="10"/>
            <color indexed="81"/>
            <rFont val="Tahoma"/>
            <family val="2"/>
          </rPr>
          <t xml:space="preserve">= 317475 - Referinta </t>
        </r>
        <r>
          <rPr>
            <sz val="10"/>
            <color indexed="81"/>
            <rFont val="Tahoma"/>
            <family val="2"/>
          </rPr>
          <t xml:space="preserve">* Constanta Km Auto (Responses)
   2022-09-19 08:25:14 </t>
        </r>
        <r>
          <rPr>
            <b/>
            <sz val="10"/>
            <color indexed="81"/>
            <rFont val="Tahoma"/>
            <family val="2"/>
          </rPr>
          <t xml:space="preserve">= 317478 - Normal </t>
        </r>
        <r>
          <rPr>
            <sz val="10"/>
            <color indexed="81"/>
            <rFont val="Tahoma"/>
            <family val="2"/>
          </rPr>
          <t xml:space="preserve">* Constanta Km Auto (Responses)
</t>
        </r>
      </text>
    </comment>
    <comment ref="Y61" authorId="0" shapeId="0" xr:uid="{5DA6B0B7-CCA6-4B52-B344-812D2F2D267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2022-09-23 17:37:30 </t>
        </r>
        <r>
          <rPr>
            <b/>
            <sz val="10"/>
            <color indexed="81"/>
            <rFont val="Tahoma"/>
            <family val="2"/>
          </rPr>
          <t xml:space="preserve">= 317839 - Referinta </t>
        </r>
        <r>
          <rPr>
            <sz val="10"/>
            <color indexed="81"/>
            <rFont val="Tahoma"/>
            <family val="2"/>
          </rPr>
          <t xml:space="preserve">* Constanta Km Auto (Responses)
   2022-09-26 08:08:08 </t>
        </r>
        <r>
          <rPr>
            <b/>
            <sz val="10"/>
            <color indexed="81"/>
            <rFont val="Tahoma"/>
            <family val="2"/>
          </rPr>
          <t xml:space="preserve">= 317854 - Normal </t>
        </r>
        <r>
          <rPr>
            <sz val="10"/>
            <color indexed="81"/>
            <rFont val="Tahoma"/>
            <family val="2"/>
          </rPr>
          <t xml:space="preserve">* Constanta Km Auto (Responses)
</t>
        </r>
      </text>
    </comment>
    <comment ref="AD61" authorId="0" shapeId="0" xr:uid="{D1892FBF-F6F5-4C8C-9EEA-F5513DFCE9B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 
__________________________________________________________________
</t>
        </r>
        <r>
          <rPr>
            <sz val="10"/>
            <color indexed="12"/>
            <rFont val="Tahoma"/>
            <family val="2"/>
          </rPr>
          <t xml:space="preserve">  </t>
        </r>
        <r>
          <rPr>
            <sz val="10"/>
            <color indexed="81"/>
            <rFont val="Tahoma"/>
            <family val="2"/>
          </rPr>
          <t xml:space="preserve"> 2022-10-01 09:02:00 </t>
        </r>
        <r>
          <rPr>
            <b/>
            <sz val="10"/>
            <color indexed="81"/>
            <rFont val="Tahoma"/>
            <family val="2"/>
          </rPr>
          <t xml:space="preserve">= 318073 - Referinta </t>
        </r>
        <r>
          <rPr>
            <sz val="10"/>
            <color indexed="81"/>
            <rFont val="Tahoma"/>
            <family val="2"/>
          </rPr>
          <t xml:space="preserve">* Constanta Km Auto (Responses)
   2022-10-03 07:39:53 </t>
        </r>
        <r>
          <rPr>
            <b/>
            <sz val="10"/>
            <color indexed="81"/>
            <rFont val="Tahoma"/>
            <family val="2"/>
          </rPr>
          <t xml:space="preserve">= 318106 - Normal </t>
        </r>
        <r>
          <rPr>
            <sz val="10"/>
            <color indexed="81"/>
            <rFont val="Tahoma"/>
            <family val="2"/>
          </rPr>
          <t xml:space="preserve">* Constanta Km Auto (Responses)
</t>
        </r>
      </text>
    </comment>
    <comment ref="J62" authorId="0" shapeId="0" xr:uid="{080D55CF-FBE3-45F4-9526-0EF30D6FAD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16:19:56 </t>
        </r>
        <r>
          <rPr>
            <b/>
            <sz val="10"/>
            <color indexed="81"/>
            <rFont val="Tahoma"/>
            <family val="2"/>
          </rPr>
          <t xml:space="preserve">= 52881 - Referinta </t>
        </r>
        <r>
          <rPr>
            <sz val="10"/>
            <color indexed="81"/>
            <rFont val="Tahoma"/>
            <family val="2"/>
          </rPr>
          <t xml:space="preserve">* Constanta Km Auto (Responses)
   2022-09-05 07:42:52 </t>
        </r>
        <r>
          <rPr>
            <b/>
            <sz val="10"/>
            <color indexed="81"/>
            <rFont val="Tahoma"/>
            <family val="2"/>
          </rPr>
          <t xml:space="preserve">= 52911 - Normal </t>
        </r>
        <r>
          <rPr>
            <sz val="10"/>
            <color indexed="81"/>
            <rFont val="Tahoma"/>
            <family val="2"/>
          </rPr>
          <t xml:space="preserve">* Constanta Km Auto (Responses)
</t>
        </r>
      </text>
    </comment>
    <comment ref="O62" authorId="0" shapeId="0" xr:uid="{DD93E69C-28C4-4D90-A7F1-CF2CF84B34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04:22:00 </t>
        </r>
        <r>
          <rPr>
            <b/>
            <sz val="10"/>
            <color indexed="81"/>
            <rFont val="Tahoma"/>
            <family val="2"/>
          </rPr>
          <t xml:space="preserve">= 53428 - Referinta </t>
        </r>
        <r>
          <rPr>
            <sz val="10"/>
            <color indexed="81"/>
            <rFont val="Tahoma"/>
            <family val="2"/>
          </rPr>
          <t xml:space="preserve">* Constanta Km Auto (Responses)
   2022-09-12 07:54:00 </t>
        </r>
        <r>
          <rPr>
            <b/>
            <sz val="10"/>
            <color indexed="81"/>
            <rFont val="Tahoma"/>
            <family val="2"/>
          </rPr>
          <t xml:space="preserve">= 53462 - Normal </t>
        </r>
        <r>
          <rPr>
            <sz val="10"/>
            <color indexed="81"/>
            <rFont val="Tahoma"/>
            <family val="2"/>
          </rPr>
          <t xml:space="preserve">* Constanta Km Auto (Responses)
   2022-09-15 04:20:00 </t>
        </r>
        <r>
          <rPr>
            <b/>
            <sz val="10"/>
            <color indexed="81"/>
            <rFont val="Tahoma"/>
            <family val="2"/>
          </rPr>
          <t xml:space="preserve">= 53897 - Concediu </t>
        </r>
        <r>
          <rPr>
            <sz val="10"/>
            <color indexed="81"/>
            <rFont val="Tahoma"/>
            <family val="2"/>
          </rPr>
          <t xml:space="preserve">* Constanta Km Auto (Responses)
</t>
        </r>
      </text>
    </comment>
    <comment ref="T62" authorId="0" shapeId="0" xr:uid="{9CF706C9-10E2-46DA-BFB4-7DE342279F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08:09:00 </t>
        </r>
        <r>
          <rPr>
            <b/>
            <sz val="10"/>
            <color indexed="81"/>
            <rFont val="Tahoma"/>
            <family val="2"/>
          </rPr>
          <t xml:space="preserve">= 53902 - Referinta </t>
        </r>
        <r>
          <rPr>
            <sz val="10"/>
            <color indexed="81"/>
            <rFont val="Tahoma"/>
            <family val="2"/>
          </rPr>
          <t xml:space="preserve">* Constanta Km Auto (Responses)
</t>
        </r>
      </text>
    </comment>
    <comment ref="Y62" authorId="0" shapeId="0" xr:uid="{4B239DFE-24C7-46A5-995C-7A4505CB4A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16:16:40 </t>
        </r>
        <r>
          <rPr>
            <b/>
            <sz val="10"/>
            <color indexed="81"/>
            <rFont val="Tahoma"/>
            <family val="2"/>
          </rPr>
          <t xml:space="preserve">= 54149 - Referinta </t>
        </r>
        <r>
          <rPr>
            <sz val="10"/>
            <color indexed="81"/>
            <rFont val="Tahoma"/>
            <family val="2"/>
          </rPr>
          <t xml:space="preserve">* Constanta Km Auto (Responses)
   2022-09-26 08:02:47 </t>
        </r>
        <r>
          <rPr>
            <b/>
            <sz val="10"/>
            <color indexed="81"/>
            <rFont val="Tahoma"/>
            <family val="2"/>
          </rPr>
          <t xml:space="preserve">= 54154 - Normal </t>
        </r>
        <r>
          <rPr>
            <sz val="10"/>
            <color indexed="81"/>
            <rFont val="Tahoma"/>
            <family val="2"/>
          </rPr>
          <t xml:space="preserve">* Constanta Km Auto (Responses)
   2022-09-26 08:02:49 </t>
        </r>
        <r>
          <rPr>
            <b/>
            <sz val="10"/>
            <color indexed="81"/>
            <rFont val="Tahoma"/>
            <family val="2"/>
          </rPr>
          <t xml:space="preserve">= 54154 - Normal </t>
        </r>
        <r>
          <rPr>
            <sz val="10"/>
            <color indexed="81"/>
            <rFont val="Tahoma"/>
            <family val="2"/>
          </rPr>
          <t xml:space="preserve">* Constanta Km Auto (Responses)
</t>
        </r>
      </text>
    </comment>
    <comment ref="AD62" authorId="0" shapeId="0" xr:uid="{52189EF9-95DB-408A-8C19-FDBE42AAD8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16:42:21 </t>
        </r>
        <r>
          <rPr>
            <b/>
            <sz val="10"/>
            <color indexed="81"/>
            <rFont val="Tahoma"/>
            <family val="2"/>
          </rPr>
          <t xml:space="preserve">= 54639 - Referinta </t>
        </r>
        <r>
          <rPr>
            <sz val="10"/>
            <color indexed="81"/>
            <rFont val="Tahoma"/>
            <family val="2"/>
          </rPr>
          <t xml:space="preserve">* Constanta Km Auto (Responses)
   2022-10-03 08:04:53 </t>
        </r>
        <r>
          <rPr>
            <b/>
            <sz val="10"/>
            <color indexed="81"/>
            <rFont val="Tahoma"/>
            <family val="2"/>
          </rPr>
          <t xml:space="preserve">= 54644 - Normal </t>
        </r>
        <r>
          <rPr>
            <sz val="10"/>
            <color indexed="81"/>
            <rFont val="Tahoma"/>
            <family val="2"/>
          </rPr>
          <t xml:space="preserve">* Constanta Km Auto (Responses)
</t>
        </r>
      </text>
    </comment>
    <comment ref="J63" authorId="0" shapeId="0" xr:uid="{A4FFD97C-D817-490B-A484-89F570060B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15:41:09 </t>
        </r>
        <r>
          <rPr>
            <b/>
            <sz val="10"/>
            <color indexed="81"/>
            <rFont val="Tahoma"/>
            <family val="2"/>
          </rPr>
          <t xml:space="preserve">= 70400 - Referinta </t>
        </r>
        <r>
          <rPr>
            <sz val="10"/>
            <color indexed="81"/>
            <rFont val="Tahoma"/>
            <family val="2"/>
          </rPr>
          <t xml:space="preserve">* Constanta Km Auto (Responses)
   2022-09-05 07:41:23 </t>
        </r>
        <r>
          <rPr>
            <b/>
            <sz val="10"/>
            <color indexed="81"/>
            <rFont val="Tahoma"/>
            <family val="2"/>
          </rPr>
          <t xml:space="preserve">= 70484 - Normal </t>
        </r>
        <r>
          <rPr>
            <sz val="10"/>
            <color indexed="81"/>
            <rFont val="Tahoma"/>
            <family val="2"/>
          </rPr>
          <t xml:space="preserve">* Constanta Km Auto (Responses)
</t>
        </r>
      </text>
    </comment>
    <comment ref="O63" authorId="0" shapeId="0" xr:uid="{913DB3E3-97BA-4A41-9E1E-1F5E617A5EC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15:49:54 </t>
        </r>
        <r>
          <rPr>
            <b/>
            <sz val="10"/>
            <color indexed="81"/>
            <rFont val="Tahoma"/>
            <family val="2"/>
          </rPr>
          <t xml:space="preserve">= 71088 - Referinta </t>
        </r>
        <r>
          <rPr>
            <sz val="10"/>
            <color indexed="81"/>
            <rFont val="Tahoma"/>
            <family val="2"/>
          </rPr>
          <t xml:space="preserve">* Constanta Km Auto (Responses)
   2022-09-12 07:45:04 </t>
        </r>
        <r>
          <rPr>
            <b/>
            <sz val="10"/>
            <color indexed="81"/>
            <rFont val="Tahoma"/>
            <family val="2"/>
          </rPr>
          <t xml:space="preserve">= 71171 - Normal </t>
        </r>
        <r>
          <rPr>
            <sz val="10"/>
            <color indexed="81"/>
            <rFont val="Tahoma"/>
            <family val="2"/>
          </rPr>
          <t xml:space="preserve">* Constanta Km Auto (Responses)
</t>
        </r>
      </text>
    </comment>
    <comment ref="T63" authorId="0" shapeId="0" xr:uid="{F356808E-6BCA-4578-99CE-A7A7FD08B7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15:42:37 </t>
        </r>
        <r>
          <rPr>
            <b/>
            <sz val="10"/>
            <color indexed="81"/>
            <rFont val="Tahoma"/>
            <family val="2"/>
          </rPr>
          <t xml:space="preserve">= 71758 - Referinta </t>
        </r>
        <r>
          <rPr>
            <sz val="10"/>
            <color indexed="81"/>
            <rFont val="Tahoma"/>
            <family val="2"/>
          </rPr>
          <t xml:space="preserve">* Constanta Km Auto (Responses)
   2022-09-19 07:35:18 </t>
        </r>
        <r>
          <rPr>
            <b/>
            <sz val="10"/>
            <color indexed="81"/>
            <rFont val="Tahoma"/>
            <family val="2"/>
          </rPr>
          <t xml:space="preserve">= 71841 - Normal </t>
        </r>
        <r>
          <rPr>
            <sz val="10"/>
            <color indexed="81"/>
            <rFont val="Tahoma"/>
            <family val="2"/>
          </rPr>
          <t xml:space="preserve">* Constanta Km Auto (Responses)
</t>
        </r>
      </text>
    </comment>
    <comment ref="Y63" authorId="0" shapeId="0" xr:uid="{A53D3F54-7EDB-4C7B-A583-90DBDF47A4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15:43:19 </t>
        </r>
        <r>
          <rPr>
            <b/>
            <sz val="10"/>
            <color indexed="81"/>
            <rFont val="Tahoma"/>
            <family val="2"/>
          </rPr>
          <t xml:space="preserve">= 72419 - Referinta </t>
        </r>
        <r>
          <rPr>
            <sz val="10"/>
            <color indexed="81"/>
            <rFont val="Tahoma"/>
            <family val="2"/>
          </rPr>
          <t xml:space="preserve">* Constanta Km Auto (Responses)
   2022-09-26 07:21:06 </t>
        </r>
        <r>
          <rPr>
            <b/>
            <sz val="10"/>
            <color indexed="81"/>
            <rFont val="Tahoma"/>
            <family val="2"/>
          </rPr>
          <t xml:space="preserve">= 72501 - Normal </t>
        </r>
        <r>
          <rPr>
            <sz val="10"/>
            <color indexed="81"/>
            <rFont val="Tahoma"/>
            <family val="2"/>
          </rPr>
          <t xml:space="preserve">* Constanta Km Auto (Responses)
</t>
        </r>
      </text>
    </comment>
    <comment ref="AD63" authorId="0" shapeId="0" xr:uid="{7B1A446C-E283-4336-9615-661C995E088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 
__________________________________________________________________
</t>
        </r>
        <r>
          <rPr>
            <sz val="10"/>
            <color indexed="12"/>
            <rFont val="Tahoma"/>
            <family val="2"/>
          </rPr>
          <t xml:space="preserve">  </t>
        </r>
        <r>
          <rPr>
            <sz val="10"/>
            <color indexed="81"/>
            <rFont val="Tahoma"/>
            <family val="2"/>
          </rPr>
          <t xml:space="preserve"> 2022-09-30 08:39:22 </t>
        </r>
        <r>
          <rPr>
            <b/>
            <sz val="10"/>
            <color indexed="81"/>
            <rFont val="Tahoma"/>
            <family val="2"/>
          </rPr>
          <t xml:space="preserve">= 73128 - Referinta </t>
        </r>
        <r>
          <rPr>
            <sz val="10"/>
            <color indexed="81"/>
            <rFont val="Tahoma"/>
            <family val="2"/>
          </rPr>
          <t xml:space="preserve">* Constanta Km Auto (Responses)
   2022-10-03 07:52:05 </t>
        </r>
        <r>
          <rPr>
            <b/>
            <sz val="10"/>
            <color indexed="81"/>
            <rFont val="Tahoma"/>
            <family val="2"/>
          </rPr>
          <t xml:space="preserve">= 73211 - Normal </t>
        </r>
        <r>
          <rPr>
            <sz val="10"/>
            <color indexed="81"/>
            <rFont val="Tahoma"/>
            <family val="2"/>
          </rPr>
          <t xml:space="preserve">* Constanta Km Auto (Responses)
</t>
        </r>
      </text>
    </comment>
    <comment ref="J64" authorId="0" shapeId="0" xr:uid="{95B015DE-4266-453A-B5D7-1BF6224EE6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08:15:04 </t>
        </r>
        <r>
          <rPr>
            <b/>
            <sz val="10"/>
            <color indexed="81"/>
            <rFont val="Tahoma"/>
            <family val="2"/>
          </rPr>
          <t xml:space="preserve">= 58673 - Referinta </t>
        </r>
        <r>
          <rPr>
            <sz val="10"/>
            <color indexed="81"/>
            <rFont val="Tahoma"/>
            <family val="2"/>
          </rPr>
          <t xml:space="preserve">* Constanta Km Auto (Responses)
</t>
        </r>
      </text>
    </comment>
    <comment ref="O64" authorId="0" shapeId="0" xr:uid="{CBC32C54-61AC-4E99-911E-4D6390BA77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2022-09-09 16:35:01 </t>
        </r>
        <r>
          <rPr>
            <b/>
            <sz val="10"/>
            <color indexed="81"/>
            <rFont val="Tahoma"/>
            <family val="2"/>
          </rPr>
          <t xml:space="preserve">= 58954 - Referinta </t>
        </r>
        <r>
          <rPr>
            <sz val="10"/>
            <color indexed="81"/>
            <rFont val="Tahoma"/>
            <family val="2"/>
          </rPr>
          <t xml:space="preserve">* Constanta Km Auto (Responses)
   2022-09-12 06:39:00 </t>
        </r>
        <r>
          <rPr>
            <b/>
            <sz val="10"/>
            <color indexed="81"/>
            <rFont val="Tahoma"/>
            <family val="2"/>
          </rPr>
          <t xml:space="preserve">= 58954 - Normal </t>
        </r>
        <r>
          <rPr>
            <sz val="10"/>
            <color indexed="81"/>
            <rFont val="Tahoma"/>
            <family val="2"/>
          </rPr>
          <t xml:space="preserve">* Constanta Km Auto (Responses)
</t>
        </r>
      </text>
    </comment>
    <comment ref="T64" authorId="0" shapeId="0" xr:uid="{6654EC21-C5A6-4AFB-9CD7-FCC98C79182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2022-09-16 05:11:00 </t>
        </r>
        <r>
          <rPr>
            <b/>
            <sz val="10"/>
            <color indexed="81"/>
            <rFont val="Tahoma"/>
            <family val="2"/>
          </rPr>
          <t xml:space="preserve">= 60326 - Referinta </t>
        </r>
        <r>
          <rPr>
            <sz val="10"/>
            <color indexed="81"/>
            <rFont val="Tahoma"/>
            <family val="2"/>
          </rPr>
          <t xml:space="preserve">* Constanta Km Auto (Responses)
   2022-09-19 08:09:00 </t>
        </r>
        <r>
          <rPr>
            <b/>
            <sz val="10"/>
            <color indexed="81"/>
            <rFont val="Tahoma"/>
            <family val="2"/>
          </rPr>
          <t xml:space="preserve">= 60326 - Normal </t>
        </r>
        <r>
          <rPr>
            <sz val="10"/>
            <color indexed="81"/>
            <rFont val="Tahoma"/>
            <family val="2"/>
          </rPr>
          <t xml:space="preserve">* Constanta Km Auto (Responses)
</t>
        </r>
      </text>
    </comment>
    <comment ref="Y64" authorId="0" shapeId="0" xr:uid="{F5D01A0C-444D-43FE-AF2A-98EB901E1F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2022-09-23 05:17:00 </t>
        </r>
        <r>
          <rPr>
            <b/>
            <sz val="10"/>
            <color indexed="81"/>
            <rFont val="Tahoma"/>
            <family val="2"/>
          </rPr>
          <t xml:space="preserve">= 60831 - Referinta </t>
        </r>
        <r>
          <rPr>
            <sz val="10"/>
            <color indexed="81"/>
            <rFont val="Tahoma"/>
            <family val="2"/>
          </rPr>
          <t xml:space="preserve">* Constanta Km Auto (Responses)
   2022-09-26 08:41:00 </t>
        </r>
        <r>
          <rPr>
            <b/>
            <sz val="10"/>
            <color indexed="81"/>
            <rFont val="Tahoma"/>
            <family val="2"/>
          </rPr>
          <t xml:space="preserve">= 60831 - Normal </t>
        </r>
        <r>
          <rPr>
            <sz val="10"/>
            <color indexed="81"/>
            <rFont val="Tahoma"/>
            <family val="2"/>
          </rPr>
          <t xml:space="preserve">* Constanta Km Auto (Responses)
</t>
        </r>
      </text>
    </comment>
    <comment ref="AD64" authorId="0" shapeId="0" xr:uid="{01A65337-48F7-4EEF-A90C-990B9689D6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 
__________________________________________________________________
</t>
        </r>
        <r>
          <rPr>
            <sz val="10"/>
            <color indexed="12"/>
            <rFont val="Tahoma"/>
            <family val="2"/>
          </rPr>
          <t xml:space="preserve">  </t>
        </r>
        <r>
          <rPr>
            <sz val="10"/>
            <color indexed="81"/>
            <rFont val="Tahoma"/>
            <family val="2"/>
          </rPr>
          <t xml:space="preserve"> 2022-09-30 05:25:00 </t>
        </r>
        <r>
          <rPr>
            <b/>
            <sz val="10"/>
            <color indexed="81"/>
            <rFont val="Tahoma"/>
            <family val="2"/>
          </rPr>
          <t xml:space="preserve">= 61379 - Referinta </t>
        </r>
        <r>
          <rPr>
            <sz val="10"/>
            <color indexed="81"/>
            <rFont val="Tahoma"/>
            <family val="2"/>
          </rPr>
          <t xml:space="preserve">* Constanta Km Auto (Responses)
   2022-10-03 10:59:00 </t>
        </r>
        <r>
          <rPr>
            <b/>
            <sz val="10"/>
            <color indexed="81"/>
            <rFont val="Tahoma"/>
            <family val="2"/>
          </rPr>
          <t xml:space="preserve">= 61379 - Normal </t>
        </r>
        <r>
          <rPr>
            <sz val="10"/>
            <color indexed="81"/>
            <rFont val="Tahoma"/>
            <family val="2"/>
          </rPr>
          <t xml:space="preserve">* Constanta Km Auto (Responses)
</t>
        </r>
      </text>
    </comment>
    <comment ref="J65" authorId="0" shapeId="0" xr:uid="{6B403DC8-46A6-49A9-822F-A3DA8C58C9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16:02:52 </t>
        </r>
        <r>
          <rPr>
            <b/>
            <sz val="10"/>
            <color indexed="81"/>
            <rFont val="Tahoma"/>
            <family val="2"/>
          </rPr>
          <t xml:space="preserve">= 15867 - Referinta </t>
        </r>
        <r>
          <rPr>
            <sz val="10"/>
            <color indexed="81"/>
            <rFont val="Tahoma"/>
            <family val="2"/>
          </rPr>
          <t xml:space="preserve">* Constanta Km Auto (Responses)
   2022-09-05 08:41:18 </t>
        </r>
        <r>
          <rPr>
            <b/>
            <sz val="10"/>
            <color indexed="81"/>
            <rFont val="Tahoma"/>
            <family val="2"/>
          </rPr>
          <t xml:space="preserve">= 15888 - Normal </t>
        </r>
        <r>
          <rPr>
            <sz val="10"/>
            <color indexed="81"/>
            <rFont val="Tahoma"/>
            <family val="2"/>
          </rPr>
          <t xml:space="preserve">* Constanta Km Auto (Responses)
   2022-09-06 18:52:18 </t>
        </r>
        <r>
          <rPr>
            <b/>
            <sz val="10"/>
            <color indexed="81"/>
            <rFont val="Tahoma"/>
            <family val="2"/>
          </rPr>
          <t xml:space="preserve">= 16344 - Concediu </t>
        </r>
        <r>
          <rPr>
            <sz val="10"/>
            <color indexed="81"/>
            <rFont val="Tahoma"/>
            <family val="2"/>
          </rPr>
          <t xml:space="preserve">* Constanta Km Auto (Responses)
</t>
        </r>
      </text>
    </comment>
    <comment ref="O65" authorId="0" shapeId="0" xr:uid="{FE17DC77-98BF-41C2-8F56-A6E8F538A5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Referinta a fost pusa automat
__________________________________________________________________
</t>
        </r>
        <r>
          <rPr>
            <sz val="10"/>
            <color indexed="12"/>
            <rFont val="Tahoma"/>
            <family val="2"/>
          </rPr>
          <t xml:space="preserve">  </t>
        </r>
        <r>
          <rPr>
            <sz val="10"/>
            <color indexed="81"/>
            <rFont val="Tahoma"/>
            <family val="2"/>
          </rPr>
          <t xml:space="preserve"> 2022-09-13 08:12:08 </t>
        </r>
        <r>
          <rPr>
            <b/>
            <sz val="10"/>
            <color indexed="81"/>
            <rFont val="Tahoma"/>
            <family val="2"/>
          </rPr>
          <t xml:space="preserve">= 16361 - Referinta </t>
        </r>
        <r>
          <rPr>
            <sz val="10"/>
            <color indexed="81"/>
            <rFont val="Tahoma"/>
            <family val="2"/>
          </rPr>
          <t xml:space="preserve">* Constanta Km Auto (Responses)
</t>
        </r>
      </text>
    </comment>
    <comment ref="T65" authorId="0" shapeId="0" xr:uid="{4A34E561-4508-4DF8-A86E-44299755E2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__________________________________________________________________
</t>
        </r>
        <r>
          <rPr>
            <sz val="10"/>
            <color indexed="12"/>
            <rFont val="Tahoma"/>
            <family val="2"/>
          </rPr>
          <t xml:space="preserve">  </t>
        </r>
        <r>
          <rPr>
            <sz val="10"/>
            <color indexed="81"/>
            <rFont val="Tahoma"/>
            <family val="2"/>
          </rPr>
          <t xml:space="preserve"> 2022-09-16 17:54:56 </t>
        </r>
        <r>
          <rPr>
            <b/>
            <sz val="10"/>
            <color indexed="81"/>
            <rFont val="Tahoma"/>
            <family val="2"/>
          </rPr>
          <t xml:space="preserve">= 16411 - Referinta </t>
        </r>
        <r>
          <rPr>
            <sz val="10"/>
            <color indexed="81"/>
            <rFont val="Tahoma"/>
            <family val="2"/>
          </rPr>
          <t xml:space="preserve">* Constanta Km Auto (Responses)
   2022-09-19 09:01:43 </t>
        </r>
        <r>
          <rPr>
            <b/>
            <sz val="10"/>
            <color indexed="81"/>
            <rFont val="Tahoma"/>
            <family val="2"/>
          </rPr>
          <t xml:space="preserve">= 16756 - Normal </t>
        </r>
        <r>
          <rPr>
            <sz val="10"/>
            <color indexed="81"/>
            <rFont val="Tahoma"/>
            <family val="2"/>
          </rPr>
          <t xml:space="preserve">* Constanta Km Auto (Responses)
</t>
        </r>
      </text>
    </comment>
    <comment ref="Y65" authorId="0" shapeId="0" xr:uid="{2B83A0D3-742B-4626-A6A5-CCDFC4E434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__________________________________________________________________
</t>
        </r>
        <r>
          <rPr>
            <sz val="10"/>
            <color indexed="12"/>
            <rFont val="Tahoma"/>
            <family val="2"/>
          </rPr>
          <t xml:space="preserve">  </t>
        </r>
        <r>
          <rPr>
            <sz val="10"/>
            <color indexed="81"/>
            <rFont val="Tahoma"/>
            <family val="2"/>
          </rPr>
          <t xml:space="preserve"> 2022-09-23 16:32:54 </t>
        </r>
        <r>
          <rPr>
            <b/>
            <sz val="10"/>
            <color indexed="81"/>
            <rFont val="Tahoma"/>
            <family val="2"/>
          </rPr>
          <t xml:space="preserve">= 17224 - Referinta </t>
        </r>
        <r>
          <rPr>
            <sz val="10"/>
            <color indexed="81"/>
            <rFont val="Tahoma"/>
            <family val="2"/>
          </rPr>
          <t xml:space="preserve">* Constanta Km Auto (Responses)
   2022-09-26 08:09:40 </t>
        </r>
        <r>
          <rPr>
            <b/>
            <sz val="10"/>
            <color indexed="81"/>
            <rFont val="Tahoma"/>
            <family val="2"/>
          </rPr>
          <t xml:space="preserve">= 17262 - Normal </t>
        </r>
        <r>
          <rPr>
            <sz val="10"/>
            <color indexed="81"/>
            <rFont val="Tahoma"/>
            <family val="2"/>
          </rPr>
          <t xml:space="preserve">* Constanta Km Auto (Responses)
</t>
        </r>
      </text>
    </comment>
    <comment ref="AD65" authorId="0" shapeId="0" xr:uid="{870E516A-FD68-46AC-8BC5-5E8283F5F13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 
__________________________________________________________________
</t>
        </r>
        <r>
          <rPr>
            <sz val="10"/>
            <color indexed="12"/>
            <rFont val="Tahoma"/>
            <family val="2"/>
          </rPr>
          <t xml:space="preserve">  </t>
        </r>
        <r>
          <rPr>
            <sz val="10"/>
            <color indexed="81"/>
            <rFont val="Tahoma"/>
            <family val="2"/>
          </rPr>
          <t xml:space="preserve"> 2022-09-30 17:21:56 </t>
        </r>
        <r>
          <rPr>
            <b/>
            <sz val="10"/>
            <color indexed="81"/>
            <rFont val="Tahoma"/>
            <family val="2"/>
          </rPr>
          <t xml:space="preserve">= 17331 - Referinta </t>
        </r>
        <r>
          <rPr>
            <sz val="10"/>
            <color indexed="81"/>
            <rFont val="Tahoma"/>
            <family val="2"/>
          </rPr>
          <t xml:space="preserve">* Constanta Km Auto (Responses)
   2022-10-03 09:20:13 </t>
        </r>
        <r>
          <rPr>
            <b/>
            <sz val="10"/>
            <color indexed="81"/>
            <rFont val="Tahoma"/>
            <family val="2"/>
          </rPr>
          <t xml:space="preserve">= 17369 - Normal </t>
        </r>
        <r>
          <rPr>
            <sz val="10"/>
            <color indexed="81"/>
            <rFont val="Tahoma"/>
            <family val="2"/>
          </rPr>
          <t xml:space="preserve">* Constanta Km Auto (Responses)
</t>
        </r>
      </text>
    </comment>
    <comment ref="J66" authorId="0" shapeId="0" xr:uid="{EA694CD2-55EC-4D91-8219-2EB801C50F6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16:57:24 </t>
        </r>
        <r>
          <rPr>
            <b/>
            <sz val="10"/>
            <color indexed="81"/>
            <rFont val="Tahoma"/>
            <family val="2"/>
          </rPr>
          <t xml:space="preserve">= 74020 - Referinta </t>
        </r>
        <r>
          <rPr>
            <sz val="10"/>
            <color indexed="81"/>
            <rFont val="Tahoma"/>
            <family val="2"/>
          </rPr>
          <t xml:space="preserve">* Constanta Km Auto (Responses)
   2022-09-05 07:28:31 </t>
        </r>
        <r>
          <rPr>
            <b/>
            <sz val="10"/>
            <color indexed="81"/>
            <rFont val="Tahoma"/>
            <family val="2"/>
          </rPr>
          <t xml:space="preserve">= 74025 - Normal </t>
        </r>
        <r>
          <rPr>
            <sz val="10"/>
            <color indexed="81"/>
            <rFont val="Tahoma"/>
            <family val="2"/>
          </rPr>
          <t xml:space="preserve">* Constanta Km Auto (Responses)
</t>
        </r>
      </text>
    </comment>
    <comment ref="O66" authorId="0" shapeId="0" xr:uid="{9956C2B3-2A64-49A7-9B9D-FD997105A0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16:34:10 </t>
        </r>
        <r>
          <rPr>
            <b/>
            <sz val="10"/>
            <color indexed="81"/>
            <rFont val="Tahoma"/>
            <family val="2"/>
          </rPr>
          <t xml:space="preserve">= 74525 - Referinta </t>
        </r>
        <r>
          <rPr>
            <sz val="10"/>
            <color indexed="81"/>
            <rFont val="Tahoma"/>
            <family val="2"/>
          </rPr>
          <t xml:space="preserve">* Constanta Km Auto (Responses)
   2022-09-12 07:31:14 </t>
        </r>
        <r>
          <rPr>
            <b/>
            <sz val="10"/>
            <color indexed="81"/>
            <rFont val="Tahoma"/>
            <family val="2"/>
          </rPr>
          <t xml:space="preserve">= 74525 - Normal </t>
        </r>
        <r>
          <rPr>
            <sz val="10"/>
            <color indexed="81"/>
            <rFont val="Tahoma"/>
            <family val="2"/>
          </rPr>
          <t xml:space="preserve">* Constanta Km Auto (Responses)
</t>
        </r>
      </text>
    </comment>
    <comment ref="T66" authorId="0" shapeId="0" xr:uid="{7FB31DCD-6C46-4B21-B9DC-92E32D1A50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20:52:03 </t>
        </r>
        <r>
          <rPr>
            <b/>
            <sz val="10"/>
            <color indexed="81"/>
            <rFont val="Tahoma"/>
            <family val="2"/>
          </rPr>
          <t xml:space="preserve">= 74661 - Referinta </t>
        </r>
        <r>
          <rPr>
            <sz val="10"/>
            <color indexed="81"/>
            <rFont val="Tahoma"/>
            <family val="2"/>
          </rPr>
          <t xml:space="preserve">* Constanta Km Auto (Responses)
   2022-09-19 07:35:38 </t>
        </r>
        <r>
          <rPr>
            <b/>
            <sz val="10"/>
            <color indexed="81"/>
            <rFont val="Tahoma"/>
            <family val="2"/>
          </rPr>
          <t xml:space="preserve">= 74677 - Normal </t>
        </r>
        <r>
          <rPr>
            <sz val="10"/>
            <color indexed="81"/>
            <rFont val="Tahoma"/>
            <family val="2"/>
          </rPr>
          <t xml:space="preserve">* Constanta Km Auto (Responses)
</t>
        </r>
      </text>
    </comment>
    <comment ref="Y66" authorId="0" shapeId="0" xr:uid="{9F6E3E32-A98D-4966-840D-6559B227BE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17:48:28 </t>
        </r>
        <r>
          <rPr>
            <b/>
            <sz val="10"/>
            <color indexed="81"/>
            <rFont val="Tahoma"/>
            <family val="2"/>
          </rPr>
          <t xml:space="preserve">= 74778 - Referinta </t>
        </r>
        <r>
          <rPr>
            <sz val="10"/>
            <color indexed="81"/>
            <rFont val="Tahoma"/>
            <family val="2"/>
          </rPr>
          <t xml:space="preserve">* Constanta Km Auto (Responses)
   2022-09-26 07:35:40 </t>
        </r>
        <r>
          <rPr>
            <b/>
            <sz val="10"/>
            <color indexed="81"/>
            <rFont val="Tahoma"/>
            <family val="2"/>
          </rPr>
          <t xml:space="preserve">= 74808 - Normal </t>
        </r>
        <r>
          <rPr>
            <sz val="10"/>
            <color indexed="81"/>
            <rFont val="Tahoma"/>
            <family val="2"/>
          </rPr>
          <t xml:space="preserve">* Constanta Km Auto (Responses)
</t>
        </r>
      </text>
    </comment>
    <comment ref="AD66" authorId="0" shapeId="0" xr:uid="{F356EE54-0D3A-4B80-9B51-3736D90EF35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17:16:07 </t>
        </r>
        <r>
          <rPr>
            <b/>
            <sz val="10"/>
            <color indexed="81"/>
            <rFont val="Tahoma"/>
            <family val="2"/>
          </rPr>
          <t xml:space="preserve">= 74981 - Referinta </t>
        </r>
        <r>
          <rPr>
            <sz val="10"/>
            <color indexed="81"/>
            <rFont val="Tahoma"/>
            <family val="2"/>
          </rPr>
          <t xml:space="preserve">* Constanta Km Auto (Responses)
   2022-10-03 07:39:43 </t>
        </r>
        <r>
          <rPr>
            <b/>
            <sz val="10"/>
            <color indexed="81"/>
            <rFont val="Tahoma"/>
            <family val="2"/>
          </rPr>
          <t xml:space="preserve">= 75016 - Normal </t>
        </r>
        <r>
          <rPr>
            <sz val="10"/>
            <color indexed="81"/>
            <rFont val="Tahoma"/>
            <family val="2"/>
          </rPr>
          <t xml:space="preserve">* Constanta Km Auto (Responses)
</t>
        </r>
      </text>
    </comment>
    <comment ref="J67" authorId="0" shapeId="0" xr:uid="{FC0C148D-D005-4901-9A15-80B459F36C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15:39:26 </t>
        </r>
        <r>
          <rPr>
            <b/>
            <sz val="10"/>
            <color indexed="81"/>
            <rFont val="Tahoma"/>
            <family val="2"/>
          </rPr>
          <t xml:space="preserve">= 178670 - Referinta </t>
        </r>
        <r>
          <rPr>
            <sz val="10"/>
            <color indexed="81"/>
            <rFont val="Tahoma"/>
            <family val="2"/>
          </rPr>
          <t xml:space="preserve">* Constanta Km Auto (Responses)
   2022-09-05 07:46:19 </t>
        </r>
        <r>
          <rPr>
            <b/>
            <sz val="10"/>
            <color indexed="81"/>
            <rFont val="Tahoma"/>
            <family val="2"/>
          </rPr>
          <t xml:space="preserve">= 178670 - Normal </t>
        </r>
        <r>
          <rPr>
            <sz val="10"/>
            <color indexed="81"/>
            <rFont val="Tahoma"/>
            <family val="2"/>
          </rPr>
          <t xml:space="preserve">* Constanta Km Auto (Responses)
</t>
        </r>
      </text>
    </comment>
    <comment ref="O67" authorId="0" shapeId="0" xr:uid="{9493659D-BB3C-4526-8199-BE991C4A97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16:05:23 </t>
        </r>
        <r>
          <rPr>
            <b/>
            <sz val="10"/>
            <color indexed="81"/>
            <rFont val="Tahoma"/>
            <family val="2"/>
          </rPr>
          <t xml:space="preserve">= 179735 - Referinta </t>
        </r>
        <r>
          <rPr>
            <sz val="10"/>
            <color indexed="81"/>
            <rFont val="Tahoma"/>
            <family val="2"/>
          </rPr>
          <t xml:space="preserve">* Constanta Km Auto (Responses)
   2022-09-12 07:46:14 </t>
        </r>
        <r>
          <rPr>
            <b/>
            <sz val="10"/>
            <color indexed="81"/>
            <rFont val="Tahoma"/>
            <family val="2"/>
          </rPr>
          <t xml:space="preserve">= 179735 - Normal </t>
        </r>
        <r>
          <rPr>
            <sz val="10"/>
            <color indexed="81"/>
            <rFont val="Tahoma"/>
            <family val="2"/>
          </rPr>
          <t xml:space="preserve">* Constanta Km Auto (Responses)
</t>
        </r>
      </text>
    </comment>
    <comment ref="T67" authorId="0" shapeId="0" xr:uid="{5A44A072-216E-4A7B-9F97-1DA86A03F2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07:42:20 </t>
        </r>
        <r>
          <rPr>
            <b/>
            <sz val="10"/>
            <color indexed="81"/>
            <rFont val="Tahoma"/>
            <family val="2"/>
          </rPr>
          <t xml:space="preserve">= 180732 - Referinta </t>
        </r>
        <r>
          <rPr>
            <sz val="10"/>
            <color indexed="81"/>
            <rFont val="Tahoma"/>
            <family val="2"/>
          </rPr>
          <t xml:space="preserve">* Constanta Km Auto (Responses)
</t>
        </r>
      </text>
    </comment>
    <comment ref="Y67" authorId="0" shapeId="0" xr:uid="{6E1420AE-F9E2-43C2-884D-DF543FC67C8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15:22:27 </t>
        </r>
        <r>
          <rPr>
            <b/>
            <sz val="10"/>
            <color indexed="81"/>
            <rFont val="Tahoma"/>
            <family val="2"/>
          </rPr>
          <t xml:space="preserve">= 181927 - Referinta </t>
        </r>
        <r>
          <rPr>
            <sz val="10"/>
            <color indexed="81"/>
            <rFont val="Tahoma"/>
            <family val="2"/>
          </rPr>
          <t xml:space="preserve">* Constanta Km Auto (Responses)
   2022-09-26 07:49:08 </t>
        </r>
        <r>
          <rPr>
            <b/>
            <sz val="10"/>
            <color indexed="81"/>
            <rFont val="Tahoma"/>
            <family val="2"/>
          </rPr>
          <t xml:space="preserve">= 181927 - Normal </t>
        </r>
        <r>
          <rPr>
            <sz val="10"/>
            <color indexed="81"/>
            <rFont val="Tahoma"/>
            <family val="2"/>
          </rPr>
          <t xml:space="preserve">* Constanta Km Auto (Responses)
</t>
        </r>
      </text>
    </comment>
    <comment ref="AD67" authorId="0" shapeId="0" xr:uid="{AD5115D5-4EA0-4DAC-8A2E-99711E2591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15:42:32 </t>
        </r>
        <r>
          <rPr>
            <b/>
            <sz val="10"/>
            <color indexed="81"/>
            <rFont val="Tahoma"/>
            <family val="2"/>
          </rPr>
          <t xml:space="preserve">= 183026 - Referinta </t>
        </r>
        <r>
          <rPr>
            <sz val="10"/>
            <color indexed="81"/>
            <rFont val="Tahoma"/>
            <family val="2"/>
          </rPr>
          <t xml:space="preserve">* Constanta Km Auto (Responses)
   2022-10-03 07:38:55 </t>
        </r>
        <r>
          <rPr>
            <b/>
            <sz val="10"/>
            <color indexed="81"/>
            <rFont val="Tahoma"/>
            <family val="2"/>
          </rPr>
          <t xml:space="preserve">= 183026 - Normal </t>
        </r>
        <r>
          <rPr>
            <sz val="10"/>
            <color indexed="81"/>
            <rFont val="Tahoma"/>
            <family val="2"/>
          </rPr>
          <t xml:space="preserve">* Constanta Km Auto (Responses)
</t>
        </r>
      </text>
    </comment>
    <comment ref="AD68" authorId="0" shapeId="0" xr:uid="{8E30EFFB-1805-41E1-97D8-83E9D78811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Hanu Mircea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08:18:51 </t>
        </r>
        <r>
          <rPr>
            <b/>
            <sz val="10"/>
            <color indexed="81"/>
            <rFont val="Tahoma"/>
            <family val="2"/>
          </rPr>
          <t xml:space="preserve">= 120337 - Referinta </t>
        </r>
        <r>
          <rPr>
            <sz val="10"/>
            <color indexed="81"/>
            <rFont val="Tahoma"/>
            <family val="2"/>
          </rPr>
          <t xml:space="preserve">* Constanta Km Auto (Responses)
</t>
        </r>
      </text>
    </comment>
    <comment ref="J69" authorId="0" shapeId="0" xr:uid="{7049A6E9-B6B6-4A6D-97F7-2B3A9F2864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Marinescu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18:54:19 </t>
        </r>
        <r>
          <rPr>
            <b/>
            <sz val="10"/>
            <color indexed="81"/>
            <rFont val="Tahoma"/>
            <family val="2"/>
          </rPr>
          <t xml:space="preserve">= 119035 - Referinta </t>
        </r>
        <r>
          <rPr>
            <sz val="10"/>
            <color indexed="81"/>
            <rFont val="Tahoma"/>
            <family val="2"/>
          </rPr>
          <t xml:space="preserve">* Constanta Km Auto (Responses)
</t>
        </r>
      </text>
    </comment>
    <comment ref="J70" authorId="0" shapeId="0" xr:uid="{B0DC3996-5185-4DD6-A385-7C5A62E9127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07:40:18 </t>
        </r>
        <r>
          <rPr>
            <b/>
            <sz val="10"/>
            <color indexed="81"/>
            <rFont val="Tahoma"/>
            <family val="2"/>
          </rPr>
          <t xml:space="preserve">= 119035 - Referinta </t>
        </r>
        <r>
          <rPr>
            <sz val="10"/>
            <color indexed="81"/>
            <rFont val="Tahoma"/>
            <family val="2"/>
          </rPr>
          <t xml:space="preserve">* Constanta Km Auto (Responses)
</t>
        </r>
      </text>
    </comment>
    <comment ref="O70" authorId="0" shapeId="0" xr:uid="{DA555AF2-2CEE-4198-89A2-D731FE82DE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119534 - Referinta </t>
        </r>
        <r>
          <rPr>
            <sz val="10"/>
            <color indexed="81"/>
            <rFont val="Tahoma"/>
            <family val="2"/>
          </rPr>
          <t xml:space="preserve">* Constanta Km Auto (Responses)
   2022-09-12 08:24:46 </t>
        </r>
        <r>
          <rPr>
            <b/>
            <sz val="10"/>
            <color indexed="81"/>
            <rFont val="Tahoma"/>
            <family val="2"/>
          </rPr>
          <t xml:space="preserve">= 119534 - Normal </t>
        </r>
        <r>
          <rPr>
            <sz val="10"/>
            <color indexed="81"/>
            <rFont val="Tahoma"/>
            <family val="2"/>
          </rPr>
          <t xml:space="preserve">* Constanta Km Auto (Responses)
</t>
        </r>
      </text>
    </comment>
    <comment ref="T70" authorId="0" shapeId="0" xr:uid="{E55805EA-7ABC-4A0B-A248-B1ABC12B4F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15:56:40 </t>
        </r>
        <r>
          <rPr>
            <b/>
            <sz val="10"/>
            <color indexed="81"/>
            <rFont val="Tahoma"/>
            <family val="2"/>
          </rPr>
          <t xml:space="preserve">= 120095 - Referinta </t>
        </r>
        <r>
          <rPr>
            <sz val="10"/>
            <color indexed="81"/>
            <rFont val="Tahoma"/>
            <family val="2"/>
          </rPr>
          <t xml:space="preserve">* Constanta Km Auto (Responses)
   2022-09-19 08:48:50 </t>
        </r>
        <r>
          <rPr>
            <b/>
            <sz val="10"/>
            <color indexed="81"/>
            <rFont val="Tahoma"/>
            <family val="2"/>
          </rPr>
          <t xml:space="preserve">= 120095 - Normal </t>
        </r>
        <r>
          <rPr>
            <sz val="10"/>
            <color indexed="81"/>
            <rFont val="Tahoma"/>
            <family val="2"/>
          </rPr>
          <t xml:space="preserve">* Constanta Km Auto (Responses)
</t>
        </r>
      </text>
    </comment>
    <comment ref="Y70" authorId="0" shapeId="0" xr:uid="{D78A3126-2ABE-424B-9BAD-9BB6C584C1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15:45:12 </t>
        </r>
        <r>
          <rPr>
            <b/>
            <sz val="10"/>
            <color indexed="81"/>
            <rFont val="Tahoma"/>
            <family val="2"/>
          </rPr>
          <t xml:space="preserve">= 120160 - Referinta </t>
        </r>
        <r>
          <rPr>
            <sz val="10"/>
            <color indexed="81"/>
            <rFont val="Tahoma"/>
            <family val="2"/>
          </rPr>
          <t xml:space="preserve">* Constanta Km Auto (Responses)
   2022-09-26 08:18:10 </t>
        </r>
        <r>
          <rPr>
            <b/>
            <sz val="10"/>
            <color indexed="81"/>
            <rFont val="Tahoma"/>
            <family val="2"/>
          </rPr>
          <t xml:space="preserve">= 120160 - Normal </t>
        </r>
        <r>
          <rPr>
            <sz val="10"/>
            <color indexed="81"/>
            <rFont val="Tahoma"/>
            <family val="2"/>
          </rPr>
          <t xml:space="preserve">* Constanta Km Auto (Responses)
</t>
        </r>
      </text>
    </comment>
    <comment ref="AD70" authorId="0" shapeId="0" xr:uid="{7CC661FD-E5D6-4BC8-9169-62B8D0B7F7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15:45:32 </t>
        </r>
        <r>
          <rPr>
            <b/>
            <sz val="10"/>
            <color indexed="81"/>
            <rFont val="Tahoma"/>
            <family val="2"/>
          </rPr>
          <t xml:space="preserve">= 120337 - Referinta </t>
        </r>
        <r>
          <rPr>
            <sz val="10"/>
            <color indexed="81"/>
            <rFont val="Tahoma"/>
            <family val="2"/>
          </rPr>
          <t xml:space="preserve">* Constanta Km Auto (Responses)
</t>
        </r>
      </text>
    </comment>
    <comment ref="J71" authorId="0" shapeId="0" xr:uid="{A15A9A51-17D9-4DAE-8DC0-7A4816F675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09:11:50 </t>
        </r>
        <r>
          <rPr>
            <b/>
            <sz val="10"/>
            <color indexed="81"/>
            <rFont val="Tahoma"/>
            <family val="2"/>
          </rPr>
          <t xml:space="preserve">= 54337 - Referinta </t>
        </r>
        <r>
          <rPr>
            <sz val="10"/>
            <color indexed="81"/>
            <rFont val="Tahoma"/>
            <family val="2"/>
          </rPr>
          <t xml:space="preserve">* Constanta Km Auto (Responses)
   2022-09-05 08:28:24 </t>
        </r>
        <r>
          <rPr>
            <b/>
            <sz val="10"/>
            <color indexed="81"/>
            <rFont val="Tahoma"/>
            <family val="2"/>
          </rPr>
          <t xml:space="preserve">= 54339 - Normal </t>
        </r>
        <r>
          <rPr>
            <sz val="10"/>
            <color indexed="81"/>
            <rFont val="Tahoma"/>
            <family val="2"/>
          </rPr>
          <t xml:space="preserve">* Constanta Km Auto (Responses)
   2022-09-06 17:24:50 </t>
        </r>
        <r>
          <rPr>
            <b/>
            <sz val="10"/>
            <color indexed="81"/>
            <rFont val="Tahoma"/>
            <family val="2"/>
          </rPr>
          <t xml:space="preserve">= 54582 - Concediu </t>
        </r>
        <r>
          <rPr>
            <sz val="10"/>
            <color indexed="81"/>
            <rFont val="Tahoma"/>
            <family val="2"/>
          </rPr>
          <t xml:space="preserve">* Constanta Km Auto (Responses)
</t>
        </r>
      </text>
    </comment>
    <comment ref="O71" authorId="0" shapeId="0" xr:uid="{ED1A5F29-92DF-43FD-9EA2-554BB0F365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07:46:19 </t>
        </r>
        <r>
          <rPr>
            <b/>
            <sz val="10"/>
            <color indexed="81"/>
            <rFont val="Tahoma"/>
            <family val="2"/>
          </rPr>
          <t xml:space="preserve">= 54588 - Referinta </t>
        </r>
        <r>
          <rPr>
            <sz val="10"/>
            <color indexed="81"/>
            <rFont val="Tahoma"/>
            <family val="2"/>
          </rPr>
          <t xml:space="preserve">* Constanta Km Auto (Responses)
</t>
        </r>
      </text>
    </comment>
    <comment ref="T71" authorId="0" shapeId="0" xr:uid="{9854F910-DFFC-48E4-A486-E44648F44B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17:13:57 </t>
        </r>
        <r>
          <rPr>
            <b/>
            <sz val="10"/>
            <color indexed="81"/>
            <rFont val="Tahoma"/>
            <family val="2"/>
          </rPr>
          <t xml:space="preserve">= 55187 - Referinta </t>
        </r>
        <r>
          <rPr>
            <sz val="10"/>
            <color indexed="81"/>
            <rFont val="Tahoma"/>
            <family val="2"/>
          </rPr>
          <t xml:space="preserve">* Constanta Km Auto (Responses)
   2022-09-19 07:46:30 </t>
        </r>
        <r>
          <rPr>
            <b/>
            <sz val="10"/>
            <color indexed="81"/>
            <rFont val="Tahoma"/>
            <family val="2"/>
          </rPr>
          <t xml:space="preserve">= 55415 - Normal </t>
        </r>
        <r>
          <rPr>
            <sz val="10"/>
            <color indexed="81"/>
            <rFont val="Tahoma"/>
            <family val="2"/>
          </rPr>
          <t xml:space="preserve">* Constanta Km Auto (Responses)
</t>
        </r>
      </text>
    </comment>
    <comment ref="Y71" authorId="0" shapeId="0" xr:uid="{2FCF7737-60AE-40FD-818C-941CC0F5469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06:53:40 </t>
        </r>
        <r>
          <rPr>
            <b/>
            <sz val="10"/>
            <color indexed="81"/>
            <rFont val="Tahoma"/>
            <family val="2"/>
          </rPr>
          <t xml:space="preserve">= 56067 - Referinta </t>
        </r>
        <r>
          <rPr>
            <sz val="10"/>
            <color indexed="81"/>
            <rFont val="Tahoma"/>
            <family val="2"/>
          </rPr>
          <t xml:space="preserve">* Constanta Km Auto (Responses)
   2022-09-26 07:39:25 </t>
        </r>
        <r>
          <rPr>
            <b/>
            <sz val="10"/>
            <color indexed="81"/>
            <rFont val="Tahoma"/>
            <family val="2"/>
          </rPr>
          <t xml:space="preserve">= 56396 - Normal </t>
        </r>
        <r>
          <rPr>
            <sz val="10"/>
            <color indexed="81"/>
            <rFont val="Tahoma"/>
            <family val="2"/>
          </rPr>
          <t xml:space="preserve">* Constanta Km Auto (Responses)
</t>
        </r>
      </text>
    </comment>
    <comment ref="AD71" authorId="0" shapeId="0" xr:uid="{8BDD8980-76B0-483E-A82A-36CA30D024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16:13:15 </t>
        </r>
        <r>
          <rPr>
            <b/>
            <sz val="10"/>
            <color indexed="81"/>
            <rFont val="Tahoma"/>
            <family val="2"/>
          </rPr>
          <t xml:space="preserve">= 56977 - Referinta </t>
        </r>
        <r>
          <rPr>
            <sz val="10"/>
            <color indexed="81"/>
            <rFont val="Tahoma"/>
            <family val="2"/>
          </rPr>
          <t xml:space="preserve">* Constanta Km Auto (Responses)
   2022-10-03 07:33:31 </t>
        </r>
        <r>
          <rPr>
            <b/>
            <sz val="10"/>
            <color indexed="81"/>
            <rFont val="Tahoma"/>
            <family val="2"/>
          </rPr>
          <t xml:space="preserve">= 57019 - Normal </t>
        </r>
        <r>
          <rPr>
            <sz val="10"/>
            <color indexed="81"/>
            <rFont val="Tahoma"/>
            <family val="2"/>
          </rPr>
          <t xml:space="preserve">* Constanta Km Auto (Responses)
</t>
        </r>
      </text>
    </comment>
    <comment ref="J72" authorId="0" shapeId="0" xr:uid="{64967978-1D77-47FD-897B-E8E1F65951D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19:44:01 </t>
        </r>
        <r>
          <rPr>
            <b/>
            <sz val="10"/>
            <color indexed="81"/>
            <rFont val="Tahoma"/>
            <family val="2"/>
          </rPr>
          <t xml:space="preserve">= 164401 - Referinta </t>
        </r>
        <r>
          <rPr>
            <sz val="10"/>
            <color indexed="81"/>
            <rFont val="Tahoma"/>
            <family val="2"/>
          </rPr>
          <t xml:space="preserve">* Constanta Km Auto (Responses)
   2022-09-05 08:03:29 </t>
        </r>
        <r>
          <rPr>
            <b/>
            <sz val="10"/>
            <color indexed="81"/>
            <rFont val="Tahoma"/>
            <family val="2"/>
          </rPr>
          <t xml:space="preserve">= 164436 - Normal </t>
        </r>
        <r>
          <rPr>
            <sz val="10"/>
            <color indexed="81"/>
            <rFont val="Tahoma"/>
            <family val="2"/>
          </rPr>
          <t xml:space="preserve">* Constanta Km Auto (Responses)
</t>
        </r>
      </text>
    </comment>
    <comment ref="O72" authorId="0" shapeId="0" xr:uid="{AB94FC8D-4D1D-4FB3-9759-544D7A883AB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04:12:00 </t>
        </r>
        <r>
          <rPr>
            <b/>
            <sz val="10"/>
            <color indexed="81"/>
            <rFont val="Tahoma"/>
            <family val="2"/>
          </rPr>
          <t xml:space="preserve">= 164992 - Referinta </t>
        </r>
        <r>
          <rPr>
            <sz val="10"/>
            <color indexed="81"/>
            <rFont val="Tahoma"/>
            <family val="2"/>
          </rPr>
          <t xml:space="preserve">* Constanta Km Auto (Responses)
   2022-09-12 08:00:00 </t>
        </r>
        <r>
          <rPr>
            <b/>
            <sz val="10"/>
            <color indexed="81"/>
            <rFont val="Tahoma"/>
            <family val="2"/>
          </rPr>
          <t xml:space="preserve">= 165043 - Normal </t>
        </r>
        <r>
          <rPr>
            <sz val="10"/>
            <color indexed="81"/>
            <rFont val="Tahoma"/>
            <family val="2"/>
          </rPr>
          <t xml:space="preserve">* Constanta Km Auto (Responses)
</t>
        </r>
      </text>
    </comment>
    <comment ref="T72" authorId="0" shapeId="0" xr:uid="{6533BC9B-45ED-437A-B6CA-0B13765B9B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04:10:00 </t>
        </r>
        <r>
          <rPr>
            <b/>
            <sz val="10"/>
            <color indexed="81"/>
            <rFont val="Tahoma"/>
            <family val="2"/>
          </rPr>
          <t xml:space="preserve">= 165594 - Referinta </t>
        </r>
        <r>
          <rPr>
            <sz val="10"/>
            <color indexed="81"/>
            <rFont val="Tahoma"/>
            <family val="2"/>
          </rPr>
          <t xml:space="preserve">* Constanta Km Auto (Responses)
   2022-09-19 08:00:00 </t>
        </r>
        <r>
          <rPr>
            <b/>
            <sz val="10"/>
            <color indexed="81"/>
            <rFont val="Tahoma"/>
            <family val="2"/>
          </rPr>
          <t xml:space="preserve">= 165668 - Normal </t>
        </r>
        <r>
          <rPr>
            <sz val="10"/>
            <color indexed="81"/>
            <rFont val="Tahoma"/>
            <family val="2"/>
          </rPr>
          <t xml:space="preserve">* Constanta Km Auto (Responses)
</t>
        </r>
      </text>
    </comment>
    <comment ref="Y72" authorId="0" shapeId="0" xr:uid="{DC988688-B257-434B-BD3E-DBC5F6556BE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04:00:00 </t>
        </r>
        <r>
          <rPr>
            <b/>
            <sz val="10"/>
            <color indexed="81"/>
            <rFont val="Tahoma"/>
            <family val="2"/>
          </rPr>
          <t xml:space="preserve">= 166202 - Referinta </t>
        </r>
        <r>
          <rPr>
            <sz val="10"/>
            <color indexed="81"/>
            <rFont val="Tahoma"/>
            <family val="2"/>
          </rPr>
          <t xml:space="preserve">* Constanta Km Auto (Responses)
   2022-09-26 08:00:00 </t>
        </r>
        <r>
          <rPr>
            <b/>
            <sz val="10"/>
            <color indexed="81"/>
            <rFont val="Tahoma"/>
            <family val="2"/>
          </rPr>
          <t xml:space="preserve">= 166236 - Normal </t>
        </r>
        <r>
          <rPr>
            <sz val="10"/>
            <color indexed="81"/>
            <rFont val="Tahoma"/>
            <family val="2"/>
          </rPr>
          <t xml:space="preserve">* Constanta Km Auto (Responses)
</t>
        </r>
      </text>
    </comment>
    <comment ref="AD72" authorId="0" shapeId="0" xr:uid="{D6F72264-17C6-47BA-9068-52EBE142F2B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 Referinta a fost pusa automat
__________________________________________________________________
</t>
        </r>
        <r>
          <rPr>
            <sz val="10"/>
            <color indexed="12"/>
            <rFont val="Tahoma"/>
            <family val="2"/>
          </rPr>
          <t xml:space="preserve">  </t>
        </r>
        <r>
          <rPr>
            <sz val="10"/>
            <color indexed="81"/>
            <rFont val="Tahoma"/>
            <family val="2"/>
          </rPr>
          <t xml:space="preserve"> 2022-10-01 10:00:00 </t>
        </r>
        <r>
          <rPr>
            <b/>
            <sz val="10"/>
            <color indexed="81"/>
            <rFont val="Tahoma"/>
            <family val="2"/>
          </rPr>
          <t xml:space="preserve">= 166762 - Referinta </t>
        </r>
        <r>
          <rPr>
            <sz val="10"/>
            <color indexed="81"/>
            <rFont val="Tahoma"/>
            <family val="2"/>
          </rPr>
          <t xml:space="preserve">* Constanta Km Auto (Responses)
   2022-10-03 08:05:00 </t>
        </r>
        <r>
          <rPr>
            <b/>
            <sz val="10"/>
            <color indexed="81"/>
            <rFont val="Tahoma"/>
            <family val="2"/>
          </rPr>
          <t xml:space="preserve">= 166809 - Normal </t>
        </r>
        <r>
          <rPr>
            <sz val="10"/>
            <color indexed="81"/>
            <rFont val="Tahoma"/>
            <family val="2"/>
          </rPr>
          <t xml:space="preserve">* Constanta Km Auto (Responses)
</t>
        </r>
      </text>
    </comment>
    <comment ref="J73" authorId="0" shapeId="0" xr:uid="{7ABDFC62-DE28-4558-8164-F5513ED7DE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16:01:41 </t>
        </r>
        <r>
          <rPr>
            <b/>
            <sz val="10"/>
            <color indexed="81"/>
            <rFont val="Tahoma"/>
            <family val="2"/>
          </rPr>
          <t xml:space="preserve">= 31106 - Referinta </t>
        </r>
        <r>
          <rPr>
            <sz val="10"/>
            <color indexed="81"/>
            <rFont val="Tahoma"/>
            <family val="2"/>
          </rPr>
          <t xml:space="preserve">* Constanta Km Auto (Responses)
   2022-09-05 07:31:34 </t>
        </r>
        <r>
          <rPr>
            <b/>
            <sz val="10"/>
            <color indexed="81"/>
            <rFont val="Tahoma"/>
            <family val="2"/>
          </rPr>
          <t xml:space="preserve">= 31106 - Normal </t>
        </r>
        <r>
          <rPr>
            <sz val="10"/>
            <color indexed="81"/>
            <rFont val="Tahoma"/>
            <family val="2"/>
          </rPr>
          <t xml:space="preserve">* Constanta Km Auto (Responses)
</t>
        </r>
      </text>
    </comment>
    <comment ref="O73" authorId="0" shapeId="0" xr:uid="{31D4F232-0E86-43FD-996F-5B3A1B2AD8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15:48:30 </t>
        </r>
        <r>
          <rPr>
            <b/>
            <sz val="10"/>
            <color indexed="81"/>
            <rFont val="Tahoma"/>
            <family val="2"/>
          </rPr>
          <t xml:space="preserve">= 31955 - Referinta </t>
        </r>
        <r>
          <rPr>
            <sz val="10"/>
            <color indexed="81"/>
            <rFont val="Tahoma"/>
            <family val="2"/>
          </rPr>
          <t xml:space="preserve">* Constanta Km Auto (Responses)
   2022-09-12 07:33:49 </t>
        </r>
        <r>
          <rPr>
            <b/>
            <sz val="10"/>
            <color indexed="81"/>
            <rFont val="Tahoma"/>
            <family val="2"/>
          </rPr>
          <t xml:space="preserve">= 31955 - Normal </t>
        </r>
        <r>
          <rPr>
            <sz val="10"/>
            <color indexed="81"/>
            <rFont val="Tahoma"/>
            <family val="2"/>
          </rPr>
          <t xml:space="preserve">* Constanta Km Auto (Responses)
</t>
        </r>
      </text>
    </comment>
    <comment ref="T73" authorId="0" shapeId="0" xr:uid="{5AB501D7-0F6E-48E1-A5CC-14E81B8A0F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15:55:17 </t>
        </r>
        <r>
          <rPr>
            <b/>
            <sz val="10"/>
            <color indexed="81"/>
            <rFont val="Tahoma"/>
            <family val="2"/>
          </rPr>
          <t xml:space="preserve">= 32712 - Referinta </t>
        </r>
        <r>
          <rPr>
            <sz val="10"/>
            <color indexed="81"/>
            <rFont val="Tahoma"/>
            <family val="2"/>
          </rPr>
          <t xml:space="preserve">* Constanta Km Auto (Responses)
   2022-09-19 07:35:03 </t>
        </r>
        <r>
          <rPr>
            <b/>
            <sz val="10"/>
            <color indexed="81"/>
            <rFont val="Tahoma"/>
            <family val="2"/>
          </rPr>
          <t xml:space="preserve">= 32712 - Normal </t>
        </r>
        <r>
          <rPr>
            <sz val="10"/>
            <color indexed="81"/>
            <rFont val="Tahoma"/>
            <family val="2"/>
          </rPr>
          <t xml:space="preserve">* Constanta Km Auto (Responses)
</t>
        </r>
      </text>
    </comment>
    <comment ref="Y73" authorId="0" shapeId="0" xr:uid="{0E032046-2683-4E03-B76F-2C2B1088F7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15:56:04 </t>
        </r>
        <r>
          <rPr>
            <b/>
            <sz val="10"/>
            <color indexed="81"/>
            <rFont val="Tahoma"/>
            <family val="2"/>
          </rPr>
          <t xml:space="preserve">= 33501 - Referinta </t>
        </r>
        <r>
          <rPr>
            <sz val="10"/>
            <color indexed="81"/>
            <rFont val="Tahoma"/>
            <family val="2"/>
          </rPr>
          <t xml:space="preserve">* Constanta Km Auto (Responses)
   2022-09-26 07:41:03 </t>
        </r>
        <r>
          <rPr>
            <b/>
            <sz val="10"/>
            <color indexed="81"/>
            <rFont val="Tahoma"/>
            <family val="2"/>
          </rPr>
          <t xml:space="preserve">= 33501 - Normal </t>
        </r>
        <r>
          <rPr>
            <sz val="10"/>
            <color indexed="81"/>
            <rFont val="Tahoma"/>
            <family val="2"/>
          </rPr>
          <t xml:space="preserve">* Constanta Km Auto (Responses)
</t>
        </r>
      </text>
    </comment>
    <comment ref="AD73" authorId="0" shapeId="0" xr:uid="{C9C8FA92-5054-4EF2-99AC-3D95822000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15:48:02 </t>
        </r>
        <r>
          <rPr>
            <b/>
            <sz val="10"/>
            <color indexed="81"/>
            <rFont val="Tahoma"/>
            <family val="2"/>
          </rPr>
          <t xml:space="preserve">= 34289 - Referinta </t>
        </r>
        <r>
          <rPr>
            <sz val="10"/>
            <color indexed="81"/>
            <rFont val="Tahoma"/>
            <family val="2"/>
          </rPr>
          <t xml:space="preserve">* Constanta Km Auto (Responses)
   2022-10-03 08:11:25 </t>
        </r>
        <r>
          <rPr>
            <b/>
            <sz val="10"/>
            <color indexed="81"/>
            <rFont val="Tahoma"/>
            <family val="2"/>
          </rPr>
          <t xml:space="preserve">= 34289 - Normal </t>
        </r>
        <r>
          <rPr>
            <sz val="10"/>
            <color indexed="81"/>
            <rFont val="Tahoma"/>
            <family val="2"/>
          </rPr>
          <t xml:space="preserve">* Constanta Km Auto (Responses)
</t>
        </r>
      </text>
    </comment>
    <comment ref="J74" authorId="0" shapeId="0" xr:uid="{4F7EAE90-E8CE-4CBC-9D1D-8C59841D9F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17:47:20 </t>
        </r>
        <r>
          <rPr>
            <b/>
            <sz val="10"/>
            <color indexed="81"/>
            <rFont val="Tahoma"/>
            <family val="2"/>
          </rPr>
          <t xml:space="preserve">= 83326 - Referinta </t>
        </r>
        <r>
          <rPr>
            <sz val="10"/>
            <color indexed="81"/>
            <rFont val="Tahoma"/>
            <family val="2"/>
          </rPr>
          <t xml:space="preserve">* Craiova Km Auto (Responses)
   2022-09-05 16:47:56 </t>
        </r>
        <r>
          <rPr>
            <b/>
            <sz val="10"/>
            <color indexed="81"/>
            <rFont val="Tahoma"/>
            <family val="2"/>
          </rPr>
          <t xml:space="preserve">= 83369 - Normal </t>
        </r>
        <r>
          <rPr>
            <sz val="10"/>
            <color indexed="81"/>
            <rFont val="Tahoma"/>
            <family val="2"/>
          </rPr>
          <t xml:space="preserve">* Craiova Km Auto (Responses)
</t>
        </r>
      </text>
    </comment>
    <comment ref="O74" authorId="0" shapeId="0" xr:uid="{E7A4FA0D-6738-4F78-8055-74365B3C0C1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19:01:11 </t>
        </r>
        <r>
          <rPr>
            <b/>
            <sz val="10"/>
            <color indexed="81"/>
            <rFont val="Tahoma"/>
            <family val="2"/>
          </rPr>
          <t xml:space="preserve">= 83897 - Referinta </t>
        </r>
        <r>
          <rPr>
            <sz val="10"/>
            <color indexed="81"/>
            <rFont val="Tahoma"/>
            <family val="2"/>
          </rPr>
          <t xml:space="preserve">* Craiova Km Auto (Responses)
   2022-09-12 08:38:00 </t>
        </r>
        <r>
          <rPr>
            <b/>
            <sz val="10"/>
            <color indexed="81"/>
            <rFont val="Tahoma"/>
            <family val="2"/>
          </rPr>
          <t xml:space="preserve">= 84063 - Normal </t>
        </r>
        <r>
          <rPr>
            <sz val="10"/>
            <color indexed="81"/>
            <rFont val="Tahoma"/>
            <family val="2"/>
          </rPr>
          <t xml:space="preserve">* Craiova Km Auto (Responses)
</t>
        </r>
      </text>
    </comment>
    <comment ref="T74" authorId="0" shapeId="0" xr:uid="{853A2D15-3DF1-48EB-BDA8-BD5DC0B977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20:07:04 </t>
        </r>
        <r>
          <rPr>
            <b/>
            <sz val="10"/>
            <color indexed="81"/>
            <rFont val="Tahoma"/>
            <family val="2"/>
          </rPr>
          <t xml:space="preserve">= 84926 - Referinta </t>
        </r>
        <r>
          <rPr>
            <sz val="10"/>
            <color indexed="81"/>
            <rFont val="Tahoma"/>
            <family val="2"/>
          </rPr>
          <t xml:space="preserve">* Craiova Km Auto (Responses)
   2022-09-19 12:12:59 </t>
        </r>
        <r>
          <rPr>
            <b/>
            <sz val="10"/>
            <color indexed="81"/>
            <rFont val="Tahoma"/>
            <family val="2"/>
          </rPr>
          <t xml:space="preserve">= 84968 - Normal </t>
        </r>
        <r>
          <rPr>
            <sz val="10"/>
            <color indexed="81"/>
            <rFont val="Tahoma"/>
            <family val="2"/>
          </rPr>
          <t xml:space="preserve">* Craiova Km Auto (Responses)
</t>
        </r>
      </text>
    </comment>
    <comment ref="Y74" authorId="0" shapeId="0" xr:uid="{BE109800-B7F5-4E83-9F0B-D6D4337C50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16:43:43 </t>
        </r>
        <r>
          <rPr>
            <b/>
            <sz val="10"/>
            <color indexed="81"/>
            <rFont val="Tahoma"/>
            <family val="2"/>
          </rPr>
          <t xml:space="preserve">= 85407 - Referinta </t>
        </r>
        <r>
          <rPr>
            <sz val="10"/>
            <color indexed="81"/>
            <rFont val="Tahoma"/>
            <family val="2"/>
          </rPr>
          <t xml:space="preserve">* Craiova Km Auto (Responses)
   2022-09-26 10:57:17 </t>
        </r>
        <r>
          <rPr>
            <b/>
            <sz val="10"/>
            <color indexed="81"/>
            <rFont val="Tahoma"/>
            <family val="2"/>
          </rPr>
          <t xml:space="preserve">= 85407 - Normal </t>
        </r>
        <r>
          <rPr>
            <sz val="10"/>
            <color indexed="81"/>
            <rFont val="Tahoma"/>
            <family val="2"/>
          </rPr>
          <t xml:space="preserve">* Craiova Km Auto (Responses)
</t>
        </r>
      </text>
    </comment>
    <comment ref="J75" authorId="0" shapeId="0" xr:uid="{87A14A46-0FA9-4BE1-8E8B-E76060E174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16:18:13 </t>
        </r>
        <r>
          <rPr>
            <b/>
            <sz val="10"/>
            <color indexed="81"/>
            <rFont val="Tahoma"/>
            <family val="2"/>
          </rPr>
          <t xml:space="preserve">= 15637 - Referinta </t>
        </r>
        <r>
          <rPr>
            <sz val="10"/>
            <color indexed="81"/>
            <rFont val="Tahoma"/>
            <family val="2"/>
          </rPr>
          <t xml:space="preserve">* Craiova Km Auto (Responses)
   2022-09-05 07:54:09 </t>
        </r>
        <r>
          <rPr>
            <b/>
            <sz val="10"/>
            <color indexed="81"/>
            <rFont val="Tahoma"/>
            <family val="2"/>
          </rPr>
          <t xml:space="preserve">= 15652 - Normal </t>
        </r>
        <r>
          <rPr>
            <sz val="10"/>
            <color indexed="81"/>
            <rFont val="Tahoma"/>
            <family val="2"/>
          </rPr>
          <t xml:space="preserve">* Craiova Km Auto (Responses)
</t>
        </r>
      </text>
    </comment>
    <comment ref="O75" authorId="0" shapeId="0" xr:uid="{4912940D-85E8-4E9C-8FA8-CC1DE3E9FA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15:42:19 </t>
        </r>
        <r>
          <rPr>
            <b/>
            <sz val="10"/>
            <color indexed="81"/>
            <rFont val="Tahoma"/>
            <family val="2"/>
          </rPr>
          <t xml:space="preserve">= 15962 - Referinta </t>
        </r>
        <r>
          <rPr>
            <sz val="10"/>
            <color indexed="81"/>
            <rFont val="Tahoma"/>
            <family val="2"/>
          </rPr>
          <t xml:space="preserve">* Craiova Km Auto (Responses)
   2022-09-12 09:18:23 </t>
        </r>
        <r>
          <rPr>
            <b/>
            <sz val="10"/>
            <color indexed="81"/>
            <rFont val="Tahoma"/>
            <family val="2"/>
          </rPr>
          <t xml:space="preserve">= 15973 - Normal </t>
        </r>
        <r>
          <rPr>
            <sz val="10"/>
            <color indexed="81"/>
            <rFont val="Tahoma"/>
            <family val="2"/>
          </rPr>
          <t xml:space="preserve">* Craiova Km Auto (Responses)
</t>
        </r>
      </text>
    </comment>
    <comment ref="T75" authorId="0" shapeId="0" xr:uid="{68E43BCE-7412-40C3-B91F-AE27BD1E2F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15:45:34 </t>
        </r>
        <r>
          <rPr>
            <b/>
            <sz val="10"/>
            <color indexed="81"/>
            <rFont val="Tahoma"/>
            <family val="2"/>
          </rPr>
          <t xml:space="preserve">= 16328 - Referinta </t>
        </r>
        <r>
          <rPr>
            <sz val="10"/>
            <color indexed="81"/>
            <rFont val="Tahoma"/>
            <family val="2"/>
          </rPr>
          <t xml:space="preserve">* Craiova Km Auto (Responses)
   2022-09-19 08:40:06 </t>
        </r>
        <r>
          <rPr>
            <b/>
            <sz val="10"/>
            <color indexed="81"/>
            <rFont val="Tahoma"/>
            <family val="2"/>
          </rPr>
          <t xml:space="preserve">= 16346 - Normal </t>
        </r>
        <r>
          <rPr>
            <sz val="10"/>
            <color indexed="81"/>
            <rFont val="Tahoma"/>
            <family val="2"/>
          </rPr>
          <t xml:space="preserve">* Craiova Km Auto (Responses)
</t>
        </r>
      </text>
    </comment>
    <comment ref="Y75" authorId="0" shapeId="0" xr:uid="{3B28E649-3A46-4386-BA63-CB14CC1644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15:40:50 </t>
        </r>
        <r>
          <rPr>
            <b/>
            <sz val="10"/>
            <color indexed="81"/>
            <rFont val="Tahoma"/>
            <family val="2"/>
          </rPr>
          <t xml:space="preserve">= 16618 - Referinta </t>
        </r>
        <r>
          <rPr>
            <sz val="10"/>
            <color indexed="81"/>
            <rFont val="Tahoma"/>
            <family val="2"/>
          </rPr>
          <t xml:space="preserve">* Craiova Km Auto (Responses)
   2022-09-26 08:47:21 </t>
        </r>
        <r>
          <rPr>
            <b/>
            <sz val="10"/>
            <color indexed="81"/>
            <rFont val="Tahoma"/>
            <family val="2"/>
          </rPr>
          <t xml:space="preserve">= 16636 - Normal </t>
        </r>
        <r>
          <rPr>
            <sz val="10"/>
            <color indexed="81"/>
            <rFont val="Tahoma"/>
            <family val="2"/>
          </rPr>
          <t xml:space="preserve">* Craiova Km Auto (Responses)
</t>
        </r>
      </text>
    </comment>
    <comment ref="AD75" authorId="0" shapeId="0" xr:uid="{93D7A147-1E87-4F0E-872F-A4ABA0E92D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16:08:08 </t>
        </r>
        <r>
          <rPr>
            <b/>
            <sz val="10"/>
            <color indexed="81"/>
            <rFont val="Tahoma"/>
            <family val="2"/>
          </rPr>
          <t xml:space="preserve">= 16954 - Referinta </t>
        </r>
        <r>
          <rPr>
            <sz val="10"/>
            <color indexed="81"/>
            <rFont val="Tahoma"/>
            <family val="2"/>
          </rPr>
          <t xml:space="preserve">* Craiova Km Auto (Responses)
   2022-10-03 08:33:41 </t>
        </r>
        <r>
          <rPr>
            <b/>
            <sz val="10"/>
            <color indexed="81"/>
            <rFont val="Tahoma"/>
            <family val="2"/>
          </rPr>
          <t xml:space="preserve">= 16972 - Normal </t>
        </r>
        <r>
          <rPr>
            <sz val="10"/>
            <color indexed="81"/>
            <rFont val="Tahoma"/>
            <family val="2"/>
          </rPr>
          <t xml:space="preserve">* Craiova Km Auto (Responses)
</t>
        </r>
      </text>
    </comment>
    <comment ref="J76" authorId="0" shapeId="0" xr:uid="{142AC255-8ACD-4396-A066-694D883F65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16:08:48 </t>
        </r>
        <r>
          <rPr>
            <b/>
            <sz val="10"/>
            <color indexed="81"/>
            <rFont val="Tahoma"/>
            <family val="2"/>
          </rPr>
          <t xml:space="preserve">= 46221 - Referinta </t>
        </r>
        <r>
          <rPr>
            <sz val="10"/>
            <color indexed="81"/>
            <rFont val="Tahoma"/>
            <family val="2"/>
          </rPr>
          <t xml:space="preserve">* Craiova Km Auto (Responses)
   2022-09-05 08:03:46 </t>
        </r>
        <r>
          <rPr>
            <b/>
            <sz val="10"/>
            <color indexed="81"/>
            <rFont val="Tahoma"/>
            <family val="2"/>
          </rPr>
          <t xml:space="preserve">= 46226 - Normal </t>
        </r>
        <r>
          <rPr>
            <sz val="10"/>
            <color indexed="81"/>
            <rFont val="Tahoma"/>
            <family val="2"/>
          </rPr>
          <t xml:space="preserve">* Craiova Km Auto (Responses)
</t>
        </r>
      </text>
    </comment>
    <comment ref="O76" authorId="0" shapeId="0" xr:uid="{BDD6542D-8B02-4046-984E-0557939FEC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2022-09-09 15:57:59 </t>
        </r>
        <r>
          <rPr>
            <b/>
            <sz val="10"/>
            <color indexed="81"/>
            <rFont val="Tahoma"/>
            <family val="2"/>
          </rPr>
          <t xml:space="preserve">= 46453 - Referinta </t>
        </r>
        <r>
          <rPr>
            <sz val="10"/>
            <color indexed="81"/>
            <rFont val="Tahoma"/>
            <family val="2"/>
          </rPr>
          <t xml:space="preserve">* Craiova Km Auto (Responses)
   2022-09-12 08:07:51 </t>
        </r>
        <r>
          <rPr>
            <b/>
            <sz val="10"/>
            <color indexed="81"/>
            <rFont val="Tahoma"/>
            <family val="2"/>
          </rPr>
          <t xml:space="preserve">= 46476 - Normal </t>
        </r>
        <r>
          <rPr>
            <sz val="10"/>
            <color indexed="81"/>
            <rFont val="Tahoma"/>
            <family val="2"/>
          </rPr>
          <t xml:space="preserve">* Craiova Km Auto (Responses)
</t>
        </r>
      </text>
    </comment>
    <comment ref="T76" authorId="0" shapeId="0" xr:uid="{6D51731E-A7CD-4FEB-988E-D3E48400123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2022-09-16 16:33:38 </t>
        </r>
        <r>
          <rPr>
            <b/>
            <sz val="10"/>
            <color indexed="81"/>
            <rFont val="Tahoma"/>
            <family val="2"/>
          </rPr>
          <t xml:space="preserve">= 46671 - Referinta </t>
        </r>
        <r>
          <rPr>
            <sz val="10"/>
            <color indexed="81"/>
            <rFont val="Tahoma"/>
            <family val="2"/>
          </rPr>
          <t xml:space="preserve">* Craiova Km Auto (Responses)
   2022-09-19 08:02:08 </t>
        </r>
        <r>
          <rPr>
            <b/>
            <sz val="10"/>
            <color indexed="81"/>
            <rFont val="Tahoma"/>
            <family val="2"/>
          </rPr>
          <t xml:space="preserve">= 46699 - Normal </t>
        </r>
        <r>
          <rPr>
            <sz val="10"/>
            <color indexed="81"/>
            <rFont val="Tahoma"/>
            <family val="2"/>
          </rPr>
          <t xml:space="preserve">* Craiova Km Auto (Responses)
</t>
        </r>
      </text>
    </comment>
    <comment ref="Y76" authorId="0" shapeId="0" xr:uid="{3EE0DA28-62E2-40A6-82CE-71131B7BE1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2022-09-23 16:03:01 </t>
        </r>
        <r>
          <rPr>
            <b/>
            <sz val="10"/>
            <color indexed="81"/>
            <rFont val="Tahoma"/>
            <family val="2"/>
          </rPr>
          <t xml:space="preserve">= 47083 - Referinta </t>
        </r>
        <r>
          <rPr>
            <sz val="10"/>
            <color indexed="81"/>
            <rFont val="Tahoma"/>
            <family val="2"/>
          </rPr>
          <t xml:space="preserve">* Craiova Km Auto (Responses)
   2022-09-26 08:07:54 </t>
        </r>
        <r>
          <rPr>
            <b/>
            <sz val="10"/>
            <color indexed="81"/>
            <rFont val="Tahoma"/>
            <family val="2"/>
          </rPr>
          <t xml:space="preserve">= 47091 - Normal </t>
        </r>
        <r>
          <rPr>
            <sz val="10"/>
            <color indexed="81"/>
            <rFont val="Tahoma"/>
            <family val="2"/>
          </rPr>
          <t xml:space="preserve">* Craiova Km Auto (Responses)
</t>
        </r>
      </text>
    </comment>
    <comment ref="AD76" authorId="0" shapeId="0" xr:uid="{26699D3E-7F49-48E6-8576-E90E8F7F50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 
__________________________________________________________________
</t>
        </r>
        <r>
          <rPr>
            <sz val="10"/>
            <color indexed="12"/>
            <rFont val="Tahoma"/>
            <family val="2"/>
          </rPr>
          <t xml:space="preserve">  </t>
        </r>
        <r>
          <rPr>
            <sz val="10"/>
            <color indexed="81"/>
            <rFont val="Tahoma"/>
            <family val="2"/>
          </rPr>
          <t xml:space="preserve"> 2022-09-30 16:12:59 </t>
        </r>
        <r>
          <rPr>
            <b/>
            <sz val="10"/>
            <color indexed="81"/>
            <rFont val="Tahoma"/>
            <family val="2"/>
          </rPr>
          <t xml:space="preserve">= 47249 - Referinta </t>
        </r>
        <r>
          <rPr>
            <sz val="10"/>
            <color indexed="81"/>
            <rFont val="Tahoma"/>
            <family val="2"/>
          </rPr>
          <t xml:space="preserve">* Craiova Km Auto (Responses)
   2022-10-03 08:19:33 </t>
        </r>
        <r>
          <rPr>
            <b/>
            <sz val="10"/>
            <color indexed="81"/>
            <rFont val="Tahoma"/>
            <family val="2"/>
          </rPr>
          <t xml:space="preserve">= 47281 - Normal </t>
        </r>
        <r>
          <rPr>
            <sz val="10"/>
            <color indexed="81"/>
            <rFont val="Tahoma"/>
            <family val="2"/>
          </rPr>
          <t xml:space="preserve">* Craiova Km Auto (Responses)
</t>
        </r>
      </text>
    </comment>
    <comment ref="J77" authorId="0" shapeId="0" xr:uid="{189057DD-0F7B-4BE9-8205-EE956FA70A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16:32:58 </t>
        </r>
        <r>
          <rPr>
            <b/>
            <sz val="10"/>
            <color indexed="81"/>
            <rFont val="Tahoma"/>
            <family val="2"/>
          </rPr>
          <t xml:space="preserve">= 49972 - Referinta </t>
        </r>
        <r>
          <rPr>
            <sz val="10"/>
            <color indexed="81"/>
            <rFont val="Tahoma"/>
            <family val="2"/>
          </rPr>
          <t xml:space="preserve">* Craiova Km Auto (Responses)
   2022-09-05 07:45:38 </t>
        </r>
        <r>
          <rPr>
            <b/>
            <sz val="10"/>
            <color indexed="81"/>
            <rFont val="Tahoma"/>
            <family val="2"/>
          </rPr>
          <t xml:space="preserve">= 50006 - Normal </t>
        </r>
        <r>
          <rPr>
            <sz val="10"/>
            <color indexed="81"/>
            <rFont val="Tahoma"/>
            <family val="2"/>
          </rPr>
          <t xml:space="preserve">* Craiova Km Auto (Responses)
</t>
        </r>
      </text>
    </comment>
    <comment ref="O77" authorId="0" shapeId="0" xr:uid="{73E982B3-E5F8-49BF-93DF-881D5A7EDD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 
__________________________________________________________________
</t>
        </r>
        <r>
          <rPr>
            <sz val="10"/>
            <color indexed="12"/>
            <rFont val="Tahoma"/>
            <family val="2"/>
          </rPr>
          <t xml:space="preserve">  </t>
        </r>
        <r>
          <rPr>
            <sz val="10"/>
            <color indexed="81"/>
            <rFont val="Tahoma"/>
            <family val="2"/>
          </rPr>
          <t xml:space="preserve"> 2022-09-09 16:00:44 </t>
        </r>
        <r>
          <rPr>
            <b/>
            <sz val="10"/>
            <color indexed="81"/>
            <rFont val="Tahoma"/>
            <family val="2"/>
          </rPr>
          <t xml:space="preserve">= 50457 - Referinta </t>
        </r>
        <r>
          <rPr>
            <sz val="10"/>
            <color indexed="81"/>
            <rFont val="Tahoma"/>
            <family val="2"/>
          </rPr>
          <t xml:space="preserve">* Craiova Km Auto (Responses)
   2022-09-12 07:45:50 </t>
        </r>
        <r>
          <rPr>
            <b/>
            <sz val="10"/>
            <color indexed="81"/>
            <rFont val="Tahoma"/>
            <family val="2"/>
          </rPr>
          <t xml:space="preserve">= 50466 - Normal </t>
        </r>
        <r>
          <rPr>
            <sz val="10"/>
            <color indexed="81"/>
            <rFont val="Tahoma"/>
            <family val="2"/>
          </rPr>
          <t xml:space="preserve">* Craiova Km Auto (Responses)
   2022-09-13 04:49:53 </t>
        </r>
        <r>
          <rPr>
            <b/>
            <sz val="10"/>
            <color indexed="81"/>
            <rFont val="Tahoma"/>
            <family val="2"/>
          </rPr>
          <t xml:space="preserve">= 50500 - Concediu </t>
        </r>
        <r>
          <rPr>
            <sz val="10"/>
            <color indexed="81"/>
            <rFont val="Tahoma"/>
            <family val="2"/>
          </rPr>
          <t xml:space="preserve">* Craiova Km Auto (Responses)
   2022-09-14 08:16:31 </t>
        </r>
        <r>
          <rPr>
            <b/>
            <sz val="10"/>
            <color indexed="81"/>
            <rFont val="Tahoma"/>
            <family val="2"/>
          </rPr>
          <t xml:space="preserve">= 50972 - Concediu </t>
        </r>
        <r>
          <rPr>
            <sz val="10"/>
            <color indexed="81"/>
            <rFont val="Tahoma"/>
            <family val="2"/>
          </rPr>
          <t xml:space="preserve">* Craiova Km Auto (Responses)
</t>
        </r>
      </text>
    </comment>
    <comment ref="T77" authorId="0" shapeId="0" xr:uid="{DBF3B59D-1040-4DD1-AE4E-53ABCAD613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 
__________________________________________________________________
</t>
        </r>
        <r>
          <rPr>
            <sz val="10"/>
            <color indexed="12"/>
            <rFont val="Tahoma"/>
            <family val="2"/>
          </rPr>
          <t xml:space="preserve">  </t>
        </r>
        <r>
          <rPr>
            <sz val="10"/>
            <color indexed="81"/>
            <rFont val="Tahoma"/>
            <family val="2"/>
          </rPr>
          <t xml:space="preserve"> 2022-09-16 15:50:33 </t>
        </r>
        <r>
          <rPr>
            <b/>
            <sz val="10"/>
            <color indexed="81"/>
            <rFont val="Tahoma"/>
            <family val="2"/>
          </rPr>
          <t xml:space="preserve">= 51084 - Referinta </t>
        </r>
        <r>
          <rPr>
            <sz val="10"/>
            <color indexed="81"/>
            <rFont val="Tahoma"/>
            <family val="2"/>
          </rPr>
          <t xml:space="preserve">* Craiova Km Auto (Responses)
</t>
        </r>
      </text>
    </comment>
    <comment ref="J78" authorId="0" shapeId="0" xr:uid="{28704B90-F9E6-4731-9DB9-9B1ABB5DCB6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15:26:48 </t>
        </r>
        <r>
          <rPr>
            <b/>
            <sz val="10"/>
            <color indexed="81"/>
            <rFont val="Tahoma"/>
            <family val="2"/>
          </rPr>
          <t xml:space="preserve">= 95682 - Referinta </t>
        </r>
        <r>
          <rPr>
            <sz val="10"/>
            <color indexed="81"/>
            <rFont val="Tahoma"/>
            <family val="2"/>
          </rPr>
          <t xml:space="preserve">* Craiova Km Auto (Responses)
</t>
        </r>
      </text>
    </comment>
    <comment ref="O78" authorId="0" shapeId="0" xr:uid="{9854D4E6-C177-4695-844A-DBC16C2EC9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03:57:00 </t>
        </r>
        <r>
          <rPr>
            <b/>
            <sz val="10"/>
            <color indexed="81"/>
            <rFont val="Tahoma"/>
            <family val="2"/>
          </rPr>
          <t xml:space="preserve">= 96533 - Referinta </t>
        </r>
        <r>
          <rPr>
            <sz val="10"/>
            <color indexed="81"/>
            <rFont val="Tahoma"/>
            <family val="2"/>
          </rPr>
          <t xml:space="preserve">* Craiova Km Auto (Responses)
</t>
        </r>
      </text>
    </comment>
    <comment ref="T78" authorId="0" shapeId="0" xr:uid="{EB0BA79B-7BFE-4ED7-9E68-BA6B4B510E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16:00:09 </t>
        </r>
        <r>
          <rPr>
            <b/>
            <sz val="10"/>
            <color indexed="81"/>
            <rFont val="Tahoma"/>
            <family val="2"/>
          </rPr>
          <t xml:space="preserve">= 97137 - Referinta </t>
        </r>
        <r>
          <rPr>
            <sz val="10"/>
            <color indexed="81"/>
            <rFont val="Tahoma"/>
            <family val="2"/>
          </rPr>
          <t xml:space="preserve">* Craiova Km Auto (Responses)
</t>
        </r>
      </text>
    </comment>
    <comment ref="Y78" authorId="0" shapeId="0" xr:uid="{68B2E0F2-29DF-4C88-960A-0E28F64296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04:57:00 </t>
        </r>
        <r>
          <rPr>
            <b/>
            <sz val="10"/>
            <color indexed="81"/>
            <rFont val="Tahoma"/>
            <family val="2"/>
          </rPr>
          <t xml:space="preserve">= 98069 - Referinta </t>
        </r>
        <r>
          <rPr>
            <sz val="10"/>
            <color indexed="81"/>
            <rFont val="Tahoma"/>
            <family val="2"/>
          </rPr>
          <t xml:space="preserve">* Craiova Km Auto (Responses)
</t>
        </r>
      </text>
    </comment>
    <comment ref="AD78" authorId="0" shapeId="0" xr:uid="{6E1FD449-6F64-49B4-B84D-9E47C4C217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17:01:37 </t>
        </r>
        <r>
          <rPr>
            <b/>
            <sz val="10"/>
            <color indexed="81"/>
            <rFont val="Tahoma"/>
            <family val="2"/>
          </rPr>
          <t xml:space="preserve">= 98510 - Referinta </t>
        </r>
        <r>
          <rPr>
            <sz val="10"/>
            <color indexed="81"/>
            <rFont val="Tahoma"/>
            <family val="2"/>
          </rPr>
          <t xml:space="preserve">* Craiova Km Auto (Responses)
</t>
        </r>
      </text>
    </comment>
    <comment ref="J79" authorId="0" shapeId="0" xr:uid="{D655F085-9477-4D2B-B0CC-2DD97CFC9C7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19:06:52 </t>
        </r>
        <r>
          <rPr>
            <b/>
            <sz val="10"/>
            <color indexed="81"/>
            <rFont val="Tahoma"/>
            <family val="2"/>
          </rPr>
          <t xml:space="preserve">= 33278 - Referinta </t>
        </r>
        <r>
          <rPr>
            <sz val="10"/>
            <color indexed="81"/>
            <rFont val="Tahoma"/>
            <family val="2"/>
          </rPr>
          <t xml:space="preserve">* Craiova Km Auto (Responses)
</t>
        </r>
      </text>
    </comment>
    <comment ref="O79" authorId="0" shapeId="0" xr:uid="{72AD3B68-C5AE-4222-A051-3F2FA6A888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04:01:00 </t>
        </r>
        <r>
          <rPr>
            <b/>
            <sz val="10"/>
            <color indexed="81"/>
            <rFont val="Tahoma"/>
            <family val="2"/>
          </rPr>
          <t xml:space="preserve">= 33738 - Referinta </t>
        </r>
        <r>
          <rPr>
            <sz val="10"/>
            <color indexed="81"/>
            <rFont val="Tahoma"/>
            <family val="2"/>
          </rPr>
          <t xml:space="preserve">* Craiova Km Auto (Responses)
   2022-09-12 08:01:00 </t>
        </r>
        <r>
          <rPr>
            <b/>
            <sz val="10"/>
            <color indexed="81"/>
            <rFont val="Tahoma"/>
            <family val="2"/>
          </rPr>
          <t xml:space="preserve">= 34050 - Normal </t>
        </r>
        <r>
          <rPr>
            <sz val="10"/>
            <color indexed="81"/>
            <rFont val="Tahoma"/>
            <family val="2"/>
          </rPr>
          <t xml:space="preserve">* Craiova Km Auto (Responses)
</t>
        </r>
      </text>
    </comment>
    <comment ref="T79" authorId="0" shapeId="0" xr:uid="{77DFC231-4902-4066-912A-78FB66C87E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16:03:38 </t>
        </r>
        <r>
          <rPr>
            <b/>
            <sz val="10"/>
            <color indexed="81"/>
            <rFont val="Tahoma"/>
            <family val="2"/>
          </rPr>
          <t xml:space="preserve">= 34307 - Referinta </t>
        </r>
        <r>
          <rPr>
            <sz val="10"/>
            <color indexed="81"/>
            <rFont val="Tahoma"/>
            <family val="2"/>
          </rPr>
          <t xml:space="preserve">* Craiova Km Auto (Responses)
   2022-09-19 08:44:28 </t>
        </r>
        <r>
          <rPr>
            <b/>
            <sz val="10"/>
            <color indexed="81"/>
            <rFont val="Tahoma"/>
            <family val="2"/>
          </rPr>
          <t xml:space="preserve">= 34349 - Normal </t>
        </r>
        <r>
          <rPr>
            <sz val="10"/>
            <color indexed="81"/>
            <rFont val="Tahoma"/>
            <family val="2"/>
          </rPr>
          <t xml:space="preserve">* Craiova Km Auto (Responses)
</t>
        </r>
      </text>
    </comment>
    <comment ref="Y79" authorId="0" shapeId="0" xr:uid="{D63C26DA-EE55-4E3A-8E18-459692726C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16:43:19 </t>
        </r>
        <r>
          <rPr>
            <b/>
            <sz val="10"/>
            <color indexed="81"/>
            <rFont val="Tahoma"/>
            <family val="2"/>
          </rPr>
          <t xml:space="preserve">= 34741 - Referinta </t>
        </r>
        <r>
          <rPr>
            <sz val="10"/>
            <color indexed="81"/>
            <rFont val="Tahoma"/>
            <family val="2"/>
          </rPr>
          <t xml:space="preserve">* Craiova Km Auto (Responses)
   2022-09-26 08:00:38 </t>
        </r>
        <r>
          <rPr>
            <b/>
            <sz val="10"/>
            <color indexed="81"/>
            <rFont val="Tahoma"/>
            <family val="2"/>
          </rPr>
          <t xml:space="preserve">= 34928 - Normal </t>
        </r>
        <r>
          <rPr>
            <sz val="10"/>
            <color indexed="81"/>
            <rFont val="Tahoma"/>
            <family val="2"/>
          </rPr>
          <t xml:space="preserve">* Craiova Km Auto (Responses)
</t>
        </r>
      </text>
    </comment>
    <comment ref="AD79" authorId="0" shapeId="0" xr:uid="{7313FD02-6FBE-420B-B5AF-14E9397FF4A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20:04:42 </t>
        </r>
        <r>
          <rPr>
            <b/>
            <sz val="10"/>
            <color indexed="81"/>
            <rFont val="Tahoma"/>
            <family val="2"/>
          </rPr>
          <t xml:space="preserve">= 35391 - Referinta </t>
        </r>
        <r>
          <rPr>
            <sz val="10"/>
            <color indexed="81"/>
            <rFont val="Tahoma"/>
            <family val="2"/>
          </rPr>
          <t xml:space="preserve">* Craiova Km Auto (Responses)
   2022-10-03 08:26:17 </t>
        </r>
        <r>
          <rPr>
            <b/>
            <sz val="10"/>
            <color indexed="81"/>
            <rFont val="Tahoma"/>
            <family val="2"/>
          </rPr>
          <t xml:space="preserve">= 35644 - Normal </t>
        </r>
        <r>
          <rPr>
            <sz val="10"/>
            <color indexed="81"/>
            <rFont val="Tahoma"/>
            <family val="2"/>
          </rPr>
          <t xml:space="preserve">* Craiova Km Auto (Responses)
</t>
        </r>
      </text>
    </comment>
    <comment ref="J80" authorId="0" shapeId="0" xr:uid="{2209BB8A-1E3B-40FB-B9C3-752DE5D846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19:07:52 </t>
        </r>
        <r>
          <rPr>
            <b/>
            <sz val="10"/>
            <color indexed="81"/>
            <rFont val="Tahoma"/>
            <family val="2"/>
          </rPr>
          <t xml:space="preserve">= 312697 - Referinta </t>
        </r>
        <r>
          <rPr>
            <sz val="10"/>
            <color indexed="81"/>
            <rFont val="Tahoma"/>
            <family val="2"/>
          </rPr>
          <t xml:space="preserve">* Craiova Km Auto (Responses)
</t>
        </r>
      </text>
    </comment>
    <comment ref="O80" authorId="0" shapeId="0" xr:uid="{C802F83C-3B7C-4D4F-82AD-33AAED038E8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03:56:00 </t>
        </r>
        <r>
          <rPr>
            <b/>
            <sz val="10"/>
            <color indexed="81"/>
            <rFont val="Tahoma"/>
            <family val="2"/>
          </rPr>
          <t xml:space="preserve">= 312995 - Referinta </t>
        </r>
        <r>
          <rPr>
            <sz val="10"/>
            <color indexed="81"/>
            <rFont val="Tahoma"/>
            <family val="2"/>
          </rPr>
          <t xml:space="preserve">* Craiova Km Auto (Responses)
</t>
        </r>
      </text>
    </comment>
    <comment ref="T80" authorId="0" shapeId="0" xr:uid="{EB096070-5708-4523-A165-49F8464538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17:39:50 </t>
        </r>
        <r>
          <rPr>
            <b/>
            <sz val="10"/>
            <color indexed="81"/>
            <rFont val="Tahoma"/>
            <family val="2"/>
          </rPr>
          <t xml:space="preserve">= 314279 - Referinta </t>
        </r>
        <r>
          <rPr>
            <sz val="10"/>
            <color indexed="81"/>
            <rFont val="Tahoma"/>
            <family val="2"/>
          </rPr>
          <t xml:space="preserve">* Craiova Km Auto (Responses)
</t>
        </r>
      </text>
    </comment>
    <comment ref="Y80" authorId="0" shapeId="0" xr:uid="{9AB4DD76-B390-412B-9AD9-8E4E1688B68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16:39:37 </t>
        </r>
        <r>
          <rPr>
            <b/>
            <sz val="10"/>
            <color indexed="81"/>
            <rFont val="Tahoma"/>
            <family val="2"/>
          </rPr>
          <t xml:space="preserve">= 314690 - Referinta </t>
        </r>
        <r>
          <rPr>
            <sz val="10"/>
            <color indexed="81"/>
            <rFont val="Tahoma"/>
            <family val="2"/>
          </rPr>
          <t xml:space="preserve">* Craiova Km Auto (Responses)
</t>
        </r>
      </text>
    </comment>
    <comment ref="AD80" authorId="0" shapeId="0" xr:uid="{023B29BF-0F27-4956-848C-120676F4DF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17:02:19 </t>
        </r>
        <r>
          <rPr>
            <b/>
            <sz val="10"/>
            <color indexed="81"/>
            <rFont val="Tahoma"/>
            <family val="2"/>
          </rPr>
          <t xml:space="preserve">= 315783 - Referinta </t>
        </r>
        <r>
          <rPr>
            <sz val="10"/>
            <color indexed="81"/>
            <rFont val="Tahoma"/>
            <family val="2"/>
          </rPr>
          <t xml:space="preserve">* Craiova Km Auto (Responses)
</t>
        </r>
      </text>
    </comment>
    <comment ref="J81" authorId="0" shapeId="0" xr:uid="{56EF0B48-D0A8-4C71-81BC-E464E437AA6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15:23:04 </t>
        </r>
        <r>
          <rPr>
            <b/>
            <sz val="10"/>
            <color indexed="81"/>
            <rFont val="Tahoma"/>
            <family val="2"/>
          </rPr>
          <t xml:space="preserve">= 90079 - Referinta </t>
        </r>
        <r>
          <rPr>
            <sz val="10"/>
            <color indexed="81"/>
            <rFont val="Tahoma"/>
            <family val="2"/>
          </rPr>
          <t xml:space="preserve">* Craiova Km Auto (Responses)
   2022-09-05 07:53:50 </t>
        </r>
        <r>
          <rPr>
            <b/>
            <sz val="10"/>
            <color indexed="81"/>
            <rFont val="Tahoma"/>
            <family val="2"/>
          </rPr>
          <t xml:space="preserve">= 90396 - Normal </t>
        </r>
        <r>
          <rPr>
            <sz val="10"/>
            <color indexed="81"/>
            <rFont val="Tahoma"/>
            <family val="2"/>
          </rPr>
          <t xml:space="preserve">* Craiova Km Auto (Responses)
</t>
        </r>
      </text>
    </comment>
    <comment ref="O81" authorId="0" shapeId="0" xr:uid="{24A2F816-6871-4DA4-A16E-B887D5CB81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21:24:44 </t>
        </r>
        <r>
          <rPr>
            <b/>
            <sz val="10"/>
            <color indexed="81"/>
            <rFont val="Tahoma"/>
            <family val="2"/>
          </rPr>
          <t xml:space="preserve">= 90490 - Referinta </t>
        </r>
        <r>
          <rPr>
            <sz val="10"/>
            <color indexed="81"/>
            <rFont val="Tahoma"/>
            <family val="2"/>
          </rPr>
          <t xml:space="preserve">* Craiova Km Auto (Responses)
   2022-09-12 07:52:00 </t>
        </r>
        <r>
          <rPr>
            <b/>
            <sz val="10"/>
            <color indexed="81"/>
            <rFont val="Tahoma"/>
            <family val="2"/>
          </rPr>
          <t xml:space="preserve">= 90522 - Normal </t>
        </r>
        <r>
          <rPr>
            <sz val="10"/>
            <color indexed="81"/>
            <rFont val="Tahoma"/>
            <family val="2"/>
          </rPr>
          <t xml:space="preserve">* Craiova Km Auto (Responses)
</t>
        </r>
      </text>
    </comment>
    <comment ref="T81" authorId="0" shapeId="0" xr:uid="{6837C48C-790C-4966-ACC9-36D5273C8B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16:14:11 </t>
        </r>
        <r>
          <rPr>
            <b/>
            <sz val="10"/>
            <color indexed="81"/>
            <rFont val="Tahoma"/>
            <family val="2"/>
          </rPr>
          <t xml:space="preserve">= 90916 - Referinta </t>
        </r>
        <r>
          <rPr>
            <sz val="10"/>
            <color indexed="81"/>
            <rFont val="Tahoma"/>
            <family val="2"/>
          </rPr>
          <t xml:space="preserve">* Craiova Km Auto (Responses)
</t>
        </r>
      </text>
    </comment>
    <comment ref="Y81" authorId="0" shapeId="0" xr:uid="{3A31708B-0B22-476C-9681-BEFEE00A67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2022-09-24 09:23:00 </t>
        </r>
        <r>
          <rPr>
            <b/>
            <sz val="10"/>
            <color indexed="81"/>
            <rFont val="Tahoma"/>
            <family val="2"/>
          </rPr>
          <t xml:space="preserve">= 91565 - Referinta </t>
        </r>
        <r>
          <rPr>
            <sz val="10"/>
            <color indexed="81"/>
            <rFont val="Tahoma"/>
            <family val="2"/>
          </rPr>
          <t xml:space="preserve">* Craiova Km Auto (Responses)
   2022-09-27 05:20:00 </t>
        </r>
        <r>
          <rPr>
            <b/>
            <sz val="10"/>
            <color indexed="81"/>
            <rFont val="Tahoma"/>
            <family val="2"/>
          </rPr>
          <t xml:space="preserve">= 91578 - Normal </t>
        </r>
        <r>
          <rPr>
            <sz val="10"/>
            <color indexed="81"/>
            <rFont val="Tahoma"/>
            <family val="2"/>
          </rPr>
          <t xml:space="preserve">* Craiova Km Auto (Responses)
</t>
        </r>
      </text>
    </comment>
    <comment ref="AD81" authorId="0" shapeId="0" xr:uid="{CBB170BD-DE28-414C-974E-68A77B6810B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08:17:09 </t>
        </r>
        <r>
          <rPr>
            <b/>
            <sz val="10"/>
            <color indexed="81"/>
            <rFont val="Tahoma"/>
            <family val="2"/>
          </rPr>
          <t xml:space="preserve">= 92090 - Referinta </t>
        </r>
        <r>
          <rPr>
            <sz val="10"/>
            <color indexed="81"/>
            <rFont val="Tahoma"/>
            <family val="2"/>
          </rPr>
          <t xml:space="preserve">* Craiova Km Auto (Responses)
</t>
        </r>
      </text>
    </comment>
    <comment ref="J82" authorId="0" shapeId="0" xr:uid="{A47B4FEC-6D09-425F-89EE-1EEFA2F33D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16:59:41 </t>
        </r>
        <r>
          <rPr>
            <b/>
            <sz val="10"/>
            <color indexed="81"/>
            <rFont val="Tahoma"/>
            <family val="2"/>
          </rPr>
          <t xml:space="preserve">= 29484 - Referinta </t>
        </r>
        <r>
          <rPr>
            <sz val="10"/>
            <color indexed="81"/>
            <rFont val="Tahoma"/>
            <family val="2"/>
          </rPr>
          <t xml:space="preserve">* Galati Km Auto (Responses)
   2022-09-05 09:36:36 </t>
        </r>
        <r>
          <rPr>
            <b/>
            <sz val="10"/>
            <color indexed="81"/>
            <rFont val="Tahoma"/>
            <family val="2"/>
          </rPr>
          <t xml:space="preserve">= 29554 - Normal </t>
        </r>
        <r>
          <rPr>
            <sz val="10"/>
            <color indexed="81"/>
            <rFont val="Tahoma"/>
            <family val="2"/>
          </rPr>
          <t xml:space="preserve">* Galati Km Auto (Responses)
</t>
        </r>
      </text>
    </comment>
    <comment ref="O82" authorId="0" shapeId="0" xr:uid="{5BBDE915-9D85-4502-985C-207669BBAA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29984 - Referinta </t>
        </r>
        <r>
          <rPr>
            <sz val="10"/>
            <color indexed="81"/>
            <rFont val="Tahoma"/>
            <family val="2"/>
          </rPr>
          <t xml:space="preserve">* Galati Km Auto (Responses)
   2022-09-12 08:11:47 </t>
        </r>
        <r>
          <rPr>
            <b/>
            <sz val="10"/>
            <color indexed="81"/>
            <rFont val="Tahoma"/>
            <family val="2"/>
          </rPr>
          <t xml:space="preserve">= 30065 - Normal </t>
        </r>
        <r>
          <rPr>
            <sz val="10"/>
            <color indexed="81"/>
            <rFont val="Tahoma"/>
            <family val="2"/>
          </rPr>
          <t xml:space="preserve">* Galati Km Auto (Responses)
</t>
        </r>
      </text>
    </comment>
    <comment ref="T82" authorId="0" shapeId="0" xr:uid="{0EA69D45-EAB3-4098-9EDB-44D947817F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2022-09-16 04:30:00 </t>
        </r>
        <r>
          <rPr>
            <b/>
            <sz val="10"/>
            <color indexed="81"/>
            <rFont val="Tahoma"/>
            <family val="2"/>
          </rPr>
          <t xml:space="preserve">= 30326 - Referinta </t>
        </r>
        <r>
          <rPr>
            <sz val="10"/>
            <color indexed="81"/>
            <rFont val="Tahoma"/>
            <family val="2"/>
          </rPr>
          <t xml:space="preserve">* Galati Km Auto (Responses)
   2022-09-19 02:19:00 </t>
        </r>
        <r>
          <rPr>
            <b/>
            <sz val="10"/>
            <color indexed="81"/>
            <rFont val="Tahoma"/>
            <family val="2"/>
          </rPr>
          <t xml:space="preserve">= 30374 - Normal </t>
        </r>
        <r>
          <rPr>
            <sz val="10"/>
            <color indexed="81"/>
            <rFont val="Tahoma"/>
            <family val="2"/>
          </rPr>
          <t xml:space="preserve">* Galati Km Auto (Responses)
</t>
        </r>
      </text>
    </comment>
    <comment ref="Y82" authorId="0" shapeId="0" xr:uid="{29DB433F-4377-4B3A-9F61-61EE90501A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2022-09-23 05:28:00 </t>
        </r>
        <r>
          <rPr>
            <b/>
            <sz val="10"/>
            <color indexed="81"/>
            <rFont val="Tahoma"/>
            <family val="2"/>
          </rPr>
          <t xml:space="preserve">= 30755 - Referinta </t>
        </r>
        <r>
          <rPr>
            <sz val="10"/>
            <color indexed="81"/>
            <rFont val="Tahoma"/>
            <family val="2"/>
          </rPr>
          <t xml:space="preserve">* Galati Km Auto (Responses)
   2022-09-26 08:00:00 </t>
        </r>
        <r>
          <rPr>
            <b/>
            <sz val="10"/>
            <color indexed="81"/>
            <rFont val="Tahoma"/>
            <family val="2"/>
          </rPr>
          <t xml:space="preserve">= 30769 - Normal </t>
        </r>
        <r>
          <rPr>
            <sz val="10"/>
            <color indexed="81"/>
            <rFont val="Tahoma"/>
            <family val="2"/>
          </rPr>
          <t xml:space="preserve">* Galati Km Auto (Responses)
</t>
        </r>
      </text>
    </comment>
    <comment ref="AD82" authorId="0" shapeId="0" xr:uid="{EFEC0D03-2CEA-4ACD-8A50-DB340DC4E9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 
__________________________________________________________________
</t>
        </r>
        <r>
          <rPr>
            <sz val="10"/>
            <color indexed="12"/>
            <rFont val="Tahoma"/>
            <family val="2"/>
          </rPr>
          <t xml:space="preserve">  </t>
        </r>
        <r>
          <rPr>
            <sz val="10"/>
            <color indexed="81"/>
            <rFont val="Tahoma"/>
            <family val="2"/>
          </rPr>
          <t xml:space="preserve"> 2022-09-30 05:46:00 </t>
        </r>
        <r>
          <rPr>
            <b/>
            <sz val="10"/>
            <color indexed="81"/>
            <rFont val="Tahoma"/>
            <family val="2"/>
          </rPr>
          <t xml:space="preserve">= 30982 - Referinta </t>
        </r>
        <r>
          <rPr>
            <sz val="10"/>
            <color indexed="81"/>
            <rFont val="Tahoma"/>
            <family val="2"/>
          </rPr>
          <t xml:space="preserve">* Galati Km Auto (Responses)
   2022-10-03 08:30:00 </t>
        </r>
        <r>
          <rPr>
            <b/>
            <sz val="10"/>
            <color indexed="81"/>
            <rFont val="Tahoma"/>
            <family val="2"/>
          </rPr>
          <t xml:space="preserve">= 31220 - Normal </t>
        </r>
        <r>
          <rPr>
            <sz val="10"/>
            <color indexed="81"/>
            <rFont val="Tahoma"/>
            <family val="2"/>
          </rPr>
          <t xml:space="preserve">* Galati Km Auto (Responses)
</t>
        </r>
      </text>
    </comment>
    <comment ref="T83" authorId="0" shapeId="0" xr:uid="{DEE9D2C5-FE3A-4610-A0D4-DEEED18562D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2022-09-16 15:10:03 </t>
        </r>
        <r>
          <rPr>
            <b/>
            <sz val="10"/>
            <color indexed="81"/>
            <rFont val="Tahoma"/>
            <family val="2"/>
          </rPr>
          <t xml:space="preserve">= 105493 - Referinta </t>
        </r>
        <r>
          <rPr>
            <sz val="10"/>
            <color indexed="81"/>
            <rFont val="Tahoma"/>
            <family val="2"/>
          </rPr>
          <t xml:space="preserve">* Galati Km Auto (Responses)
   2022-09-19 09:02:50 </t>
        </r>
        <r>
          <rPr>
            <b/>
            <sz val="10"/>
            <color indexed="81"/>
            <rFont val="Tahoma"/>
            <family val="2"/>
          </rPr>
          <t xml:space="preserve">= 105493 - Normal </t>
        </r>
        <r>
          <rPr>
            <sz val="10"/>
            <color indexed="81"/>
            <rFont val="Tahoma"/>
            <family val="2"/>
          </rPr>
          <t xml:space="preserve">* Galati Km Auto (Responses)
</t>
        </r>
      </text>
    </comment>
    <comment ref="Y83" authorId="0" shapeId="0" xr:uid="{EC4037B8-9777-4162-989B-2822DDF3CF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2022-09-23 15:38:54 </t>
        </r>
        <r>
          <rPr>
            <b/>
            <sz val="10"/>
            <color indexed="81"/>
            <rFont val="Tahoma"/>
            <family val="2"/>
          </rPr>
          <t xml:space="preserve">= 105558 - Referinta </t>
        </r>
        <r>
          <rPr>
            <sz val="10"/>
            <color indexed="81"/>
            <rFont val="Tahoma"/>
            <family val="2"/>
          </rPr>
          <t xml:space="preserve">* Galati Km Auto (Responses)
   2022-09-26 08:59:03 </t>
        </r>
        <r>
          <rPr>
            <b/>
            <sz val="10"/>
            <color indexed="81"/>
            <rFont val="Tahoma"/>
            <family val="2"/>
          </rPr>
          <t xml:space="preserve">= 105558 - Normal </t>
        </r>
        <r>
          <rPr>
            <sz val="10"/>
            <color indexed="81"/>
            <rFont val="Tahoma"/>
            <family val="2"/>
          </rPr>
          <t xml:space="preserve">* Galati Km Auto (Responses)
</t>
        </r>
      </text>
    </comment>
    <comment ref="AD83" authorId="0" shapeId="0" xr:uid="{71E1B54A-27C4-4695-8A79-0248ABD7EBF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105558 - Referinta </t>
        </r>
        <r>
          <rPr>
            <sz val="10"/>
            <color indexed="81"/>
            <rFont val="Tahoma"/>
            <family val="2"/>
          </rPr>
          <t xml:space="preserve">* Galati Km Auto (Responses)
   2022-10-03 08:16:25 </t>
        </r>
        <r>
          <rPr>
            <b/>
            <sz val="10"/>
            <color indexed="81"/>
            <rFont val="Tahoma"/>
            <family val="2"/>
          </rPr>
          <t xml:space="preserve">= 105558 - Normal </t>
        </r>
        <r>
          <rPr>
            <sz val="10"/>
            <color indexed="81"/>
            <rFont val="Tahoma"/>
            <family val="2"/>
          </rPr>
          <t xml:space="preserve">* Galati Km Auto (Responses)
</t>
        </r>
      </text>
    </comment>
    <comment ref="J84" authorId="0" shapeId="0" xr:uid="{031D6D9B-86B6-4198-A69F-B2B1C287C5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16:57:24 </t>
        </r>
        <r>
          <rPr>
            <b/>
            <sz val="10"/>
            <color indexed="81"/>
            <rFont val="Tahoma"/>
            <family val="2"/>
          </rPr>
          <t xml:space="preserve">= 105473 - Referinta </t>
        </r>
        <r>
          <rPr>
            <sz val="10"/>
            <color indexed="81"/>
            <rFont val="Tahoma"/>
            <family val="2"/>
          </rPr>
          <t xml:space="preserve">* Galati Km Auto (Responses)
   2022-09-05 09:37:16 </t>
        </r>
        <r>
          <rPr>
            <b/>
            <sz val="10"/>
            <color indexed="81"/>
            <rFont val="Tahoma"/>
            <family val="2"/>
          </rPr>
          <t xml:space="preserve">= 105473 - Normal </t>
        </r>
        <r>
          <rPr>
            <sz val="10"/>
            <color indexed="81"/>
            <rFont val="Tahoma"/>
            <family val="2"/>
          </rPr>
          <t xml:space="preserve">* Galati Km Auto (Responses)
</t>
        </r>
      </text>
    </comment>
    <comment ref="O84" authorId="0" shapeId="0" xr:uid="{4DA7DD21-6124-49B0-8B26-E6A588449C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105493 - Referinta </t>
        </r>
        <r>
          <rPr>
            <sz val="10"/>
            <color indexed="81"/>
            <rFont val="Tahoma"/>
            <family val="2"/>
          </rPr>
          <t xml:space="preserve">* Galati Km Auto (Responses)
   2022-09-12 08:38:36 </t>
        </r>
        <r>
          <rPr>
            <b/>
            <sz val="10"/>
            <color indexed="81"/>
            <rFont val="Tahoma"/>
            <family val="2"/>
          </rPr>
          <t xml:space="preserve">= 105493 - Normal </t>
        </r>
        <r>
          <rPr>
            <sz val="10"/>
            <color indexed="81"/>
            <rFont val="Tahoma"/>
            <family val="2"/>
          </rPr>
          <t xml:space="preserve">* Galati Km Auto (Responses)
</t>
        </r>
      </text>
    </comment>
    <comment ref="J85" authorId="0" shapeId="0" xr:uid="{863E0E03-190C-4713-946D-EC2CFB426D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2022-09-06 08:50:23 </t>
        </r>
        <r>
          <rPr>
            <b/>
            <sz val="10"/>
            <color indexed="81"/>
            <rFont val="Tahoma"/>
            <family val="2"/>
          </rPr>
          <t xml:space="preserve">= 49524 - Referinta </t>
        </r>
        <r>
          <rPr>
            <sz val="10"/>
            <color indexed="81"/>
            <rFont val="Tahoma"/>
            <family val="2"/>
          </rPr>
          <t xml:space="preserve">* Galati Km Auto (Responses)
   2022-09-06 08:51:11 </t>
        </r>
        <r>
          <rPr>
            <b/>
            <sz val="10"/>
            <color indexed="81"/>
            <rFont val="Tahoma"/>
            <family val="2"/>
          </rPr>
          <t xml:space="preserve">= 50393 - Concediu </t>
        </r>
        <r>
          <rPr>
            <sz val="10"/>
            <color indexed="81"/>
            <rFont val="Tahoma"/>
            <family val="2"/>
          </rPr>
          <t xml:space="preserve">* Galati Km Auto (Responses)
</t>
        </r>
      </text>
    </comment>
    <comment ref="O85" authorId="0" shapeId="0" xr:uid="{EDCC3A83-2425-4EA7-9E99-384A7153DF9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2022-09-12 08:34:14 </t>
        </r>
        <r>
          <rPr>
            <b/>
            <sz val="10"/>
            <color indexed="81"/>
            <rFont val="Tahoma"/>
            <family val="2"/>
          </rPr>
          <t xml:space="preserve">= 50534 - Referinta </t>
        </r>
        <r>
          <rPr>
            <sz val="10"/>
            <color indexed="81"/>
            <rFont val="Tahoma"/>
            <family val="2"/>
          </rPr>
          <t xml:space="preserve">* Galati Km Auto (Responses)
   2022-09-12 08:36:43 </t>
        </r>
        <r>
          <rPr>
            <b/>
            <sz val="10"/>
            <color indexed="81"/>
            <rFont val="Tahoma"/>
            <family val="2"/>
          </rPr>
          <t xml:space="preserve">= 50805 - Normal </t>
        </r>
        <r>
          <rPr>
            <sz val="10"/>
            <color indexed="81"/>
            <rFont val="Tahoma"/>
            <family val="2"/>
          </rPr>
          <t xml:space="preserve">* Galati Km Auto (Responses)
</t>
        </r>
      </text>
    </comment>
    <comment ref="T85" authorId="0" shapeId="0" xr:uid="{ADD6C5D6-E112-4B82-9EB0-3548C7B671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2022-09-16 16:41:32 </t>
        </r>
        <r>
          <rPr>
            <b/>
            <sz val="10"/>
            <color indexed="81"/>
            <rFont val="Tahoma"/>
            <family val="2"/>
          </rPr>
          <t xml:space="preserve">= 50955 - Referinta </t>
        </r>
        <r>
          <rPr>
            <sz val="10"/>
            <color indexed="81"/>
            <rFont val="Tahoma"/>
            <family val="2"/>
          </rPr>
          <t xml:space="preserve">* Galati Km Auto (Responses)
   2022-09-19 08:59:31 </t>
        </r>
        <r>
          <rPr>
            <b/>
            <sz val="10"/>
            <color indexed="81"/>
            <rFont val="Tahoma"/>
            <family val="2"/>
          </rPr>
          <t xml:space="preserve">= 50998 - Normal </t>
        </r>
        <r>
          <rPr>
            <sz val="10"/>
            <color indexed="81"/>
            <rFont val="Tahoma"/>
            <family val="2"/>
          </rPr>
          <t xml:space="preserve">* Galati Km Auto (Responses)
</t>
        </r>
      </text>
    </comment>
    <comment ref="Y85" authorId="0" shapeId="0" xr:uid="{A7394316-9DC8-4B02-AD76-EB5F33B60B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2022-09-26 08:55:49 </t>
        </r>
        <r>
          <rPr>
            <b/>
            <sz val="10"/>
            <color indexed="81"/>
            <rFont val="Tahoma"/>
            <family val="2"/>
          </rPr>
          <t xml:space="preserve">= 51176 - Referinta </t>
        </r>
        <r>
          <rPr>
            <sz val="10"/>
            <color indexed="81"/>
            <rFont val="Tahoma"/>
            <family val="2"/>
          </rPr>
          <t xml:space="preserve">* Galati Km Auto (Responses)
   2022-09-26 08:57:14 </t>
        </r>
        <r>
          <rPr>
            <b/>
            <sz val="10"/>
            <color indexed="81"/>
            <rFont val="Tahoma"/>
            <family val="2"/>
          </rPr>
          <t xml:space="preserve">= 51412 - Normal </t>
        </r>
        <r>
          <rPr>
            <sz val="10"/>
            <color indexed="81"/>
            <rFont val="Tahoma"/>
            <family val="2"/>
          </rPr>
          <t xml:space="preserve">* Galati Km Auto (Responses)
</t>
        </r>
      </text>
    </comment>
    <comment ref="AD85" authorId="0" shapeId="0" xr:uid="{B2ED8E26-9C64-48CA-8F6F-B7EE3B7047E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 
__________________________________________________________________
</t>
        </r>
        <r>
          <rPr>
            <sz val="10"/>
            <color indexed="12"/>
            <rFont val="Tahoma"/>
            <family val="2"/>
          </rPr>
          <t xml:space="preserve">  </t>
        </r>
        <r>
          <rPr>
            <sz val="10"/>
            <color indexed="81"/>
            <rFont val="Tahoma"/>
            <family val="2"/>
          </rPr>
          <t xml:space="preserve"> 2022-09-30 05:30:00 </t>
        </r>
        <r>
          <rPr>
            <b/>
            <sz val="10"/>
            <color indexed="81"/>
            <rFont val="Tahoma"/>
            <family val="2"/>
          </rPr>
          <t xml:space="preserve">= 51670 - Referinta </t>
        </r>
        <r>
          <rPr>
            <sz val="10"/>
            <color indexed="81"/>
            <rFont val="Tahoma"/>
            <family val="2"/>
          </rPr>
          <t xml:space="preserve">* Galati Km Auto (Responses)
   2022-10-03 08:32:05 </t>
        </r>
        <r>
          <rPr>
            <b/>
            <sz val="10"/>
            <color indexed="81"/>
            <rFont val="Tahoma"/>
            <family val="2"/>
          </rPr>
          <t xml:space="preserve">= 51718 - Normal </t>
        </r>
        <r>
          <rPr>
            <sz val="10"/>
            <color indexed="81"/>
            <rFont val="Tahoma"/>
            <family val="2"/>
          </rPr>
          <t xml:space="preserve">* Galati Km Auto (Responses)
</t>
        </r>
      </text>
    </comment>
    <comment ref="J86" authorId="0" shapeId="0" xr:uid="{D6663B4B-D79F-43E7-A44C-514D7CF029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18:11:02 </t>
        </r>
        <r>
          <rPr>
            <b/>
            <sz val="10"/>
            <color indexed="81"/>
            <rFont val="Tahoma"/>
            <family val="2"/>
          </rPr>
          <t xml:space="preserve">= 170740 - Referinta </t>
        </r>
        <r>
          <rPr>
            <sz val="10"/>
            <color indexed="81"/>
            <rFont val="Tahoma"/>
            <family val="2"/>
          </rPr>
          <t xml:space="preserve">* Galati Km Auto (Responses)
   2022-09-05 09:34:01 </t>
        </r>
        <r>
          <rPr>
            <b/>
            <sz val="10"/>
            <color indexed="81"/>
            <rFont val="Tahoma"/>
            <family val="2"/>
          </rPr>
          <t xml:space="preserve">= 170740 - Normal </t>
        </r>
        <r>
          <rPr>
            <sz val="10"/>
            <color indexed="81"/>
            <rFont val="Tahoma"/>
            <family val="2"/>
          </rPr>
          <t xml:space="preserve">* Galati Km Auto (Responses)
</t>
        </r>
      </text>
    </comment>
    <comment ref="O86" authorId="0" shapeId="0" xr:uid="{6246BB05-732E-4D99-951D-12C3F7ABA29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2022-09-09 05:20:00 </t>
        </r>
        <r>
          <rPr>
            <b/>
            <sz val="10"/>
            <color indexed="81"/>
            <rFont val="Tahoma"/>
            <family val="2"/>
          </rPr>
          <t xml:space="preserve">= 171405 - Referinta </t>
        </r>
        <r>
          <rPr>
            <sz val="10"/>
            <color indexed="81"/>
            <rFont val="Tahoma"/>
            <family val="2"/>
          </rPr>
          <t xml:space="preserve">* Galati Km Auto (Responses)
   2022-09-12 08:37:29 </t>
        </r>
        <r>
          <rPr>
            <b/>
            <sz val="10"/>
            <color indexed="81"/>
            <rFont val="Tahoma"/>
            <family val="2"/>
          </rPr>
          <t xml:space="preserve">= 171405 - Normal </t>
        </r>
        <r>
          <rPr>
            <sz val="10"/>
            <color indexed="81"/>
            <rFont val="Tahoma"/>
            <family val="2"/>
          </rPr>
          <t xml:space="preserve">* Galati Km Auto (Responses)
</t>
        </r>
      </text>
    </comment>
    <comment ref="T86" authorId="0" shapeId="0" xr:uid="{A33A4CA4-6E06-4816-903A-1499421AAC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2022-09-16 15:56:18 </t>
        </r>
        <r>
          <rPr>
            <b/>
            <sz val="10"/>
            <color indexed="81"/>
            <rFont val="Tahoma"/>
            <family val="2"/>
          </rPr>
          <t xml:space="preserve">= 171966 - Referinta </t>
        </r>
        <r>
          <rPr>
            <sz val="10"/>
            <color indexed="81"/>
            <rFont val="Tahoma"/>
            <family val="2"/>
          </rPr>
          <t xml:space="preserve">* Galati Km Auto (Responses)
   2022-09-19 09:01:37 </t>
        </r>
        <r>
          <rPr>
            <b/>
            <sz val="10"/>
            <color indexed="81"/>
            <rFont val="Tahoma"/>
            <family val="2"/>
          </rPr>
          <t xml:space="preserve">= 171966 - Normal </t>
        </r>
        <r>
          <rPr>
            <sz val="10"/>
            <color indexed="81"/>
            <rFont val="Tahoma"/>
            <family val="2"/>
          </rPr>
          <t xml:space="preserve">* Galati Km Auto (Responses)
</t>
        </r>
      </text>
    </comment>
    <comment ref="Y86" authorId="0" shapeId="0" xr:uid="{90DC4180-C168-4B45-80CD-D86FA3731F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2022-09-23 05:10:00 </t>
        </r>
        <r>
          <rPr>
            <b/>
            <sz val="10"/>
            <color indexed="81"/>
            <rFont val="Tahoma"/>
            <family val="2"/>
          </rPr>
          <t xml:space="preserve">= 172472 - Referinta </t>
        </r>
        <r>
          <rPr>
            <sz val="10"/>
            <color indexed="81"/>
            <rFont val="Tahoma"/>
            <family val="2"/>
          </rPr>
          <t xml:space="preserve">* Galati Km Auto (Responses)
   2022-09-26 09:00:55 </t>
        </r>
        <r>
          <rPr>
            <b/>
            <sz val="10"/>
            <color indexed="81"/>
            <rFont val="Tahoma"/>
            <family val="2"/>
          </rPr>
          <t xml:space="preserve">= 172472 - Normal </t>
        </r>
        <r>
          <rPr>
            <sz val="10"/>
            <color indexed="81"/>
            <rFont val="Tahoma"/>
            <family val="2"/>
          </rPr>
          <t xml:space="preserve">* Galati Km Auto (Responses)
</t>
        </r>
      </text>
    </comment>
    <comment ref="AD86" authorId="0" shapeId="0" xr:uid="{A5825D85-EADC-4E52-90AA-E3F17B963A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 
__________________________________________________________________
</t>
        </r>
        <r>
          <rPr>
            <sz val="10"/>
            <color indexed="12"/>
            <rFont val="Tahoma"/>
            <family val="2"/>
          </rPr>
          <t xml:space="preserve">  </t>
        </r>
        <r>
          <rPr>
            <sz val="10"/>
            <color indexed="81"/>
            <rFont val="Tahoma"/>
            <family val="2"/>
          </rPr>
          <t xml:space="preserve"> 2022-09-30 05:00:00 </t>
        </r>
        <r>
          <rPr>
            <b/>
            <sz val="10"/>
            <color indexed="81"/>
            <rFont val="Tahoma"/>
            <family val="2"/>
          </rPr>
          <t xml:space="preserve">= 173019 - Referinta </t>
        </r>
        <r>
          <rPr>
            <sz val="10"/>
            <color indexed="81"/>
            <rFont val="Tahoma"/>
            <family val="2"/>
          </rPr>
          <t xml:space="preserve">* Galati Km Auto (Responses)
   2022-10-03 08:12:56 </t>
        </r>
        <r>
          <rPr>
            <b/>
            <sz val="10"/>
            <color indexed="81"/>
            <rFont val="Tahoma"/>
            <family val="2"/>
          </rPr>
          <t xml:space="preserve">= 173019 - Normal </t>
        </r>
        <r>
          <rPr>
            <sz val="10"/>
            <color indexed="81"/>
            <rFont val="Tahoma"/>
            <family val="2"/>
          </rPr>
          <t xml:space="preserve">* Galati Km Auto (Responses)
</t>
        </r>
      </text>
    </comment>
    <comment ref="J87" authorId="0" shapeId="0" xr:uid="{7606DE27-BE47-4ED3-AA4A-72B287D6937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2022-09-02 05:00:00 </t>
        </r>
        <r>
          <rPr>
            <b/>
            <sz val="10"/>
            <color indexed="81"/>
            <rFont val="Tahoma"/>
            <family val="2"/>
          </rPr>
          <t xml:space="preserve">= 120090 - Referinta </t>
        </r>
        <r>
          <rPr>
            <sz val="10"/>
            <color indexed="81"/>
            <rFont val="Tahoma"/>
            <family val="2"/>
          </rPr>
          <t xml:space="preserve">* Galati Km Auto (Responses)
   2022-09-05 08:00:00 </t>
        </r>
        <r>
          <rPr>
            <b/>
            <sz val="10"/>
            <color indexed="81"/>
            <rFont val="Tahoma"/>
            <family val="2"/>
          </rPr>
          <t xml:space="preserve">= 120110 - Normal </t>
        </r>
        <r>
          <rPr>
            <sz val="10"/>
            <color indexed="81"/>
            <rFont val="Tahoma"/>
            <family val="2"/>
          </rPr>
          <t xml:space="preserve">* Galati Km Auto (Responses)
</t>
        </r>
      </text>
    </comment>
    <comment ref="O87" authorId="0" shapeId="0" xr:uid="{798C0F0A-AABC-4453-897E-BAC591967E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120116 - Referinta </t>
        </r>
        <r>
          <rPr>
            <sz val="10"/>
            <color indexed="81"/>
            <rFont val="Tahoma"/>
            <family val="2"/>
          </rPr>
          <t xml:space="preserve">* Galati Km Auto (Responses)
   2022-09-12 08:34:25 </t>
        </r>
        <r>
          <rPr>
            <b/>
            <sz val="10"/>
            <color indexed="81"/>
            <rFont val="Tahoma"/>
            <family val="2"/>
          </rPr>
          <t xml:space="preserve">= 120116 - Normal </t>
        </r>
        <r>
          <rPr>
            <sz val="10"/>
            <color indexed="81"/>
            <rFont val="Tahoma"/>
            <family val="2"/>
          </rPr>
          <t xml:space="preserve">* Galati Km Auto (Responses)
</t>
        </r>
      </text>
    </comment>
    <comment ref="T87" authorId="0" shapeId="0" xr:uid="{8D175818-E7CE-404A-B96C-C8DA3DFB29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2022-09-16 15:09:08 </t>
        </r>
        <r>
          <rPr>
            <b/>
            <sz val="10"/>
            <color indexed="81"/>
            <rFont val="Tahoma"/>
            <family val="2"/>
          </rPr>
          <t xml:space="preserve">= 120173 - Referinta </t>
        </r>
        <r>
          <rPr>
            <sz val="10"/>
            <color indexed="81"/>
            <rFont val="Tahoma"/>
            <family val="2"/>
          </rPr>
          <t xml:space="preserve">* Galati Km Auto (Responses)
   2022-09-19 09:00:27 </t>
        </r>
        <r>
          <rPr>
            <b/>
            <sz val="10"/>
            <color indexed="81"/>
            <rFont val="Tahoma"/>
            <family val="2"/>
          </rPr>
          <t xml:space="preserve">= 120173 - Normal </t>
        </r>
        <r>
          <rPr>
            <sz val="10"/>
            <color indexed="81"/>
            <rFont val="Tahoma"/>
            <family val="2"/>
          </rPr>
          <t xml:space="preserve">* Galati Km Auto (Responses)
</t>
        </r>
      </text>
    </comment>
    <comment ref="Y87" authorId="0" shapeId="0" xr:uid="{C2CA372F-5FD8-4E8E-AD76-FC61078A6F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2022-09-23 15:37:57 </t>
        </r>
        <r>
          <rPr>
            <b/>
            <sz val="10"/>
            <color indexed="81"/>
            <rFont val="Tahoma"/>
            <family val="2"/>
          </rPr>
          <t xml:space="preserve">= 120187 - Referinta </t>
        </r>
        <r>
          <rPr>
            <sz val="10"/>
            <color indexed="81"/>
            <rFont val="Tahoma"/>
            <family val="2"/>
          </rPr>
          <t xml:space="preserve">* Galati Km Auto (Responses)
   2022-09-26 08:58:08 </t>
        </r>
        <r>
          <rPr>
            <b/>
            <sz val="10"/>
            <color indexed="81"/>
            <rFont val="Tahoma"/>
            <family val="2"/>
          </rPr>
          <t xml:space="preserve">= 120187 - Normal </t>
        </r>
        <r>
          <rPr>
            <sz val="10"/>
            <color indexed="81"/>
            <rFont val="Tahoma"/>
            <family val="2"/>
          </rPr>
          <t xml:space="preserve">* Galati Km Auto (Responses)
</t>
        </r>
      </text>
    </comment>
    <comment ref="AD87" authorId="0" shapeId="0" xr:uid="{8F6E0F9E-19F6-46F9-BD49-7355E0F73D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 
__________________________________________________________________
</t>
        </r>
        <r>
          <rPr>
            <sz val="10"/>
            <color indexed="12"/>
            <rFont val="Tahoma"/>
            <family val="2"/>
          </rPr>
          <t xml:space="preserve">  </t>
        </r>
        <r>
          <rPr>
            <sz val="10"/>
            <color indexed="81"/>
            <rFont val="Tahoma"/>
            <family val="2"/>
          </rPr>
          <t xml:space="preserve"> 2022-09-30 04:00:00 </t>
        </r>
        <r>
          <rPr>
            <b/>
            <sz val="10"/>
            <color indexed="81"/>
            <rFont val="Tahoma"/>
            <family val="2"/>
          </rPr>
          <t xml:space="preserve">= 120210 - Referinta </t>
        </r>
        <r>
          <rPr>
            <sz val="10"/>
            <color indexed="81"/>
            <rFont val="Tahoma"/>
            <family val="2"/>
          </rPr>
          <t xml:space="preserve">* Galati Km Auto (Responses)
   2022-10-03 08:28:30 </t>
        </r>
        <r>
          <rPr>
            <b/>
            <sz val="10"/>
            <color indexed="81"/>
            <rFont val="Tahoma"/>
            <family val="2"/>
          </rPr>
          <t xml:space="preserve">= 120210 - Normal </t>
        </r>
        <r>
          <rPr>
            <sz val="10"/>
            <color indexed="81"/>
            <rFont val="Tahoma"/>
            <family val="2"/>
          </rPr>
          <t xml:space="preserve">* Galati Km Auto (Responses)
</t>
        </r>
      </text>
    </comment>
    <comment ref="J88" authorId="0" shapeId="0" xr:uid="{CD3F87D7-9503-4557-BCDF-6DAA4532455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2022-09-02 05:00:00 </t>
        </r>
        <r>
          <rPr>
            <b/>
            <sz val="10"/>
            <color indexed="81"/>
            <rFont val="Tahoma"/>
            <family val="2"/>
          </rPr>
          <t xml:space="preserve">= 62990 - Referinta </t>
        </r>
        <r>
          <rPr>
            <sz val="10"/>
            <color indexed="81"/>
            <rFont val="Tahoma"/>
            <family val="2"/>
          </rPr>
          <t xml:space="preserve">* Galati Km Auto (Responses)
   2022-09-05 08:00:00 </t>
        </r>
        <r>
          <rPr>
            <b/>
            <sz val="10"/>
            <color indexed="81"/>
            <rFont val="Tahoma"/>
            <family val="2"/>
          </rPr>
          <t xml:space="preserve">= 63010 - Normal </t>
        </r>
        <r>
          <rPr>
            <sz val="10"/>
            <color indexed="81"/>
            <rFont val="Tahoma"/>
            <family val="2"/>
          </rPr>
          <t xml:space="preserve">* Galati Km Auto (Responses)
</t>
        </r>
      </text>
    </comment>
    <comment ref="O88" authorId="0" shapeId="0" xr:uid="{93E2398D-76FC-4559-B6B8-8BE0CF73D83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2022-09-09 21:17:42 </t>
        </r>
        <r>
          <rPr>
            <b/>
            <sz val="10"/>
            <color indexed="81"/>
            <rFont val="Tahoma"/>
            <family val="2"/>
          </rPr>
          <t xml:space="preserve">= 63460 - Referinta </t>
        </r>
        <r>
          <rPr>
            <sz val="10"/>
            <color indexed="81"/>
            <rFont val="Tahoma"/>
            <family val="2"/>
          </rPr>
          <t xml:space="preserve">* Galati Km Auto (Responses)
   2022-09-12 08:40:53 </t>
        </r>
        <r>
          <rPr>
            <b/>
            <sz val="10"/>
            <color indexed="81"/>
            <rFont val="Tahoma"/>
            <family val="2"/>
          </rPr>
          <t xml:space="preserve">= 63481 - Normal </t>
        </r>
        <r>
          <rPr>
            <sz val="10"/>
            <color indexed="81"/>
            <rFont val="Tahoma"/>
            <family val="2"/>
          </rPr>
          <t xml:space="preserve">* Galati Km Auto (Responses)
</t>
        </r>
      </text>
    </comment>
    <comment ref="T88" authorId="0" shapeId="0" xr:uid="{A09BC063-72E7-4CC0-8E78-2A81C5867F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2022-09-16 20:25:25 </t>
        </r>
        <r>
          <rPr>
            <b/>
            <sz val="10"/>
            <color indexed="81"/>
            <rFont val="Tahoma"/>
            <family val="2"/>
          </rPr>
          <t xml:space="preserve">= 63555 - Referinta </t>
        </r>
        <r>
          <rPr>
            <sz val="10"/>
            <color indexed="81"/>
            <rFont val="Tahoma"/>
            <family val="2"/>
          </rPr>
          <t xml:space="preserve">* Galati Km Auto (Responses)
   2022-09-19 17:41:03 </t>
        </r>
        <r>
          <rPr>
            <b/>
            <sz val="10"/>
            <color indexed="81"/>
            <rFont val="Tahoma"/>
            <family val="2"/>
          </rPr>
          <t xml:space="preserve">= 63573 - Normal </t>
        </r>
        <r>
          <rPr>
            <sz val="10"/>
            <color indexed="81"/>
            <rFont val="Tahoma"/>
            <family val="2"/>
          </rPr>
          <t xml:space="preserve">* Galati Km Auto (Responses)
</t>
        </r>
      </text>
    </comment>
    <comment ref="Y88" authorId="0" shapeId="0" xr:uid="{3538784B-05CE-40F4-869D-19CD411D0DF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2022-09-23 20:50:29 </t>
        </r>
        <r>
          <rPr>
            <b/>
            <sz val="10"/>
            <color indexed="81"/>
            <rFont val="Tahoma"/>
            <family val="2"/>
          </rPr>
          <t xml:space="preserve">= 63646 - Referinta </t>
        </r>
        <r>
          <rPr>
            <sz val="10"/>
            <color indexed="81"/>
            <rFont val="Tahoma"/>
            <family val="2"/>
          </rPr>
          <t xml:space="preserve">* Galati Km Auto (Responses)
   2022-09-26 13:24:00 </t>
        </r>
        <r>
          <rPr>
            <b/>
            <sz val="10"/>
            <color indexed="81"/>
            <rFont val="Tahoma"/>
            <family val="2"/>
          </rPr>
          <t xml:space="preserve">= 63662 - Normal </t>
        </r>
        <r>
          <rPr>
            <sz val="10"/>
            <color indexed="81"/>
            <rFont val="Tahoma"/>
            <family val="2"/>
          </rPr>
          <t xml:space="preserve">* Galati Km Auto (Responses)
</t>
        </r>
      </text>
    </comment>
    <comment ref="AD88" authorId="0" shapeId="0" xr:uid="{4310FDE7-5191-4D21-A685-2D66E022DBA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 
__________________________________________________________________
</t>
        </r>
        <r>
          <rPr>
            <sz val="10"/>
            <color indexed="12"/>
            <rFont val="Tahoma"/>
            <family val="2"/>
          </rPr>
          <t xml:space="preserve">  </t>
        </r>
        <r>
          <rPr>
            <sz val="10"/>
            <color indexed="81"/>
            <rFont val="Tahoma"/>
            <family val="2"/>
          </rPr>
          <t xml:space="preserve"> 2022-09-30 23:40:09 </t>
        </r>
        <r>
          <rPr>
            <b/>
            <sz val="10"/>
            <color indexed="81"/>
            <rFont val="Tahoma"/>
            <family val="2"/>
          </rPr>
          <t xml:space="preserve">= 63715 - Referinta </t>
        </r>
        <r>
          <rPr>
            <sz val="10"/>
            <color indexed="81"/>
            <rFont val="Tahoma"/>
            <family val="2"/>
          </rPr>
          <t xml:space="preserve">* Galati Km Auto (Responses)
   2022-10-03 08:35:11 </t>
        </r>
        <r>
          <rPr>
            <b/>
            <sz val="10"/>
            <color indexed="81"/>
            <rFont val="Tahoma"/>
            <family val="2"/>
          </rPr>
          <t xml:space="preserve">= 63719 - Normal </t>
        </r>
        <r>
          <rPr>
            <sz val="10"/>
            <color indexed="81"/>
            <rFont val="Tahoma"/>
            <family val="2"/>
          </rPr>
          <t xml:space="preserve">* Galati Km Auto (Responses)
</t>
        </r>
      </text>
    </comment>
    <comment ref="J89" authorId="0" shapeId="0" xr:uid="{DC4C3DC0-8B63-4C89-9B77-C7F2CC9475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2022-09-02 05:00:00 </t>
        </r>
        <r>
          <rPr>
            <b/>
            <sz val="10"/>
            <color indexed="81"/>
            <rFont val="Tahoma"/>
            <family val="2"/>
          </rPr>
          <t xml:space="preserve">= 45687 - Referinta </t>
        </r>
        <r>
          <rPr>
            <sz val="10"/>
            <color indexed="81"/>
            <rFont val="Tahoma"/>
            <family val="2"/>
          </rPr>
          <t xml:space="preserve">* Iasi Km Auto (Responses)
   2022-09-05 07:47:49 </t>
        </r>
        <r>
          <rPr>
            <b/>
            <sz val="10"/>
            <color indexed="81"/>
            <rFont val="Tahoma"/>
            <family val="2"/>
          </rPr>
          <t xml:space="preserve">= 45707 - Normal </t>
        </r>
        <r>
          <rPr>
            <sz val="10"/>
            <color indexed="81"/>
            <rFont val="Tahoma"/>
            <family val="2"/>
          </rPr>
          <t xml:space="preserve">* Iasi Km Auto (Responses)
</t>
        </r>
      </text>
    </comment>
    <comment ref="O89" authorId="0" shapeId="0" xr:uid="{55915E03-F179-48DD-BECB-9571FB2F67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2022-09-09 15:49:38 </t>
        </r>
        <r>
          <rPr>
            <b/>
            <sz val="10"/>
            <color indexed="81"/>
            <rFont val="Tahoma"/>
            <family val="2"/>
          </rPr>
          <t xml:space="preserve">= 45812 - Referinta </t>
        </r>
        <r>
          <rPr>
            <sz val="10"/>
            <color indexed="81"/>
            <rFont val="Tahoma"/>
            <family val="2"/>
          </rPr>
          <t xml:space="preserve">* Iasi Km Auto (Responses)
   2022-09-12 07:55:45 </t>
        </r>
        <r>
          <rPr>
            <b/>
            <sz val="10"/>
            <color indexed="81"/>
            <rFont val="Tahoma"/>
            <family val="2"/>
          </rPr>
          <t xml:space="preserve">= 45818 - Normal </t>
        </r>
        <r>
          <rPr>
            <sz val="10"/>
            <color indexed="81"/>
            <rFont val="Tahoma"/>
            <family val="2"/>
          </rPr>
          <t xml:space="preserve">* Iasi Km Auto (Responses)
</t>
        </r>
      </text>
    </comment>
    <comment ref="T89" authorId="0" shapeId="0" xr:uid="{6D5B8C41-1E3F-4B74-9A9C-CB52227F5E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2022-09-16 15:59:31 </t>
        </r>
        <r>
          <rPr>
            <b/>
            <sz val="10"/>
            <color indexed="81"/>
            <rFont val="Tahoma"/>
            <family val="2"/>
          </rPr>
          <t xml:space="preserve">= 45888 - Referinta </t>
        </r>
        <r>
          <rPr>
            <sz val="10"/>
            <color indexed="81"/>
            <rFont val="Tahoma"/>
            <family val="2"/>
          </rPr>
          <t xml:space="preserve">* Iasi Km Auto (Responses)
   2022-09-19 07:43:29 </t>
        </r>
        <r>
          <rPr>
            <b/>
            <sz val="10"/>
            <color indexed="81"/>
            <rFont val="Tahoma"/>
            <family val="2"/>
          </rPr>
          <t xml:space="preserve">= 45902 - Normal </t>
        </r>
        <r>
          <rPr>
            <sz val="10"/>
            <color indexed="81"/>
            <rFont val="Tahoma"/>
            <family val="2"/>
          </rPr>
          <t xml:space="preserve">* Iasi Km Auto (Responses)
</t>
        </r>
      </text>
    </comment>
    <comment ref="Y89" authorId="0" shapeId="0" xr:uid="{48D46D25-3E0A-44A1-BAE4-ADDDBB10F8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__________________________________________________________________
</t>
        </r>
        <r>
          <rPr>
            <sz val="10"/>
            <color indexed="12"/>
            <rFont val="Tahoma"/>
            <family val="2"/>
          </rPr>
          <t xml:space="preserve">  </t>
        </r>
        <r>
          <rPr>
            <sz val="10"/>
            <color indexed="81"/>
            <rFont val="Tahoma"/>
            <family val="2"/>
          </rPr>
          <t xml:space="preserve"> 2022-09-23 17:00:56 </t>
        </r>
        <r>
          <rPr>
            <b/>
            <sz val="10"/>
            <color indexed="81"/>
            <rFont val="Tahoma"/>
            <family val="2"/>
          </rPr>
          <t xml:space="preserve">= 45976 - Referinta </t>
        </r>
        <r>
          <rPr>
            <sz val="10"/>
            <color indexed="81"/>
            <rFont val="Tahoma"/>
            <family val="2"/>
          </rPr>
          <t xml:space="preserve">* Iasi Km Auto (Responses)
   2022-09-26 07:38:27 </t>
        </r>
        <r>
          <rPr>
            <b/>
            <sz val="10"/>
            <color indexed="81"/>
            <rFont val="Tahoma"/>
            <family val="2"/>
          </rPr>
          <t xml:space="preserve">= 46006 - Normal </t>
        </r>
        <r>
          <rPr>
            <sz val="10"/>
            <color indexed="81"/>
            <rFont val="Tahoma"/>
            <family val="2"/>
          </rPr>
          <t xml:space="preserve">* Iasi Km Auto (Responses)
   2022-09-29 17:11:47 </t>
        </r>
        <r>
          <rPr>
            <b/>
            <sz val="10"/>
            <color indexed="81"/>
            <rFont val="Tahoma"/>
            <family val="2"/>
          </rPr>
          <t xml:space="preserve">= 46368 - Referinta </t>
        </r>
        <r>
          <rPr>
            <sz val="10"/>
            <color indexed="81"/>
            <rFont val="Tahoma"/>
            <family val="2"/>
          </rPr>
          <t xml:space="preserve">* Iasi Km Auto (Responses)
</t>
        </r>
      </text>
    </comment>
    <comment ref="AD89" authorId="0" shapeId="0" xr:uid="{BDB520DE-3284-4197-9011-77274C8F73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08:16:10 </t>
        </r>
        <r>
          <rPr>
            <b/>
            <sz val="10"/>
            <color indexed="81"/>
            <rFont val="Tahoma"/>
            <family val="2"/>
          </rPr>
          <t xml:space="preserve">= 46389 - Referinta </t>
        </r>
        <r>
          <rPr>
            <sz val="10"/>
            <color indexed="81"/>
            <rFont val="Tahoma"/>
            <family val="2"/>
          </rPr>
          <t xml:space="preserve">* Iasi Km Auto (Responses)
   2022-10-03 08:17:58 </t>
        </r>
        <r>
          <rPr>
            <b/>
            <sz val="10"/>
            <color indexed="81"/>
            <rFont val="Tahoma"/>
            <family val="2"/>
          </rPr>
          <t xml:space="preserve">= 46389 - Normal </t>
        </r>
        <r>
          <rPr>
            <sz val="10"/>
            <color indexed="81"/>
            <rFont val="Tahoma"/>
            <family val="2"/>
          </rPr>
          <t xml:space="preserve">* Iasi Km Auto (Responses)
</t>
        </r>
      </text>
    </comment>
    <comment ref="J90" authorId="0" shapeId="0" xr:uid="{2F7D3520-84FE-4522-A4E6-7CD0DFFC53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16:26:52 </t>
        </r>
        <r>
          <rPr>
            <b/>
            <sz val="10"/>
            <color indexed="81"/>
            <rFont val="Tahoma"/>
            <family val="2"/>
          </rPr>
          <t xml:space="preserve">= 22284 - Referinta </t>
        </r>
        <r>
          <rPr>
            <sz val="10"/>
            <color indexed="81"/>
            <rFont val="Tahoma"/>
            <family val="2"/>
          </rPr>
          <t xml:space="preserve">* Iasi Km Auto (Responses)
   2022-09-05 10:18:27 </t>
        </r>
        <r>
          <rPr>
            <b/>
            <sz val="10"/>
            <color indexed="81"/>
            <rFont val="Tahoma"/>
            <family val="2"/>
          </rPr>
          <t xml:space="preserve">= 22292 - Normal </t>
        </r>
        <r>
          <rPr>
            <sz val="10"/>
            <color indexed="81"/>
            <rFont val="Tahoma"/>
            <family val="2"/>
          </rPr>
          <t xml:space="preserve">* Iasi Km Auto (Responses)
</t>
        </r>
      </text>
    </comment>
    <comment ref="O90" authorId="0" shapeId="0" xr:uid="{63241599-378C-4820-BE3C-2D79549B26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2022-09-09 04:46:00 </t>
        </r>
        <r>
          <rPr>
            <b/>
            <sz val="10"/>
            <color indexed="81"/>
            <rFont val="Tahoma"/>
            <family val="2"/>
          </rPr>
          <t xml:space="preserve">= 22713 - Referinta </t>
        </r>
        <r>
          <rPr>
            <sz val="10"/>
            <color indexed="81"/>
            <rFont val="Tahoma"/>
            <family val="2"/>
          </rPr>
          <t xml:space="preserve">* Iasi Km Auto (Responses)
   2022-09-12 07:28:00 </t>
        </r>
        <r>
          <rPr>
            <b/>
            <sz val="10"/>
            <color indexed="81"/>
            <rFont val="Tahoma"/>
            <family val="2"/>
          </rPr>
          <t xml:space="preserve">= 22725 - Normal </t>
        </r>
        <r>
          <rPr>
            <sz val="10"/>
            <color indexed="81"/>
            <rFont val="Tahoma"/>
            <family val="2"/>
          </rPr>
          <t xml:space="preserve">* Iasi Km Auto (Responses)
   2022-09-12 07:30:00 </t>
        </r>
        <r>
          <rPr>
            <b/>
            <sz val="10"/>
            <color indexed="81"/>
            <rFont val="Tahoma"/>
            <family val="2"/>
          </rPr>
          <t xml:space="preserve">= 22725 - Normal </t>
        </r>
        <r>
          <rPr>
            <sz val="10"/>
            <color indexed="81"/>
            <rFont val="Tahoma"/>
            <family val="2"/>
          </rPr>
          <t xml:space="preserve">* Iasi Km Auto (Responses)
</t>
        </r>
      </text>
    </comment>
    <comment ref="T90" authorId="0" shapeId="0" xr:uid="{93619E85-A47D-4E2B-A91F-4CAFF34E97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2022-09-16 06:09:00 </t>
        </r>
        <r>
          <rPr>
            <b/>
            <sz val="10"/>
            <color indexed="81"/>
            <rFont val="Tahoma"/>
            <family val="2"/>
          </rPr>
          <t xml:space="preserve">= 23090 - Referinta </t>
        </r>
        <r>
          <rPr>
            <sz val="10"/>
            <color indexed="81"/>
            <rFont val="Tahoma"/>
            <family val="2"/>
          </rPr>
          <t xml:space="preserve">* Iasi Km Auto (Responses)
   2022-09-19 07:15:00 </t>
        </r>
        <r>
          <rPr>
            <b/>
            <sz val="10"/>
            <color indexed="81"/>
            <rFont val="Tahoma"/>
            <family val="2"/>
          </rPr>
          <t xml:space="preserve">= 23100 - Normal </t>
        </r>
        <r>
          <rPr>
            <sz val="10"/>
            <color indexed="81"/>
            <rFont val="Tahoma"/>
            <family val="2"/>
          </rPr>
          <t xml:space="preserve">* Iasi Km Auto (Responses)
</t>
        </r>
      </text>
    </comment>
    <comment ref="Y90" authorId="0" shapeId="0" xr:uid="{C96141A0-59FC-4B37-ADF0-51F2D96FC8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2022-09-23 04:34:00 </t>
        </r>
        <r>
          <rPr>
            <b/>
            <sz val="10"/>
            <color indexed="81"/>
            <rFont val="Tahoma"/>
            <family val="2"/>
          </rPr>
          <t xml:space="preserve">= 23477 - Referinta </t>
        </r>
        <r>
          <rPr>
            <sz val="10"/>
            <color indexed="81"/>
            <rFont val="Tahoma"/>
            <family val="2"/>
          </rPr>
          <t xml:space="preserve">* Iasi Km Auto (Responses)
   2022-09-26 07:42:00 </t>
        </r>
        <r>
          <rPr>
            <b/>
            <sz val="10"/>
            <color indexed="81"/>
            <rFont val="Tahoma"/>
            <family val="2"/>
          </rPr>
          <t xml:space="preserve">= 23481 - Normal </t>
        </r>
        <r>
          <rPr>
            <sz val="10"/>
            <color indexed="81"/>
            <rFont val="Tahoma"/>
            <family val="2"/>
          </rPr>
          <t xml:space="preserve">* Iasi Km Auto (Responses)
</t>
        </r>
      </text>
    </comment>
    <comment ref="AD90" authorId="0" shapeId="0" xr:uid="{5EA08F75-4BF6-4C21-851F-F97C4D7385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 
__________________________________________________________________
</t>
        </r>
        <r>
          <rPr>
            <sz val="10"/>
            <color indexed="12"/>
            <rFont val="Tahoma"/>
            <family val="2"/>
          </rPr>
          <t xml:space="preserve">  </t>
        </r>
        <r>
          <rPr>
            <sz val="10"/>
            <color indexed="81"/>
            <rFont val="Tahoma"/>
            <family val="2"/>
          </rPr>
          <t xml:space="preserve"> 2022-09-30 04:08:00 </t>
        </r>
        <r>
          <rPr>
            <b/>
            <sz val="10"/>
            <color indexed="81"/>
            <rFont val="Tahoma"/>
            <family val="2"/>
          </rPr>
          <t xml:space="preserve">= 23878 - Referinta </t>
        </r>
        <r>
          <rPr>
            <sz val="10"/>
            <color indexed="81"/>
            <rFont val="Tahoma"/>
            <family val="2"/>
          </rPr>
          <t xml:space="preserve">* Iasi Km Auto (Responses)
   2022-10-03 07:15:00 </t>
        </r>
        <r>
          <rPr>
            <b/>
            <sz val="10"/>
            <color indexed="81"/>
            <rFont val="Tahoma"/>
            <family val="2"/>
          </rPr>
          <t xml:space="preserve">= 23893 - Normal </t>
        </r>
        <r>
          <rPr>
            <sz val="10"/>
            <color indexed="81"/>
            <rFont val="Tahoma"/>
            <family val="2"/>
          </rPr>
          <t xml:space="preserve">* Iasi Km Auto (Responses)
</t>
        </r>
      </text>
    </comment>
    <comment ref="J91" authorId="0" shapeId="0" xr:uid="{D42344EA-F2EA-4251-919F-5DE3404725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11:37:28 </t>
        </r>
        <r>
          <rPr>
            <b/>
            <sz val="10"/>
            <color indexed="81"/>
            <rFont val="Tahoma"/>
            <family val="2"/>
          </rPr>
          <t xml:space="preserve">= 835302 - Referinta </t>
        </r>
        <r>
          <rPr>
            <sz val="10"/>
            <color indexed="81"/>
            <rFont val="Tahoma"/>
            <family val="2"/>
          </rPr>
          <t xml:space="preserve">* Iasi Km Auto (Responses)
</t>
        </r>
      </text>
    </comment>
    <comment ref="O91" authorId="0" shapeId="0" xr:uid="{02B0655F-1DCF-422C-AF51-B40FF7B689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19:24:59 </t>
        </r>
        <r>
          <rPr>
            <b/>
            <sz val="10"/>
            <color indexed="81"/>
            <rFont val="Tahoma"/>
            <family val="2"/>
          </rPr>
          <t xml:space="preserve">= 845882 - Referinta </t>
        </r>
        <r>
          <rPr>
            <sz val="10"/>
            <color indexed="81"/>
            <rFont val="Tahoma"/>
            <family val="2"/>
          </rPr>
          <t xml:space="preserve">* Iasi Km Auto (Responses)
</t>
        </r>
      </text>
    </comment>
    <comment ref="T91" authorId="0" shapeId="0" xr:uid="{C189EA89-D68F-4932-810D-57F963E967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16:15:21 </t>
        </r>
        <r>
          <rPr>
            <b/>
            <sz val="10"/>
            <color indexed="81"/>
            <rFont val="Tahoma"/>
            <family val="2"/>
          </rPr>
          <t xml:space="preserve">= 847681 - Referinta </t>
        </r>
        <r>
          <rPr>
            <sz val="10"/>
            <color indexed="81"/>
            <rFont val="Tahoma"/>
            <family val="2"/>
          </rPr>
          <t xml:space="preserve">* Iasi Km Auto (Responses)
   2022-09-20 09:24:56 </t>
        </r>
        <r>
          <rPr>
            <b/>
            <sz val="10"/>
            <color indexed="81"/>
            <rFont val="Tahoma"/>
            <family val="2"/>
          </rPr>
          <t xml:space="preserve">= 847681 - Normal </t>
        </r>
        <r>
          <rPr>
            <sz val="10"/>
            <color indexed="81"/>
            <rFont val="Tahoma"/>
            <family val="2"/>
          </rPr>
          <t xml:space="preserve">* Iasi Km Auto (Responses)
</t>
        </r>
      </text>
    </comment>
    <comment ref="Y91" authorId="0" shapeId="0" xr:uid="{CD279166-59FD-499C-A6D6-74B53EA827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15:44:18 </t>
        </r>
        <r>
          <rPr>
            <b/>
            <sz val="10"/>
            <color indexed="81"/>
            <rFont val="Tahoma"/>
            <family val="2"/>
          </rPr>
          <t xml:space="preserve">= 855667 - Referinta </t>
        </r>
        <r>
          <rPr>
            <sz val="10"/>
            <color indexed="81"/>
            <rFont val="Tahoma"/>
            <family val="2"/>
          </rPr>
          <t xml:space="preserve">* Iasi Km Auto (Responses)
   2022-09-27 09:40:57 </t>
        </r>
        <r>
          <rPr>
            <b/>
            <sz val="10"/>
            <color indexed="81"/>
            <rFont val="Tahoma"/>
            <family val="2"/>
          </rPr>
          <t xml:space="preserve">= 855667 - Normal </t>
        </r>
        <r>
          <rPr>
            <sz val="10"/>
            <color indexed="81"/>
            <rFont val="Tahoma"/>
            <family val="2"/>
          </rPr>
          <t xml:space="preserve">* Iasi Km Auto (Responses)
</t>
        </r>
      </text>
    </comment>
    <comment ref="AD91" authorId="0" shapeId="0" xr:uid="{23C7DC01-AEF3-4987-8E3C-F3E942D968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16:25:57 </t>
        </r>
        <r>
          <rPr>
            <b/>
            <sz val="10"/>
            <color indexed="81"/>
            <rFont val="Tahoma"/>
            <family val="2"/>
          </rPr>
          <t xml:space="preserve">= 869374 - Referinta </t>
        </r>
        <r>
          <rPr>
            <sz val="10"/>
            <color indexed="81"/>
            <rFont val="Tahoma"/>
            <family val="2"/>
          </rPr>
          <t xml:space="preserve">* Iasi Km Auto (Responses)
   2022-10-03 08:15:37 </t>
        </r>
        <r>
          <rPr>
            <b/>
            <sz val="10"/>
            <color indexed="81"/>
            <rFont val="Tahoma"/>
            <family val="2"/>
          </rPr>
          <t xml:space="preserve">= 869374 - Normal </t>
        </r>
        <r>
          <rPr>
            <sz val="10"/>
            <color indexed="81"/>
            <rFont val="Tahoma"/>
            <family val="2"/>
          </rPr>
          <t xml:space="preserve">* Iasi Km Auto (Responses)
</t>
        </r>
      </text>
    </comment>
    <comment ref="J92" authorId="0" shapeId="0" xr:uid="{F5A0AB04-92FE-403B-A13B-56755F9D93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15:33:54 </t>
        </r>
        <r>
          <rPr>
            <b/>
            <sz val="10"/>
            <color indexed="81"/>
            <rFont val="Tahoma"/>
            <family val="2"/>
          </rPr>
          <t xml:space="preserve">= 239535 - Referinta </t>
        </r>
        <r>
          <rPr>
            <sz val="10"/>
            <color indexed="81"/>
            <rFont val="Tahoma"/>
            <family val="2"/>
          </rPr>
          <t xml:space="preserve">* Iasi Km Auto (Responses)
   2022-09-05 07:45:57 </t>
        </r>
        <r>
          <rPr>
            <b/>
            <sz val="10"/>
            <color indexed="81"/>
            <rFont val="Tahoma"/>
            <family val="2"/>
          </rPr>
          <t xml:space="preserve">= 239535 - Normal </t>
        </r>
        <r>
          <rPr>
            <sz val="10"/>
            <color indexed="81"/>
            <rFont val="Tahoma"/>
            <family val="2"/>
          </rPr>
          <t xml:space="preserve">* Iasi Km Auto (Responses)
</t>
        </r>
      </text>
    </comment>
    <comment ref="O92" authorId="0" shapeId="0" xr:uid="{4653D1CB-B1A1-4AFB-80CA-B71BD6DA1A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2022-09-09 03:58:00 </t>
        </r>
        <r>
          <rPr>
            <b/>
            <sz val="10"/>
            <color indexed="81"/>
            <rFont val="Tahoma"/>
            <family val="2"/>
          </rPr>
          <t xml:space="preserve">= 239537 - Referinta </t>
        </r>
        <r>
          <rPr>
            <sz val="10"/>
            <color indexed="81"/>
            <rFont val="Tahoma"/>
            <family val="2"/>
          </rPr>
          <t xml:space="preserve">* Iasi Km Auto (Responses)
   2022-09-12 07:39:00 </t>
        </r>
        <r>
          <rPr>
            <b/>
            <sz val="10"/>
            <color indexed="81"/>
            <rFont val="Tahoma"/>
            <family val="2"/>
          </rPr>
          <t xml:space="preserve">= 239537 - Normal </t>
        </r>
        <r>
          <rPr>
            <sz val="10"/>
            <color indexed="81"/>
            <rFont val="Tahoma"/>
            <family val="2"/>
          </rPr>
          <t xml:space="preserve">* Iasi Km Auto (Responses)
</t>
        </r>
      </text>
    </comment>
    <comment ref="T92" authorId="0" shapeId="0" xr:uid="{98B10276-B21F-49D1-A556-DFBC4DE189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2022-09-16 04:10:00 </t>
        </r>
        <r>
          <rPr>
            <b/>
            <sz val="10"/>
            <color indexed="81"/>
            <rFont val="Tahoma"/>
            <family val="2"/>
          </rPr>
          <t xml:space="preserve">= 239551 - Referinta </t>
        </r>
        <r>
          <rPr>
            <sz val="10"/>
            <color indexed="81"/>
            <rFont val="Tahoma"/>
            <family val="2"/>
          </rPr>
          <t xml:space="preserve">* Iasi Km Auto (Responses)
   2022-09-19 07:30:00 </t>
        </r>
        <r>
          <rPr>
            <b/>
            <sz val="10"/>
            <color indexed="81"/>
            <rFont val="Tahoma"/>
            <family val="2"/>
          </rPr>
          <t xml:space="preserve">= 239584 - Normal </t>
        </r>
        <r>
          <rPr>
            <sz val="10"/>
            <color indexed="81"/>
            <rFont val="Tahoma"/>
            <family val="2"/>
          </rPr>
          <t xml:space="preserve">* Iasi Km Auto (Responses)
</t>
        </r>
      </text>
    </comment>
    <comment ref="Y92" authorId="0" shapeId="0" xr:uid="{5F4358ED-A29D-4033-8307-AB19E761BF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2022-09-23 04:05:00 </t>
        </r>
        <r>
          <rPr>
            <b/>
            <sz val="10"/>
            <color indexed="81"/>
            <rFont val="Tahoma"/>
            <family val="2"/>
          </rPr>
          <t xml:space="preserve">= 239635 - Referinta </t>
        </r>
        <r>
          <rPr>
            <sz val="10"/>
            <color indexed="81"/>
            <rFont val="Tahoma"/>
            <family val="2"/>
          </rPr>
          <t xml:space="preserve">* Iasi Km Auto (Responses)
   2022-09-26 07:30:00 </t>
        </r>
        <r>
          <rPr>
            <b/>
            <sz val="10"/>
            <color indexed="81"/>
            <rFont val="Tahoma"/>
            <family val="2"/>
          </rPr>
          <t xml:space="preserve">= 239639 - Normal </t>
        </r>
        <r>
          <rPr>
            <sz val="10"/>
            <color indexed="81"/>
            <rFont val="Tahoma"/>
            <family val="2"/>
          </rPr>
          <t xml:space="preserve">* Iasi Km Auto (Responses)
</t>
        </r>
      </text>
    </comment>
    <comment ref="AD92" authorId="0" shapeId="0" xr:uid="{526DB0B5-224D-45E6-8CA4-E29F9793C5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 
__________________________________________________________________
</t>
        </r>
        <r>
          <rPr>
            <sz val="10"/>
            <color indexed="12"/>
            <rFont val="Tahoma"/>
            <family val="2"/>
          </rPr>
          <t xml:space="preserve">  </t>
        </r>
        <r>
          <rPr>
            <sz val="10"/>
            <color indexed="81"/>
            <rFont val="Tahoma"/>
            <family val="2"/>
          </rPr>
          <t xml:space="preserve"> 2022-09-30 03:20:00 </t>
        </r>
        <r>
          <rPr>
            <b/>
            <sz val="10"/>
            <color indexed="81"/>
            <rFont val="Tahoma"/>
            <family val="2"/>
          </rPr>
          <t xml:space="preserve">= 239756 - Referinta </t>
        </r>
        <r>
          <rPr>
            <sz val="10"/>
            <color indexed="81"/>
            <rFont val="Tahoma"/>
            <family val="2"/>
          </rPr>
          <t xml:space="preserve">* Iasi Km Auto (Responses)
   2022-10-03 07:48:00 </t>
        </r>
        <r>
          <rPr>
            <b/>
            <sz val="10"/>
            <color indexed="81"/>
            <rFont val="Tahoma"/>
            <family val="2"/>
          </rPr>
          <t xml:space="preserve">= 239756 - Normal </t>
        </r>
        <r>
          <rPr>
            <sz val="10"/>
            <color indexed="81"/>
            <rFont val="Tahoma"/>
            <family val="2"/>
          </rPr>
          <t xml:space="preserve">* Iasi Km Auto (Responses)
</t>
        </r>
      </text>
    </comment>
    <comment ref="J93" authorId="0" shapeId="0" xr:uid="{38B84430-53FD-46DE-9546-679D6CDF87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12:17:13 </t>
        </r>
        <r>
          <rPr>
            <b/>
            <sz val="10"/>
            <color indexed="81"/>
            <rFont val="Tahoma"/>
            <family val="2"/>
          </rPr>
          <t xml:space="preserve">= 92318 - Referinta </t>
        </r>
        <r>
          <rPr>
            <sz val="10"/>
            <color indexed="81"/>
            <rFont val="Tahoma"/>
            <family val="2"/>
          </rPr>
          <t xml:space="preserve">* Iasi Km Auto (Responses)
</t>
        </r>
      </text>
    </comment>
    <comment ref="O93" authorId="0" shapeId="0" xr:uid="{D4359751-89AF-47F1-8C8A-30BCA2FF83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21:08:29 </t>
        </r>
        <r>
          <rPr>
            <b/>
            <sz val="10"/>
            <color indexed="81"/>
            <rFont val="Tahoma"/>
            <family val="2"/>
          </rPr>
          <t xml:space="preserve">= 92438 - Referinta </t>
        </r>
        <r>
          <rPr>
            <sz val="10"/>
            <color indexed="81"/>
            <rFont val="Tahoma"/>
            <family val="2"/>
          </rPr>
          <t xml:space="preserve">* Iasi Km Auto (Responses)
   2022-09-12 08:13:00 </t>
        </r>
        <r>
          <rPr>
            <b/>
            <sz val="10"/>
            <color indexed="81"/>
            <rFont val="Tahoma"/>
            <family val="2"/>
          </rPr>
          <t xml:space="preserve">= 92496 - Normal </t>
        </r>
        <r>
          <rPr>
            <sz val="10"/>
            <color indexed="81"/>
            <rFont val="Tahoma"/>
            <family val="2"/>
          </rPr>
          <t xml:space="preserve">* Iasi Km Auto (Responses)
</t>
        </r>
      </text>
    </comment>
    <comment ref="T93" authorId="0" shapeId="0" xr:uid="{74669C57-02FC-4898-B742-D84D485BBC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17:47:29 </t>
        </r>
        <r>
          <rPr>
            <b/>
            <sz val="10"/>
            <color indexed="81"/>
            <rFont val="Tahoma"/>
            <family val="2"/>
          </rPr>
          <t xml:space="preserve">= 92696 - Referinta </t>
        </r>
        <r>
          <rPr>
            <sz val="10"/>
            <color indexed="81"/>
            <rFont val="Tahoma"/>
            <family val="2"/>
          </rPr>
          <t xml:space="preserve">* Iasi Km Auto (Responses)
   2022-09-19 06:36:31 </t>
        </r>
        <r>
          <rPr>
            <b/>
            <sz val="10"/>
            <color indexed="81"/>
            <rFont val="Tahoma"/>
            <family val="2"/>
          </rPr>
          <t xml:space="preserve">= 92786 - Normal </t>
        </r>
        <r>
          <rPr>
            <sz val="10"/>
            <color indexed="81"/>
            <rFont val="Tahoma"/>
            <family val="2"/>
          </rPr>
          <t xml:space="preserve">* Iasi Km Auto (Responses)
</t>
        </r>
      </text>
    </comment>
    <comment ref="Y93" authorId="0" shapeId="0" xr:uid="{ADB40C3B-E387-48DC-A7F8-557245B5BB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19:59:31 </t>
        </r>
        <r>
          <rPr>
            <b/>
            <sz val="10"/>
            <color indexed="81"/>
            <rFont val="Tahoma"/>
            <family val="2"/>
          </rPr>
          <t xml:space="preserve">= 93146 - Referinta </t>
        </r>
        <r>
          <rPr>
            <sz val="10"/>
            <color indexed="81"/>
            <rFont val="Tahoma"/>
            <family val="2"/>
          </rPr>
          <t xml:space="preserve">* Iasi Km Auto (Responses)
   2022-09-26 06:04:41 </t>
        </r>
        <r>
          <rPr>
            <b/>
            <sz val="10"/>
            <color indexed="81"/>
            <rFont val="Tahoma"/>
            <family val="2"/>
          </rPr>
          <t xml:space="preserve">= 93151 - Normal </t>
        </r>
        <r>
          <rPr>
            <sz val="10"/>
            <color indexed="81"/>
            <rFont val="Tahoma"/>
            <family val="2"/>
          </rPr>
          <t xml:space="preserve">* Iasi Km Auto (Responses)
</t>
        </r>
      </text>
    </comment>
    <comment ref="AD93" authorId="0" shapeId="0" xr:uid="{70BA4643-73E9-4CA5-ABF1-D7E6F50FE8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17:32:29 </t>
        </r>
        <r>
          <rPr>
            <b/>
            <sz val="10"/>
            <color indexed="81"/>
            <rFont val="Tahoma"/>
            <family val="2"/>
          </rPr>
          <t xml:space="preserve">= 93279 - Referinta </t>
        </r>
        <r>
          <rPr>
            <sz val="10"/>
            <color indexed="81"/>
            <rFont val="Tahoma"/>
            <family val="2"/>
          </rPr>
          <t xml:space="preserve">* Iasi Km Auto (Responses)
   2022-10-03 07:17:52 </t>
        </r>
        <r>
          <rPr>
            <b/>
            <sz val="10"/>
            <color indexed="81"/>
            <rFont val="Tahoma"/>
            <family val="2"/>
          </rPr>
          <t xml:space="preserve">= 93279 - Normal </t>
        </r>
        <r>
          <rPr>
            <sz val="10"/>
            <color indexed="81"/>
            <rFont val="Tahoma"/>
            <family val="2"/>
          </rPr>
          <t xml:space="preserve">* Iasi Km Auto (Responses)
</t>
        </r>
      </text>
    </comment>
    <comment ref="J94" authorId="0" shapeId="0" xr:uid="{DD093627-EF66-49F3-886C-21948D5FDA6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18:00:48 </t>
        </r>
        <r>
          <rPr>
            <b/>
            <sz val="10"/>
            <color indexed="81"/>
            <rFont val="Tahoma"/>
            <family val="2"/>
          </rPr>
          <t xml:space="preserve">= 86121 - Referinta </t>
        </r>
        <r>
          <rPr>
            <sz val="10"/>
            <color indexed="81"/>
            <rFont val="Tahoma"/>
            <family val="2"/>
          </rPr>
          <t xml:space="preserve">* Iasi Km Auto (Responses)
   2022-09-05 07:45:57 </t>
        </r>
        <r>
          <rPr>
            <b/>
            <sz val="10"/>
            <color indexed="81"/>
            <rFont val="Tahoma"/>
            <family val="2"/>
          </rPr>
          <t xml:space="preserve">= 86121 - Normal </t>
        </r>
        <r>
          <rPr>
            <sz val="10"/>
            <color indexed="81"/>
            <rFont val="Tahoma"/>
            <family val="2"/>
          </rPr>
          <t xml:space="preserve">* Iasi Km Auto (Responses)
</t>
        </r>
      </text>
    </comment>
    <comment ref="O94" authorId="0" shapeId="0" xr:uid="{20FF1BA2-7C12-49B3-B7CA-401CD39B14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2022-09-09 05:50:00 </t>
        </r>
        <r>
          <rPr>
            <b/>
            <sz val="10"/>
            <color indexed="81"/>
            <rFont val="Tahoma"/>
            <family val="2"/>
          </rPr>
          <t xml:space="preserve">= 87561 - Referinta </t>
        </r>
        <r>
          <rPr>
            <sz val="10"/>
            <color indexed="81"/>
            <rFont val="Tahoma"/>
            <family val="2"/>
          </rPr>
          <t xml:space="preserve">* Iasi Km Auto (Responses)
   2022-09-12 08:00:00 </t>
        </r>
        <r>
          <rPr>
            <b/>
            <sz val="10"/>
            <color indexed="81"/>
            <rFont val="Tahoma"/>
            <family val="2"/>
          </rPr>
          <t xml:space="preserve">= 87562 - Normal </t>
        </r>
        <r>
          <rPr>
            <sz val="10"/>
            <color indexed="81"/>
            <rFont val="Tahoma"/>
            <family val="2"/>
          </rPr>
          <t xml:space="preserve">* Iasi Km Auto (Responses)
</t>
        </r>
      </text>
    </comment>
    <comment ref="T94" authorId="0" shapeId="0" xr:uid="{D788BFB8-834C-4E54-8E20-26C62016CB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2022-09-16 06:10:00 </t>
        </r>
        <r>
          <rPr>
            <b/>
            <sz val="10"/>
            <color indexed="81"/>
            <rFont val="Tahoma"/>
            <family val="2"/>
          </rPr>
          <t xml:space="preserve">= 88706 - Referinta </t>
        </r>
        <r>
          <rPr>
            <sz val="10"/>
            <color indexed="81"/>
            <rFont val="Tahoma"/>
            <family val="2"/>
          </rPr>
          <t xml:space="preserve">* Iasi Km Auto (Responses)
   2022-09-19 08:00:00 </t>
        </r>
        <r>
          <rPr>
            <b/>
            <sz val="10"/>
            <color indexed="81"/>
            <rFont val="Tahoma"/>
            <family val="2"/>
          </rPr>
          <t xml:space="preserve">= 88706 - Normal </t>
        </r>
        <r>
          <rPr>
            <sz val="10"/>
            <color indexed="81"/>
            <rFont val="Tahoma"/>
            <family val="2"/>
          </rPr>
          <t xml:space="preserve">* Iasi Km Auto (Responses)
</t>
        </r>
      </text>
    </comment>
    <comment ref="Y94" authorId="0" shapeId="0" xr:uid="{194403E1-A69A-4E27-8E55-F99B0136B6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2022-09-23 03:50:00 </t>
        </r>
        <r>
          <rPr>
            <b/>
            <sz val="10"/>
            <color indexed="81"/>
            <rFont val="Tahoma"/>
            <family val="2"/>
          </rPr>
          <t xml:space="preserve">= 89922 - Referinta </t>
        </r>
        <r>
          <rPr>
            <sz val="10"/>
            <color indexed="81"/>
            <rFont val="Tahoma"/>
            <family val="2"/>
          </rPr>
          <t xml:space="preserve">* Iasi Km Auto (Responses)
   2022-09-27 07:30:00 </t>
        </r>
        <r>
          <rPr>
            <b/>
            <sz val="10"/>
            <color indexed="81"/>
            <rFont val="Tahoma"/>
            <family val="2"/>
          </rPr>
          <t xml:space="preserve">= 89922 - Normal </t>
        </r>
        <r>
          <rPr>
            <sz val="10"/>
            <color indexed="81"/>
            <rFont val="Tahoma"/>
            <family val="2"/>
          </rPr>
          <t xml:space="preserve">* Iasi Km Auto (Responses)
</t>
        </r>
      </text>
    </comment>
    <comment ref="AD94" authorId="0" shapeId="0" xr:uid="{3EF4E913-6F89-4038-8653-1838D95178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 
__________________________________________________________________
</t>
        </r>
        <r>
          <rPr>
            <sz val="10"/>
            <color indexed="12"/>
            <rFont val="Tahoma"/>
            <family val="2"/>
          </rPr>
          <t xml:space="preserve">  </t>
        </r>
        <r>
          <rPr>
            <sz val="10"/>
            <color indexed="81"/>
            <rFont val="Tahoma"/>
            <family val="2"/>
          </rPr>
          <t xml:space="preserve"> 2022-09-30 05:10:00 </t>
        </r>
        <r>
          <rPr>
            <b/>
            <sz val="10"/>
            <color indexed="81"/>
            <rFont val="Tahoma"/>
            <family val="2"/>
          </rPr>
          <t xml:space="preserve">= 90826 - Referinta </t>
        </r>
        <r>
          <rPr>
            <sz val="10"/>
            <color indexed="81"/>
            <rFont val="Tahoma"/>
            <family val="2"/>
          </rPr>
          <t xml:space="preserve">* Iasi Km Auto (Responses)
   2022-10-03 08:00:00 </t>
        </r>
        <r>
          <rPr>
            <b/>
            <sz val="10"/>
            <color indexed="81"/>
            <rFont val="Tahoma"/>
            <family val="2"/>
          </rPr>
          <t xml:space="preserve">= 90826 - Normal </t>
        </r>
        <r>
          <rPr>
            <sz val="10"/>
            <color indexed="81"/>
            <rFont val="Tahoma"/>
            <family val="2"/>
          </rPr>
          <t xml:space="preserve">* Iasi Km Auto (Responses)
</t>
        </r>
      </text>
    </comment>
    <comment ref="J95" authorId="0" shapeId="0" xr:uid="{8910F4E7-5DB0-4FB4-889A-FF1FFFAC9B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19:12:49 </t>
        </r>
        <r>
          <rPr>
            <b/>
            <sz val="10"/>
            <color indexed="81"/>
            <rFont val="Tahoma"/>
            <family val="2"/>
          </rPr>
          <t xml:space="preserve">= 49504 - Referinta </t>
        </r>
        <r>
          <rPr>
            <sz val="10"/>
            <color indexed="81"/>
            <rFont val="Tahoma"/>
            <family val="2"/>
          </rPr>
          <t xml:space="preserve">* Militari Km Auto (Responses)
   2022-09-05 16:38:45 </t>
        </r>
        <r>
          <rPr>
            <b/>
            <sz val="10"/>
            <color indexed="81"/>
            <rFont val="Tahoma"/>
            <family val="2"/>
          </rPr>
          <t xml:space="preserve">= 49584 - Normal </t>
        </r>
        <r>
          <rPr>
            <sz val="10"/>
            <color indexed="81"/>
            <rFont val="Tahoma"/>
            <family val="2"/>
          </rPr>
          <t xml:space="preserve">* Militari Km Auto (Responses)
</t>
        </r>
      </text>
    </comment>
    <comment ref="O95" authorId="0" shapeId="0" xr:uid="{C656CADF-ACBB-4199-BB91-D0926DE5D87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__________________________________________________________________
</t>
        </r>
        <r>
          <rPr>
            <sz val="10"/>
            <color indexed="12"/>
            <rFont val="Tahoma"/>
            <family val="2"/>
          </rPr>
          <t xml:space="preserve">  </t>
        </r>
        <r>
          <rPr>
            <sz val="10"/>
            <color indexed="81"/>
            <rFont val="Tahoma"/>
            <family val="2"/>
          </rPr>
          <t xml:space="preserve"> 2022-09-10 11:11:34 </t>
        </r>
        <r>
          <rPr>
            <b/>
            <sz val="10"/>
            <color indexed="81"/>
            <rFont val="Tahoma"/>
            <family val="2"/>
          </rPr>
          <t xml:space="preserve">= 49794 - Referinta </t>
        </r>
        <r>
          <rPr>
            <sz val="10"/>
            <color indexed="81"/>
            <rFont val="Tahoma"/>
            <family val="2"/>
          </rPr>
          <t xml:space="preserve">* Militari Km Auto (Responses)
   2022-09-12 13:19:48 </t>
        </r>
        <r>
          <rPr>
            <b/>
            <sz val="10"/>
            <color indexed="81"/>
            <rFont val="Tahoma"/>
            <family val="2"/>
          </rPr>
          <t xml:space="preserve">= 49814 - Normal </t>
        </r>
        <r>
          <rPr>
            <sz val="10"/>
            <color indexed="81"/>
            <rFont val="Tahoma"/>
            <family val="2"/>
          </rPr>
          <t xml:space="preserve">* Militari Km Auto (Responses)
</t>
        </r>
      </text>
    </comment>
    <comment ref="T95" authorId="0" shapeId="0" xr:uid="{82757B14-D581-46D1-AEC9-26E00AC464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09:10:17 </t>
        </r>
        <r>
          <rPr>
            <b/>
            <sz val="10"/>
            <color indexed="81"/>
            <rFont val="Tahoma"/>
            <family val="2"/>
          </rPr>
          <t xml:space="preserve">= 49982 - Referinta </t>
        </r>
        <r>
          <rPr>
            <sz val="10"/>
            <color indexed="81"/>
            <rFont val="Tahoma"/>
            <family val="2"/>
          </rPr>
          <t xml:space="preserve">* Militari Km Auto (Responses)
</t>
        </r>
      </text>
    </comment>
    <comment ref="Y95" authorId="0" shapeId="0" xr:uid="{E98C7AF1-0363-4CE6-931E-C650DC739B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__________________________________________________________________
</t>
        </r>
        <r>
          <rPr>
            <sz val="10"/>
            <color indexed="12"/>
            <rFont val="Tahoma"/>
            <family val="2"/>
          </rPr>
          <t xml:space="preserve">  </t>
        </r>
        <r>
          <rPr>
            <sz val="10"/>
            <color indexed="81"/>
            <rFont val="Tahoma"/>
            <family val="2"/>
          </rPr>
          <t xml:space="preserve"> 2022-09-25 19:16:19 </t>
        </r>
        <r>
          <rPr>
            <b/>
            <sz val="10"/>
            <color indexed="81"/>
            <rFont val="Tahoma"/>
            <family val="2"/>
          </rPr>
          <t xml:space="preserve">= 50173 - Referinta </t>
        </r>
        <r>
          <rPr>
            <sz val="10"/>
            <color indexed="81"/>
            <rFont val="Tahoma"/>
            <family val="2"/>
          </rPr>
          <t xml:space="preserve">* Militari Km Auto (Responses)
   2022-09-26 17:22:01 </t>
        </r>
        <r>
          <rPr>
            <b/>
            <sz val="10"/>
            <color indexed="81"/>
            <rFont val="Tahoma"/>
            <family val="2"/>
          </rPr>
          <t xml:space="preserve">= 50198 - Normal </t>
        </r>
        <r>
          <rPr>
            <sz val="10"/>
            <color indexed="81"/>
            <rFont val="Tahoma"/>
            <family val="2"/>
          </rPr>
          <t xml:space="preserve">* Militari Km Auto (Responses)
</t>
        </r>
      </text>
    </comment>
    <comment ref="AD95" authorId="0" shapeId="0" xr:uid="{F1D65FE0-6D8C-4D57-8E59-675D79D772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 
__________________________________________________________________
</t>
        </r>
        <r>
          <rPr>
            <sz val="10"/>
            <color indexed="12"/>
            <rFont val="Tahoma"/>
            <family val="2"/>
          </rPr>
          <t xml:space="preserve">  </t>
        </r>
        <r>
          <rPr>
            <sz val="10"/>
            <color indexed="81"/>
            <rFont val="Tahoma"/>
            <family val="2"/>
          </rPr>
          <t xml:space="preserve"> 2022-09-30 15:55:05 </t>
        </r>
        <r>
          <rPr>
            <b/>
            <sz val="10"/>
            <color indexed="81"/>
            <rFont val="Tahoma"/>
            <family val="2"/>
          </rPr>
          <t xml:space="preserve">= 50445 - Referinta </t>
        </r>
        <r>
          <rPr>
            <sz val="10"/>
            <color indexed="81"/>
            <rFont val="Tahoma"/>
            <family val="2"/>
          </rPr>
          <t xml:space="preserve">* Militari Km Auto (Responses)
   2022-10-03 08:42:01 </t>
        </r>
        <r>
          <rPr>
            <b/>
            <sz val="10"/>
            <color indexed="81"/>
            <rFont val="Tahoma"/>
            <family val="2"/>
          </rPr>
          <t xml:space="preserve">= 50914 - Normal </t>
        </r>
        <r>
          <rPr>
            <sz val="10"/>
            <color indexed="81"/>
            <rFont val="Tahoma"/>
            <family val="2"/>
          </rPr>
          <t xml:space="preserve">* Militari Km Auto (Responses)
</t>
        </r>
      </text>
    </comment>
    <comment ref="O96" authorId="0" shapeId="0" xr:uid="{C2A2D069-E2E2-4841-A684-F5FEA12CC6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 
__________________________________________________________________
</t>
        </r>
        <r>
          <rPr>
            <sz val="10"/>
            <color indexed="12"/>
            <rFont val="Tahoma"/>
            <family val="2"/>
          </rPr>
          <t xml:space="preserve">  </t>
        </r>
        <r>
          <rPr>
            <sz val="10"/>
            <color indexed="81"/>
            <rFont val="Tahoma"/>
            <family val="2"/>
          </rPr>
          <t xml:space="preserve"> 2022-09-09 05:00:00 </t>
        </r>
        <r>
          <rPr>
            <b/>
            <sz val="10"/>
            <color indexed="81"/>
            <rFont val="Tahoma"/>
            <family val="2"/>
          </rPr>
          <t xml:space="preserve">= 59183 - Referinta </t>
        </r>
        <r>
          <rPr>
            <sz val="10"/>
            <color indexed="81"/>
            <rFont val="Tahoma"/>
            <family val="2"/>
          </rPr>
          <t xml:space="preserve">* Militari Km Auto (Responses)
   2022-09-12 08:08:00 </t>
        </r>
        <r>
          <rPr>
            <b/>
            <sz val="10"/>
            <color indexed="81"/>
            <rFont val="Tahoma"/>
            <family val="2"/>
          </rPr>
          <t xml:space="preserve">= 59497 - Normal </t>
        </r>
        <r>
          <rPr>
            <sz val="10"/>
            <color indexed="81"/>
            <rFont val="Tahoma"/>
            <family val="2"/>
          </rPr>
          <t xml:space="preserve">* Militari Km Auto (Responses)
</t>
        </r>
      </text>
    </comment>
    <comment ref="T96" authorId="0" shapeId="0" xr:uid="{E8757311-822C-4477-916D-50510AAC14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 
__________________________________________________________________
</t>
        </r>
        <r>
          <rPr>
            <sz val="10"/>
            <color indexed="12"/>
            <rFont val="Tahoma"/>
            <family val="2"/>
          </rPr>
          <t xml:space="preserve">  </t>
        </r>
        <r>
          <rPr>
            <sz val="10"/>
            <color indexed="81"/>
            <rFont val="Tahoma"/>
            <family val="2"/>
          </rPr>
          <t xml:space="preserve"> 2022-09-16 03:55:00 </t>
        </r>
        <r>
          <rPr>
            <b/>
            <sz val="10"/>
            <color indexed="81"/>
            <rFont val="Tahoma"/>
            <family val="2"/>
          </rPr>
          <t xml:space="preserve">= 60000 - Referinta </t>
        </r>
        <r>
          <rPr>
            <sz val="10"/>
            <color indexed="81"/>
            <rFont val="Tahoma"/>
            <family val="2"/>
          </rPr>
          <t xml:space="preserve">* Militari Km Auto (Responses)
   2022-09-19 07:15:00 </t>
        </r>
        <r>
          <rPr>
            <b/>
            <sz val="10"/>
            <color indexed="81"/>
            <rFont val="Tahoma"/>
            <family val="2"/>
          </rPr>
          <t xml:space="preserve">= 60008 - Normal </t>
        </r>
        <r>
          <rPr>
            <sz val="10"/>
            <color indexed="81"/>
            <rFont val="Tahoma"/>
            <family val="2"/>
          </rPr>
          <t xml:space="preserve">* Militari Km Auto (Responses)
</t>
        </r>
      </text>
    </comment>
    <comment ref="Y96" authorId="0" shapeId="0" xr:uid="{EAD5B0E6-4445-4BB0-9FE0-BC394BE3D2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 
__________________________________________________________________
</t>
        </r>
        <r>
          <rPr>
            <sz val="10"/>
            <color indexed="12"/>
            <rFont val="Tahoma"/>
            <family val="2"/>
          </rPr>
          <t xml:space="preserve">  </t>
        </r>
        <r>
          <rPr>
            <sz val="10"/>
            <color indexed="81"/>
            <rFont val="Tahoma"/>
            <family val="2"/>
          </rPr>
          <t xml:space="preserve"> 2022-09-23 05:00:00 </t>
        </r>
        <r>
          <rPr>
            <b/>
            <sz val="10"/>
            <color indexed="81"/>
            <rFont val="Tahoma"/>
            <family val="2"/>
          </rPr>
          <t xml:space="preserve">= 60750 - Referinta </t>
        </r>
        <r>
          <rPr>
            <sz val="10"/>
            <color indexed="81"/>
            <rFont val="Tahoma"/>
            <family val="2"/>
          </rPr>
          <t xml:space="preserve">* Militari Km Auto (Responses)
   2022-09-26 08:00:00 </t>
        </r>
        <r>
          <rPr>
            <b/>
            <sz val="10"/>
            <color indexed="81"/>
            <rFont val="Tahoma"/>
            <family val="2"/>
          </rPr>
          <t xml:space="preserve">= 61006 - Normal </t>
        </r>
        <r>
          <rPr>
            <sz val="10"/>
            <color indexed="81"/>
            <rFont val="Tahoma"/>
            <family val="2"/>
          </rPr>
          <t xml:space="preserve">* Militari Km Auto (Responses)
</t>
        </r>
      </text>
    </comment>
    <comment ref="J97" authorId="0" shapeId="0" xr:uid="{79B8D54F-E9EB-4294-ADB0-E5454B85B6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10:05:58 </t>
        </r>
        <r>
          <rPr>
            <b/>
            <sz val="10"/>
            <color indexed="81"/>
            <rFont val="Tahoma"/>
            <family val="2"/>
          </rPr>
          <t xml:space="preserve">= 45587 - Referinta </t>
        </r>
        <r>
          <rPr>
            <sz val="10"/>
            <color indexed="81"/>
            <rFont val="Tahoma"/>
            <family val="2"/>
          </rPr>
          <t xml:space="preserve">* Militari Km Auto (Responses)
   2022-09-05 10:06:39 </t>
        </r>
        <r>
          <rPr>
            <b/>
            <sz val="10"/>
            <color indexed="81"/>
            <rFont val="Tahoma"/>
            <family val="2"/>
          </rPr>
          <t xml:space="preserve">= 45599 - Normal </t>
        </r>
        <r>
          <rPr>
            <sz val="10"/>
            <color indexed="81"/>
            <rFont val="Tahoma"/>
            <family val="2"/>
          </rPr>
          <t xml:space="preserve">* Militari Km Auto (Responses)
</t>
        </r>
      </text>
    </comment>
    <comment ref="O97" authorId="0" shapeId="0" xr:uid="{F3D94685-FC9F-472E-9C5F-BC762C0886B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2022-09-12 16:12:37 </t>
        </r>
        <r>
          <rPr>
            <b/>
            <sz val="10"/>
            <color indexed="81"/>
            <rFont val="Tahoma"/>
            <family val="2"/>
          </rPr>
          <t xml:space="preserve">= 46207 - Referinta </t>
        </r>
        <r>
          <rPr>
            <sz val="10"/>
            <color indexed="81"/>
            <rFont val="Tahoma"/>
            <family val="2"/>
          </rPr>
          <t xml:space="preserve">* Militari Km Auto (Responses)
   2022-09-12 16:13:21 </t>
        </r>
        <r>
          <rPr>
            <b/>
            <sz val="10"/>
            <color indexed="81"/>
            <rFont val="Tahoma"/>
            <family val="2"/>
          </rPr>
          <t xml:space="preserve">= 46273 - Normal </t>
        </r>
        <r>
          <rPr>
            <sz val="10"/>
            <color indexed="81"/>
            <rFont val="Tahoma"/>
            <family val="2"/>
          </rPr>
          <t xml:space="preserve">* Militari Km Auto (Responses)
   2022-09-15 15:21:21 </t>
        </r>
        <r>
          <rPr>
            <b/>
            <sz val="10"/>
            <color indexed="81"/>
            <rFont val="Tahoma"/>
            <family val="2"/>
          </rPr>
          <t xml:space="preserve">= 46379 - Normal </t>
        </r>
        <r>
          <rPr>
            <sz val="10"/>
            <color indexed="81"/>
            <rFont val="Tahoma"/>
            <family val="2"/>
          </rPr>
          <t xml:space="preserve">* Militari Km Auto (Responses)
   2022-09-15 15:22:16 </t>
        </r>
        <r>
          <rPr>
            <b/>
            <sz val="10"/>
            <color indexed="81"/>
            <rFont val="Tahoma"/>
            <family val="2"/>
          </rPr>
          <t xml:space="preserve">= 46383 - Normal </t>
        </r>
        <r>
          <rPr>
            <sz val="10"/>
            <color indexed="81"/>
            <rFont val="Tahoma"/>
            <family val="2"/>
          </rPr>
          <t xml:space="preserve">* Militari Km Auto (Responses)
</t>
        </r>
      </text>
    </comment>
    <comment ref="T97" authorId="0" shapeId="0" xr:uid="{9E4593CC-E9B8-4094-9559-B929A2050CE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13:22:01 </t>
        </r>
        <r>
          <rPr>
            <b/>
            <sz val="10"/>
            <color indexed="81"/>
            <rFont val="Tahoma"/>
            <family val="2"/>
          </rPr>
          <t xml:space="preserve">= 46626 - Referinta </t>
        </r>
        <r>
          <rPr>
            <sz val="10"/>
            <color indexed="81"/>
            <rFont val="Tahoma"/>
            <family val="2"/>
          </rPr>
          <t xml:space="preserve">* Militari Km Auto (Responses)
   2022-09-19 13:22:53 </t>
        </r>
        <r>
          <rPr>
            <b/>
            <sz val="10"/>
            <color indexed="81"/>
            <rFont val="Tahoma"/>
            <family val="2"/>
          </rPr>
          <t xml:space="preserve">= 46652 - Normal </t>
        </r>
        <r>
          <rPr>
            <sz val="10"/>
            <color indexed="81"/>
            <rFont val="Tahoma"/>
            <family val="2"/>
          </rPr>
          <t xml:space="preserve">* Militari Km Auto (Responses)
</t>
        </r>
      </text>
    </comment>
    <comment ref="Y97" authorId="0" shapeId="0" xr:uid="{CA9B53FF-BF7C-4281-B5B4-3463B84F45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2022-09-26 09:34:31 </t>
        </r>
        <r>
          <rPr>
            <b/>
            <sz val="10"/>
            <color indexed="81"/>
            <rFont val="Tahoma"/>
            <family val="2"/>
          </rPr>
          <t xml:space="preserve">= 46902 - Referinta </t>
        </r>
        <r>
          <rPr>
            <sz val="10"/>
            <color indexed="81"/>
            <rFont val="Tahoma"/>
            <family val="2"/>
          </rPr>
          <t xml:space="preserve">* Militari Km Auto (Responses)
   2022-09-26 09:35:15 </t>
        </r>
        <r>
          <rPr>
            <b/>
            <sz val="10"/>
            <color indexed="81"/>
            <rFont val="Tahoma"/>
            <family val="2"/>
          </rPr>
          <t xml:space="preserve">= 46907 - Normal </t>
        </r>
        <r>
          <rPr>
            <sz val="10"/>
            <color indexed="81"/>
            <rFont val="Tahoma"/>
            <family val="2"/>
          </rPr>
          <t xml:space="preserve">* Militari Km Auto (Responses)
</t>
        </r>
      </text>
    </comment>
    <comment ref="AD97" authorId="0" shapeId="0" xr:uid="{CDAA8C61-2741-42D5-8860-92EC9AA706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14:02:47 </t>
        </r>
        <r>
          <rPr>
            <b/>
            <sz val="10"/>
            <color indexed="81"/>
            <rFont val="Tahoma"/>
            <family val="2"/>
          </rPr>
          <t xml:space="preserve">= 47205 - Referinta </t>
        </r>
        <r>
          <rPr>
            <sz val="10"/>
            <color indexed="81"/>
            <rFont val="Tahoma"/>
            <family val="2"/>
          </rPr>
          <t xml:space="preserve">* Militari Km Auto (Responses)
   2022-10-03 14:03:59 </t>
        </r>
        <r>
          <rPr>
            <b/>
            <sz val="10"/>
            <color indexed="81"/>
            <rFont val="Tahoma"/>
            <family val="2"/>
          </rPr>
          <t xml:space="preserve">= 47212 - Normal </t>
        </r>
        <r>
          <rPr>
            <sz val="10"/>
            <color indexed="81"/>
            <rFont val="Tahoma"/>
            <family val="2"/>
          </rPr>
          <t xml:space="preserve">* Militari Km Auto (Responses)
</t>
        </r>
      </text>
    </comment>
    <comment ref="J98" authorId="0" shapeId="0" xr:uid="{DFEA827E-C9CC-4FD0-BBAF-23811FCAA8D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03:51:00 </t>
        </r>
        <r>
          <rPr>
            <b/>
            <sz val="10"/>
            <color indexed="81"/>
            <rFont val="Tahoma"/>
            <family val="2"/>
          </rPr>
          <t xml:space="preserve">= 5189 - Referinta </t>
        </r>
        <r>
          <rPr>
            <sz val="10"/>
            <color indexed="81"/>
            <rFont val="Tahoma"/>
            <family val="2"/>
          </rPr>
          <t xml:space="preserve">* Militari Km Auto (Responses)
   2022-09-05 07:53:00 </t>
        </r>
        <r>
          <rPr>
            <b/>
            <sz val="10"/>
            <color indexed="81"/>
            <rFont val="Tahoma"/>
            <family val="2"/>
          </rPr>
          <t xml:space="preserve">= 5189 - Normal </t>
        </r>
        <r>
          <rPr>
            <sz val="10"/>
            <color indexed="81"/>
            <rFont val="Tahoma"/>
            <family val="2"/>
          </rPr>
          <t xml:space="preserve">* Militari Km Auto (Responses)
</t>
        </r>
      </text>
    </comment>
    <comment ref="O98" authorId="0" shapeId="0" xr:uid="{4C146782-E463-44E3-B317-32DA66005D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16:09:18 </t>
        </r>
        <r>
          <rPr>
            <b/>
            <sz val="10"/>
            <color indexed="81"/>
            <rFont val="Tahoma"/>
            <family val="2"/>
          </rPr>
          <t xml:space="preserve">= 5496 - Referinta </t>
        </r>
        <r>
          <rPr>
            <sz val="10"/>
            <color indexed="81"/>
            <rFont val="Tahoma"/>
            <family val="2"/>
          </rPr>
          <t xml:space="preserve">* Militari Km Auto (Responses)
   2022-09-12 16:22:41 </t>
        </r>
        <r>
          <rPr>
            <b/>
            <sz val="10"/>
            <color indexed="81"/>
            <rFont val="Tahoma"/>
            <family val="2"/>
          </rPr>
          <t xml:space="preserve">= 5825 - Normal </t>
        </r>
        <r>
          <rPr>
            <sz val="10"/>
            <color indexed="81"/>
            <rFont val="Tahoma"/>
            <family val="2"/>
          </rPr>
          <t xml:space="preserve">* Militari Km Auto (Responses)
</t>
        </r>
      </text>
    </comment>
    <comment ref="T98" authorId="0" shapeId="0" xr:uid="{04C78856-7B4C-468B-9599-D1FE66B802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19:41:47 </t>
        </r>
        <r>
          <rPr>
            <b/>
            <sz val="10"/>
            <color indexed="81"/>
            <rFont val="Tahoma"/>
            <family val="2"/>
          </rPr>
          <t xml:space="preserve">= 6162 - Referinta </t>
        </r>
        <r>
          <rPr>
            <sz val="10"/>
            <color indexed="81"/>
            <rFont val="Tahoma"/>
            <family val="2"/>
          </rPr>
          <t xml:space="preserve">* Militari Km Auto (Responses)
   2022-09-19 07:55:08 </t>
        </r>
        <r>
          <rPr>
            <b/>
            <sz val="10"/>
            <color indexed="81"/>
            <rFont val="Tahoma"/>
            <family val="2"/>
          </rPr>
          <t xml:space="preserve">= 6366 - Normal </t>
        </r>
        <r>
          <rPr>
            <sz val="10"/>
            <color indexed="81"/>
            <rFont val="Tahoma"/>
            <family val="2"/>
          </rPr>
          <t xml:space="preserve">* Militari Km Auto (Responses)
</t>
        </r>
      </text>
    </comment>
    <comment ref="Y98" authorId="0" shapeId="0" xr:uid="{FF2FE61E-4FBB-4A74-B360-00455A0D33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__________________________________________________________________
</t>
        </r>
        <r>
          <rPr>
            <sz val="10"/>
            <color indexed="12"/>
            <rFont val="Tahoma"/>
            <family val="2"/>
          </rPr>
          <t xml:space="preserve">  </t>
        </r>
        <r>
          <rPr>
            <sz val="10"/>
            <color indexed="81"/>
            <rFont val="Tahoma"/>
            <family val="2"/>
          </rPr>
          <t xml:space="preserve"> 2022-09-23 03:45:00 </t>
        </r>
        <r>
          <rPr>
            <b/>
            <sz val="10"/>
            <color indexed="81"/>
            <rFont val="Tahoma"/>
            <family val="2"/>
          </rPr>
          <t xml:space="preserve">= 6472 - Referinta </t>
        </r>
        <r>
          <rPr>
            <sz val="10"/>
            <color indexed="81"/>
            <rFont val="Tahoma"/>
            <family val="2"/>
          </rPr>
          <t xml:space="preserve">* Militari Km Auto (Responses)
   2022-09-26 08:00:00 </t>
        </r>
        <r>
          <rPr>
            <b/>
            <sz val="10"/>
            <color indexed="81"/>
            <rFont val="Tahoma"/>
            <family val="2"/>
          </rPr>
          <t xml:space="preserve">= 6496 - Normal </t>
        </r>
        <r>
          <rPr>
            <sz val="10"/>
            <color indexed="81"/>
            <rFont val="Tahoma"/>
            <family val="2"/>
          </rPr>
          <t xml:space="preserve">* Militari Km Auto (Responses)
</t>
        </r>
      </text>
    </comment>
    <comment ref="AD98" authorId="0" shapeId="0" xr:uid="{9A3EC457-836D-4C76-9385-383AEDF9FA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 
__________________________________________________________________
</t>
        </r>
        <r>
          <rPr>
            <sz val="10"/>
            <color indexed="12"/>
            <rFont val="Tahoma"/>
            <family val="2"/>
          </rPr>
          <t xml:space="preserve">  </t>
        </r>
        <r>
          <rPr>
            <sz val="10"/>
            <color indexed="81"/>
            <rFont val="Tahoma"/>
            <family val="2"/>
          </rPr>
          <t xml:space="preserve"> 2022-09-30 19:28:35 </t>
        </r>
        <r>
          <rPr>
            <b/>
            <sz val="10"/>
            <color indexed="81"/>
            <rFont val="Tahoma"/>
            <family val="2"/>
          </rPr>
          <t xml:space="preserve">= 6639 - Referinta </t>
        </r>
        <r>
          <rPr>
            <sz val="10"/>
            <color indexed="81"/>
            <rFont val="Tahoma"/>
            <family val="2"/>
          </rPr>
          <t xml:space="preserve">* Militari Km Auto (Responses)
   2022-10-03 18:54:09 </t>
        </r>
        <r>
          <rPr>
            <b/>
            <sz val="10"/>
            <color indexed="81"/>
            <rFont val="Tahoma"/>
            <family val="2"/>
          </rPr>
          <t xml:space="preserve">= 6767 - Normal </t>
        </r>
        <r>
          <rPr>
            <sz val="10"/>
            <color indexed="81"/>
            <rFont val="Tahoma"/>
            <family val="2"/>
          </rPr>
          <t xml:space="preserve">* Militari Km Auto (Responses)
</t>
        </r>
      </text>
    </comment>
    <comment ref="J99" authorId="0" shapeId="0" xr:uid="{6FA193E0-D924-409F-8189-0440937550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11:10:25 </t>
        </r>
        <r>
          <rPr>
            <b/>
            <sz val="10"/>
            <color indexed="81"/>
            <rFont val="Tahoma"/>
            <family val="2"/>
          </rPr>
          <t xml:space="preserve">= 17865 - Referinta </t>
        </r>
        <r>
          <rPr>
            <sz val="10"/>
            <color indexed="81"/>
            <rFont val="Tahoma"/>
            <family val="2"/>
          </rPr>
          <t xml:space="preserve">* Otopeni Km Auto (Responses)
   2022-09-03 11:11:25 </t>
        </r>
        <r>
          <rPr>
            <b/>
            <sz val="10"/>
            <color indexed="81"/>
            <rFont val="Tahoma"/>
            <family val="2"/>
          </rPr>
          <t xml:space="preserve">= 17865 - Normal </t>
        </r>
        <r>
          <rPr>
            <sz val="10"/>
            <color indexed="81"/>
            <rFont val="Tahoma"/>
            <family val="2"/>
          </rPr>
          <t xml:space="preserve">* Otopeni Km Auto (Responses)
   2022-09-06 18:49:53 </t>
        </r>
        <r>
          <rPr>
            <b/>
            <sz val="10"/>
            <color indexed="81"/>
            <rFont val="Tahoma"/>
            <family val="2"/>
          </rPr>
          <t xml:space="preserve">= 17909 - Normal </t>
        </r>
        <r>
          <rPr>
            <sz val="10"/>
            <color indexed="81"/>
            <rFont val="Tahoma"/>
            <family val="2"/>
          </rPr>
          <t xml:space="preserve">* Otopeni Km Auto (Responses)
</t>
        </r>
      </text>
    </comment>
    <comment ref="O99" authorId="0" shapeId="0" xr:uid="{1FBECEFE-CB98-414B-B41C-68DF743F49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16:09:24 </t>
        </r>
        <r>
          <rPr>
            <b/>
            <sz val="10"/>
            <color indexed="81"/>
            <rFont val="Tahoma"/>
            <family val="2"/>
          </rPr>
          <t xml:space="preserve">= 18011 - Referinta </t>
        </r>
        <r>
          <rPr>
            <sz val="10"/>
            <color indexed="81"/>
            <rFont val="Tahoma"/>
            <family val="2"/>
          </rPr>
          <t xml:space="preserve">* Otopeni Km Auto (Responses)
</t>
        </r>
      </text>
    </comment>
    <comment ref="T99" authorId="0" shapeId="0" xr:uid="{1A7C4C21-2A9E-44C3-90D2-36E78855BBA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2022-09-17 08:56:00 </t>
        </r>
        <r>
          <rPr>
            <b/>
            <sz val="10"/>
            <color indexed="81"/>
            <rFont val="Tahoma"/>
            <family val="2"/>
          </rPr>
          <t xml:space="preserve">= 18265 - Referinta </t>
        </r>
        <r>
          <rPr>
            <sz val="10"/>
            <color indexed="81"/>
            <rFont val="Tahoma"/>
            <family val="2"/>
          </rPr>
          <t xml:space="preserve">* Otopeni Km Auto (Responses)
   2022-09-19 03:46:00 </t>
        </r>
        <r>
          <rPr>
            <b/>
            <sz val="10"/>
            <color indexed="81"/>
            <rFont val="Tahoma"/>
            <family val="2"/>
          </rPr>
          <t xml:space="preserve">= 18284 - Normal </t>
        </r>
        <r>
          <rPr>
            <sz val="10"/>
            <color indexed="81"/>
            <rFont val="Tahoma"/>
            <family val="2"/>
          </rPr>
          <t xml:space="preserve">* Otopeni Km Auto (Responses)
</t>
        </r>
      </text>
    </comment>
    <comment ref="Y99" authorId="0" shapeId="0" xr:uid="{80C18032-333F-4232-A2AA-EA1E93329B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19:16:09 </t>
        </r>
        <r>
          <rPr>
            <b/>
            <sz val="10"/>
            <color indexed="81"/>
            <rFont val="Tahoma"/>
            <family val="2"/>
          </rPr>
          <t xml:space="preserve">= 18552 - Referinta </t>
        </r>
        <r>
          <rPr>
            <sz val="10"/>
            <color indexed="81"/>
            <rFont val="Tahoma"/>
            <family val="2"/>
          </rPr>
          <t xml:space="preserve">* Otopeni Km Auto (Responses)
   2022-09-26 10:09:18 </t>
        </r>
        <r>
          <rPr>
            <b/>
            <sz val="10"/>
            <color indexed="81"/>
            <rFont val="Tahoma"/>
            <family val="2"/>
          </rPr>
          <t xml:space="preserve">= 18552 - Normal </t>
        </r>
        <r>
          <rPr>
            <sz val="10"/>
            <color indexed="81"/>
            <rFont val="Tahoma"/>
            <family val="2"/>
          </rPr>
          <t xml:space="preserve">* Otopeni Km Auto (Responses)
</t>
        </r>
      </text>
    </comment>
    <comment ref="AD99" authorId="0" shapeId="0" xr:uid="{EFDCC327-E3DC-4FF2-986C-97A1349C79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17:43:44 </t>
        </r>
        <r>
          <rPr>
            <b/>
            <sz val="10"/>
            <color indexed="81"/>
            <rFont val="Tahoma"/>
            <family val="2"/>
          </rPr>
          <t xml:space="preserve">= 18818 - Referinta </t>
        </r>
        <r>
          <rPr>
            <sz val="10"/>
            <color indexed="81"/>
            <rFont val="Tahoma"/>
            <family val="2"/>
          </rPr>
          <t xml:space="preserve">* Otopeni Km Auto (Responses)
   2022-10-04 05:15:00 </t>
        </r>
        <r>
          <rPr>
            <b/>
            <sz val="10"/>
            <color indexed="81"/>
            <rFont val="Tahoma"/>
            <family val="2"/>
          </rPr>
          <t xml:space="preserve">= 18876 - Normal </t>
        </r>
        <r>
          <rPr>
            <sz val="10"/>
            <color indexed="81"/>
            <rFont val="Tahoma"/>
            <family val="2"/>
          </rPr>
          <t xml:space="preserve">* Otopeni Km Auto (Responses)
</t>
        </r>
      </text>
    </comment>
    <comment ref="J100" authorId="0" shapeId="0" xr:uid="{B173605F-EBA9-4FBF-AA38-5F43E10461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17:54:30 </t>
        </r>
        <r>
          <rPr>
            <b/>
            <sz val="10"/>
            <color indexed="81"/>
            <rFont val="Tahoma"/>
            <family val="2"/>
          </rPr>
          <t xml:space="preserve">= 28603 - Referinta </t>
        </r>
        <r>
          <rPr>
            <sz val="10"/>
            <color indexed="81"/>
            <rFont val="Tahoma"/>
            <family val="2"/>
          </rPr>
          <t xml:space="preserve">* Otopeni Km Auto (Responses)
   2022-09-05 16:31:03 </t>
        </r>
        <r>
          <rPr>
            <b/>
            <sz val="10"/>
            <color indexed="81"/>
            <rFont val="Tahoma"/>
            <family val="2"/>
          </rPr>
          <t xml:space="preserve">= 28644 - Normal </t>
        </r>
        <r>
          <rPr>
            <sz val="10"/>
            <color indexed="81"/>
            <rFont val="Tahoma"/>
            <family val="2"/>
          </rPr>
          <t xml:space="preserve">* Otopeni Km Auto (Responses)
</t>
        </r>
      </text>
    </comment>
    <comment ref="O100" authorId="0" shapeId="0" xr:uid="{6A32734F-0439-4D95-B85E-268117BD74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04:40:00 </t>
        </r>
        <r>
          <rPr>
            <b/>
            <sz val="10"/>
            <color indexed="81"/>
            <rFont val="Tahoma"/>
            <family val="2"/>
          </rPr>
          <t xml:space="preserve">= 28915 - Referinta </t>
        </r>
        <r>
          <rPr>
            <sz val="10"/>
            <color indexed="81"/>
            <rFont val="Tahoma"/>
            <family val="2"/>
          </rPr>
          <t xml:space="preserve">* Otopeni Km Auto (Responses)
   2022-09-12 10:35:44 </t>
        </r>
        <r>
          <rPr>
            <b/>
            <sz val="10"/>
            <color indexed="81"/>
            <rFont val="Tahoma"/>
            <family val="2"/>
          </rPr>
          <t xml:space="preserve">= 28954 - Normal </t>
        </r>
        <r>
          <rPr>
            <sz val="10"/>
            <color indexed="81"/>
            <rFont val="Tahoma"/>
            <family val="2"/>
          </rPr>
          <t xml:space="preserve">* Otopeni Km Auto (Responses)
</t>
        </r>
      </text>
    </comment>
    <comment ref="T100" authorId="0" shapeId="0" xr:uid="{A841A355-4CA4-4A27-865D-5E8D9F7115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__________________________________________________________________
</t>
        </r>
        <r>
          <rPr>
            <sz val="10"/>
            <color indexed="12"/>
            <rFont val="Tahoma"/>
            <family val="2"/>
          </rPr>
          <t xml:space="preserve">  </t>
        </r>
        <r>
          <rPr>
            <sz val="10"/>
            <color indexed="81"/>
            <rFont val="Tahoma"/>
            <family val="2"/>
          </rPr>
          <t xml:space="preserve"> 2022-09-16 16:18:49 </t>
        </r>
        <r>
          <rPr>
            <b/>
            <sz val="10"/>
            <color indexed="81"/>
            <rFont val="Tahoma"/>
            <family val="2"/>
          </rPr>
          <t xml:space="preserve">= 29230 - Referinta </t>
        </r>
        <r>
          <rPr>
            <sz val="10"/>
            <color indexed="81"/>
            <rFont val="Tahoma"/>
            <family val="2"/>
          </rPr>
          <t xml:space="preserve">* Otopeni Km Auto (Responses)
   2022-09-19 13:04:22 </t>
        </r>
        <r>
          <rPr>
            <b/>
            <sz val="10"/>
            <color indexed="81"/>
            <rFont val="Tahoma"/>
            <family val="2"/>
          </rPr>
          <t xml:space="preserve">= 29342 - Normal </t>
        </r>
        <r>
          <rPr>
            <sz val="10"/>
            <color indexed="81"/>
            <rFont val="Tahoma"/>
            <family val="2"/>
          </rPr>
          <t xml:space="preserve">* Otopeni Km Auto (Responses)
</t>
        </r>
      </text>
    </comment>
    <comment ref="Y100" authorId="0" shapeId="0" xr:uid="{6936B507-4473-4F95-86FA-7ED5B83B70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__________________________________________________________________
</t>
        </r>
        <r>
          <rPr>
            <sz val="10"/>
            <color indexed="12"/>
            <rFont val="Tahoma"/>
            <family val="2"/>
          </rPr>
          <t xml:space="preserve">  </t>
        </r>
        <r>
          <rPr>
            <sz val="10"/>
            <color indexed="81"/>
            <rFont val="Tahoma"/>
            <family val="2"/>
          </rPr>
          <t xml:space="preserve"> 2022-09-23 17:19:38 </t>
        </r>
        <r>
          <rPr>
            <b/>
            <sz val="10"/>
            <color indexed="81"/>
            <rFont val="Tahoma"/>
            <family val="2"/>
          </rPr>
          <t xml:space="preserve">= 29610 - Referinta </t>
        </r>
        <r>
          <rPr>
            <sz val="10"/>
            <color indexed="81"/>
            <rFont val="Tahoma"/>
            <family val="2"/>
          </rPr>
          <t xml:space="preserve">* Otopeni Km Auto (Responses)
   2022-09-26 09:59:03 </t>
        </r>
        <r>
          <rPr>
            <b/>
            <sz val="10"/>
            <color indexed="81"/>
            <rFont val="Tahoma"/>
            <family val="2"/>
          </rPr>
          <t xml:space="preserve">= 29649 - Normal </t>
        </r>
        <r>
          <rPr>
            <sz val="10"/>
            <color indexed="81"/>
            <rFont val="Tahoma"/>
            <family val="2"/>
          </rPr>
          <t xml:space="preserve">* Otopeni Km Auto (Responses)
</t>
        </r>
      </text>
    </comment>
    <comment ref="AD100" authorId="0" shapeId="0" xr:uid="{66AB1EBC-18A2-484D-9DD7-E516FAB3AF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 
__________________________________________________________________
</t>
        </r>
        <r>
          <rPr>
            <sz val="10"/>
            <color indexed="12"/>
            <rFont val="Tahoma"/>
            <family val="2"/>
          </rPr>
          <t xml:space="preserve">  </t>
        </r>
        <r>
          <rPr>
            <sz val="10"/>
            <color indexed="81"/>
            <rFont val="Tahoma"/>
            <family val="2"/>
          </rPr>
          <t xml:space="preserve"> 2022-09-30 15:41:45 </t>
        </r>
        <r>
          <rPr>
            <b/>
            <sz val="10"/>
            <color indexed="81"/>
            <rFont val="Tahoma"/>
            <family val="2"/>
          </rPr>
          <t xml:space="preserve">= 29931 - Referinta </t>
        </r>
        <r>
          <rPr>
            <sz val="10"/>
            <color indexed="81"/>
            <rFont val="Tahoma"/>
            <family val="2"/>
          </rPr>
          <t xml:space="preserve">* Otopeni Km Auto (Responses)
   2022-10-03 12:15:57 </t>
        </r>
        <r>
          <rPr>
            <b/>
            <sz val="10"/>
            <color indexed="81"/>
            <rFont val="Tahoma"/>
            <family val="2"/>
          </rPr>
          <t xml:space="preserve">= 30004 - Normal </t>
        </r>
        <r>
          <rPr>
            <sz val="10"/>
            <color indexed="81"/>
            <rFont val="Tahoma"/>
            <family val="2"/>
          </rPr>
          <t xml:space="preserve">* Otopeni Km Auto (Responses)
</t>
        </r>
      </text>
    </comment>
    <comment ref="J101" authorId="0" shapeId="0" xr:uid="{BEFCDE63-88BB-4A1D-AEB3-B315DE568F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06:54:39 </t>
        </r>
        <r>
          <rPr>
            <b/>
            <sz val="10"/>
            <color indexed="81"/>
            <rFont val="Tahoma"/>
            <family val="2"/>
          </rPr>
          <t xml:space="preserve">= 48783 - Referinta </t>
        </r>
        <r>
          <rPr>
            <sz val="10"/>
            <color indexed="81"/>
            <rFont val="Tahoma"/>
            <family val="2"/>
          </rPr>
          <t xml:space="preserve">* Otopeni Km Auto (Responses)
   2022-09-05 06:56:09 </t>
        </r>
        <r>
          <rPr>
            <b/>
            <sz val="10"/>
            <color indexed="81"/>
            <rFont val="Tahoma"/>
            <family val="2"/>
          </rPr>
          <t xml:space="preserve">= 48788 - Normal </t>
        </r>
        <r>
          <rPr>
            <sz val="10"/>
            <color indexed="81"/>
            <rFont val="Tahoma"/>
            <family val="2"/>
          </rPr>
          <t xml:space="preserve">* Otopeni Km Auto (Responses)
</t>
        </r>
      </text>
    </comment>
    <comment ref="O101" authorId="0" shapeId="0" xr:uid="{2F41CE3B-EC5A-4C4A-B7D9-4613F9B20D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__________________________________________________________________
</t>
        </r>
        <r>
          <rPr>
            <sz val="10"/>
            <color indexed="12"/>
            <rFont val="Tahoma"/>
            <family val="2"/>
          </rPr>
          <t xml:space="preserve">  </t>
        </r>
        <r>
          <rPr>
            <sz val="10"/>
            <color indexed="81"/>
            <rFont val="Tahoma"/>
            <family val="2"/>
          </rPr>
          <t xml:space="preserve"> 2022-09-09 05:07:00 </t>
        </r>
        <r>
          <rPr>
            <b/>
            <sz val="10"/>
            <color indexed="81"/>
            <rFont val="Tahoma"/>
            <family val="2"/>
          </rPr>
          <t xml:space="preserve">= 49164 - Referinta </t>
        </r>
        <r>
          <rPr>
            <sz val="10"/>
            <color indexed="81"/>
            <rFont val="Tahoma"/>
            <family val="2"/>
          </rPr>
          <t xml:space="preserve">* Otopeni Km Auto (Responses)
   2022-09-12 01:28:00 </t>
        </r>
        <r>
          <rPr>
            <b/>
            <sz val="10"/>
            <color indexed="81"/>
            <rFont val="Tahoma"/>
            <family val="2"/>
          </rPr>
          <t xml:space="preserve">= 50016 - Normal </t>
        </r>
        <r>
          <rPr>
            <sz val="10"/>
            <color indexed="81"/>
            <rFont val="Tahoma"/>
            <family val="2"/>
          </rPr>
          <t xml:space="preserve">* Otopeni Km Auto (Responses)
</t>
        </r>
      </text>
    </comment>
    <comment ref="T101" authorId="0" shapeId="0" xr:uid="{3D8BFA6A-71F7-4CB1-8416-439D52573A3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15:26:14 </t>
        </r>
        <r>
          <rPr>
            <b/>
            <sz val="10"/>
            <color indexed="81"/>
            <rFont val="Tahoma"/>
            <family val="2"/>
          </rPr>
          <t xml:space="preserve">= 50314 - Referinta </t>
        </r>
        <r>
          <rPr>
            <sz val="10"/>
            <color indexed="81"/>
            <rFont val="Tahoma"/>
            <family val="2"/>
          </rPr>
          <t xml:space="preserve">* Otopeni Km Auto (Responses)
   2022-09-19 07:05:23 </t>
        </r>
        <r>
          <rPr>
            <b/>
            <sz val="10"/>
            <color indexed="81"/>
            <rFont val="Tahoma"/>
            <family val="2"/>
          </rPr>
          <t xml:space="preserve">= 50387 - Normal </t>
        </r>
        <r>
          <rPr>
            <sz val="10"/>
            <color indexed="81"/>
            <rFont val="Tahoma"/>
            <family val="2"/>
          </rPr>
          <t xml:space="preserve">* Otopeni Km Auto (Responses)
</t>
        </r>
      </text>
    </comment>
    <comment ref="Y101" authorId="0" shapeId="0" xr:uid="{DC071AE6-A099-4C59-87A6-C25A19A87E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__________________________________________________________________
</t>
        </r>
        <r>
          <rPr>
            <sz val="10"/>
            <color indexed="12"/>
            <rFont val="Tahoma"/>
            <family val="2"/>
          </rPr>
          <t xml:space="preserve">  </t>
        </r>
        <r>
          <rPr>
            <sz val="10"/>
            <color indexed="81"/>
            <rFont val="Tahoma"/>
            <family val="2"/>
          </rPr>
          <t xml:space="preserve"> 2022-09-23 16:22:24 </t>
        </r>
        <r>
          <rPr>
            <b/>
            <sz val="10"/>
            <color indexed="81"/>
            <rFont val="Tahoma"/>
            <family val="2"/>
          </rPr>
          <t xml:space="preserve">= 50576 - Referinta </t>
        </r>
        <r>
          <rPr>
            <sz val="10"/>
            <color indexed="81"/>
            <rFont val="Tahoma"/>
            <family val="2"/>
          </rPr>
          <t xml:space="preserve">* Otopeni Km Auto (Responses)
   2022-09-26 07:10:23 </t>
        </r>
        <r>
          <rPr>
            <b/>
            <sz val="10"/>
            <color indexed="81"/>
            <rFont val="Tahoma"/>
            <family val="2"/>
          </rPr>
          <t xml:space="preserve">= 50594 - Normal </t>
        </r>
        <r>
          <rPr>
            <sz val="10"/>
            <color indexed="81"/>
            <rFont val="Tahoma"/>
            <family val="2"/>
          </rPr>
          <t xml:space="preserve">* Otopeni Km Auto (Responses)
</t>
        </r>
      </text>
    </comment>
    <comment ref="AD101" authorId="0" shapeId="0" xr:uid="{AD65254C-62F5-40ED-B75F-5EFEFFEB35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 
__________________________________________________________________
</t>
        </r>
        <r>
          <rPr>
            <sz val="10"/>
            <color indexed="12"/>
            <rFont val="Tahoma"/>
            <family val="2"/>
          </rPr>
          <t xml:space="preserve">  </t>
        </r>
        <r>
          <rPr>
            <sz val="10"/>
            <color indexed="81"/>
            <rFont val="Tahoma"/>
            <family val="2"/>
          </rPr>
          <t xml:space="preserve"> 2022-09-30 16:36:59 </t>
        </r>
        <r>
          <rPr>
            <b/>
            <sz val="10"/>
            <color indexed="81"/>
            <rFont val="Tahoma"/>
            <family val="2"/>
          </rPr>
          <t xml:space="preserve">= 50841 - Referinta </t>
        </r>
        <r>
          <rPr>
            <sz val="10"/>
            <color indexed="81"/>
            <rFont val="Tahoma"/>
            <family val="2"/>
          </rPr>
          <t xml:space="preserve">* Otopeni Km Auto (Responses)
   2022-10-03 07:02:33 </t>
        </r>
        <r>
          <rPr>
            <b/>
            <sz val="10"/>
            <color indexed="81"/>
            <rFont val="Tahoma"/>
            <family val="2"/>
          </rPr>
          <t xml:space="preserve">= 50844 - Normal </t>
        </r>
        <r>
          <rPr>
            <sz val="10"/>
            <color indexed="81"/>
            <rFont val="Tahoma"/>
            <family val="2"/>
          </rPr>
          <t xml:space="preserve">* Otopeni Km Auto (Responses)
</t>
        </r>
      </text>
    </comment>
    <comment ref="J102" authorId="0" shapeId="0" xr:uid="{B98E3B2D-61C6-4FE2-9110-C5308F2A71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18:25:28 </t>
        </r>
        <r>
          <rPr>
            <b/>
            <sz val="10"/>
            <color indexed="81"/>
            <rFont val="Tahoma"/>
            <family val="2"/>
          </rPr>
          <t xml:space="preserve">= 42747 - Referinta </t>
        </r>
        <r>
          <rPr>
            <sz val="10"/>
            <color indexed="81"/>
            <rFont val="Tahoma"/>
            <family val="2"/>
          </rPr>
          <t xml:space="preserve">* Otopeni Km Auto (Responses)
   2022-09-05 07:16:52 </t>
        </r>
        <r>
          <rPr>
            <b/>
            <sz val="10"/>
            <color indexed="81"/>
            <rFont val="Tahoma"/>
            <family val="2"/>
          </rPr>
          <t xml:space="preserve">= 43096 - Normal </t>
        </r>
        <r>
          <rPr>
            <sz val="10"/>
            <color indexed="81"/>
            <rFont val="Tahoma"/>
            <family val="2"/>
          </rPr>
          <t xml:space="preserve">* Otopeni Km Auto (Responses)
</t>
        </r>
      </text>
    </comment>
    <comment ref="O102" authorId="0" shapeId="0" xr:uid="{2A6A9884-C623-4224-AA63-93C48D9E47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06:19:00 </t>
        </r>
        <r>
          <rPr>
            <b/>
            <sz val="10"/>
            <color indexed="81"/>
            <rFont val="Tahoma"/>
            <family val="2"/>
          </rPr>
          <t xml:space="preserve">= 43509 - Referinta </t>
        </r>
        <r>
          <rPr>
            <sz val="10"/>
            <color indexed="81"/>
            <rFont val="Tahoma"/>
            <family val="2"/>
          </rPr>
          <t xml:space="preserve">* Otopeni Km Auto (Responses)
</t>
        </r>
      </text>
    </comment>
    <comment ref="T102" authorId="0" shapeId="0" xr:uid="{A0000B88-DD9C-4C18-8AF3-B937C0FF53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07:50:00 </t>
        </r>
        <r>
          <rPr>
            <b/>
            <sz val="10"/>
            <color indexed="81"/>
            <rFont val="Tahoma"/>
            <family val="2"/>
          </rPr>
          <t xml:space="preserve">= 44256 - Referinta </t>
        </r>
        <r>
          <rPr>
            <sz val="10"/>
            <color indexed="81"/>
            <rFont val="Tahoma"/>
            <family val="2"/>
          </rPr>
          <t xml:space="preserve">* Otopeni Km Auto (Responses)
</t>
        </r>
      </text>
    </comment>
    <comment ref="Y102" authorId="0" shapeId="0" xr:uid="{9DC0C5C4-470D-424A-A8F3-5BEA4F8216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07:32:00 </t>
        </r>
        <r>
          <rPr>
            <b/>
            <sz val="10"/>
            <color indexed="81"/>
            <rFont val="Tahoma"/>
            <family val="2"/>
          </rPr>
          <t xml:space="preserve">= 44558 - Referinta </t>
        </r>
        <r>
          <rPr>
            <sz val="10"/>
            <color indexed="81"/>
            <rFont val="Tahoma"/>
            <family val="2"/>
          </rPr>
          <t xml:space="preserve">* Otopeni Km Auto (Responses)
   2022-09-26 07:30:00 </t>
        </r>
        <r>
          <rPr>
            <b/>
            <sz val="10"/>
            <color indexed="81"/>
            <rFont val="Tahoma"/>
            <family val="2"/>
          </rPr>
          <t xml:space="preserve">= 44752 - Normal </t>
        </r>
        <r>
          <rPr>
            <sz val="10"/>
            <color indexed="81"/>
            <rFont val="Tahoma"/>
            <family val="2"/>
          </rPr>
          <t xml:space="preserve">* Otopeni Km Auto (Responses)
</t>
        </r>
      </text>
    </comment>
    <comment ref="AD102" authorId="0" shapeId="0" xr:uid="{FB4179A4-7393-47C9-A153-8D1B4423D83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05:45:00 </t>
        </r>
        <r>
          <rPr>
            <b/>
            <sz val="10"/>
            <color indexed="81"/>
            <rFont val="Tahoma"/>
            <family val="2"/>
          </rPr>
          <t xml:space="preserve">= 45193 - Referinta </t>
        </r>
        <r>
          <rPr>
            <sz val="10"/>
            <color indexed="81"/>
            <rFont val="Tahoma"/>
            <family val="2"/>
          </rPr>
          <t xml:space="preserve">* Otopeni Km Auto (Responses)
   2022-10-03 07:15:00 </t>
        </r>
        <r>
          <rPr>
            <b/>
            <sz val="10"/>
            <color indexed="81"/>
            <rFont val="Tahoma"/>
            <family val="2"/>
          </rPr>
          <t xml:space="preserve">= 45350 - Normal </t>
        </r>
        <r>
          <rPr>
            <sz val="10"/>
            <color indexed="81"/>
            <rFont val="Tahoma"/>
            <family val="2"/>
          </rPr>
          <t xml:space="preserve">* Otopeni Km Auto (Responses)
</t>
        </r>
      </text>
    </comment>
    <comment ref="J103" authorId="0" shapeId="0" xr:uid="{CD608F4E-ACB6-404B-B74B-906BD0A8A4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08:15:24 </t>
        </r>
        <r>
          <rPr>
            <b/>
            <sz val="10"/>
            <color indexed="81"/>
            <rFont val="Tahoma"/>
            <family val="2"/>
          </rPr>
          <t xml:space="preserve">= 16436 - Referinta </t>
        </r>
        <r>
          <rPr>
            <sz val="10"/>
            <color indexed="81"/>
            <rFont val="Tahoma"/>
            <family val="2"/>
          </rPr>
          <t xml:space="preserve">* Otopeni Km Auto (Responses)
   2022-09-05 08:21:35 </t>
        </r>
        <r>
          <rPr>
            <b/>
            <sz val="10"/>
            <color indexed="81"/>
            <rFont val="Tahoma"/>
            <family val="2"/>
          </rPr>
          <t xml:space="preserve">= 16439 - Normal </t>
        </r>
        <r>
          <rPr>
            <sz val="10"/>
            <color indexed="81"/>
            <rFont val="Tahoma"/>
            <family val="2"/>
          </rPr>
          <t xml:space="preserve">* Otopeni Km Auto (Responses)
</t>
        </r>
      </text>
    </comment>
    <comment ref="O103" authorId="0" shapeId="0" xr:uid="{92FF99F9-4320-4F75-B4E0-40B8F7E693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04:16:00 </t>
        </r>
        <r>
          <rPr>
            <b/>
            <sz val="10"/>
            <color indexed="81"/>
            <rFont val="Tahoma"/>
            <family val="2"/>
          </rPr>
          <t xml:space="preserve">= 16735 - Referinta </t>
        </r>
        <r>
          <rPr>
            <sz val="10"/>
            <color indexed="81"/>
            <rFont val="Tahoma"/>
            <family val="2"/>
          </rPr>
          <t xml:space="preserve">* Otopeni Km Auto (Responses)
   2022-09-12 07:01:00 </t>
        </r>
        <r>
          <rPr>
            <b/>
            <sz val="10"/>
            <color indexed="81"/>
            <rFont val="Tahoma"/>
            <family val="2"/>
          </rPr>
          <t xml:space="preserve">= 16735 - Normal </t>
        </r>
        <r>
          <rPr>
            <sz val="10"/>
            <color indexed="81"/>
            <rFont val="Tahoma"/>
            <family val="2"/>
          </rPr>
          <t xml:space="preserve">* Otopeni Km Auto (Responses)
</t>
        </r>
      </text>
    </comment>
    <comment ref="T103" authorId="0" shapeId="0" xr:uid="{3FBB4F1F-181B-42F9-BD37-0671501B5A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__________________________________________________________________
</t>
        </r>
        <r>
          <rPr>
            <sz val="10"/>
            <color indexed="12"/>
            <rFont val="Tahoma"/>
            <family val="2"/>
          </rPr>
          <t xml:space="preserve">  </t>
        </r>
        <r>
          <rPr>
            <sz val="10"/>
            <color indexed="81"/>
            <rFont val="Tahoma"/>
            <family val="2"/>
          </rPr>
          <t xml:space="preserve"> 2022-09-16 09:15:00 </t>
        </r>
        <r>
          <rPr>
            <b/>
            <sz val="10"/>
            <color indexed="81"/>
            <rFont val="Tahoma"/>
            <family val="2"/>
          </rPr>
          <t xml:space="preserve">= 16990 - Referinta </t>
        </r>
        <r>
          <rPr>
            <sz val="10"/>
            <color indexed="81"/>
            <rFont val="Tahoma"/>
            <family val="2"/>
          </rPr>
          <t xml:space="preserve">* Otopeni Km Auto (Responses)
   2022-09-19 12:38:00 </t>
        </r>
        <r>
          <rPr>
            <b/>
            <sz val="10"/>
            <color indexed="81"/>
            <rFont val="Tahoma"/>
            <family val="2"/>
          </rPr>
          <t xml:space="preserve">= 16990 - Normal </t>
        </r>
        <r>
          <rPr>
            <sz val="10"/>
            <color indexed="81"/>
            <rFont val="Tahoma"/>
            <family val="2"/>
          </rPr>
          <t xml:space="preserve">* Otopeni Km Auto (Responses)
</t>
        </r>
      </text>
    </comment>
    <comment ref="Y103" authorId="0" shapeId="0" xr:uid="{A444A09B-5DF6-4324-A605-A694781982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__________________________________________________________________
</t>
        </r>
        <r>
          <rPr>
            <sz val="10"/>
            <color indexed="12"/>
            <rFont val="Tahoma"/>
            <family val="2"/>
          </rPr>
          <t xml:space="preserve">  </t>
        </r>
        <r>
          <rPr>
            <sz val="10"/>
            <color indexed="81"/>
            <rFont val="Tahoma"/>
            <family val="2"/>
          </rPr>
          <t xml:space="preserve"> 2022-09-25 11:10:00 </t>
        </r>
        <r>
          <rPr>
            <b/>
            <sz val="10"/>
            <color indexed="81"/>
            <rFont val="Tahoma"/>
            <family val="2"/>
          </rPr>
          <t xml:space="preserve">= 17366 - Referinta </t>
        </r>
        <r>
          <rPr>
            <sz val="10"/>
            <color indexed="81"/>
            <rFont val="Tahoma"/>
            <family val="2"/>
          </rPr>
          <t xml:space="preserve">* Otopeni Km Auto (Responses)
   2022-09-25 11:17:00 </t>
        </r>
        <r>
          <rPr>
            <b/>
            <sz val="10"/>
            <color indexed="81"/>
            <rFont val="Tahoma"/>
            <family val="2"/>
          </rPr>
          <t xml:space="preserve">= 17366 - Normal </t>
        </r>
        <r>
          <rPr>
            <sz val="10"/>
            <color indexed="81"/>
            <rFont val="Tahoma"/>
            <family val="2"/>
          </rPr>
          <t xml:space="preserve">* Otopeni Km Auto (Responses)
   2022-09-26 10:20:00 </t>
        </r>
        <r>
          <rPr>
            <b/>
            <sz val="10"/>
            <color indexed="81"/>
            <rFont val="Tahoma"/>
            <family val="2"/>
          </rPr>
          <t xml:space="preserve">= 17366 - Normal </t>
        </r>
        <r>
          <rPr>
            <sz val="10"/>
            <color indexed="81"/>
            <rFont val="Tahoma"/>
            <family val="2"/>
          </rPr>
          <t xml:space="preserve">* Otopeni Km Auto (Responses)
</t>
        </r>
      </text>
    </comment>
    <comment ref="AD103" authorId="0" shapeId="0" xr:uid="{00C3FE36-BCF8-4D9A-B6C5-BCA5A4C3BC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 
__________________________________________________________________
</t>
        </r>
        <r>
          <rPr>
            <sz val="10"/>
            <color indexed="12"/>
            <rFont val="Tahoma"/>
            <family val="2"/>
          </rPr>
          <t xml:space="preserve">  </t>
        </r>
        <r>
          <rPr>
            <sz val="10"/>
            <color indexed="81"/>
            <rFont val="Tahoma"/>
            <family val="2"/>
          </rPr>
          <t xml:space="preserve"> 2022-10-02 10:19:00 </t>
        </r>
        <r>
          <rPr>
            <b/>
            <sz val="10"/>
            <color indexed="81"/>
            <rFont val="Tahoma"/>
            <family val="2"/>
          </rPr>
          <t xml:space="preserve">= 17773 - Referinta </t>
        </r>
        <r>
          <rPr>
            <sz val="10"/>
            <color indexed="81"/>
            <rFont val="Tahoma"/>
            <family val="2"/>
          </rPr>
          <t xml:space="preserve">* Otopeni Km Auto (Responses)
   2022-10-03 08:12:46 </t>
        </r>
        <r>
          <rPr>
            <b/>
            <sz val="10"/>
            <color indexed="81"/>
            <rFont val="Tahoma"/>
            <family val="2"/>
          </rPr>
          <t xml:space="preserve">= 17779 - Normal </t>
        </r>
        <r>
          <rPr>
            <sz val="10"/>
            <color indexed="81"/>
            <rFont val="Tahoma"/>
            <family val="2"/>
          </rPr>
          <t xml:space="preserve">* Otopeni Km Auto (Responses)
   2022-10-03 08:15:00 </t>
        </r>
        <r>
          <rPr>
            <b/>
            <sz val="10"/>
            <color indexed="81"/>
            <rFont val="Tahoma"/>
            <family val="2"/>
          </rPr>
          <t xml:space="preserve">= 17779 - Normal </t>
        </r>
        <r>
          <rPr>
            <sz val="10"/>
            <color indexed="81"/>
            <rFont val="Tahoma"/>
            <family val="2"/>
          </rPr>
          <t xml:space="preserve">* Otopeni Km Auto (Responses)
</t>
        </r>
      </text>
    </comment>
    <comment ref="T104" authorId="0" shapeId="0" xr:uid="{4D42ADF5-1775-410F-A72F-4EBB24BE8F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 
__________________________________________________________________
</t>
        </r>
        <r>
          <rPr>
            <sz val="10"/>
            <color indexed="12"/>
            <rFont val="Tahoma"/>
            <family val="2"/>
          </rPr>
          <t xml:space="preserve">  </t>
        </r>
        <r>
          <rPr>
            <sz val="10"/>
            <color indexed="81"/>
            <rFont val="Tahoma"/>
            <family val="2"/>
          </rPr>
          <t xml:space="preserve"> 2022-09-16 19:47:46 </t>
        </r>
        <r>
          <rPr>
            <b/>
            <sz val="10"/>
            <color indexed="81"/>
            <rFont val="Tahoma"/>
            <family val="2"/>
          </rPr>
          <t xml:space="preserve">= 212206 - Referinta </t>
        </r>
        <r>
          <rPr>
            <sz val="10"/>
            <color indexed="81"/>
            <rFont val="Tahoma"/>
            <family val="2"/>
          </rPr>
          <t xml:space="preserve">* Bucuresti Marfa Km Auto (Responses)
   2022-09-19 07:59:53 </t>
        </r>
        <r>
          <rPr>
            <b/>
            <sz val="10"/>
            <color indexed="81"/>
            <rFont val="Tahoma"/>
            <family val="2"/>
          </rPr>
          <t xml:space="preserve">= 212207 - Normal </t>
        </r>
        <r>
          <rPr>
            <sz val="10"/>
            <color indexed="81"/>
            <rFont val="Tahoma"/>
            <family val="2"/>
          </rPr>
          <t xml:space="preserve">* Bucuresti Marfa Km Auto (Responses)
</t>
        </r>
      </text>
    </comment>
    <comment ref="Y104" authorId="0" shapeId="0" xr:uid="{C63553DA-E182-4BA8-8E81-2F22B6D0EF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 
__________________________________________________________________
</t>
        </r>
        <r>
          <rPr>
            <sz val="10"/>
            <color indexed="12"/>
            <rFont val="Tahoma"/>
            <family val="2"/>
          </rPr>
          <t xml:space="preserve">  </t>
        </r>
        <r>
          <rPr>
            <sz val="10"/>
            <color indexed="81"/>
            <rFont val="Tahoma"/>
            <family val="2"/>
          </rPr>
          <t xml:space="preserve"> 2022-09-23 18:45:01 </t>
        </r>
        <r>
          <rPr>
            <b/>
            <sz val="10"/>
            <color indexed="81"/>
            <rFont val="Tahoma"/>
            <family val="2"/>
          </rPr>
          <t xml:space="preserve">= 212781 - Referinta </t>
        </r>
        <r>
          <rPr>
            <sz val="10"/>
            <color indexed="81"/>
            <rFont val="Tahoma"/>
            <family val="2"/>
          </rPr>
          <t xml:space="preserve">* Bucuresti Marfa Km Auto (Responses)
   2022-09-26 07:45:52 </t>
        </r>
        <r>
          <rPr>
            <b/>
            <sz val="10"/>
            <color indexed="81"/>
            <rFont val="Tahoma"/>
            <family val="2"/>
          </rPr>
          <t xml:space="preserve">= 212781 - Normal </t>
        </r>
        <r>
          <rPr>
            <sz val="10"/>
            <color indexed="81"/>
            <rFont val="Tahoma"/>
            <family val="2"/>
          </rPr>
          <t xml:space="preserve">* Bucuresti Marfa Km Auto (Responses)
</t>
        </r>
      </text>
    </comment>
    <comment ref="AD105" authorId="0" shapeId="0" xr:uid="{95B7C0B8-343F-4DB9-A811-B52FCD7A61D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Radu Paul : 
__________________________________________________________________
</t>
        </r>
        <r>
          <rPr>
            <sz val="10"/>
            <color indexed="12"/>
            <rFont val="Tahoma"/>
            <family val="2"/>
          </rPr>
          <t xml:space="preserve">  </t>
        </r>
        <r>
          <rPr>
            <sz val="10"/>
            <color indexed="81"/>
            <rFont val="Tahoma"/>
            <family val="2"/>
          </rPr>
          <t xml:space="preserve"> 2022-09-30 15:53:18 </t>
        </r>
        <r>
          <rPr>
            <b/>
            <sz val="10"/>
            <color indexed="81"/>
            <rFont val="Tahoma"/>
            <family val="2"/>
          </rPr>
          <t xml:space="preserve">= 213217 - Referinta </t>
        </r>
        <r>
          <rPr>
            <sz val="10"/>
            <color indexed="81"/>
            <rFont val="Tahoma"/>
            <family val="2"/>
          </rPr>
          <t xml:space="preserve">* Bucuresti Marfa Km Auto (Responses)
</t>
        </r>
      </text>
    </comment>
    <comment ref="J106" authorId="0" shapeId="0" xr:uid="{FF293D40-1894-479F-99E0-9C6C64D1C0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Referinta a fost pusa automat
__________________________________________________________________
</t>
        </r>
        <r>
          <rPr>
            <sz val="10"/>
            <color indexed="12"/>
            <rFont val="Tahoma"/>
            <family val="2"/>
          </rPr>
          <t xml:space="preserve">  </t>
        </r>
        <r>
          <rPr>
            <sz val="10"/>
            <color indexed="81"/>
            <rFont val="Tahoma"/>
            <family val="2"/>
          </rPr>
          <t xml:space="preserve"> 2022-09-04 20:54:17 </t>
        </r>
        <r>
          <rPr>
            <b/>
            <sz val="10"/>
            <color indexed="81"/>
            <rFont val="Tahoma"/>
            <family val="2"/>
          </rPr>
          <t xml:space="preserve">= 65257 - Referinta </t>
        </r>
        <r>
          <rPr>
            <sz val="10"/>
            <color indexed="81"/>
            <rFont val="Tahoma"/>
            <family val="2"/>
          </rPr>
          <t xml:space="preserve">* Otopeni Km Auto (Responses)
   2022-09-04 20:55:00 </t>
        </r>
        <r>
          <rPr>
            <b/>
            <sz val="10"/>
            <color indexed="81"/>
            <rFont val="Tahoma"/>
            <family val="2"/>
          </rPr>
          <t xml:space="preserve">= 65257 - Normal </t>
        </r>
        <r>
          <rPr>
            <sz val="10"/>
            <color indexed="81"/>
            <rFont val="Tahoma"/>
            <family val="2"/>
          </rPr>
          <t xml:space="preserve">* Otopeni Km Auto (Responses)
   2022-09-05 09:13:37 </t>
        </r>
        <r>
          <rPr>
            <b/>
            <sz val="10"/>
            <color indexed="81"/>
            <rFont val="Tahoma"/>
            <family val="2"/>
          </rPr>
          <t xml:space="preserve">= 65301 - Normal </t>
        </r>
        <r>
          <rPr>
            <sz val="10"/>
            <color indexed="81"/>
            <rFont val="Tahoma"/>
            <family val="2"/>
          </rPr>
          <t xml:space="preserve">* Otopeni Km Auto (Responses)
</t>
        </r>
      </text>
    </comment>
    <comment ref="O106" authorId="0" shapeId="0" xr:uid="{27494F7C-517F-4FDC-A640-C211CB317E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2022-09-09 03:30:00 </t>
        </r>
        <r>
          <rPr>
            <b/>
            <sz val="10"/>
            <color indexed="81"/>
            <rFont val="Tahoma"/>
            <family val="2"/>
          </rPr>
          <t xml:space="preserve">= 65709 - Referinta </t>
        </r>
        <r>
          <rPr>
            <sz val="10"/>
            <color indexed="81"/>
            <rFont val="Tahoma"/>
            <family val="2"/>
          </rPr>
          <t xml:space="preserve">* Otopeni Km Auto (Responses)
   2022-09-12 09:00:00 </t>
        </r>
        <r>
          <rPr>
            <b/>
            <sz val="10"/>
            <color indexed="81"/>
            <rFont val="Tahoma"/>
            <family val="2"/>
          </rPr>
          <t xml:space="preserve">= 65762 - Normal </t>
        </r>
        <r>
          <rPr>
            <sz val="10"/>
            <color indexed="81"/>
            <rFont val="Tahoma"/>
            <family val="2"/>
          </rPr>
          <t xml:space="preserve">* Otopeni Km Auto (Responses)
</t>
        </r>
      </text>
    </comment>
    <comment ref="T106" authorId="0" shapeId="0" xr:uid="{EDCE8422-79DF-4038-B4A9-D32E48ED8D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2022-09-16 04:30:00 </t>
        </r>
        <r>
          <rPr>
            <b/>
            <sz val="10"/>
            <color indexed="81"/>
            <rFont val="Tahoma"/>
            <family val="2"/>
          </rPr>
          <t xml:space="preserve">= 66216 - Referinta </t>
        </r>
        <r>
          <rPr>
            <sz val="10"/>
            <color indexed="81"/>
            <rFont val="Tahoma"/>
            <family val="2"/>
          </rPr>
          <t xml:space="preserve">* Otopeni Km Auto (Responses)
   2022-09-19 10:10:00 </t>
        </r>
        <r>
          <rPr>
            <b/>
            <sz val="10"/>
            <color indexed="81"/>
            <rFont val="Tahoma"/>
            <family val="2"/>
          </rPr>
          <t xml:space="preserve">= 66244 - Normal </t>
        </r>
        <r>
          <rPr>
            <sz val="10"/>
            <color indexed="81"/>
            <rFont val="Tahoma"/>
            <family val="2"/>
          </rPr>
          <t xml:space="preserve">* Otopeni Km Auto (Responses)
</t>
        </r>
      </text>
    </comment>
    <comment ref="Y106" authorId="0" shapeId="0" xr:uid="{BFDFE9A9-EA67-4B36-8787-6966F8533B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2022-09-23 16:42:43 </t>
        </r>
        <r>
          <rPr>
            <b/>
            <sz val="10"/>
            <color indexed="81"/>
            <rFont val="Tahoma"/>
            <family val="2"/>
          </rPr>
          <t xml:space="preserve">= 66710 - Referinta </t>
        </r>
        <r>
          <rPr>
            <sz val="10"/>
            <color indexed="81"/>
            <rFont val="Tahoma"/>
            <family val="2"/>
          </rPr>
          <t xml:space="preserve">* Otopeni Km Auto (Responses)
   2022-09-26 08:00:00 </t>
        </r>
        <r>
          <rPr>
            <b/>
            <sz val="10"/>
            <color indexed="81"/>
            <rFont val="Tahoma"/>
            <family val="2"/>
          </rPr>
          <t xml:space="preserve">= 66756 - Normal </t>
        </r>
        <r>
          <rPr>
            <sz val="10"/>
            <color indexed="81"/>
            <rFont val="Tahoma"/>
            <family val="2"/>
          </rPr>
          <t xml:space="preserve">* Otopeni Km Auto (Responses)
</t>
        </r>
      </text>
    </comment>
    <comment ref="AD106" authorId="0" shapeId="0" xr:uid="{0655920C-FC92-4931-B535-2460D647B9A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 
__________________________________________________________________
</t>
        </r>
        <r>
          <rPr>
            <sz val="10"/>
            <color indexed="12"/>
            <rFont val="Tahoma"/>
            <family val="2"/>
          </rPr>
          <t xml:space="preserve">  </t>
        </r>
        <r>
          <rPr>
            <sz val="10"/>
            <color indexed="81"/>
            <rFont val="Tahoma"/>
            <family val="2"/>
          </rPr>
          <t xml:space="preserve"> 2022-09-30 05:00:00 </t>
        </r>
        <r>
          <rPr>
            <b/>
            <sz val="10"/>
            <color indexed="81"/>
            <rFont val="Tahoma"/>
            <family val="2"/>
          </rPr>
          <t xml:space="preserve">= 67296 - Referinta </t>
        </r>
        <r>
          <rPr>
            <sz val="10"/>
            <color indexed="81"/>
            <rFont val="Tahoma"/>
            <family val="2"/>
          </rPr>
          <t xml:space="preserve">* Otopeni Km Auto (Responses)
   2022-10-03 12:24:00 </t>
        </r>
        <r>
          <rPr>
            <b/>
            <sz val="10"/>
            <color indexed="81"/>
            <rFont val="Tahoma"/>
            <family val="2"/>
          </rPr>
          <t xml:space="preserve">= 67405 - Normal </t>
        </r>
        <r>
          <rPr>
            <sz val="10"/>
            <color indexed="81"/>
            <rFont val="Tahoma"/>
            <family val="2"/>
          </rPr>
          <t xml:space="preserve">* Otopeni Km Auto (Responses)
</t>
        </r>
      </text>
    </comment>
    <comment ref="J107" authorId="0" shapeId="0" xr:uid="{5A7C5BDE-C09C-4120-81F2-FAE86F12FED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15:58:05 </t>
        </r>
        <r>
          <rPr>
            <b/>
            <sz val="10"/>
            <color indexed="81"/>
            <rFont val="Tahoma"/>
            <family val="2"/>
          </rPr>
          <t xml:space="preserve">= 42989 - Referinta </t>
        </r>
        <r>
          <rPr>
            <sz val="10"/>
            <color indexed="81"/>
            <rFont val="Tahoma"/>
            <family val="2"/>
          </rPr>
          <t xml:space="preserve">* Bucuresti Km Auto Vanzari (Responses)
   2022-09-05 07:43:12 </t>
        </r>
        <r>
          <rPr>
            <b/>
            <sz val="10"/>
            <color indexed="81"/>
            <rFont val="Tahoma"/>
            <family val="2"/>
          </rPr>
          <t xml:space="preserve">= 42989 - Normal </t>
        </r>
        <r>
          <rPr>
            <sz val="10"/>
            <color indexed="81"/>
            <rFont val="Tahoma"/>
            <family val="2"/>
          </rPr>
          <t xml:space="preserve">* Bucuresti Km Auto Vanzari (Responses)
</t>
        </r>
      </text>
    </comment>
    <comment ref="O107" authorId="0" shapeId="0" xr:uid="{E446C74B-2A47-432A-A4E7-D02C256710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04:00:00 </t>
        </r>
        <r>
          <rPr>
            <b/>
            <sz val="10"/>
            <color indexed="81"/>
            <rFont val="Tahoma"/>
            <family val="2"/>
          </rPr>
          <t xml:space="preserve">= 43227 - Referinta </t>
        </r>
        <r>
          <rPr>
            <sz val="10"/>
            <color indexed="81"/>
            <rFont val="Tahoma"/>
            <family val="2"/>
          </rPr>
          <t xml:space="preserve">* Bucuresti Km Auto Vanzari (Responses)
   2022-09-12 07:44:38 </t>
        </r>
        <r>
          <rPr>
            <b/>
            <sz val="10"/>
            <color indexed="81"/>
            <rFont val="Tahoma"/>
            <family val="2"/>
          </rPr>
          <t xml:space="preserve">= 43242 - Normal </t>
        </r>
        <r>
          <rPr>
            <sz val="10"/>
            <color indexed="81"/>
            <rFont val="Tahoma"/>
            <family val="2"/>
          </rPr>
          <t xml:space="preserve">* Bucuresti Km Auto Vanzari (Responses)
</t>
        </r>
      </text>
    </comment>
    <comment ref="T107" authorId="0" shapeId="0" xr:uid="{BEB309F4-5C07-4806-B2AB-9F29530D71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2022-09-18 17:16:19 </t>
        </r>
        <r>
          <rPr>
            <b/>
            <sz val="10"/>
            <color indexed="81"/>
            <rFont val="Tahoma"/>
            <family val="2"/>
          </rPr>
          <t xml:space="preserve">= 43462 - Referinta </t>
        </r>
        <r>
          <rPr>
            <sz val="10"/>
            <color indexed="81"/>
            <rFont val="Tahoma"/>
            <family val="2"/>
          </rPr>
          <t xml:space="preserve">* Bucuresti Km Auto Vanzari (Responses)
   2022-09-19 07:52:08 </t>
        </r>
        <r>
          <rPr>
            <b/>
            <sz val="10"/>
            <color indexed="81"/>
            <rFont val="Tahoma"/>
            <family val="2"/>
          </rPr>
          <t xml:space="preserve">= 43462 - Normal </t>
        </r>
        <r>
          <rPr>
            <sz val="10"/>
            <color indexed="81"/>
            <rFont val="Tahoma"/>
            <family val="2"/>
          </rPr>
          <t xml:space="preserve">* Bucuresti Km Auto Vanzari (Responses)
</t>
        </r>
      </text>
    </comment>
    <comment ref="Y107" authorId="0" shapeId="0" xr:uid="{888CB5D6-182D-44D8-9049-D1D7EBEDC7A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14:50:09 </t>
        </r>
        <r>
          <rPr>
            <b/>
            <sz val="10"/>
            <color indexed="81"/>
            <rFont val="Tahoma"/>
            <family val="2"/>
          </rPr>
          <t xml:space="preserve">= 43680 - Referinta </t>
        </r>
        <r>
          <rPr>
            <sz val="10"/>
            <color indexed="81"/>
            <rFont val="Tahoma"/>
            <family val="2"/>
          </rPr>
          <t xml:space="preserve">* Bucuresti Km Auto Vanzari (Responses)
   2022-09-26 07:44:39 </t>
        </r>
        <r>
          <rPr>
            <b/>
            <sz val="10"/>
            <color indexed="81"/>
            <rFont val="Tahoma"/>
            <family val="2"/>
          </rPr>
          <t xml:space="preserve">= 43680 - Normal </t>
        </r>
        <r>
          <rPr>
            <sz val="10"/>
            <color indexed="81"/>
            <rFont val="Tahoma"/>
            <family val="2"/>
          </rPr>
          <t xml:space="preserve">* Bucuresti Km Auto Vanzari (Responses)
   2022-09-28 17:35:40 </t>
        </r>
        <r>
          <rPr>
            <b/>
            <sz val="10"/>
            <color indexed="81"/>
            <rFont val="Tahoma"/>
            <family val="2"/>
          </rPr>
          <t xml:space="preserve">= 43800 - Normal </t>
        </r>
        <r>
          <rPr>
            <sz val="10"/>
            <color indexed="81"/>
            <rFont val="Tahoma"/>
            <family val="2"/>
          </rPr>
          <t xml:space="preserve">* Bucuresti Km Auto Vanzari (Responses)
</t>
        </r>
      </text>
    </comment>
    <comment ref="AD107" authorId="0" shapeId="0" xr:uid="{FFE99269-68B2-4C94-B749-BFC0D51E5AF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 Referinta a fost pusa automat
__________________________________________________________________
</t>
        </r>
        <r>
          <rPr>
            <sz val="10"/>
            <color indexed="12"/>
            <rFont val="Tahoma"/>
            <family val="2"/>
          </rPr>
          <t xml:space="preserve">  </t>
        </r>
        <r>
          <rPr>
            <sz val="10"/>
            <color indexed="81"/>
            <rFont val="Tahoma"/>
            <family val="2"/>
          </rPr>
          <t xml:space="preserve"> 2022-10-03 07:36:47 </t>
        </r>
        <r>
          <rPr>
            <b/>
            <sz val="10"/>
            <color indexed="81"/>
            <rFont val="Tahoma"/>
            <family val="2"/>
          </rPr>
          <t xml:space="preserve">= 43800 - Referinta </t>
        </r>
        <r>
          <rPr>
            <sz val="10"/>
            <color indexed="81"/>
            <rFont val="Tahoma"/>
            <family val="2"/>
          </rPr>
          <t xml:space="preserve">* Bucuresti Km Auto Vanzari (Responses)
   2022-10-03 07:38:52 </t>
        </r>
        <r>
          <rPr>
            <b/>
            <sz val="10"/>
            <color indexed="81"/>
            <rFont val="Tahoma"/>
            <family val="2"/>
          </rPr>
          <t xml:space="preserve">= 43800 - Normal </t>
        </r>
        <r>
          <rPr>
            <sz val="10"/>
            <color indexed="81"/>
            <rFont val="Tahoma"/>
            <family val="2"/>
          </rPr>
          <t xml:space="preserve">* Bucuresti Km Auto Vanzari (Responses)
</t>
        </r>
      </text>
    </comment>
    <comment ref="T108" authorId="0" shapeId="0" xr:uid="{7E7FDBCA-5676-4A31-A222-20D3BBE826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15:23:51 </t>
        </r>
        <r>
          <rPr>
            <b/>
            <sz val="10"/>
            <color indexed="81"/>
            <rFont val="Tahoma"/>
            <family val="2"/>
          </rPr>
          <t xml:space="preserve">= 101283 - Referinta </t>
        </r>
        <r>
          <rPr>
            <sz val="10"/>
            <color indexed="81"/>
            <rFont val="Tahoma"/>
            <family val="2"/>
          </rPr>
          <t xml:space="preserve">* Sibiu Km Auto (Responses)
   2022-09-19 09:40:35 </t>
        </r>
        <r>
          <rPr>
            <b/>
            <sz val="10"/>
            <color indexed="81"/>
            <rFont val="Tahoma"/>
            <family val="2"/>
          </rPr>
          <t xml:space="preserve">= 101283 - Normal </t>
        </r>
        <r>
          <rPr>
            <sz val="10"/>
            <color indexed="81"/>
            <rFont val="Tahoma"/>
            <family val="2"/>
          </rPr>
          <t xml:space="preserve">* Sibiu Km Auto (Responses)
</t>
        </r>
      </text>
    </comment>
    <comment ref="Y108" authorId="0" shapeId="0" xr:uid="{29CFBEB6-3996-4E84-A08E-1E017D7CCD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15:41:30 </t>
        </r>
        <r>
          <rPr>
            <b/>
            <sz val="10"/>
            <color indexed="81"/>
            <rFont val="Tahoma"/>
            <family val="2"/>
          </rPr>
          <t xml:space="preserve">= 101921 - Referinta </t>
        </r>
        <r>
          <rPr>
            <sz val="10"/>
            <color indexed="81"/>
            <rFont val="Tahoma"/>
            <family val="2"/>
          </rPr>
          <t xml:space="preserve">* Sibiu Km Auto (Responses)
   2022-09-26 09:24:09 </t>
        </r>
        <r>
          <rPr>
            <b/>
            <sz val="10"/>
            <color indexed="81"/>
            <rFont val="Tahoma"/>
            <family val="2"/>
          </rPr>
          <t xml:space="preserve">= 101921 - Normal </t>
        </r>
        <r>
          <rPr>
            <sz val="10"/>
            <color indexed="81"/>
            <rFont val="Tahoma"/>
            <family val="2"/>
          </rPr>
          <t xml:space="preserve">* Sibiu Km Auto (Responses)
</t>
        </r>
      </text>
    </comment>
    <comment ref="AD108" authorId="0" shapeId="0" xr:uid="{D8E642FD-E237-4077-9F25-4C8691A4DE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15:48:48 </t>
        </r>
        <r>
          <rPr>
            <b/>
            <sz val="10"/>
            <color indexed="81"/>
            <rFont val="Tahoma"/>
            <family val="2"/>
          </rPr>
          <t xml:space="preserve">= 102169 - Referinta </t>
        </r>
        <r>
          <rPr>
            <sz val="10"/>
            <color indexed="81"/>
            <rFont val="Tahoma"/>
            <family val="2"/>
          </rPr>
          <t xml:space="preserve">* Sibiu Km Auto (Responses)
   2022-10-03 08:39:42 </t>
        </r>
        <r>
          <rPr>
            <b/>
            <sz val="10"/>
            <color indexed="81"/>
            <rFont val="Tahoma"/>
            <family val="2"/>
          </rPr>
          <t xml:space="preserve">= 102169 - Normal </t>
        </r>
        <r>
          <rPr>
            <sz val="10"/>
            <color indexed="81"/>
            <rFont val="Tahoma"/>
            <family val="2"/>
          </rPr>
          <t xml:space="preserve">* Sibiu Km Auto (Responses)
</t>
        </r>
      </text>
    </comment>
    <comment ref="J109" authorId="0" shapeId="0" xr:uid="{2D4D5653-8694-4D06-A2D3-7FDBC1CFAC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15:17:57 </t>
        </r>
        <r>
          <rPr>
            <b/>
            <sz val="10"/>
            <color indexed="81"/>
            <rFont val="Tahoma"/>
            <family val="2"/>
          </rPr>
          <t xml:space="preserve">= 22481 - Referinta </t>
        </r>
        <r>
          <rPr>
            <sz val="10"/>
            <color indexed="81"/>
            <rFont val="Tahoma"/>
            <family val="2"/>
          </rPr>
          <t xml:space="preserve">* Sibiu Km Auto (Responses)
   2022-09-02 15:19:22 </t>
        </r>
        <r>
          <rPr>
            <b/>
            <sz val="10"/>
            <color indexed="81"/>
            <rFont val="Tahoma"/>
            <family val="2"/>
          </rPr>
          <t xml:space="preserve">= 22538 - Normal </t>
        </r>
        <r>
          <rPr>
            <sz val="10"/>
            <color indexed="81"/>
            <rFont val="Tahoma"/>
            <family val="2"/>
          </rPr>
          <t xml:space="preserve">* Sibiu Km Auto (Responses)
   2022-09-06 11:41:02 </t>
        </r>
        <r>
          <rPr>
            <b/>
            <sz val="10"/>
            <color indexed="81"/>
            <rFont val="Tahoma"/>
            <family val="2"/>
          </rPr>
          <t xml:space="preserve">= 22749 - Normal </t>
        </r>
        <r>
          <rPr>
            <sz val="10"/>
            <color indexed="81"/>
            <rFont val="Tahoma"/>
            <family val="2"/>
          </rPr>
          <t xml:space="preserve">* Sibiu Km Auto (Responses)
   2022-09-06 11:41:33 </t>
        </r>
        <r>
          <rPr>
            <b/>
            <sz val="10"/>
            <color indexed="81"/>
            <rFont val="Tahoma"/>
            <family val="2"/>
          </rPr>
          <t xml:space="preserve">= 22920 - Normal </t>
        </r>
        <r>
          <rPr>
            <sz val="10"/>
            <color indexed="81"/>
            <rFont val="Tahoma"/>
            <family val="2"/>
          </rPr>
          <t xml:space="preserve">* Sibiu Km Auto (Responses)
</t>
        </r>
      </text>
    </comment>
    <comment ref="O109" authorId="0" shapeId="0" xr:uid="{EAEE5C55-8F3B-4EA2-B4CD-D3CF54CFDF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23096 - Referinta </t>
        </r>
        <r>
          <rPr>
            <sz val="10"/>
            <color indexed="81"/>
            <rFont val="Tahoma"/>
            <family val="2"/>
          </rPr>
          <t xml:space="preserve">* Sibiu Km Auto (Responses)
   2022-09-12 09:20:43 </t>
        </r>
        <r>
          <rPr>
            <b/>
            <sz val="10"/>
            <color indexed="81"/>
            <rFont val="Tahoma"/>
            <family val="2"/>
          </rPr>
          <t xml:space="preserve">= 23157 - Normal </t>
        </r>
        <r>
          <rPr>
            <sz val="10"/>
            <color indexed="81"/>
            <rFont val="Tahoma"/>
            <family val="2"/>
          </rPr>
          <t xml:space="preserve">* Sibiu Km Auto (Responses)
</t>
        </r>
      </text>
    </comment>
    <comment ref="T109" authorId="0" shapeId="0" xr:uid="{4FED10FC-C92B-4A6E-A1A2-40D355D5698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15:25:33 </t>
        </r>
        <r>
          <rPr>
            <b/>
            <sz val="10"/>
            <color indexed="81"/>
            <rFont val="Tahoma"/>
            <family val="2"/>
          </rPr>
          <t xml:space="preserve">= 23344 - Referinta </t>
        </r>
        <r>
          <rPr>
            <sz val="10"/>
            <color indexed="81"/>
            <rFont val="Tahoma"/>
            <family val="2"/>
          </rPr>
          <t xml:space="preserve">* Sibiu Km Auto (Responses)
   2022-09-19 09:41:36 </t>
        </r>
        <r>
          <rPr>
            <b/>
            <sz val="10"/>
            <color indexed="81"/>
            <rFont val="Tahoma"/>
            <family val="2"/>
          </rPr>
          <t xml:space="preserve">= 23351 - Normal </t>
        </r>
        <r>
          <rPr>
            <sz val="10"/>
            <color indexed="81"/>
            <rFont val="Tahoma"/>
            <family val="2"/>
          </rPr>
          <t xml:space="preserve">* Sibiu Km Auto (Responses)
</t>
        </r>
      </text>
    </comment>
    <comment ref="Y109" authorId="0" shapeId="0" xr:uid="{054B096E-AAE5-41E8-8471-D5270EDB0A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15:39:10 </t>
        </r>
        <r>
          <rPr>
            <b/>
            <sz val="10"/>
            <color indexed="81"/>
            <rFont val="Tahoma"/>
            <family val="2"/>
          </rPr>
          <t xml:space="preserve">= 23597 - Referinta </t>
        </r>
        <r>
          <rPr>
            <sz val="10"/>
            <color indexed="81"/>
            <rFont val="Tahoma"/>
            <family val="2"/>
          </rPr>
          <t xml:space="preserve">* Sibiu Km Auto (Responses)
   2022-09-26 09:22:15 </t>
        </r>
        <r>
          <rPr>
            <b/>
            <sz val="10"/>
            <color indexed="81"/>
            <rFont val="Tahoma"/>
            <family val="2"/>
          </rPr>
          <t xml:space="preserve">= 23662 - Normal </t>
        </r>
        <r>
          <rPr>
            <sz val="10"/>
            <color indexed="81"/>
            <rFont val="Tahoma"/>
            <family val="2"/>
          </rPr>
          <t xml:space="preserve">* Sibiu Km Auto (Responses)
</t>
        </r>
      </text>
    </comment>
    <comment ref="AD109" authorId="0" shapeId="0" xr:uid="{EE0DC42B-E883-4508-B8AD-84318EB9AB2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15:47:49 </t>
        </r>
        <r>
          <rPr>
            <b/>
            <sz val="10"/>
            <color indexed="81"/>
            <rFont val="Tahoma"/>
            <family val="2"/>
          </rPr>
          <t xml:space="preserve">= 23894 - Referinta </t>
        </r>
        <r>
          <rPr>
            <sz val="10"/>
            <color indexed="81"/>
            <rFont val="Tahoma"/>
            <family val="2"/>
          </rPr>
          <t xml:space="preserve">* Sibiu Km Auto (Responses)
   2022-10-03 08:38:55 </t>
        </r>
        <r>
          <rPr>
            <b/>
            <sz val="10"/>
            <color indexed="81"/>
            <rFont val="Tahoma"/>
            <family val="2"/>
          </rPr>
          <t xml:space="preserve">= 23970 - Normal </t>
        </r>
        <r>
          <rPr>
            <sz val="10"/>
            <color indexed="81"/>
            <rFont val="Tahoma"/>
            <family val="2"/>
          </rPr>
          <t xml:space="preserve">* Sibiu Km Auto (Responses)
</t>
        </r>
      </text>
    </comment>
    <comment ref="J110" authorId="0" shapeId="0" xr:uid="{D090A999-58B1-4FC0-A355-DDA27CEEF3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2022-09-06 11:39:45 </t>
        </r>
        <r>
          <rPr>
            <b/>
            <sz val="10"/>
            <color indexed="81"/>
            <rFont val="Tahoma"/>
            <family val="2"/>
          </rPr>
          <t xml:space="preserve">= 51058 - Referinta </t>
        </r>
        <r>
          <rPr>
            <sz val="10"/>
            <color indexed="81"/>
            <rFont val="Tahoma"/>
            <family val="2"/>
          </rPr>
          <t xml:space="preserve">* Sibiu Km Auto (Responses)
   2022-09-06 11:40:24 </t>
        </r>
        <r>
          <rPr>
            <b/>
            <sz val="10"/>
            <color indexed="81"/>
            <rFont val="Tahoma"/>
            <family val="2"/>
          </rPr>
          <t xml:space="preserve">= 51058 - Normal </t>
        </r>
        <r>
          <rPr>
            <sz val="10"/>
            <color indexed="81"/>
            <rFont val="Tahoma"/>
            <family val="2"/>
          </rPr>
          <t xml:space="preserve">* Sibiu Km Auto (Responses)
</t>
        </r>
      </text>
    </comment>
    <comment ref="O110" authorId="0" shapeId="0" xr:uid="{52A32442-0186-4085-AC48-1A68ACED41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03:40:00 </t>
        </r>
        <r>
          <rPr>
            <b/>
            <sz val="10"/>
            <color indexed="81"/>
            <rFont val="Tahoma"/>
            <family val="2"/>
          </rPr>
          <t xml:space="preserve">= 51123 - Referinta </t>
        </r>
        <r>
          <rPr>
            <sz val="10"/>
            <color indexed="81"/>
            <rFont val="Tahoma"/>
            <family val="2"/>
          </rPr>
          <t xml:space="preserve">* Sibiu Km Auto (Responses)
   2022-09-12 09:19:42 </t>
        </r>
        <r>
          <rPr>
            <b/>
            <sz val="10"/>
            <color indexed="81"/>
            <rFont val="Tahoma"/>
            <family val="2"/>
          </rPr>
          <t xml:space="preserve">= 51123 - Normal </t>
        </r>
        <r>
          <rPr>
            <sz val="10"/>
            <color indexed="81"/>
            <rFont val="Tahoma"/>
            <family val="2"/>
          </rPr>
          <t xml:space="preserve">* Sibiu Km Auto (Responses)
</t>
        </r>
      </text>
    </comment>
    <comment ref="T110" authorId="0" shapeId="0" xr:uid="{59DCD1EA-F2E5-4560-895C-26BF27898A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15:22:57 </t>
        </r>
        <r>
          <rPr>
            <b/>
            <sz val="10"/>
            <color indexed="81"/>
            <rFont val="Tahoma"/>
            <family val="2"/>
          </rPr>
          <t xml:space="preserve">= 51123 - Referinta </t>
        </r>
        <r>
          <rPr>
            <sz val="10"/>
            <color indexed="81"/>
            <rFont val="Tahoma"/>
            <family val="2"/>
          </rPr>
          <t xml:space="preserve">* Sibiu Km Auto (Responses)
   2022-09-19 09:39:37 </t>
        </r>
        <r>
          <rPr>
            <b/>
            <sz val="10"/>
            <color indexed="81"/>
            <rFont val="Tahoma"/>
            <family val="2"/>
          </rPr>
          <t xml:space="preserve">= 51123 - Normal </t>
        </r>
        <r>
          <rPr>
            <sz val="10"/>
            <color indexed="81"/>
            <rFont val="Tahoma"/>
            <family val="2"/>
          </rPr>
          <t xml:space="preserve">* Sibiu Km Auto (Responses)
</t>
        </r>
      </text>
    </comment>
    <comment ref="Y110" authorId="0" shapeId="0" xr:uid="{CBD9F80B-580F-4D16-8A66-0E1424EF78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15:40:13 </t>
        </r>
        <r>
          <rPr>
            <b/>
            <sz val="10"/>
            <color indexed="81"/>
            <rFont val="Tahoma"/>
            <family val="2"/>
          </rPr>
          <t xml:space="preserve">= 51129 - Referinta </t>
        </r>
        <r>
          <rPr>
            <sz val="10"/>
            <color indexed="81"/>
            <rFont val="Tahoma"/>
            <family val="2"/>
          </rPr>
          <t xml:space="preserve">* Sibiu Km Auto (Responses)
   2022-09-26 09:23:18 </t>
        </r>
        <r>
          <rPr>
            <b/>
            <sz val="10"/>
            <color indexed="81"/>
            <rFont val="Tahoma"/>
            <family val="2"/>
          </rPr>
          <t xml:space="preserve">= 51129 - Normal </t>
        </r>
        <r>
          <rPr>
            <sz val="10"/>
            <color indexed="81"/>
            <rFont val="Tahoma"/>
            <family val="2"/>
          </rPr>
          <t xml:space="preserve">* Sibiu Km Auto (Responses)
</t>
        </r>
      </text>
    </comment>
    <comment ref="AD110" authorId="0" shapeId="0" xr:uid="{C844BB3B-D239-4860-AFC3-863211DFE9F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15:47:02 </t>
        </r>
        <r>
          <rPr>
            <b/>
            <sz val="10"/>
            <color indexed="81"/>
            <rFont val="Tahoma"/>
            <family val="2"/>
          </rPr>
          <t xml:space="preserve">= 51138 - Referinta </t>
        </r>
        <r>
          <rPr>
            <sz val="10"/>
            <color indexed="81"/>
            <rFont val="Tahoma"/>
            <family val="2"/>
          </rPr>
          <t xml:space="preserve">* Sibiu Km Auto (Responses)
   2022-10-03 08:38:16 </t>
        </r>
        <r>
          <rPr>
            <b/>
            <sz val="10"/>
            <color indexed="81"/>
            <rFont val="Tahoma"/>
            <family val="2"/>
          </rPr>
          <t xml:space="preserve">= 51138 - Normal </t>
        </r>
        <r>
          <rPr>
            <sz val="10"/>
            <color indexed="81"/>
            <rFont val="Tahoma"/>
            <family val="2"/>
          </rPr>
          <t xml:space="preserve">* Sibiu Km Auto (Responses)
</t>
        </r>
      </text>
    </comment>
    <comment ref="J111" authorId="0" shapeId="0" xr:uid="{7F39F1A9-228C-4800-84A5-40C2824AF9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Boncu Alexandru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15:15:04 </t>
        </r>
        <r>
          <rPr>
            <b/>
            <sz val="10"/>
            <color indexed="81"/>
            <rFont val="Tahoma"/>
            <family val="2"/>
          </rPr>
          <t xml:space="preserve">= 50854 - Referinta </t>
        </r>
        <r>
          <rPr>
            <sz val="10"/>
            <color indexed="81"/>
            <rFont val="Tahoma"/>
            <family val="2"/>
          </rPr>
          <t xml:space="preserve">* Sibiu Km Auto (Responses)
   2022-09-02 15:15:41 </t>
        </r>
        <r>
          <rPr>
            <b/>
            <sz val="10"/>
            <color indexed="81"/>
            <rFont val="Tahoma"/>
            <family val="2"/>
          </rPr>
          <t xml:space="preserve">= 50854 - Normal </t>
        </r>
        <r>
          <rPr>
            <sz val="10"/>
            <color indexed="81"/>
            <rFont val="Tahoma"/>
            <family val="2"/>
          </rPr>
          <t xml:space="preserve">* Sibiu Km Auto (Responses)
</t>
        </r>
      </text>
    </comment>
    <comment ref="J112" authorId="0" shapeId="0" xr:uid="{0CE8AC68-C796-418C-9CB4-B532907C6D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19:23:03 </t>
        </r>
        <r>
          <rPr>
            <b/>
            <sz val="10"/>
            <color indexed="81"/>
            <rFont val="Tahoma"/>
            <family val="2"/>
          </rPr>
          <t xml:space="preserve">= 38401 - Referinta </t>
        </r>
        <r>
          <rPr>
            <sz val="10"/>
            <color indexed="81"/>
            <rFont val="Tahoma"/>
            <family val="2"/>
          </rPr>
          <t xml:space="preserve">* Timisoara Km Auto (Responses)
   2022-09-05 07:40:45 </t>
        </r>
        <r>
          <rPr>
            <b/>
            <sz val="10"/>
            <color indexed="81"/>
            <rFont val="Tahoma"/>
            <family val="2"/>
          </rPr>
          <t xml:space="preserve">= 38725 - Normal </t>
        </r>
        <r>
          <rPr>
            <sz val="10"/>
            <color indexed="81"/>
            <rFont val="Tahoma"/>
            <family val="2"/>
          </rPr>
          <t xml:space="preserve">* Timisoara Km Auto (Responses)
</t>
        </r>
      </text>
    </comment>
    <comment ref="O112" authorId="0" shapeId="0" xr:uid="{149ECD4B-96B2-418F-8C0C-6C5D633BE5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__________________________________________________________________
</t>
        </r>
        <r>
          <rPr>
            <sz val="10"/>
            <color indexed="12"/>
            <rFont val="Tahoma"/>
            <family val="2"/>
          </rPr>
          <t xml:space="preserve">  </t>
        </r>
        <r>
          <rPr>
            <sz val="10"/>
            <color indexed="81"/>
            <rFont val="Tahoma"/>
            <family val="2"/>
          </rPr>
          <t xml:space="preserve"> 2022-09-09 23:12:43 </t>
        </r>
        <r>
          <rPr>
            <b/>
            <sz val="10"/>
            <color indexed="81"/>
            <rFont val="Tahoma"/>
            <family val="2"/>
          </rPr>
          <t xml:space="preserve">= 39106 - Referinta </t>
        </r>
        <r>
          <rPr>
            <sz val="10"/>
            <color indexed="81"/>
            <rFont val="Tahoma"/>
            <family val="2"/>
          </rPr>
          <t xml:space="preserve">* Timisoara Km Auto (Responses)
</t>
        </r>
      </text>
    </comment>
    <comment ref="T112" authorId="0" shapeId="0" xr:uid="{F36859FF-54E3-4C24-BF30-53F1487B6F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07:58:37 </t>
        </r>
        <r>
          <rPr>
            <b/>
            <sz val="10"/>
            <color indexed="81"/>
            <rFont val="Tahoma"/>
            <family val="2"/>
          </rPr>
          <t xml:space="preserve">= 39636 - Referinta </t>
        </r>
        <r>
          <rPr>
            <sz val="10"/>
            <color indexed="81"/>
            <rFont val="Tahoma"/>
            <family val="2"/>
          </rPr>
          <t xml:space="preserve">* Timisoara Km Auto (Responses)
</t>
        </r>
      </text>
    </comment>
    <comment ref="Y112" authorId="0" shapeId="0" xr:uid="{D3226C47-1AED-42AF-B10F-69A7D2B871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__________________________________________________________________
</t>
        </r>
        <r>
          <rPr>
            <sz val="10"/>
            <color indexed="12"/>
            <rFont val="Tahoma"/>
            <family val="2"/>
          </rPr>
          <t xml:space="preserve">  </t>
        </r>
        <r>
          <rPr>
            <sz val="10"/>
            <color indexed="81"/>
            <rFont val="Tahoma"/>
            <family val="2"/>
          </rPr>
          <t xml:space="preserve"> 2022-09-23 20:44:40 </t>
        </r>
        <r>
          <rPr>
            <b/>
            <sz val="10"/>
            <color indexed="81"/>
            <rFont val="Tahoma"/>
            <family val="2"/>
          </rPr>
          <t xml:space="preserve">= 40178 - Referinta </t>
        </r>
        <r>
          <rPr>
            <sz val="10"/>
            <color indexed="81"/>
            <rFont val="Tahoma"/>
            <family val="2"/>
          </rPr>
          <t xml:space="preserve">* Timisoara Km Auto (Responses)
   2022-09-26 07:53:48 </t>
        </r>
        <r>
          <rPr>
            <b/>
            <sz val="10"/>
            <color indexed="81"/>
            <rFont val="Tahoma"/>
            <family val="2"/>
          </rPr>
          <t xml:space="preserve">= 40203 - Normal </t>
        </r>
        <r>
          <rPr>
            <sz val="10"/>
            <color indexed="81"/>
            <rFont val="Tahoma"/>
            <family val="2"/>
          </rPr>
          <t xml:space="preserve">* Timisoara Km Auto (Responses)
</t>
        </r>
      </text>
    </comment>
    <comment ref="AD112" authorId="0" shapeId="0" xr:uid="{940DFBA0-CB72-461C-8915-F806D3396E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 
__________________________________________________________________
</t>
        </r>
        <r>
          <rPr>
            <sz val="10"/>
            <color indexed="12"/>
            <rFont val="Tahoma"/>
            <family val="2"/>
          </rPr>
          <t xml:space="preserve">  </t>
        </r>
        <r>
          <rPr>
            <sz val="10"/>
            <color indexed="81"/>
            <rFont val="Tahoma"/>
            <family val="2"/>
          </rPr>
          <t xml:space="preserve"> 2022-09-30 17:27:20 </t>
        </r>
        <r>
          <rPr>
            <b/>
            <sz val="10"/>
            <color indexed="81"/>
            <rFont val="Tahoma"/>
            <family val="2"/>
          </rPr>
          <t xml:space="preserve">= 40337 - Referinta </t>
        </r>
        <r>
          <rPr>
            <sz val="10"/>
            <color indexed="81"/>
            <rFont val="Tahoma"/>
            <family val="2"/>
          </rPr>
          <t xml:space="preserve">* Timisoara Km Auto (Responses)
   2022-10-03 07:53:26 </t>
        </r>
        <r>
          <rPr>
            <b/>
            <sz val="10"/>
            <color indexed="81"/>
            <rFont val="Tahoma"/>
            <family val="2"/>
          </rPr>
          <t xml:space="preserve">= 40340 - Normal </t>
        </r>
        <r>
          <rPr>
            <sz val="10"/>
            <color indexed="81"/>
            <rFont val="Tahoma"/>
            <family val="2"/>
          </rPr>
          <t xml:space="preserve">* Timisoara Km Auto (Responses)
</t>
        </r>
      </text>
    </comment>
    <comment ref="J113" authorId="0" shapeId="0" xr:uid="{17081EB0-276D-4B0A-BC52-97AAAC0CF6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16:57:10 </t>
        </r>
        <r>
          <rPr>
            <b/>
            <sz val="10"/>
            <color indexed="81"/>
            <rFont val="Tahoma"/>
            <family val="2"/>
          </rPr>
          <t xml:space="preserve">= 153202 - Referinta </t>
        </r>
        <r>
          <rPr>
            <sz val="10"/>
            <color indexed="81"/>
            <rFont val="Tahoma"/>
            <family val="2"/>
          </rPr>
          <t xml:space="preserve">* Timisoara Km Auto (Responses)
   2022-09-05 07:59:05 </t>
        </r>
        <r>
          <rPr>
            <b/>
            <sz val="10"/>
            <color indexed="81"/>
            <rFont val="Tahoma"/>
            <family val="2"/>
          </rPr>
          <t xml:space="preserve">= 153202 - Normal </t>
        </r>
        <r>
          <rPr>
            <sz val="10"/>
            <color indexed="81"/>
            <rFont val="Tahoma"/>
            <family val="2"/>
          </rPr>
          <t xml:space="preserve">* Timisoara Km Auto (Responses)
</t>
        </r>
      </text>
    </comment>
    <comment ref="O113" authorId="0" shapeId="0" xr:uid="{2D895125-8A6F-4227-B13F-21DBA236A0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2022-09-09 18:07:53 </t>
        </r>
        <r>
          <rPr>
            <b/>
            <sz val="10"/>
            <color indexed="81"/>
            <rFont val="Tahoma"/>
            <family val="2"/>
          </rPr>
          <t xml:space="preserve">= 153630 - Referinta </t>
        </r>
        <r>
          <rPr>
            <sz val="10"/>
            <color indexed="81"/>
            <rFont val="Tahoma"/>
            <family val="2"/>
          </rPr>
          <t xml:space="preserve">* Timisoara Km Auto (Responses)
   2022-09-12 08:10:40 </t>
        </r>
        <r>
          <rPr>
            <b/>
            <sz val="10"/>
            <color indexed="81"/>
            <rFont val="Tahoma"/>
            <family val="2"/>
          </rPr>
          <t xml:space="preserve">= 153640 - Normal </t>
        </r>
        <r>
          <rPr>
            <sz val="10"/>
            <color indexed="81"/>
            <rFont val="Tahoma"/>
            <family val="2"/>
          </rPr>
          <t xml:space="preserve">* Timisoara Km Auto (Responses)
</t>
        </r>
      </text>
    </comment>
    <comment ref="T113" authorId="0" shapeId="0" xr:uid="{22D4A01E-BE2E-4969-9DA1-D1584804A0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2022-09-16 17:56:11 </t>
        </r>
        <r>
          <rPr>
            <b/>
            <sz val="10"/>
            <color indexed="81"/>
            <rFont val="Tahoma"/>
            <family val="2"/>
          </rPr>
          <t xml:space="preserve">= 154547 - Referinta </t>
        </r>
        <r>
          <rPr>
            <sz val="10"/>
            <color indexed="81"/>
            <rFont val="Tahoma"/>
            <family val="2"/>
          </rPr>
          <t xml:space="preserve">* Timisoara Km Auto (Responses)
   2022-09-19 08:21:10 </t>
        </r>
        <r>
          <rPr>
            <b/>
            <sz val="10"/>
            <color indexed="81"/>
            <rFont val="Tahoma"/>
            <family val="2"/>
          </rPr>
          <t xml:space="preserve">= 154557 - Normal </t>
        </r>
        <r>
          <rPr>
            <sz val="10"/>
            <color indexed="81"/>
            <rFont val="Tahoma"/>
            <family val="2"/>
          </rPr>
          <t xml:space="preserve">* Timisoara Km Auto (Responses)
</t>
        </r>
      </text>
    </comment>
    <comment ref="Y113" authorId="0" shapeId="0" xr:uid="{E7812627-CF28-4B85-B5A7-B226D09E72D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2022-09-23 20:13:21 </t>
        </r>
        <r>
          <rPr>
            <b/>
            <sz val="10"/>
            <color indexed="81"/>
            <rFont val="Tahoma"/>
            <family val="2"/>
          </rPr>
          <t xml:space="preserve">= 154966 - Referinta </t>
        </r>
        <r>
          <rPr>
            <sz val="10"/>
            <color indexed="81"/>
            <rFont val="Tahoma"/>
            <family val="2"/>
          </rPr>
          <t xml:space="preserve">* Timisoara Km Auto (Responses)
   2022-09-26 08:14:27 </t>
        </r>
        <r>
          <rPr>
            <b/>
            <sz val="10"/>
            <color indexed="81"/>
            <rFont val="Tahoma"/>
            <family val="2"/>
          </rPr>
          <t xml:space="preserve">= 154976 - Normal </t>
        </r>
        <r>
          <rPr>
            <sz val="10"/>
            <color indexed="81"/>
            <rFont val="Tahoma"/>
            <family val="2"/>
          </rPr>
          <t xml:space="preserve">* Timisoara Km Auto (Responses)
</t>
        </r>
      </text>
    </comment>
    <comment ref="AD113" authorId="0" shapeId="0" xr:uid="{46FFDD1D-F98E-4AA9-BE10-26F88AE2C5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 
__________________________________________________________________
</t>
        </r>
        <r>
          <rPr>
            <sz val="10"/>
            <color indexed="12"/>
            <rFont val="Tahoma"/>
            <family val="2"/>
          </rPr>
          <t xml:space="preserve">  </t>
        </r>
        <r>
          <rPr>
            <sz val="10"/>
            <color indexed="81"/>
            <rFont val="Tahoma"/>
            <family val="2"/>
          </rPr>
          <t xml:space="preserve"> 2022-09-30 18:11:21 </t>
        </r>
        <r>
          <rPr>
            <b/>
            <sz val="10"/>
            <color indexed="81"/>
            <rFont val="Tahoma"/>
            <family val="2"/>
          </rPr>
          <t xml:space="preserve">= 156164 - Referinta </t>
        </r>
        <r>
          <rPr>
            <sz val="10"/>
            <color indexed="81"/>
            <rFont val="Tahoma"/>
            <family val="2"/>
          </rPr>
          <t xml:space="preserve">* Timisoara Km Auto (Responses)
   2022-10-03 08:19:06 </t>
        </r>
        <r>
          <rPr>
            <b/>
            <sz val="10"/>
            <color indexed="81"/>
            <rFont val="Tahoma"/>
            <family val="2"/>
          </rPr>
          <t xml:space="preserve">= 156173 - Normal </t>
        </r>
        <r>
          <rPr>
            <sz val="10"/>
            <color indexed="81"/>
            <rFont val="Tahoma"/>
            <family val="2"/>
          </rPr>
          <t xml:space="preserve">* Timisoara Km Auto (Responses)
   2022-10-03 08:26:06 </t>
        </r>
        <r>
          <rPr>
            <b/>
            <sz val="10"/>
            <color indexed="81"/>
            <rFont val="Tahoma"/>
            <family val="2"/>
          </rPr>
          <t xml:space="preserve">= 156173 - Normal </t>
        </r>
        <r>
          <rPr>
            <sz val="10"/>
            <color indexed="81"/>
            <rFont val="Tahoma"/>
            <family val="2"/>
          </rPr>
          <t xml:space="preserve">* Timisoara Km Auto (Responses)
</t>
        </r>
      </text>
    </comment>
    <comment ref="J114" authorId="0" shapeId="0" xr:uid="{53BEEAF4-00C6-4A79-9A97-1357984D3A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Referinta a fost pusa automat
__________________________________________________________________
</t>
        </r>
        <r>
          <rPr>
            <sz val="10"/>
            <color indexed="12"/>
            <rFont val="Tahoma"/>
            <family val="2"/>
          </rPr>
          <t xml:space="preserve">  </t>
        </r>
        <r>
          <rPr>
            <sz val="10"/>
            <color indexed="81"/>
            <rFont val="Tahoma"/>
            <family val="2"/>
          </rPr>
          <t xml:space="preserve"> 2022-09-05 10:33:26 </t>
        </r>
        <r>
          <rPr>
            <b/>
            <sz val="10"/>
            <color indexed="81"/>
            <rFont val="Tahoma"/>
            <family val="2"/>
          </rPr>
          <t xml:space="preserve">= 947895 - Referinta </t>
        </r>
        <r>
          <rPr>
            <sz val="10"/>
            <color indexed="81"/>
            <rFont val="Tahoma"/>
            <family val="2"/>
          </rPr>
          <t xml:space="preserve">* Timisoara Km Auto (Responses)
</t>
        </r>
      </text>
    </comment>
    <comment ref="O114" authorId="0" shapeId="0" xr:uid="{8134833B-139B-4F33-8B78-B4BD6D8316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__________________________________________________________________
</t>
        </r>
        <r>
          <rPr>
            <sz val="10"/>
            <color indexed="12"/>
            <rFont val="Tahoma"/>
            <family val="2"/>
          </rPr>
          <t xml:space="preserve">  </t>
        </r>
        <r>
          <rPr>
            <sz val="10"/>
            <color indexed="81"/>
            <rFont val="Tahoma"/>
            <family val="2"/>
          </rPr>
          <t xml:space="preserve"> 2022-09-09 17:00:28 </t>
        </r>
        <r>
          <rPr>
            <b/>
            <sz val="10"/>
            <color indexed="81"/>
            <rFont val="Tahoma"/>
            <family val="2"/>
          </rPr>
          <t xml:space="preserve">= 95017 - Referinta </t>
        </r>
        <r>
          <rPr>
            <sz val="10"/>
            <color indexed="81"/>
            <rFont val="Tahoma"/>
            <family val="2"/>
          </rPr>
          <t xml:space="preserve">* Timisoara Km Auto (Responses)
   2022-09-12 08:32:08 </t>
        </r>
        <r>
          <rPr>
            <b/>
            <sz val="10"/>
            <color indexed="81"/>
            <rFont val="Tahoma"/>
            <family val="2"/>
          </rPr>
          <t xml:space="preserve">= 95017 - Normal </t>
        </r>
        <r>
          <rPr>
            <sz val="10"/>
            <color indexed="81"/>
            <rFont val="Tahoma"/>
            <family val="2"/>
          </rPr>
          <t xml:space="preserve">* Timisoara Km Auto (Responses)
</t>
        </r>
      </text>
    </comment>
    <comment ref="T114" authorId="0" shapeId="0" xr:uid="{77D209EF-E3B9-4575-AB60-373B9B0184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__________________________________________________________________
</t>
        </r>
        <r>
          <rPr>
            <sz val="10"/>
            <color indexed="12"/>
            <rFont val="Tahoma"/>
            <family val="2"/>
          </rPr>
          <t xml:space="preserve">  </t>
        </r>
        <r>
          <rPr>
            <sz val="10"/>
            <color indexed="81"/>
            <rFont val="Tahoma"/>
            <family val="2"/>
          </rPr>
          <t xml:space="preserve"> 2022-09-16 18:46:05 </t>
        </r>
        <r>
          <rPr>
            <b/>
            <sz val="10"/>
            <color indexed="81"/>
            <rFont val="Tahoma"/>
            <family val="2"/>
          </rPr>
          <t xml:space="preserve">= 95251 - Referinta </t>
        </r>
        <r>
          <rPr>
            <sz val="10"/>
            <color indexed="81"/>
            <rFont val="Tahoma"/>
            <family val="2"/>
          </rPr>
          <t xml:space="preserve">* Timisoara Km Auto (Responses)
   2022-09-19 08:33:48 </t>
        </r>
        <r>
          <rPr>
            <b/>
            <sz val="10"/>
            <color indexed="81"/>
            <rFont val="Tahoma"/>
            <family val="2"/>
          </rPr>
          <t xml:space="preserve">= 95288 - Normal </t>
        </r>
        <r>
          <rPr>
            <sz val="10"/>
            <color indexed="81"/>
            <rFont val="Tahoma"/>
            <family val="2"/>
          </rPr>
          <t xml:space="preserve">* Timisoara Km Auto (Responses)
</t>
        </r>
      </text>
    </comment>
    <comment ref="AD114" authorId="0" shapeId="0" xr:uid="{82660267-08DC-456A-BDBB-7FA6698CA7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 
__________________________________________________________________
</t>
        </r>
        <r>
          <rPr>
            <sz val="10"/>
            <color indexed="12"/>
            <rFont val="Tahoma"/>
            <family val="2"/>
          </rPr>
          <t xml:space="preserve">  </t>
        </r>
        <r>
          <rPr>
            <sz val="10"/>
            <color indexed="81"/>
            <rFont val="Tahoma"/>
            <family val="2"/>
          </rPr>
          <t xml:space="preserve"> 2022-09-30 18:01:37 </t>
        </r>
        <r>
          <rPr>
            <b/>
            <sz val="10"/>
            <color indexed="81"/>
            <rFont val="Tahoma"/>
            <family val="2"/>
          </rPr>
          <t xml:space="preserve">= 95333 - Referinta </t>
        </r>
        <r>
          <rPr>
            <sz val="10"/>
            <color indexed="81"/>
            <rFont val="Tahoma"/>
            <family val="2"/>
          </rPr>
          <t xml:space="preserve">* Timisoara Km Auto (Responses)
   2022-10-03 08:03:44 </t>
        </r>
        <r>
          <rPr>
            <b/>
            <sz val="10"/>
            <color indexed="81"/>
            <rFont val="Tahoma"/>
            <family val="2"/>
          </rPr>
          <t xml:space="preserve">= 95388 - Normal </t>
        </r>
        <r>
          <rPr>
            <sz val="10"/>
            <color indexed="81"/>
            <rFont val="Tahoma"/>
            <family val="2"/>
          </rPr>
          <t xml:space="preserve">* Timisoara Km Auto (Responses)
</t>
        </r>
      </text>
    </comment>
    <comment ref="J115" authorId="0" shapeId="0" xr:uid="{4FAE0AE7-B8C5-4B18-8D9E-92710F9086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17:00:16 </t>
        </r>
        <r>
          <rPr>
            <b/>
            <sz val="10"/>
            <color indexed="81"/>
            <rFont val="Tahoma"/>
            <family val="2"/>
          </rPr>
          <t xml:space="preserve">= 99529 - Referinta </t>
        </r>
        <r>
          <rPr>
            <sz val="10"/>
            <color indexed="81"/>
            <rFont val="Tahoma"/>
            <family val="2"/>
          </rPr>
          <t xml:space="preserve">* Timisoara Km Auto (Responses)
   2022-09-05 08:10:38 </t>
        </r>
        <r>
          <rPr>
            <b/>
            <sz val="10"/>
            <color indexed="81"/>
            <rFont val="Tahoma"/>
            <family val="2"/>
          </rPr>
          <t xml:space="preserve">= 99542 - Interes Serviciu </t>
        </r>
        <r>
          <rPr>
            <sz val="10"/>
            <color indexed="81"/>
            <rFont val="Tahoma"/>
            <family val="2"/>
          </rPr>
          <t xml:space="preserve">* Timisoara Km Auto (Responses)
</t>
        </r>
      </text>
    </comment>
    <comment ref="O115" authorId="0" shapeId="0" xr:uid="{68F68DF4-82CF-445D-A8E0-18E6167FC6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18:28:34 </t>
        </r>
        <r>
          <rPr>
            <b/>
            <sz val="10"/>
            <color indexed="81"/>
            <rFont val="Tahoma"/>
            <family val="2"/>
          </rPr>
          <t xml:space="preserve">= 100031 - Referinta </t>
        </r>
        <r>
          <rPr>
            <sz val="10"/>
            <color indexed="81"/>
            <rFont val="Tahoma"/>
            <family val="2"/>
          </rPr>
          <t xml:space="preserve">* Timisoara Km Auto (Responses)
</t>
        </r>
      </text>
    </comment>
    <comment ref="T115" authorId="0" shapeId="0" xr:uid="{1373DD92-AFD9-486C-A8E2-462C6A4036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2022-09-19 10:05:53 </t>
        </r>
        <r>
          <rPr>
            <b/>
            <sz val="10"/>
            <color indexed="81"/>
            <rFont val="Tahoma"/>
            <family val="2"/>
          </rPr>
          <t xml:space="preserve">= 100044 - Referinta </t>
        </r>
        <r>
          <rPr>
            <sz val="10"/>
            <color indexed="81"/>
            <rFont val="Tahoma"/>
            <family val="2"/>
          </rPr>
          <t xml:space="preserve">* Timisoara Km Auto (Responses)
</t>
        </r>
      </text>
    </comment>
    <comment ref="Y115" authorId="0" shapeId="0" xr:uid="{5A8E4B71-A7DE-4670-BB89-5F411DA965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__________________________________________________________________
</t>
        </r>
        <r>
          <rPr>
            <sz val="10"/>
            <color indexed="12"/>
            <rFont val="Tahoma"/>
            <family val="2"/>
          </rPr>
          <t xml:space="preserve">  </t>
        </r>
        <r>
          <rPr>
            <sz val="10"/>
            <color indexed="81"/>
            <rFont val="Tahoma"/>
            <family val="2"/>
          </rPr>
          <t xml:space="preserve"> 2022-09-23 16:29:47 </t>
        </r>
        <r>
          <rPr>
            <b/>
            <sz val="10"/>
            <color indexed="81"/>
            <rFont val="Tahoma"/>
            <family val="2"/>
          </rPr>
          <t xml:space="preserve">= 100404 - Referinta </t>
        </r>
        <r>
          <rPr>
            <sz val="10"/>
            <color indexed="81"/>
            <rFont val="Tahoma"/>
            <family val="2"/>
          </rPr>
          <t xml:space="preserve">* Timisoara Km Auto (Responses)
   2022-09-26 08:21:30 </t>
        </r>
        <r>
          <rPr>
            <b/>
            <sz val="10"/>
            <color indexed="81"/>
            <rFont val="Tahoma"/>
            <family val="2"/>
          </rPr>
          <t xml:space="preserve">= 100434 - Normal </t>
        </r>
        <r>
          <rPr>
            <sz val="10"/>
            <color indexed="81"/>
            <rFont val="Tahoma"/>
            <family val="2"/>
          </rPr>
          <t xml:space="preserve">* Timisoara Km Auto (Responses)
</t>
        </r>
      </text>
    </comment>
    <comment ref="AD115" authorId="0" shapeId="0" xr:uid="{DBCF25A9-FF70-4C0A-A489-797741D098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16:40:16 </t>
        </r>
        <r>
          <rPr>
            <b/>
            <sz val="10"/>
            <color indexed="81"/>
            <rFont val="Tahoma"/>
            <family val="2"/>
          </rPr>
          <t xml:space="preserve">= 101139 - Referinta </t>
        </r>
        <r>
          <rPr>
            <sz val="10"/>
            <color indexed="81"/>
            <rFont val="Tahoma"/>
            <family val="2"/>
          </rPr>
          <t xml:space="preserve">* Timisoara Km Auto (Responses)
   2022-10-03 08:06:30 </t>
        </r>
        <r>
          <rPr>
            <b/>
            <sz val="10"/>
            <color indexed="81"/>
            <rFont val="Tahoma"/>
            <family val="2"/>
          </rPr>
          <t xml:space="preserve">= 101152 - Interes serviciu </t>
        </r>
        <r>
          <rPr>
            <sz val="10"/>
            <color indexed="81"/>
            <rFont val="Tahoma"/>
            <family val="2"/>
          </rPr>
          <t xml:space="preserve">* Timisoara Km Auto (Responses)
</t>
        </r>
      </text>
    </comment>
    <comment ref="J116" authorId="0" shapeId="0" xr:uid="{137DEE46-292D-49F9-B1EB-D8EBCA14B8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2022-09-03 11:56:50 </t>
        </r>
        <r>
          <rPr>
            <b/>
            <sz val="10"/>
            <color indexed="81"/>
            <rFont val="Tahoma"/>
            <family val="2"/>
          </rPr>
          <t xml:space="preserve">= 16114 - Referinta </t>
        </r>
        <r>
          <rPr>
            <sz val="10"/>
            <color indexed="81"/>
            <rFont val="Tahoma"/>
            <family val="2"/>
          </rPr>
          <t xml:space="preserve">* Timisoara Km Auto (Responses)
   2022-09-05 07:50:58 </t>
        </r>
        <r>
          <rPr>
            <b/>
            <sz val="10"/>
            <color indexed="81"/>
            <rFont val="Tahoma"/>
            <family val="2"/>
          </rPr>
          <t xml:space="preserve">= 16128 - Normal </t>
        </r>
        <r>
          <rPr>
            <sz val="10"/>
            <color indexed="81"/>
            <rFont val="Tahoma"/>
            <family val="2"/>
          </rPr>
          <t xml:space="preserve">* Timisoara Km Auto (Responses)
</t>
        </r>
      </text>
    </comment>
    <comment ref="O116" authorId="0" shapeId="0" xr:uid="{C8E5EC48-8B2D-4899-B810-6300DAD1BA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__________________________________________________________________
</t>
        </r>
        <r>
          <rPr>
            <sz val="10"/>
            <color indexed="12"/>
            <rFont val="Tahoma"/>
            <family val="2"/>
          </rPr>
          <t xml:space="preserve">  </t>
        </r>
        <r>
          <rPr>
            <sz val="10"/>
            <color indexed="81"/>
            <rFont val="Tahoma"/>
            <family val="2"/>
          </rPr>
          <t xml:space="preserve"> 2022-09-09 16:54:39 </t>
        </r>
        <r>
          <rPr>
            <b/>
            <sz val="10"/>
            <color indexed="81"/>
            <rFont val="Tahoma"/>
            <family val="2"/>
          </rPr>
          <t xml:space="preserve">= 17250 - Referinta </t>
        </r>
        <r>
          <rPr>
            <sz val="10"/>
            <color indexed="81"/>
            <rFont val="Tahoma"/>
            <family val="2"/>
          </rPr>
          <t xml:space="preserve">* Timisoara Km Auto (Responses)
   2022-09-12 07:33:00 </t>
        </r>
        <r>
          <rPr>
            <b/>
            <sz val="10"/>
            <color indexed="81"/>
            <rFont val="Tahoma"/>
            <family val="2"/>
          </rPr>
          <t xml:space="preserve">= 17269 - Normal </t>
        </r>
        <r>
          <rPr>
            <sz val="10"/>
            <color indexed="81"/>
            <rFont val="Tahoma"/>
            <family val="2"/>
          </rPr>
          <t xml:space="preserve">* Timisoara Km Auto (Responses)
</t>
        </r>
      </text>
    </comment>
    <comment ref="T116" authorId="0" shapeId="0" xr:uid="{91E2B8E6-A5B0-4B7F-ABA4-B6D32F90F8D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__________________________________________________________________
</t>
        </r>
        <r>
          <rPr>
            <sz val="10"/>
            <color indexed="12"/>
            <rFont val="Tahoma"/>
            <family val="2"/>
          </rPr>
          <t xml:space="preserve">  </t>
        </r>
        <r>
          <rPr>
            <sz val="10"/>
            <color indexed="81"/>
            <rFont val="Tahoma"/>
            <family val="2"/>
          </rPr>
          <t xml:space="preserve"> 2022-09-16 17:27:41 </t>
        </r>
        <r>
          <rPr>
            <b/>
            <sz val="10"/>
            <color indexed="81"/>
            <rFont val="Tahoma"/>
            <family val="2"/>
          </rPr>
          <t xml:space="preserve">= 18517 - Referinta </t>
        </r>
        <r>
          <rPr>
            <sz val="10"/>
            <color indexed="81"/>
            <rFont val="Tahoma"/>
            <family val="2"/>
          </rPr>
          <t xml:space="preserve">* Timisoara Km Auto (Responses)
   2022-09-19 07:36:08 </t>
        </r>
        <r>
          <rPr>
            <b/>
            <sz val="10"/>
            <color indexed="81"/>
            <rFont val="Tahoma"/>
            <family val="2"/>
          </rPr>
          <t xml:space="preserve">= 18529 - Normal </t>
        </r>
        <r>
          <rPr>
            <sz val="10"/>
            <color indexed="81"/>
            <rFont val="Tahoma"/>
            <family val="2"/>
          </rPr>
          <t xml:space="preserve">* Timisoara Km Auto (Responses)
</t>
        </r>
      </text>
    </comment>
    <comment ref="Y116" authorId="0" shapeId="0" xr:uid="{FC151A5E-10E0-4F32-B78B-E79ABEC316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16:43:25 </t>
        </r>
        <r>
          <rPr>
            <b/>
            <sz val="10"/>
            <color indexed="81"/>
            <rFont val="Tahoma"/>
            <family val="2"/>
          </rPr>
          <t xml:space="preserve">= 18729 - Referinta </t>
        </r>
        <r>
          <rPr>
            <sz val="10"/>
            <color indexed="81"/>
            <rFont val="Tahoma"/>
            <family val="2"/>
          </rPr>
          <t xml:space="preserve">* Timisoara Km Auto (Responses)
   2022-09-26 07:48:24 </t>
        </r>
        <r>
          <rPr>
            <b/>
            <sz val="10"/>
            <color indexed="81"/>
            <rFont val="Tahoma"/>
            <family val="2"/>
          </rPr>
          <t xml:space="preserve">= 18732 - Normal </t>
        </r>
        <r>
          <rPr>
            <sz val="10"/>
            <color indexed="81"/>
            <rFont val="Tahoma"/>
            <family val="2"/>
          </rPr>
          <t xml:space="preserve">* Timisoara Km Auto (Responses)
</t>
        </r>
      </text>
    </comment>
    <comment ref="AD116" authorId="0" shapeId="0" xr:uid="{B9A7F837-6241-4777-B8F2-248A8B3655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18:52:02 </t>
        </r>
        <r>
          <rPr>
            <b/>
            <sz val="10"/>
            <color indexed="81"/>
            <rFont val="Tahoma"/>
            <family val="2"/>
          </rPr>
          <t xml:space="preserve">= 19570 - Referinta </t>
        </r>
        <r>
          <rPr>
            <sz val="10"/>
            <color indexed="81"/>
            <rFont val="Tahoma"/>
            <family val="2"/>
          </rPr>
          <t xml:space="preserve">* Timisoara Km Auto (Responses)
   2022-10-03 04:54:42 </t>
        </r>
        <r>
          <rPr>
            <b/>
            <sz val="10"/>
            <color indexed="81"/>
            <rFont val="Tahoma"/>
            <family val="2"/>
          </rPr>
          <t xml:space="preserve">= 19743 - Normal </t>
        </r>
        <r>
          <rPr>
            <sz val="10"/>
            <color indexed="81"/>
            <rFont val="Tahoma"/>
            <family val="2"/>
          </rPr>
          <t xml:space="preserve">* Timisoara Km Auto (Responses)
</t>
        </r>
      </text>
    </comment>
    <comment ref="J117" authorId="0" shapeId="0" xr:uid="{7B256984-AE2F-4BE8-91DD-8A54B1CA6B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16:56:05 </t>
        </r>
        <r>
          <rPr>
            <b/>
            <sz val="10"/>
            <color indexed="81"/>
            <rFont val="Tahoma"/>
            <family val="2"/>
          </rPr>
          <t xml:space="preserve">= 113274 - Referinta </t>
        </r>
        <r>
          <rPr>
            <sz val="10"/>
            <color indexed="81"/>
            <rFont val="Tahoma"/>
            <family val="2"/>
          </rPr>
          <t xml:space="preserve">* Timisoara Km Auto (Responses)
   2022-09-05 08:02:56 </t>
        </r>
        <r>
          <rPr>
            <b/>
            <sz val="10"/>
            <color indexed="81"/>
            <rFont val="Tahoma"/>
            <family val="2"/>
          </rPr>
          <t xml:space="preserve">= 113276 - Interes Serviciu </t>
        </r>
        <r>
          <rPr>
            <sz val="10"/>
            <color indexed="81"/>
            <rFont val="Tahoma"/>
            <family val="2"/>
          </rPr>
          <t xml:space="preserve">* Timisoara Km Auto (Responses)
</t>
        </r>
      </text>
    </comment>
    <comment ref="O117" authorId="0" shapeId="0" xr:uid="{01A8D750-D619-4DD1-8ABB-2625DC99DC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2022-09-09 16:58:56 </t>
        </r>
        <r>
          <rPr>
            <b/>
            <sz val="10"/>
            <color indexed="81"/>
            <rFont val="Tahoma"/>
            <family val="2"/>
          </rPr>
          <t xml:space="preserve">= 114372 - Referinta </t>
        </r>
        <r>
          <rPr>
            <sz val="10"/>
            <color indexed="81"/>
            <rFont val="Tahoma"/>
            <family val="2"/>
          </rPr>
          <t xml:space="preserve">* Timisoara Km Auto (Responses)
   2022-09-12 08:04:25 </t>
        </r>
        <r>
          <rPr>
            <b/>
            <sz val="10"/>
            <color indexed="81"/>
            <rFont val="Tahoma"/>
            <family val="2"/>
          </rPr>
          <t xml:space="preserve">= 114373 - Normal </t>
        </r>
        <r>
          <rPr>
            <sz val="10"/>
            <color indexed="81"/>
            <rFont val="Tahoma"/>
            <family val="2"/>
          </rPr>
          <t xml:space="preserve">* Timisoara Km Auto (Responses)
</t>
        </r>
      </text>
    </comment>
    <comment ref="T117" authorId="0" shapeId="0" xr:uid="{20D66DF0-B504-400C-A037-EE8554A37F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2022-09-16 15:28:27 </t>
        </r>
        <r>
          <rPr>
            <b/>
            <sz val="10"/>
            <color indexed="81"/>
            <rFont val="Tahoma"/>
            <family val="2"/>
          </rPr>
          <t xml:space="preserve">= 114862 - Referinta </t>
        </r>
        <r>
          <rPr>
            <sz val="10"/>
            <color indexed="81"/>
            <rFont val="Tahoma"/>
            <family val="2"/>
          </rPr>
          <t xml:space="preserve">* Timisoara Km Auto (Responses)
   2022-09-19 08:14:54 </t>
        </r>
        <r>
          <rPr>
            <b/>
            <sz val="10"/>
            <color indexed="81"/>
            <rFont val="Tahoma"/>
            <family val="2"/>
          </rPr>
          <t xml:space="preserve">= 114863 - Normal </t>
        </r>
        <r>
          <rPr>
            <sz val="10"/>
            <color indexed="81"/>
            <rFont val="Tahoma"/>
            <family val="2"/>
          </rPr>
          <t xml:space="preserve">* Timisoara Km Auto (Responses)
</t>
        </r>
      </text>
    </comment>
    <comment ref="Y117" authorId="0" shapeId="0" xr:uid="{BDAA7EC5-743E-46E9-8B96-BC149CD782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2022-09-23 16:24:04 </t>
        </r>
        <r>
          <rPr>
            <b/>
            <sz val="10"/>
            <color indexed="81"/>
            <rFont val="Tahoma"/>
            <family val="2"/>
          </rPr>
          <t xml:space="preserve">= 116328 - Referinta </t>
        </r>
        <r>
          <rPr>
            <sz val="10"/>
            <color indexed="81"/>
            <rFont val="Tahoma"/>
            <family val="2"/>
          </rPr>
          <t xml:space="preserve">* Timisoara Km Auto (Responses)
   2022-09-26 08:12:28 </t>
        </r>
        <r>
          <rPr>
            <b/>
            <sz val="10"/>
            <color indexed="81"/>
            <rFont val="Tahoma"/>
            <family val="2"/>
          </rPr>
          <t xml:space="preserve">= 116329 - Normal </t>
        </r>
        <r>
          <rPr>
            <sz val="10"/>
            <color indexed="81"/>
            <rFont val="Tahoma"/>
            <family val="2"/>
          </rPr>
          <t xml:space="preserve">* Timisoara Km Auto (Responses)
</t>
        </r>
      </text>
    </comment>
    <comment ref="AD117" authorId="0" shapeId="0" xr:uid="{786EEC31-98EE-4D08-A9EE-670769D08D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 
__________________________________________________________________
</t>
        </r>
        <r>
          <rPr>
            <sz val="10"/>
            <color indexed="12"/>
            <rFont val="Tahoma"/>
            <family val="2"/>
          </rPr>
          <t xml:space="preserve">  </t>
        </r>
        <r>
          <rPr>
            <sz val="10"/>
            <color indexed="81"/>
            <rFont val="Tahoma"/>
            <family val="2"/>
          </rPr>
          <t xml:space="preserve"> 2022-09-30 15:56:00 </t>
        </r>
        <r>
          <rPr>
            <b/>
            <sz val="10"/>
            <color indexed="81"/>
            <rFont val="Tahoma"/>
            <family val="2"/>
          </rPr>
          <t xml:space="preserve">= 117202 - Referinta </t>
        </r>
        <r>
          <rPr>
            <sz val="10"/>
            <color indexed="81"/>
            <rFont val="Tahoma"/>
            <family val="2"/>
          </rPr>
          <t xml:space="preserve">* Timisoara Km Auto (Responses)
   2022-10-03 08:05:24 </t>
        </r>
        <r>
          <rPr>
            <b/>
            <sz val="10"/>
            <color indexed="81"/>
            <rFont val="Tahoma"/>
            <family val="2"/>
          </rPr>
          <t xml:space="preserve">= 117204 - Normal </t>
        </r>
        <r>
          <rPr>
            <sz val="10"/>
            <color indexed="81"/>
            <rFont val="Tahoma"/>
            <family val="2"/>
          </rPr>
          <t xml:space="preserve">* Timisoara Km Auto (Responses)
</t>
        </r>
      </text>
    </comment>
    <comment ref="J118" authorId="0" shapeId="0" xr:uid="{59BD27CA-726B-4FF8-9EF4-5F163C9514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2022-09-02 16:52:25 </t>
        </r>
        <r>
          <rPr>
            <b/>
            <sz val="10"/>
            <color indexed="81"/>
            <rFont val="Tahoma"/>
            <family val="2"/>
          </rPr>
          <t xml:space="preserve">= 33673 - Referinta </t>
        </r>
        <r>
          <rPr>
            <sz val="10"/>
            <color indexed="81"/>
            <rFont val="Tahoma"/>
            <family val="2"/>
          </rPr>
          <t xml:space="preserve">* Timisoara Km Auto (Responses)
   2022-09-05 07:30:24 </t>
        </r>
        <r>
          <rPr>
            <b/>
            <sz val="10"/>
            <color indexed="81"/>
            <rFont val="Tahoma"/>
            <family val="2"/>
          </rPr>
          <t xml:space="preserve">= 33674 - Normal </t>
        </r>
        <r>
          <rPr>
            <sz val="10"/>
            <color indexed="81"/>
            <rFont val="Tahoma"/>
            <family val="2"/>
          </rPr>
          <t xml:space="preserve">* Timisoara Km Auto (Responses)
</t>
        </r>
      </text>
    </comment>
    <comment ref="O118" authorId="0" shapeId="0" xr:uid="{D7F631BB-F58F-4E7E-B159-505157E9DA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2022-09-09 18:29:51 </t>
        </r>
        <r>
          <rPr>
            <b/>
            <sz val="10"/>
            <color indexed="81"/>
            <rFont val="Tahoma"/>
            <family val="2"/>
          </rPr>
          <t xml:space="preserve">= 34051 - Referinta </t>
        </r>
        <r>
          <rPr>
            <sz val="10"/>
            <color indexed="81"/>
            <rFont val="Tahoma"/>
            <family val="2"/>
          </rPr>
          <t xml:space="preserve">* Timisoara Km Auto (Responses)
   2022-09-12 07:32:28 </t>
        </r>
        <r>
          <rPr>
            <b/>
            <sz val="10"/>
            <color indexed="81"/>
            <rFont val="Tahoma"/>
            <family val="2"/>
          </rPr>
          <t xml:space="preserve">= 34052 - Normal </t>
        </r>
        <r>
          <rPr>
            <sz val="10"/>
            <color indexed="81"/>
            <rFont val="Tahoma"/>
            <family val="2"/>
          </rPr>
          <t xml:space="preserve">* Timisoara Km Auto (Responses)
</t>
        </r>
      </text>
    </comment>
    <comment ref="T118" authorId="0" shapeId="0" xr:uid="{916220E9-6AAF-44B8-AD06-47E5470535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2022-09-16 20:26:06 </t>
        </r>
        <r>
          <rPr>
            <b/>
            <sz val="10"/>
            <color indexed="81"/>
            <rFont val="Tahoma"/>
            <family val="2"/>
          </rPr>
          <t xml:space="preserve">= 34744 - Referinta </t>
        </r>
        <r>
          <rPr>
            <sz val="10"/>
            <color indexed="81"/>
            <rFont val="Tahoma"/>
            <family val="2"/>
          </rPr>
          <t xml:space="preserve">* Timisoara Km Auto (Responses)
   2022-09-19 07:33:16 </t>
        </r>
        <r>
          <rPr>
            <b/>
            <sz val="10"/>
            <color indexed="81"/>
            <rFont val="Tahoma"/>
            <family val="2"/>
          </rPr>
          <t xml:space="preserve">= 34746 - Normal </t>
        </r>
        <r>
          <rPr>
            <sz val="10"/>
            <color indexed="81"/>
            <rFont val="Tahoma"/>
            <family val="2"/>
          </rPr>
          <t xml:space="preserve">* Timisoara Km Auto (Responses)
</t>
        </r>
      </text>
    </comment>
    <comment ref="Y118" authorId="0" shapeId="0" xr:uid="{31A581C5-C320-439F-A2FA-66CC085DA6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2022-09-23 20:23:43 </t>
        </r>
        <r>
          <rPr>
            <b/>
            <sz val="10"/>
            <color indexed="81"/>
            <rFont val="Tahoma"/>
            <family val="2"/>
          </rPr>
          <t xml:space="preserve">= 35191 - Referinta </t>
        </r>
        <r>
          <rPr>
            <sz val="10"/>
            <color indexed="81"/>
            <rFont val="Tahoma"/>
            <family val="2"/>
          </rPr>
          <t xml:space="preserve">* Timisoara Km Auto (Responses)
   2022-09-26 07:30:32 </t>
        </r>
        <r>
          <rPr>
            <b/>
            <sz val="10"/>
            <color indexed="81"/>
            <rFont val="Tahoma"/>
            <family val="2"/>
          </rPr>
          <t xml:space="preserve">= 35243 - Normal </t>
        </r>
        <r>
          <rPr>
            <sz val="10"/>
            <color indexed="81"/>
            <rFont val="Tahoma"/>
            <family val="2"/>
          </rPr>
          <t xml:space="preserve">* Timisoara Km Auto (Responses)
</t>
        </r>
      </text>
    </comment>
    <comment ref="AD118" authorId="0" shapeId="0" xr:uid="{7C58D558-8D6E-457A-BF81-8C325F3A45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 Referinta a fost pusa automat
__________________________________________________________________
</t>
        </r>
        <r>
          <rPr>
            <sz val="10"/>
            <color indexed="12"/>
            <rFont val="Tahoma"/>
            <family val="2"/>
          </rPr>
          <t xml:space="preserve">  </t>
        </r>
        <r>
          <rPr>
            <sz val="10"/>
            <color indexed="81"/>
            <rFont val="Tahoma"/>
            <family val="2"/>
          </rPr>
          <t xml:space="preserve"> 2022-09-30 19:10:28 </t>
        </r>
        <r>
          <rPr>
            <b/>
            <sz val="10"/>
            <color indexed="81"/>
            <rFont val="Tahoma"/>
            <family val="2"/>
          </rPr>
          <t xml:space="preserve">= 35495 - Referinta </t>
        </r>
        <r>
          <rPr>
            <sz val="10"/>
            <color indexed="81"/>
            <rFont val="Tahoma"/>
            <family val="2"/>
          </rPr>
          <t xml:space="preserve">* Timisoara Km Auto (Responses)
   2022-10-03 07:31:18 </t>
        </r>
        <r>
          <rPr>
            <b/>
            <sz val="10"/>
            <color indexed="81"/>
            <rFont val="Tahoma"/>
            <family val="2"/>
          </rPr>
          <t xml:space="preserve">= 35566 - Normal </t>
        </r>
        <r>
          <rPr>
            <sz val="10"/>
            <color indexed="81"/>
            <rFont val="Tahoma"/>
            <family val="2"/>
          </rPr>
          <t xml:space="preserve">* Timisoara Km Auto (Responses)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Vicentiu MINCIOR</author>
  </authors>
  <commentList>
    <comment ref="J1" authorId="0" shapeId="0" xr:uid="{DB6D29E7-2D6F-4E29-8E0B-8647EAA5FB51}">
      <text>
        <r>
          <rPr>
            <sz val="10"/>
            <color indexed="81"/>
            <rFont val="Tahoma"/>
            <family val="2"/>
          </rPr>
          <t>Perioada pentru introducere date: 
2022-09-02:2022-09-08</t>
        </r>
      </text>
    </comment>
    <comment ref="O1" authorId="0" shapeId="0" xr:uid="{D66E84C0-3B2F-4BE5-8EE2-99167B957725}">
      <text>
        <r>
          <rPr>
            <sz val="10"/>
            <color indexed="81"/>
            <rFont val="Tahoma"/>
            <family val="2"/>
          </rPr>
          <t>Perioada pentru introducere date: 
2022-09-09:2022-09-15</t>
        </r>
      </text>
    </comment>
    <comment ref="T1" authorId="0" shapeId="0" xr:uid="{DF9ED071-D95D-422D-82DF-872C59BA3531}">
      <text>
        <r>
          <rPr>
            <sz val="10"/>
            <color indexed="81"/>
            <rFont val="Tahoma"/>
            <family val="2"/>
          </rPr>
          <t>Perioada pentru introducere date: 
2022-09-16:2022-09-22</t>
        </r>
      </text>
    </comment>
    <comment ref="Y1" authorId="0" shapeId="0" xr:uid="{DE900D3F-88B7-48D0-AC65-E60B8052163C}">
      <text>
        <r>
          <rPr>
            <sz val="10"/>
            <color indexed="81"/>
            <rFont val="Tahoma"/>
            <family val="2"/>
          </rPr>
          <t>Perioada pentru introducere date: 
2022-09-23:2022-09-29</t>
        </r>
      </text>
    </comment>
    <comment ref="AD1" authorId="0" shapeId="0" xr:uid="{CFC8AF2A-3F91-4F89-8CB6-2B72BDB7C35B}">
      <text>
        <r>
          <rPr>
            <sz val="10"/>
            <color indexed="81"/>
            <rFont val="Tahoma"/>
            <family val="2"/>
          </rPr>
          <t>Perioada pentru introducere date: 
2022-09-30:2022-10-06</t>
        </r>
      </text>
    </comment>
    <comment ref="J3" authorId="0" shapeId="0" xr:uid="{3EC1B305-E0D8-4919-8188-924A11056D8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4:00:08 PM </t>
        </r>
        <r>
          <rPr>
            <b/>
            <sz val="10"/>
            <color indexed="81"/>
            <rFont val="Tahoma"/>
            <family val="2"/>
          </rPr>
          <t xml:space="preserve">= 117761 - Referinta </t>
        </r>
        <r>
          <rPr>
            <sz val="10"/>
            <color indexed="81"/>
            <rFont val="Tahoma"/>
            <family val="2"/>
          </rPr>
          <t xml:space="preserve">* Brasov Km Auto (Responses)
   9/5/2022 7:28:09 AM </t>
        </r>
        <r>
          <rPr>
            <b/>
            <sz val="10"/>
            <color indexed="81"/>
            <rFont val="Tahoma"/>
            <family val="2"/>
          </rPr>
          <t xml:space="preserve">= 117772 - Normal </t>
        </r>
        <r>
          <rPr>
            <sz val="10"/>
            <color indexed="81"/>
            <rFont val="Tahoma"/>
            <family val="2"/>
          </rPr>
          <t xml:space="preserve">* Brasov Km Auto (Responses)
</t>
        </r>
      </text>
    </comment>
    <comment ref="O3" authorId="0" shapeId="0" xr:uid="{116DB4C8-D3FA-49A5-A470-31A23E286AD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4:54:00 AM </t>
        </r>
        <r>
          <rPr>
            <b/>
            <sz val="10"/>
            <color indexed="81"/>
            <rFont val="Tahoma"/>
            <family val="2"/>
          </rPr>
          <t xml:space="preserve">= 118136 - Referinta </t>
        </r>
        <r>
          <rPr>
            <sz val="10"/>
            <color indexed="81"/>
            <rFont val="Tahoma"/>
            <family val="2"/>
          </rPr>
          <t xml:space="preserve">* Brasov Km Auto (Responses)
  9/12/2022 7:32:00 AM </t>
        </r>
        <r>
          <rPr>
            <b/>
            <sz val="10"/>
            <color indexed="81"/>
            <rFont val="Tahoma"/>
            <family val="2"/>
          </rPr>
          <t xml:space="preserve">= 118175 - Normal </t>
        </r>
        <r>
          <rPr>
            <sz val="10"/>
            <color indexed="81"/>
            <rFont val="Tahoma"/>
            <family val="2"/>
          </rPr>
          <t xml:space="preserve">* Brasov Km Auto (Responses)
</t>
        </r>
      </text>
    </comment>
    <comment ref="T3" authorId="0" shapeId="0" xr:uid="{EAEB7D6C-4CDD-4B7F-AA10-4CEC1E50B59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4:51:00 AM </t>
        </r>
        <r>
          <rPr>
            <b/>
            <sz val="10"/>
            <color indexed="81"/>
            <rFont val="Tahoma"/>
            <family val="2"/>
          </rPr>
          <t xml:space="preserve">= 118526 - Referinta </t>
        </r>
        <r>
          <rPr>
            <sz val="10"/>
            <color indexed="81"/>
            <rFont val="Tahoma"/>
            <family val="2"/>
          </rPr>
          <t xml:space="preserve">* Brasov Km Auto (Responses)
  9/19/2022 7:32:00 AM </t>
        </r>
        <r>
          <rPr>
            <b/>
            <sz val="10"/>
            <color indexed="81"/>
            <rFont val="Tahoma"/>
            <family val="2"/>
          </rPr>
          <t xml:space="preserve">= 119002 - Normal </t>
        </r>
        <r>
          <rPr>
            <sz val="10"/>
            <color indexed="81"/>
            <rFont val="Tahoma"/>
            <family val="2"/>
          </rPr>
          <t xml:space="preserve">* Brasov Km Auto (Responses)
</t>
        </r>
      </text>
    </comment>
    <comment ref="Y3" authorId="0" shapeId="0" xr:uid="{2CB7A24D-2AE3-4C04-A6D3-8B70F33C5D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9/23/2022 7:08:00 AM </t>
        </r>
        <r>
          <rPr>
            <b/>
            <sz val="10"/>
            <color indexed="81"/>
            <rFont val="Tahoma"/>
            <family val="2"/>
          </rPr>
          <t xml:space="preserve">= 119331 - Referinta </t>
        </r>
        <r>
          <rPr>
            <sz val="10"/>
            <color indexed="81"/>
            <rFont val="Tahoma"/>
            <family val="2"/>
          </rPr>
          <t xml:space="preserve">* Brasov Km Auto (Responses)
  9/26/2022 7:04:00 AM </t>
        </r>
        <r>
          <rPr>
            <b/>
            <sz val="10"/>
            <color indexed="81"/>
            <rFont val="Tahoma"/>
            <family val="2"/>
          </rPr>
          <t xml:space="preserve">= 119402 - Normal </t>
        </r>
        <r>
          <rPr>
            <sz val="10"/>
            <color indexed="81"/>
            <rFont val="Tahoma"/>
            <family val="2"/>
          </rPr>
          <t xml:space="preserve">* Brasov Km Auto (Responses)
</t>
        </r>
      </text>
    </comment>
    <comment ref="AD3" authorId="0" shapeId="0" xr:uid="{5C71F6D6-2ED7-473F-BDC9-278A39B588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__________________________________________________________________
</t>
        </r>
        <r>
          <rPr>
            <sz val="10"/>
            <color indexed="12"/>
            <rFont val="Tahoma"/>
            <family val="2"/>
          </rPr>
          <t xml:space="preserve">  </t>
        </r>
        <r>
          <rPr>
            <sz val="10"/>
            <color indexed="81"/>
            <rFont val="Tahoma"/>
            <family val="2"/>
          </rPr>
          <t xml:space="preserve">9/30/2022 9:15:37 PM </t>
        </r>
        <r>
          <rPr>
            <b/>
            <sz val="10"/>
            <color indexed="81"/>
            <rFont val="Tahoma"/>
            <family val="2"/>
          </rPr>
          <t xml:space="preserve">= 119781 - Referinta </t>
        </r>
        <r>
          <rPr>
            <sz val="10"/>
            <color indexed="81"/>
            <rFont val="Tahoma"/>
            <family val="2"/>
          </rPr>
          <t xml:space="preserve">* Brasov Km Auto (Responses)
</t>
        </r>
      </text>
    </comment>
    <comment ref="J4" authorId="0" shapeId="0" xr:uid="{CBFAD707-E06A-4760-937B-006025E2DF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Referinta a fost pusa automat
__________________________________________________________________
</t>
        </r>
        <r>
          <rPr>
            <sz val="10"/>
            <color indexed="12"/>
            <rFont val="Tahoma"/>
            <family val="2"/>
          </rPr>
          <t xml:space="preserve">  </t>
        </r>
        <r>
          <rPr>
            <sz val="10"/>
            <color indexed="81"/>
            <rFont val="Tahoma"/>
            <family val="2"/>
          </rPr>
          <t xml:space="preserve"> 9/2/2022 4:54:58 PM </t>
        </r>
        <r>
          <rPr>
            <b/>
            <sz val="10"/>
            <color indexed="81"/>
            <rFont val="Tahoma"/>
            <family val="2"/>
          </rPr>
          <t xml:space="preserve">= 104308 - Referinta </t>
        </r>
        <r>
          <rPr>
            <sz val="10"/>
            <color indexed="81"/>
            <rFont val="Tahoma"/>
            <family val="2"/>
          </rPr>
          <t xml:space="preserve">* Brasov Km Auto (Responses)
   9/5/2022 7:58:28 AM </t>
        </r>
        <r>
          <rPr>
            <b/>
            <sz val="10"/>
            <color indexed="81"/>
            <rFont val="Tahoma"/>
            <family val="2"/>
          </rPr>
          <t xml:space="preserve">= 104329 - Normal </t>
        </r>
        <r>
          <rPr>
            <sz val="10"/>
            <color indexed="81"/>
            <rFont val="Tahoma"/>
            <family val="2"/>
          </rPr>
          <t xml:space="preserve">* Brasov Km Auto (Responses)
</t>
        </r>
      </text>
    </comment>
    <comment ref="O4" authorId="0" shapeId="0" xr:uid="{47D43B26-734B-44E5-AEA4-229C3075F6C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Referinta a fost pusa automat
__________________________________________________________________
</t>
        </r>
        <r>
          <rPr>
            <sz val="10"/>
            <color indexed="12"/>
            <rFont val="Tahoma"/>
            <family val="2"/>
          </rPr>
          <t xml:space="preserve">  </t>
        </r>
        <r>
          <rPr>
            <sz val="10"/>
            <color indexed="81"/>
            <rFont val="Tahoma"/>
            <family val="2"/>
          </rPr>
          <t xml:space="preserve"> 9/9/2022 6:42:00 AM </t>
        </r>
        <r>
          <rPr>
            <b/>
            <sz val="10"/>
            <color indexed="81"/>
            <rFont val="Tahoma"/>
            <family val="2"/>
          </rPr>
          <t xml:space="preserve">= 104554 - Referinta </t>
        </r>
        <r>
          <rPr>
            <sz val="10"/>
            <color indexed="81"/>
            <rFont val="Tahoma"/>
            <family val="2"/>
          </rPr>
          <t xml:space="preserve">* Brasov Km Auto (Responses)
  9/12/2022 8:00:00 AM </t>
        </r>
        <r>
          <rPr>
            <b/>
            <sz val="10"/>
            <color indexed="81"/>
            <rFont val="Tahoma"/>
            <family val="2"/>
          </rPr>
          <t xml:space="preserve">= 104574 - Normal </t>
        </r>
        <r>
          <rPr>
            <sz val="10"/>
            <color indexed="81"/>
            <rFont val="Tahoma"/>
            <family val="2"/>
          </rPr>
          <t xml:space="preserve">* Brasov Km Auto (Responses)
</t>
        </r>
      </text>
    </comment>
    <comment ref="T4" authorId="0" shapeId="0" xr:uid="{0D7E7941-C374-4C79-A327-E73F897716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__________________________________________________________________
</t>
        </r>
        <r>
          <rPr>
            <sz val="10"/>
            <color indexed="12"/>
            <rFont val="Tahoma"/>
            <family val="2"/>
          </rPr>
          <t xml:space="preserve">  </t>
        </r>
        <r>
          <rPr>
            <sz val="10"/>
            <color indexed="81"/>
            <rFont val="Tahoma"/>
            <family val="2"/>
          </rPr>
          <t xml:space="preserve">9/16/2022 5:17:00 AM </t>
        </r>
        <r>
          <rPr>
            <b/>
            <sz val="10"/>
            <color indexed="81"/>
            <rFont val="Tahoma"/>
            <family val="2"/>
          </rPr>
          <t xml:space="preserve">= 104558 - Referinta </t>
        </r>
        <r>
          <rPr>
            <sz val="10"/>
            <color indexed="81"/>
            <rFont val="Tahoma"/>
            <family val="2"/>
          </rPr>
          <t xml:space="preserve">* Brasov Km Auto (Responses)
  9/20/2022 7:54:00 AM </t>
        </r>
        <r>
          <rPr>
            <b/>
            <sz val="10"/>
            <color indexed="81"/>
            <rFont val="Tahoma"/>
            <family val="2"/>
          </rPr>
          <t xml:space="preserve">= 104578 - Normal </t>
        </r>
        <r>
          <rPr>
            <sz val="10"/>
            <color indexed="81"/>
            <rFont val="Tahoma"/>
            <family val="2"/>
          </rPr>
          <t xml:space="preserve">* Brasov Km Auto (Responses)
</t>
        </r>
      </text>
    </comment>
    <comment ref="Y4" authorId="0" shapeId="0" xr:uid="{C72AFE67-B9FC-4AA0-83F2-5237B8D31A3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__________________________________________________________________
</t>
        </r>
        <r>
          <rPr>
            <sz val="10"/>
            <color indexed="12"/>
            <rFont val="Tahoma"/>
            <family val="2"/>
          </rPr>
          <t xml:space="preserve">  </t>
        </r>
        <r>
          <rPr>
            <sz val="10"/>
            <color indexed="81"/>
            <rFont val="Tahoma"/>
            <family val="2"/>
          </rPr>
          <t xml:space="preserve">9/23/2022 5:04:34 PM </t>
        </r>
        <r>
          <rPr>
            <b/>
            <sz val="10"/>
            <color indexed="81"/>
            <rFont val="Tahoma"/>
            <family val="2"/>
          </rPr>
          <t xml:space="preserve">= 104693 - Referinta </t>
        </r>
        <r>
          <rPr>
            <sz val="10"/>
            <color indexed="81"/>
            <rFont val="Tahoma"/>
            <family val="2"/>
          </rPr>
          <t xml:space="preserve">* Brasov Km Auto (Responses)
  9/26/2022 8:22:43 AM </t>
        </r>
        <r>
          <rPr>
            <b/>
            <sz val="10"/>
            <color indexed="81"/>
            <rFont val="Tahoma"/>
            <family val="2"/>
          </rPr>
          <t xml:space="preserve">= 104710 - Normal </t>
        </r>
        <r>
          <rPr>
            <sz val="10"/>
            <color indexed="81"/>
            <rFont val="Tahoma"/>
            <family val="2"/>
          </rPr>
          <t xml:space="preserve">* Brasov Km Auto (Responses)
</t>
        </r>
      </text>
    </comment>
    <comment ref="AD4" authorId="0" shapeId="0" xr:uid="{36BC688B-CEC8-433C-8CD2-9393420474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__________________________________________________________________
</t>
        </r>
        <r>
          <rPr>
            <sz val="10"/>
            <color indexed="12"/>
            <rFont val="Tahoma"/>
            <family val="2"/>
          </rPr>
          <t xml:space="preserve">  </t>
        </r>
        <r>
          <rPr>
            <sz val="10"/>
            <color indexed="81"/>
            <rFont val="Tahoma"/>
            <family val="2"/>
          </rPr>
          <t xml:space="preserve">9/30/2022 6:30:07 PM </t>
        </r>
        <r>
          <rPr>
            <b/>
            <sz val="10"/>
            <color indexed="81"/>
            <rFont val="Tahoma"/>
            <family val="2"/>
          </rPr>
          <t xml:space="preserve">= 104962 - Referinta </t>
        </r>
        <r>
          <rPr>
            <sz val="10"/>
            <color indexed="81"/>
            <rFont val="Tahoma"/>
            <family val="2"/>
          </rPr>
          <t xml:space="preserve">* Brasov Km Auto (Responses)
  10/3/2022 7:49:12 AM </t>
        </r>
        <r>
          <rPr>
            <b/>
            <sz val="10"/>
            <color indexed="81"/>
            <rFont val="Tahoma"/>
            <family val="2"/>
          </rPr>
          <t xml:space="preserve">= 104980 - Normal </t>
        </r>
        <r>
          <rPr>
            <sz val="10"/>
            <color indexed="81"/>
            <rFont val="Tahoma"/>
            <family val="2"/>
          </rPr>
          <t xml:space="preserve">* Brasov Km Auto (Responses)
</t>
        </r>
      </text>
    </comment>
    <comment ref="J5" authorId="0" shapeId="0" xr:uid="{06A63809-15AC-4E01-A704-8F2E412F8F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3:45:07 PM </t>
        </r>
        <r>
          <rPr>
            <b/>
            <sz val="10"/>
            <color indexed="81"/>
            <rFont val="Tahoma"/>
            <family val="2"/>
          </rPr>
          <t xml:space="preserve">= 322516 - Referinta </t>
        </r>
        <r>
          <rPr>
            <sz val="10"/>
            <color indexed="81"/>
            <rFont val="Tahoma"/>
            <family val="2"/>
          </rPr>
          <t xml:space="preserve">* Brasov Km Auto (Responses)
   9/5/2022 8:10:38 AM </t>
        </r>
        <r>
          <rPr>
            <b/>
            <sz val="10"/>
            <color indexed="81"/>
            <rFont val="Tahoma"/>
            <family val="2"/>
          </rPr>
          <t xml:space="preserve">= 322532 - Normal </t>
        </r>
        <r>
          <rPr>
            <sz val="10"/>
            <color indexed="81"/>
            <rFont val="Tahoma"/>
            <family val="2"/>
          </rPr>
          <t xml:space="preserve">* Brasov Km Auto (Responses)
</t>
        </r>
      </text>
    </comment>
    <comment ref="O5" authorId="0" shapeId="0" xr:uid="{598172D8-E660-48BE-94BD-7623163FB0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 9/9/2022 3:38:43 PM </t>
        </r>
        <r>
          <rPr>
            <b/>
            <sz val="10"/>
            <color indexed="81"/>
            <rFont val="Tahoma"/>
            <family val="2"/>
          </rPr>
          <t xml:space="preserve">= 323428 - Referinta </t>
        </r>
        <r>
          <rPr>
            <sz val="10"/>
            <color indexed="81"/>
            <rFont val="Tahoma"/>
            <family val="2"/>
          </rPr>
          <t xml:space="preserve">* Brasov Km Auto (Responses)
  9/12/2022 8:39:25 AM </t>
        </r>
        <r>
          <rPr>
            <b/>
            <sz val="10"/>
            <color indexed="81"/>
            <rFont val="Tahoma"/>
            <family val="2"/>
          </rPr>
          <t xml:space="preserve">= 323442 - Normal </t>
        </r>
        <r>
          <rPr>
            <sz val="10"/>
            <color indexed="81"/>
            <rFont val="Tahoma"/>
            <family val="2"/>
          </rPr>
          <t xml:space="preserve">* Brasov Km Auto (Responses)
</t>
        </r>
      </text>
    </comment>
    <comment ref="T5" authorId="0" shapeId="0" xr:uid="{C06E95A9-649A-45DC-A2FC-7FBEAE1986D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9/16/2022 6:24:22 PM </t>
        </r>
        <r>
          <rPr>
            <b/>
            <sz val="10"/>
            <color indexed="81"/>
            <rFont val="Tahoma"/>
            <family val="2"/>
          </rPr>
          <t xml:space="preserve">= 324370 - Referinta </t>
        </r>
        <r>
          <rPr>
            <sz val="10"/>
            <color indexed="81"/>
            <rFont val="Tahoma"/>
            <family val="2"/>
          </rPr>
          <t xml:space="preserve">* Brasov Km Auto (Responses)
  9/20/2022 8:30:38 AM </t>
        </r>
        <r>
          <rPr>
            <b/>
            <sz val="10"/>
            <color indexed="81"/>
            <rFont val="Tahoma"/>
            <family val="2"/>
          </rPr>
          <t xml:space="preserve">= 324370 - Normal </t>
        </r>
        <r>
          <rPr>
            <sz val="10"/>
            <color indexed="81"/>
            <rFont val="Tahoma"/>
            <family val="2"/>
          </rPr>
          <t xml:space="preserve">* Brasov Km Auto (Responses)
</t>
        </r>
      </text>
    </comment>
    <comment ref="Y5" authorId="0" shapeId="0" xr:uid="{88A3DD73-BD3A-443F-A582-979BC1EC17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9/23/2022 3:39:44 PM </t>
        </r>
        <r>
          <rPr>
            <b/>
            <sz val="10"/>
            <color indexed="81"/>
            <rFont val="Tahoma"/>
            <family val="2"/>
          </rPr>
          <t xml:space="preserve">= 325052 - Referinta </t>
        </r>
        <r>
          <rPr>
            <sz val="10"/>
            <color indexed="81"/>
            <rFont val="Tahoma"/>
            <family val="2"/>
          </rPr>
          <t xml:space="preserve">* Brasov Km Auto (Responses)
  9/26/2022 8:17:56 AM </t>
        </r>
        <r>
          <rPr>
            <b/>
            <sz val="10"/>
            <color indexed="81"/>
            <rFont val="Tahoma"/>
            <family val="2"/>
          </rPr>
          <t xml:space="preserve">= 325052 - Normal </t>
        </r>
        <r>
          <rPr>
            <sz val="10"/>
            <color indexed="81"/>
            <rFont val="Tahoma"/>
            <family val="2"/>
          </rPr>
          <t xml:space="preserve">* Brasov Km Auto (Responses)
</t>
        </r>
      </text>
    </comment>
    <comment ref="AD5" authorId="0" shapeId="0" xr:uid="{6751A544-20DA-4155-9007-465BC49D8B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9/30/2022 3:26:51 PM </t>
        </r>
        <r>
          <rPr>
            <b/>
            <sz val="10"/>
            <color indexed="81"/>
            <rFont val="Tahoma"/>
            <family val="2"/>
          </rPr>
          <t xml:space="preserve">= 326137 - Referinta </t>
        </r>
        <r>
          <rPr>
            <sz val="10"/>
            <color indexed="81"/>
            <rFont val="Tahoma"/>
            <family val="2"/>
          </rPr>
          <t xml:space="preserve">* Brasov Km Auto (Responses)
  10/3/2022 8:15:36 AM </t>
        </r>
        <r>
          <rPr>
            <b/>
            <sz val="10"/>
            <color indexed="81"/>
            <rFont val="Tahoma"/>
            <family val="2"/>
          </rPr>
          <t xml:space="preserve">= 326137 - Normal </t>
        </r>
        <r>
          <rPr>
            <sz val="10"/>
            <color indexed="81"/>
            <rFont val="Tahoma"/>
            <family val="2"/>
          </rPr>
          <t xml:space="preserve">* Brasov Km Auto (Responses)
</t>
        </r>
      </text>
    </comment>
    <comment ref="J6" authorId="0" shapeId="0" xr:uid="{21FCCC2D-C823-408A-8FB3-A65B77A80C0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 9/2/2022 4:20:48 PM </t>
        </r>
        <r>
          <rPr>
            <b/>
            <sz val="10"/>
            <color indexed="81"/>
            <rFont val="Tahoma"/>
            <family val="2"/>
          </rPr>
          <t xml:space="preserve">= 83826 - Referinta </t>
        </r>
        <r>
          <rPr>
            <sz val="10"/>
            <color indexed="81"/>
            <rFont val="Tahoma"/>
            <family val="2"/>
          </rPr>
          <t xml:space="preserve">* Brasov Km Auto (Responses)
   9/6/2022 2:00:00 AM </t>
        </r>
        <r>
          <rPr>
            <b/>
            <sz val="10"/>
            <color indexed="81"/>
            <rFont val="Tahoma"/>
            <family val="2"/>
          </rPr>
          <t xml:space="preserve">= 83971 - Normal </t>
        </r>
        <r>
          <rPr>
            <sz val="10"/>
            <color indexed="81"/>
            <rFont val="Tahoma"/>
            <family val="2"/>
          </rPr>
          <t xml:space="preserve">* Brasov Km Auto (Responses)
</t>
        </r>
      </text>
    </comment>
    <comment ref="O6" authorId="0" shapeId="0" xr:uid="{24C1FE63-EB5E-4B6A-A8D1-9E39743214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 9/9/2022 8:00:00 AM </t>
        </r>
        <r>
          <rPr>
            <b/>
            <sz val="10"/>
            <color indexed="81"/>
            <rFont val="Tahoma"/>
            <family val="2"/>
          </rPr>
          <t xml:space="preserve">= 84140 - Referinta </t>
        </r>
        <r>
          <rPr>
            <sz val="10"/>
            <color indexed="81"/>
            <rFont val="Tahoma"/>
            <family val="2"/>
          </rPr>
          <t xml:space="preserve">* Brasov Km Auto (Responses)
  9/11/2022 1:00:00 AM </t>
        </r>
        <r>
          <rPr>
            <b/>
            <sz val="10"/>
            <color indexed="81"/>
            <rFont val="Tahoma"/>
            <family val="2"/>
          </rPr>
          <t xml:space="preserve">= 84144 - Normal </t>
        </r>
        <r>
          <rPr>
            <sz val="10"/>
            <color indexed="81"/>
            <rFont val="Tahoma"/>
            <family val="2"/>
          </rPr>
          <t xml:space="preserve">* Brasov Km Auto (Responses)
</t>
        </r>
      </text>
    </comment>
    <comment ref="T7" authorId="0" shapeId="0" xr:uid="{6C04F523-D049-459C-9412-FF1245F120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9/16/2022 4:56:09 PM </t>
        </r>
        <r>
          <rPr>
            <b/>
            <sz val="10"/>
            <color indexed="81"/>
            <rFont val="Tahoma"/>
            <family val="2"/>
          </rPr>
          <t xml:space="preserve">= 33459 - Referinta </t>
        </r>
        <r>
          <rPr>
            <sz val="10"/>
            <color indexed="81"/>
            <rFont val="Tahoma"/>
            <family val="2"/>
          </rPr>
          <t xml:space="preserve">* Brasov Km Auto (Responses)
  9/19/2022 8:00:00 AM </t>
        </r>
        <r>
          <rPr>
            <b/>
            <sz val="10"/>
            <color indexed="81"/>
            <rFont val="Tahoma"/>
            <family val="2"/>
          </rPr>
          <t xml:space="preserve">= 33481 - Normal </t>
        </r>
        <r>
          <rPr>
            <sz val="10"/>
            <color indexed="81"/>
            <rFont val="Tahoma"/>
            <family val="2"/>
          </rPr>
          <t xml:space="preserve">* Brasov Km Auto (Responses)
</t>
        </r>
      </text>
    </comment>
    <comment ref="Y7" authorId="0" shapeId="0" xr:uid="{19BDFBA4-67DC-4496-BCAC-9ED0B83DE5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9/23/2022 5:00:00 AM </t>
        </r>
        <r>
          <rPr>
            <b/>
            <sz val="10"/>
            <color indexed="81"/>
            <rFont val="Tahoma"/>
            <family val="2"/>
          </rPr>
          <t xml:space="preserve">= 33881 - Referinta </t>
        </r>
        <r>
          <rPr>
            <sz val="10"/>
            <color indexed="81"/>
            <rFont val="Tahoma"/>
            <family val="2"/>
          </rPr>
          <t xml:space="preserve">* Brasov Km Auto (Responses)
  9/26/2022 8:40:00 AM </t>
        </r>
        <r>
          <rPr>
            <b/>
            <sz val="10"/>
            <color indexed="81"/>
            <rFont val="Tahoma"/>
            <family val="2"/>
          </rPr>
          <t xml:space="preserve">= 33881 - Normal </t>
        </r>
        <r>
          <rPr>
            <sz val="10"/>
            <color indexed="81"/>
            <rFont val="Tahoma"/>
            <family val="2"/>
          </rPr>
          <t xml:space="preserve">* Brasov Km Auto (Responses)
</t>
        </r>
      </text>
    </comment>
    <comment ref="AD7" authorId="0" shapeId="0" xr:uid="{677DE3BD-929B-4775-AB9D-29B0A380529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34033 - Referinta </t>
        </r>
        <r>
          <rPr>
            <sz val="10"/>
            <color indexed="81"/>
            <rFont val="Tahoma"/>
            <family val="2"/>
          </rPr>
          <t xml:space="preserve">* Brasov Km Auto (Responses)
  10/3/2022 8:00:00 AM </t>
        </r>
        <r>
          <rPr>
            <b/>
            <sz val="10"/>
            <color indexed="81"/>
            <rFont val="Tahoma"/>
            <family val="2"/>
          </rPr>
          <t xml:space="preserve">= 34033 - Normal </t>
        </r>
        <r>
          <rPr>
            <sz val="10"/>
            <color indexed="81"/>
            <rFont val="Tahoma"/>
            <family val="2"/>
          </rPr>
          <t xml:space="preserve">* Brasov Km Auto (Responses)
</t>
        </r>
      </text>
    </comment>
    <comment ref="J9" authorId="0" shapeId="0" xr:uid="{A7E741CB-B577-4F51-AB7E-41BFC489CE5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6:14:19 PM </t>
        </r>
        <r>
          <rPr>
            <b/>
            <sz val="10"/>
            <color indexed="81"/>
            <rFont val="Tahoma"/>
            <family val="2"/>
          </rPr>
          <t xml:space="preserve">= 79613 - Referinta </t>
        </r>
        <r>
          <rPr>
            <sz val="10"/>
            <color indexed="81"/>
            <rFont val="Tahoma"/>
            <family val="2"/>
          </rPr>
          <t xml:space="preserve">* Brasov Km Auto (Responses)
   9/5/2022 8:55:28 AM </t>
        </r>
        <r>
          <rPr>
            <b/>
            <sz val="10"/>
            <color indexed="81"/>
            <rFont val="Tahoma"/>
            <family val="2"/>
          </rPr>
          <t xml:space="preserve">= 79665 - Normal </t>
        </r>
        <r>
          <rPr>
            <sz val="10"/>
            <color indexed="81"/>
            <rFont val="Tahoma"/>
            <family val="2"/>
          </rPr>
          <t xml:space="preserve">* Brasov Km Auto (Responses)
</t>
        </r>
      </text>
    </comment>
    <comment ref="O9" authorId="0" shapeId="0" xr:uid="{779F18BC-E8BB-42EA-9BC6-A9C7C9E29C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9</t>
        </r>
        <r>
          <rPr>
            <sz val="10"/>
            <color indexed="81"/>
            <rFont val="Tahoma"/>
            <family val="2"/>
          </rPr>
          <t xml:space="preserve">/10/2022 11:11:02 AM </t>
        </r>
        <r>
          <rPr>
            <b/>
            <sz val="10"/>
            <color indexed="81"/>
            <rFont val="Tahoma"/>
            <family val="2"/>
          </rPr>
          <t xml:space="preserve">= 79980 - Referinta </t>
        </r>
        <r>
          <rPr>
            <sz val="10"/>
            <color indexed="81"/>
            <rFont val="Tahoma"/>
            <family val="2"/>
          </rPr>
          <t xml:space="preserve">* Brasov Km Auto (Responses)
  9/12/2022 5:00:00 AM </t>
        </r>
        <r>
          <rPr>
            <b/>
            <sz val="10"/>
            <color indexed="81"/>
            <rFont val="Tahoma"/>
            <family val="2"/>
          </rPr>
          <t xml:space="preserve">= 80000 - Normal </t>
        </r>
        <r>
          <rPr>
            <sz val="10"/>
            <color indexed="81"/>
            <rFont val="Tahoma"/>
            <family val="2"/>
          </rPr>
          <t xml:space="preserve">* Brasov Km Auto (Responses)
</t>
        </r>
      </text>
    </comment>
    <comment ref="T9" authorId="0" shapeId="0" xr:uid="{9004722A-93DA-4573-81E1-70C83BB517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t>
        </r>
        <r>
          <rPr>
            <sz val="10"/>
            <color indexed="81"/>
            <rFont val="Tahoma"/>
            <family val="2"/>
          </rPr>
          <t xml:space="preserve">9/16/2022 9:11:35 PM </t>
        </r>
        <r>
          <rPr>
            <b/>
            <sz val="10"/>
            <color indexed="81"/>
            <rFont val="Tahoma"/>
            <family val="2"/>
          </rPr>
          <t xml:space="preserve">= 80162 - Referinta </t>
        </r>
        <r>
          <rPr>
            <sz val="10"/>
            <color indexed="81"/>
            <rFont val="Tahoma"/>
            <family val="2"/>
          </rPr>
          <t xml:space="preserve">* Brasov Km Auto (Responses)
  9/19/2022 9:28:23 AM </t>
        </r>
        <r>
          <rPr>
            <b/>
            <sz val="10"/>
            <color indexed="81"/>
            <rFont val="Tahoma"/>
            <family val="2"/>
          </rPr>
          <t xml:space="preserve">= 80213 - Normal </t>
        </r>
        <r>
          <rPr>
            <sz val="10"/>
            <color indexed="81"/>
            <rFont val="Tahoma"/>
            <family val="2"/>
          </rPr>
          <t xml:space="preserve">* Brasov Km Auto (Responses)
</t>
        </r>
      </text>
    </comment>
    <comment ref="Y9" authorId="0" shapeId="0" xr:uid="{E89F8A4E-A92F-4552-9AC6-30AC4CD9267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t>
        </r>
        <r>
          <rPr>
            <sz val="10"/>
            <color indexed="81"/>
            <rFont val="Tahoma"/>
            <family val="2"/>
          </rPr>
          <t xml:space="preserve">9/23/2022 9:11:25 PM </t>
        </r>
        <r>
          <rPr>
            <b/>
            <sz val="10"/>
            <color indexed="81"/>
            <rFont val="Tahoma"/>
            <family val="2"/>
          </rPr>
          <t xml:space="preserve">= 80655 - Referinta </t>
        </r>
        <r>
          <rPr>
            <sz val="10"/>
            <color indexed="81"/>
            <rFont val="Tahoma"/>
            <family val="2"/>
          </rPr>
          <t xml:space="preserve">* Brasov Km Auto (Responses)
 9/26/2022 11:53:49 AM </t>
        </r>
        <r>
          <rPr>
            <b/>
            <sz val="10"/>
            <color indexed="81"/>
            <rFont val="Tahoma"/>
            <family val="2"/>
          </rPr>
          <t xml:space="preserve">= 81044 - Normal </t>
        </r>
        <r>
          <rPr>
            <sz val="10"/>
            <color indexed="81"/>
            <rFont val="Tahoma"/>
            <family val="2"/>
          </rPr>
          <t xml:space="preserve">* Brasov Km Auto (Responses)
</t>
        </r>
      </text>
    </comment>
    <comment ref="AD9" authorId="0" shapeId="0" xr:uid="{21B84F04-2C66-4208-9509-60F0496867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t>
        </r>
        <r>
          <rPr>
            <sz val="10"/>
            <color indexed="81"/>
            <rFont val="Tahoma"/>
            <family val="2"/>
          </rPr>
          <t xml:space="preserve">9/30/2022 9:06:16 PM </t>
        </r>
        <r>
          <rPr>
            <b/>
            <sz val="10"/>
            <color indexed="81"/>
            <rFont val="Tahoma"/>
            <family val="2"/>
          </rPr>
          <t xml:space="preserve">= 81587 - Referinta </t>
        </r>
        <r>
          <rPr>
            <sz val="10"/>
            <color indexed="81"/>
            <rFont val="Tahoma"/>
            <family val="2"/>
          </rPr>
          <t xml:space="preserve">* Brasov Km Auto (Responses)
  10/3/2022 6:53:48 PM </t>
        </r>
        <r>
          <rPr>
            <b/>
            <sz val="10"/>
            <color indexed="81"/>
            <rFont val="Tahoma"/>
            <family val="2"/>
          </rPr>
          <t xml:space="preserve">= 81591 - Normal </t>
        </r>
        <r>
          <rPr>
            <sz val="10"/>
            <color indexed="81"/>
            <rFont val="Tahoma"/>
            <family val="2"/>
          </rPr>
          <t xml:space="preserve">* Brasov Km Auto (Responses)
</t>
        </r>
      </text>
    </comment>
    <comment ref="J10" authorId="0" shapeId="0" xr:uid="{C05A4A63-0022-4DEA-A736-492AD6542C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Referinta a fost pusa automat
__________________________________________________________________
</t>
        </r>
        <r>
          <rPr>
            <sz val="10"/>
            <color indexed="12"/>
            <rFont val="Tahoma"/>
            <family val="2"/>
          </rPr>
          <t xml:space="preserve">  </t>
        </r>
        <r>
          <rPr>
            <sz val="10"/>
            <color indexed="81"/>
            <rFont val="Tahoma"/>
            <family val="2"/>
          </rPr>
          <t xml:space="preserve"> 9/2/2022 8:00:00 AM </t>
        </r>
        <r>
          <rPr>
            <b/>
            <sz val="10"/>
            <color indexed="81"/>
            <rFont val="Tahoma"/>
            <family val="2"/>
          </rPr>
          <t xml:space="preserve">= 132321 - Referinta </t>
        </r>
        <r>
          <rPr>
            <sz val="10"/>
            <color indexed="81"/>
            <rFont val="Tahoma"/>
            <family val="2"/>
          </rPr>
          <t xml:space="preserve">* Brasov Km Auto (Responses)
   9/6/2022 8:15:19 AM </t>
        </r>
        <r>
          <rPr>
            <b/>
            <sz val="10"/>
            <color indexed="81"/>
            <rFont val="Tahoma"/>
            <family val="2"/>
          </rPr>
          <t xml:space="preserve">= 132341 - Normal </t>
        </r>
        <r>
          <rPr>
            <sz val="10"/>
            <color indexed="81"/>
            <rFont val="Tahoma"/>
            <family val="2"/>
          </rPr>
          <t xml:space="preserve">* Brasov Km Auto (Responses)
</t>
        </r>
      </text>
    </comment>
    <comment ref="O10" authorId="0" shapeId="0" xr:uid="{0677C58E-7E24-48E7-AF79-7B385CC2DE0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 9/9/2022 4:50:34 PM </t>
        </r>
        <r>
          <rPr>
            <b/>
            <sz val="10"/>
            <color indexed="81"/>
            <rFont val="Tahoma"/>
            <family val="2"/>
          </rPr>
          <t xml:space="preserve">= 132550 - Referinta </t>
        </r>
        <r>
          <rPr>
            <sz val="10"/>
            <color indexed="81"/>
            <rFont val="Tahoma"/>
            <family val="2"/>
          </rPr>
          <t xml:space="preserve">* Brasov Km Auto (Responses)
  9/12/2022 7:13:34 AM </t>
        </r>
        <r>
          <rPr>
            <b/>
            <sz val="10"/>
            <color indexed="81"/>
            <rFont val="Tahoma"/>
            <family val="2"/>
          </rPr>
          <t xml:space="preserve">= 132573 - Normal </t>
        </r>
        <r>
          <rPr>
            <sz val="10"/>
            <color indexed="81"/>
            <rFont val="Tahoma"/>
            <family val="2"/>
          </rPr>
          <t xml:space="preserve">* Brasov Km Auto (Responses)
</t>
        </r>
      </text>
    </comment>
    <comment ref="T10" authorId="0" shapeId="0" xr:uid="{D9988142-2008-4E60-BC4A-AED6A59DE9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9/16/2022 4:26:40 PM </t>
        </r>
        <r>
          <rPr>
            <b/>
            <sz val="10"/>
            <color indexed="81"/>
            <rFont val="Tahoma"/>
            <family val="2"/>
          </rPr>
          <t xml:space="preserve">= 132995 - Referinta </t>
        </r>
        <r>
          <rPr>
            <sz val="10"/>
            <color indexed="81"/>
            <rFont val="Tahoma"/>
            <family val="2"/>
          </rPr>
          <t xml:space="preserve">* Brasov Km Auto (Responses)
  9/19/2022 7:22:14 AM </t>
        </r>
        <r>
          <rPr>
            <b/>
            <sz val="10"/>
            <color indexed="81"/>
            <rFont val="Tahoma"/>
            <family val="2"/>
          </rPr>
          <t xml:space="preserve">= 132997 - Normal </t>
        </r>
        <r>
          <rPr>
            <sz val="10"/>
            <color indexed="81"/>
            <rFont val="Tahoma"/>
            <family val="2"/>
          </rPr>
          <t xml:space="preserve">* Brasov Km Auto (Responses)
</t>
        </r>
      </text>
    </comment>
    <comment ref="Y10" authorId="0" shapeId="0" xr:uid="{1F4BEC4F-521E-46BA-BB2D-4879E604F46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9/23/2022 4:29:20 PM </t>
        </r>
        <r>
          <rPr>
            <b/>
            <sz val="10"/>
            <color indexed="81"/>
            <rFont val="Tahoma"/>
            <family val="2"/>
          </rPr>
          <t xml:space="preserve">= 133180 - Referinta </t>
        </r>
        <r>
          <rPr>
            <sz val="10"/>
            <color indexed="81"/>
            <rFont val="Tahoma"/>
            <family val="2"/>
          </rPr>
          <t xml:space="preserve">* Brasov Km Auto (Responses)
  9/26/2022 7:23:52 AM </t>
        </r>
        <r>
          <rPr>
            <b/>
            <sz val="10"/>
            <color indexed="81"/>
            <rFont val="Tahoma"/>
            <family val="2"/>
          </rPr>
          <t xml:space="preserve">= 133191 - Normal </t>
        </r>
        <r>
          <rPr>
            <sz val="10"/>
            <color indexed="81"/>
            <rFont val="Tahoma"/>
            <family val="2"/>
          </rPr>
          <t xml:space="preserve">* Brasov Km Auto (Responses)
</t>
        </r>
      </text>
    </comment>
    <comment ref="AD10" authorId="0" shapeId="0" xr:uid="{41C7DB26-979D-425B-B448-9C5610DAD9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9/30/2022 4:38:32 PM </t>
        </r>
        <r>
          <rPr>
            <b/>
            <sz val="10"/>
            <color indexed="81"/>
            <rFont val="Tahoma"/>
            <family val="2"/>
          </rPr>
          <t xml:space="preserve">= 133503 - Referinta </t>
        </r>
        <r>
          <rPr>
            <sz val="10"/>
            <color indexed="81"/>
            <rFont val="Tahoma"/>
            <family val="2"/>
          </rPr>
          <t xml:space="preserve">* Brasov Km Auto (Responses)
  10/3/2022 7:26:35 AM </t>
        </r>
        <r>
          <rPr>
            <b/>
            <sz val="10"/>
            <color indexed="81"/>
            <rFont val="Tahoma"/>
            <family val="2"/>
          </rPr>
          <t xml:space="preserve">= 133525 - Normal </t>
        </r>
        <r>
          <rPr>
            <sz val="10"/>
            <color indexed="81"/>
            <rFont val="Tahoma"/>
            <family val="2"/>
          </rPr>
          <t xml:space="preserve">* Brasov Km Auto (Responses)
</t>
        </r>
      </text>
    </comment>
    <comment ref="T11" authorId="0" shapeId="0" xr:uid="{0538C11C-6230-402B-8976-673A4496D9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Referinta a fost pusa automat
__________________________________________________________________
</t>
        </r>
        <r>
          <rPr>
            <sz val="10"/>
            <color indexed="12"/>
            <rFont val="Tahoma"/>
            <family val="2"/>
          </rPr>
          <t xml:space="preserve"> 9</t>
        </r>
        <r>
          <rPr>
            <sz val="10"/>
            <color indexed="81"/>
            <rFont val="Tahoma"/>
            <family val="2"/>
          </rPr>
          <t xml:space="preserve">/16/2022 11:58:00 AM </t>
        </r>
        <r>
          <rPr>
            <b/>
            <sz val="10"/>
            <color indexed="81"/>
            <rFont val="Tahoma"/>
            <family val="2"/>
          </rPr>
          <t xml:space="preserve">= 93398 - Referinta </t>
        </r>
        <r>
          <rPr>
            <sz val="10"/>
            <color indexed="81"/>
            <rFont val="Tahoma"/>
            <family val="2"/>
          </rPr>
          <t xml:space="preserve">* Bucuresti Km Auto Vanzari (Responses)
  9/19/2022 7:18:00 AM </t>
        </r>
        <r>
          <rPr>
            <b/>
            <sz val="10"/>
            <color indexed="81"/>
            <rFont val="Tahoma"/>
            <family val="2"/>
          </rPr>
          <t xml:space="preserve">= 93400 - Normal </t>
        </r>
        <r>
          <rPr>
            <sz val="10"/>
            <color indexed="81"/>
            <rFont val="Tahoma"/>
            <family val="2"/>
          </rPr>
          <t xml:space="preserve">* Bucuresti Km Auto Vanzari (Responses)
</t>
        </r>
      </text>
    </comment>
    <comment ref="Y11" authorId="0" shapeId="0" xr:uid="{ABB74264-A2F3-4AC5-A278-E70F14FCC2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Referinta a fost pusa automat
__________________________________________________________________
</t>
        </r>
        <r>
          <rPr>
            <sz val="10"/>
            <color indexed="12"/>
            <rFont val="Tahoma"/>
            <family val="2"/>
          </rPr>
          <t xml:space="preserve">  </t>
        </r>
        <r>
          <rPr>
            <sz val="10"/>
            <color indexed="81"/>
            <rFont val="Tahoma"/>
            <family val="2"/>
          </rPr>
          <t xml:space="preserve">9/23/2022 7:05:00 AM </t>
        </r>
        <r>
          <rPr>
            <b/>
            <sz val="10"/>
            <color indexed="81"/>
            <rFont val="Tahoma"/>
            <family val="2"/>
          </rPr>
          <t xml:space="preserve">= 93609 - Referinta </t>
        </r>
        <r>
          <rPr>
            <sz val="10"/>
            <color indexed="81"/>
            <rFont val="Tahoma"/>
            <family val="2"/>
          </rPr>
          <t xml:space="preserve">* Bucuresti Km Auto Vanzari (Responses)
  9/26/2022 8:26:00 AM </t>
        </r>
        <r>
          <rPr>
            <b/>
            <sz val="10"/>
            <color indexed="81"/>
            <rFont val="Tahoma"/>
            <family val="2"/>
          </rPr>
          <t xml:space="preserve">= 93672 - Normal </t>
        </r>
        <r>
          <rPr>
            <sz val="10"/>
            <color indexed="81"/>
            <rFont val="Tahoma"/>
            <family val="2"/>
          </rPr>
          <t xml:space="preserve">* Bucuresti Km Auto Vanzari (Responses)
</t>
        </r>
      </text>
    </comment>
    <comment ref="AD11" authorId="0" shapeId="0" xr:uid="{C30942C5-9B9C-44EA-A598-14610BE28A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Referinta a fost pusa automat
__________________________________________________________________
</t>
        </r>
        <r>
          <rPr>
            <sz val="10"/>
            <color indexed="12"/>
            <rFont val="Tahoma"/>
            <family val="2"/>
          </rPr>
          <t xml:space="preserve">  </t>
        </r>
        <r>
          <rPr>
            <sz val="10"/>
            <color indexed="81"/>
            <rFont val="Tahoma"/>
            <family val="2"/>
          </rPr>
          <t xml:space="preserve">9/30/2022 6:05:00 AM </t>
        </r>
        <r>
          <rPr>
            <b/>
            <sz val="10"/>
            <color indexed="81"/>
            <rFont val="Tahoma"/>
            <family val="2"/>
          </rPr>
          <t xml:space="preserve">= 94072 - Referinta </t>
        </r>
        <r>
          <rPr>
            <sz val="10"/>
            <color indexed="81"/>
            <rFont val="Tahoma"/>
            <family val="2"/>
          </rPr>
          <t xml:space="preserve">* Bucuresti Km Auto Vanzari (Responses)
  10/3/2022 7:26:00 AM </t>
        </r>
        <r>
          <rPr>
            <b/>
            <sz val="10"/>
            <color indexed="81"/>
            <rFont val="Tahoma"/>
            <family val="2"/>
          </rPr>
          <t xml:space="preserve">= 94162 - Normal </t>
        </r>
        <r>
          <rPr>
            <sz val="10"/>
            <color indexed="81"/>
            <rFont val="Tahoma"/>
            <family val="2"/>
          </rPr>
          <t xml:space="preserve">* Bucuresti Km Auto Vanzari (Responses)
</t>
        </r>
      </text>
    </comment>
    <comment ref="T12" authorId="0" shapeId="0" xr:uid="{F4D85F17-91C6-457D-BB44-943DFBA29D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5:17:26 PM </t>
        </r>
        <r>
          <rPr>
            <b/>
            <sz val="10"/>
            <color indexed="81"/>
            <rFont val="Tahoma"/>
            <family val="2"/>
          </rPr>
          <t xml:space="preserve">= 18512 - Referinta </t>
        </r>
        <r>
          <rPr>
            <sz val="10"/>
            <color indexed="81"/>
            <rFont val="Tahoma"/>
            <family val="2"/>
          </rPr>
          <t xml:space="preserve">* Bucuresti Marfa Km Auto (Responses)
</t>
        </r>
      </text>
    </comment>
    <comment ref="Y12" authorId="0" shapeId="0" xr:uid="{D5761D72-A1A8-4A4A-BC6B-4E3107E31A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__________________________________________________________________
</t>
        </r>
        <r>
          <rPr>
            <sz val="10"/>
            <color indexed="12"/>
            <rFont val="Tahoma"/>
            <family val="2"/>
          </rPr>
          <t xml:space="preserve">  </t>
        </r>
        <r>
          <rPr>
            <sz val="10"/>
            <color indexed="81"/>
            <rFont val="Tahoma"/>
            <family val="2"/>
          </rPr>
          <t xml:space="preserve">9/23/2022 6:19:52 PM </t>
        </r>
        <r>
          <rPr>
            <b/>
            <sz val="10"/>
            <color indexed="81"/>
            <rFont val="Tahoma"/>
            <family val="2"/>
          </rPr>
          <t xml:space="preserve">= 18931 - Referinta </t>
        </r>
        <r>
          <rPr>
            <sz val="10"/>
            <color indexed="81"/>
            <rFont val="Tahoma"/>
            <family val="2"/>
          </rPr>
          <t xml:space="preserve">* Bucuresti Marfa Km Auto (Responses)
  9/26/2022 8:55:28 AM </t>
        </r>
        <r>
          <rPr>
            <b/>
            <sz val="10"/>
            <color indexed="81"/>
            <rFont val="Tahoma"/>
            <family val="2"/>
          </rPr>
          <t xml:space="preserve">= 18931 - Normal </t>
        </r>
        <r>
          <rPr>
            <sz val="10"/>
            <color indexed="81"/>
            <rFont val="Tahoma"/>
            <family val="2"/>
          </rPr>
          <t xml:space="preserve">* Bucuresti Marfa Km Auto (Responses)
</t>
        </r>
      </text>
    </comment>
    <comment ref="AD12" authorId="0" shapeId="0" xr:uid="{666B1C33-DD88-4B6C-8C1E-365CE2A888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Referinta a fost pusa automat
__________________________________________________________________
</t>
        </r>
        <r>
          <rPr>
            <sz val="10"/>
            <color indexed="12"/>
            <rFont val="Tahoma"/>
            <family val="2"/>
          </rPr>
          <t xml:space="preserve">  </t>
        </r>
        <r>
          <rPr>
            <sz val="10"/>
            <color indexed="81"/>
            <rFont val="Tahoma"/>
            <family val="2"/>
          </rPr>
          <t xml:space="preserve">10/3/2022 9:08:05 AM </t>
        </r>
        <r>
          <rPr>
            <b/>
            <sz val="10"/>
            <color indexed="81"/>
            <rFont val="Tahoma"/>
            <family val="2"/>
          </rPr>
          <t xml:space="preserve">= 19269 - Referinta </t>
        </r>
        <r>
          <rPr>
            <sz val="10"/>
            <color indexed="81"/>
            <rFont val="Tahoma"/>
            <family val="2"/>
          </rPr>
          <t xml:space="preserve">* Bucuresti Marfa Km Auto (Responses)
</t>
        </r>
      </text>
    </comment>
    <comment ref="J13" authorId="0" shapeId="0" xr:uid="{20A99082-DBD7-4D73-8B61-F15F36E296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Referinta a fost pusa automat
__________________________________________________________________
</t>
        </r>
        <r>
          <rPr>
            <sz val="10"/>
            <color indexed="12"/>
            <rFont val="Tahoma"/>
            <family val="2"/>
          </rPr>
          <t xml:space="preserve">  </t>
        </r>
        <r>
          <rPr>
            <sz val="10"/>
            <color indexed="81"/>
            <rFont val="Tahoma"/>
            <family val="2"/>
          </rPr>
          <t xml:space="preserve"> 9/2/2022 3:07:59 PM </t>
        </r>
        <r>
          <rPr>
            <b/>
            <sz val="10"/>
            <color indexed="81"/>
            <rFont val="Tahoma"/>
            <family val="2"/>
          </rPr>
          <t xml:space="preserve">= 20859 - Referinta </t>
        </r>
        <r>
          <rPr>
            <sz val="10"/>
            <color indexed="81"/>
            <rFont val="Tahoma"/>
            <family val="2"/>
          </rPr>
          <t xml:space="preserve">* Bucuresti Marfa Km Auto (Responses)
   9/5/2022 6:53:22 AM </t>
        </r>
        <r>
          <rPr>
            <b/>
            <sz val="10"/>
            <color indexed="81"/>
            <rFont val="Tahoma"/>
            <family val="2"/>
          </rPr>
          <t xml:space="preserve">= 20859 - Normal </t>
        </r>
        <r>
          <rPr>
            <sz val="10"/>
            <color indexed="81"/>
            <rFont val="Tahoma"/>
            <family val="2"/>
          </rPr>
          <t xml:space="preserve">* Bucuresti Marfa Km Auto (Responses)
</t>
        </r>
      </text>
    </comment>
    <comment ref="O13" authorId="0" shapeId="0" xr:uid="{6F33F279-C586-4BB9-8EFE-74F6659212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Referinta a fost pusa automat
__________________________________________________________________
</t>
        </r>
        <r>
          <rPr>
            <sz val="10"/>
            <color indexed="12"/>
            <rFont val="Tahoma"/>
            <family val="2"/>
          </rPr>
          <t xml:space="preserve">  </t>
        </r>
        <r>
          <rPr>
            <sz val="10"/>
            <color indexed="81"/>
            <rFont val="Tahoma"/>
            <family val="2"/>
          </rPr>
          <t xml:space="preserve"> 9/9/2022 3:00:00 AM </t>
        </r>
        <r>
          <rPr>
            <b/>
            <sz val="10"/>
            <color indexed="81"/>
            <rFont val="Tahoma"/>
            <family val="2"/>
          </rPr>
          <t xml:space="preserve">= 21149 - Referinta </t>
        </r>
        <r>
          <rPr>
            <sz val="10"/>
            <color indexed="81"/>
            <rFont val="Tahoma"/>
            <family val="2"/>
          </rPr>
          <t xml:space="preserve">* Bucuresti Marfa Km Auto (Responses)
  9/12/2022 7:51:00 AM </t>
        </r>
        <r>
          <rPr>
            <b/>
            <sz val="10"/>
            <color indexed="81"/>
            <rFont val="Tahoma"/>
            <family val="2"/>
          </rPr>
          <t xml:space="preserve">= 21149 - Normal </t>
        </r>
        <r>
          <rPr>
            <sz val="10"/>
            <color indexed="81"/>
            <rFont val="Tahoma"/>
            <family val="2"/>
          </rPr>
          <t xml:space="preserve">* Bucuresti Marfa Km Auto (Responses)
</t>
        </r>
      </text>
    </comment>
    <comment ref="T13" authorId="0" shapeId="0" xr:uid="{5B01F49A-EDE9-4F66-8D65-E4F7A57645F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__________________________________________________________________
</t>
        </r>
        <r>
          <rPr>
            <sz val="10"/>
            <color indexed="12"/>
            <rFont val="Tahoma"/>
            <family val="2"/>
          </rPr>
          <t xml:space="preserve">  </t>
        </r>
        <r>
          <rPr>
            <sz val="10"/>
            <color indexed="81"/>
            <rFont val="Tahoma"/>
            <family val="2"/>
          </rPr>
          <t xml:space="preserve">9/16/2022 3:10:00 AM </t>
        </r>
        <r>
          <rPr>
            <b/>
            <sz val="10"/>
            <color indexed="81"/>
            <rFont val="Tahoma"/>
            <family val="2"/>
          </rPr>
          <t xml:space="preserve">= 21485 - Referinta </t>
        </r>
        <r>
          <rPr>
            <sz val="10"/>
            <color indexed="81"/>
            <rFont val="Tahoma"/>
            <family val="2"/>
          </rPr>
          <t xml:space="preserve">* Bucuresti Marfa Km Auto (Responses)
  9/19/2022 7:00:00 AM </t>
        </r>
        <r>
          <rPr>
            <b/>
            <sz val="10"/>
            <color indexed="81"/>
            <rFont val="Tahoma"/>
            <family val="2"/>
          </rPr>
          <t xml:space="preserve">= 21485 - Normal </t>
        </r>
        <r>
          <rPr>
            <sz val="10"/>
            <color indexed="81"/>
            <rFont val="Tahoma"/>
            <family val="2"/>
          </rPr>
          <t xml:space="preserve">* Bucuresti Marfa Km Auto (Responses)
</t>
        </r>
      </text>
    </comment>
    <comment ref="AD13" authorId="0" shapeId="0" xr:uid="{3F9621EC-DE60-45D4-8477-8850823155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__________________________________________________________________
</t>
        </r>
        <r>
          <rPr>
            <sz val="10"/>
            <color indexed="12"/>
            <rFont val="Tahoma"/>
            <family val="2"/>
          </rPr>
          <t xml:space="preserve">  </t>
        </r>
        <r>
          <rPr>
            <sz val="10"/>
            <color indexed="81"/>
            <rFont val="Tahoma"/>
            <family val="2"/>
          </rPr>
          <t xml:space="preserve">9/30/2022 3:10:54 PM </t>
        </r>
        <r>
          <rPr>
            <b/>
            <sz val="10"/>
            <color indexed="81"/>
            <rFont val="Tahoma"/>
            <family val="2"/>
          </rPr>
          <t xml:space="preserve">= 21818 - Referinta </t>
        </r>
        <r>
          <rPr>
            <sz val="10"/>
            <color indexed="81"/>
            <rFont val="Tahoma"/>
            <family val="2"/>
          </rPr>
          <t xml:space="preserve">* Bucuresti Marfa Km Auto (Responses)
  10/3/2022 6:59:57 AM </t>
        </r>
        <r>
          <rPr>
            <b/>
            <sz val="10"/>
            <color indexed="81"/>
            <rFont val="Tahoma"/>
            <family val="2"/>
          </rPr>
          <t xml:space="preserve">= 21818 - Normal </t>
        </r>
        <r>
          <rPr>
            <sz val="10"/>
            <color indexed="81"/>
            <rFont val="Tahoma"/>
            <family val="2"/>
          </rPr>
          <t xml:space="preserve">* Bucuresti Marfa Km Auto (Responses)
</t>
        </r>
      </text>
    </comment>
    <comment ref="Y14" authorId="0" shapeId="0" xr:uid="{3AA5DC17-A37D-428B-86F6-5B828A9081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Andrei Rus 
__________________________________________________________________
</t>
        </r>
        <r>
          <rPr>
            <sz val="10"/>
            <color indexed="12"/>
            <rFont val="Tahoma"/>
            <family val="2"/>
          </rPr>
          <t xml:space="preserve">  </t>
        </r>
        <r>
          <rPr>
            <sz val="10"/>
            <color indexed="81"/>
            <rFont val="Tahoma"/>
            <family val="2"/>
          </rPr>
          <t xml:space="preserve">9/23/2022 5:20:00 AM </t>
        </r>
        <r>
          <rPr>
            <b/>
            <sz val="10"/>
            <color indexed="81"/>
            <rFont val="Tahoma"/>
            <family val="2"/>
          </rPr>
          <t xml:space="preserve">= 23194 - Referinta </t>
        </r>
        <r>
          <rPr>
            <sz val="10"/>
            <color indexed="81"/>
            <rFont val="Tahoma"/>
            <family val="2"/>
          </rPr>
          <t xml:space="preserve">* Bucuresti Marfa Km Auto (Responses)
  9/26/2022 8:02:10 AM </t>
        </r>
        <r>
          <rPr>
            <b/>
            <sz val="10"/>
            <color indexed="81"/>
            <rFont val="Tahoma"/>
            <family val="2"/>
          </rPr>
          <t xml:space="preserve">= 23194 - Normal </t>
        </r>
        <r>
          <rPr>
            <sz val="10"/>
            <color indexed="81"/>
            <rFont val="Tahoma"/>
            <family val="2"/>
          </rPr>
          <t xml:space="preserve">* Bucuresti Marfa Km Auto (Responses)
</t>
        </r>
      </text>
    </comment>
    <comment ref="O16" authorId="0" shapeId="0" xr:uid="{83CD702B-3FD5-4FBF-8795-2A50A54CF6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__________________________________________________________________
</t>
        </r>
        <r>
          <rPr>
            <sz val="10"/>
            <color indexed="12"/>
            <rFont val="Tahoma"/>
            <family val="2"/>
          </rPr>
          <t xml:space="preserve">  </t>
        </r>
        <r>
          <rPr>
            <sz val="10"/>
            <color indexed="81"/>
            <rFont val="Tahoma"/>
            <family val="2"/>
          </rPr>
          <t xml:space="preserve"> 9/9/2022 5:25:00 AM </t>
        </r>
        <r>
          <rPr>
            <b/>
            <sz val="10"/>
            <color indexed="81"/>
            <rFont val="Tahoma"/>
            <family val="2"/>
          </rPr>
          <t xml:space="preserve">= 34460 - Referinta </t>
        </r>
        <r>
          <rPr>
            <sz val="10"/>
            <color indexed="81"/>
            <rFont val="Tahoma"/>
            <family val="2"/>
          </rPr>
          <t xml:space="preserve">* Bucuresti Km Auto Vanzari (Responses)
  9/12/2022 8:36:00 AM </t>
        </r>
        <r>
          <rPr>
            <b/>
            <sz val="10"/>
            <color indexed="81"/>
            <rFont val="Tahoma"/>
            <family val="2"/>
          </rPr>
          <t xml:space="preserve">= 34460 - Normal </t>
        </r>
        <r>
          <rPr>
            <sz val="10"/>
            <color indexed="81"/>
            <rFont val="Tahoma"/>
            <family val="2"/>
          </rPr>
          <t xml:space="preserve">* Bucuresti Km Auto Vanzari (Responses)
</t>
        </r>
      </text>
    </comment>
    <comment ref="T16" authorId="0" shapeId="0" xr:uid="{73DADC3D-B5CA-4774-9BF0-9C925FD9B8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__________________________________________________________________
</t>
        </r>
        <r>
          <rPr>
            <sz val="10"/>
            <color indexed="12"/>
            <rFont val="Tahoma"/>
            <family val="2"/>
          </rPr>
          <t xml:space="preserve">  </t>
        </r>
        <r>
          <rPr>
            <sz val="10"/>
            <color indexed="81"/>
            <rFont val="Tahoma"/>
            <family val="2"/>
          </rPr>
          <t xml:space="preserve">9/16/2022 7:11:00 AM </t>
        </r>
        <r>
          <rPr>
            <b/>
            <sz val="10"/>
            <color indexed="81"/>
            <rFont val="Tahoma"/>
            <family val="2"/>
          </rPr>
          <t xml:space="preserve">= 34705 - Referinta </t>
        </r>
        <r>
          <rPr>
            <sz val="10"/>
            <color indexed="81"/>
            <rFont val="Tahoma"/>
            <family val="2"/>
          </rPr>
          <t xml:space="preserve">* Bucuresti Km Auto Vanzari (Responses)
  9/19/2022 7:05:00 AM </t>
        </r>
        <r>
          <rPr>
            <b/>
            <sz val="10"/>
            <color indexed="81"/>
            <rFont val="Tahoma"/>
            <family val="2"/>
          </rPr>
          <t xml:space="preserve">= 34705 - Normal </t>
        </r>
        <r>
          <rPr>
            <sz val="10"/>
            <color indexed="81"/>
            <rFont val="Tahoma"/>
            <family val="2"/>
          </rPr>
          <t xml:space="preserve">* Bucuresti Km Auto Vanzari (Responses)
</t>
        </r>
      </text>
    </comment>
    <comment ref="Y16" authorId="0" shapeId="0" xr:uid="{19D38C36-5CA9-4100-9DC6-CDD571DBE0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__________________________________________________________________
</t>
        </r>
        <r>
          <rPr>
            <sz val="10"/>
            <color indexed="12"/>
            <rFont val="Tahoma"/>
            <family val="2"/>
          </rPr>
          <t xml:space="preserve">  </t>
        </r>
        <r>
          <rPr>
            <sz val="10"/>
            <color indexed="81"/>
            <rFont val="Tahoma"/>
            <family val="2"/>
          </rPr>
          <t xml:space="preserve">9/24/2022 5:05:00 AM </t>
        </r>
        <r>
          <rPr>
            <b/>
            <sz val="10"/>
            <color indexed="81"/>
            <rFont val="Tahoma"/>
            <family val="2"/>
          </rPr>
          <t xml:space="preserve">= 34814 - Referinta </t>
        </r>
        <r>
          <rPr>
            <sz val="10"/>
            <color indexed="81"/>
            <rFont val="Tahoma"/>
            <family val="2"/>
          </rPr>
          <t xml:space="preserve">* Bucuresti Km Auto Vanzari (Responses)
  9/26/2022 7:21:00 AM </t>
        </r>
        <r>
          <rPr>
            <b/>
            <sz val="10"/>
            <color indexed="81"/>
            <rFont val="Tahoma"/>
            <family val="2"/>
          </rPr>
          <t xml:space="preserve">= 34834 - Normal </t>
        </r>
        <r>
          <rPr>
            <sz val="10"/>
            <color indexed="81"/>
            <rFont val="Tahoma"/>
            <family val="2"/>
          </rPr>
          <t xml:space="preserve">* Bucuresti Km Auto Vanzari (Responses)
</t>
        </r>
      </text>
    </comment>
    <comment ref="AD17" authorId="0" shapeId="0" xr:uid="{99D51B08-901B-4ECB-85F3-B9F61ABBC6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Barascu Marius Referinta a fost pusa automat
__________________________________________________________________
</t>
        </r>
        <r>
          <rPr>
            <sz val="10"/>
            <color indexed="12"/>
            <rFont val="Tahoma"/>
            <family val="2"/>
          </rPr>
          <t xml:space="preserve">  </t>
        </r>
        <r>
          <rPr>
            <sz val="10"/>
            <color indexed="81"/>
            <rFont val="Tahoma"/>
            <family val="2"/>
          </rPr>
          <t xml:space="preserve">9/30/2022 8:25:00 AM </t>
        </r>
        <r>
          <rPr>
            <b/>
            <sz val="10"/>
            <color indexed="81"/>
            <rFont val="Tahoma"/>
            <family val="2"/>
          </rPr>
          <t xml:space="preserve">= 46045 - Referinta </t>
        </r>
        <r>
          <rPr>
            <sz val="10"/>
            <color indexed="81"/>
            <rFont val="Tahoma"/>
            <family val="2"/>
          </rPr>
          <t xml:space="preserve">* Bucuresti Marfa Km Auto (Responses)
</t>
        </r>
      </text>
    </comment>
    <comment ref="J18" authorId="0" shapeId="0" xr:uid="{47EFF4E4-FBCE-4466-BC25-B9A811A5F2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Referinta a fost pusa automat
__________________________________________________________________
</t>
        </r>
        <r>
          <rPr>
            <sz val="10"/>
            <color indexed="12"/>
            <rFont val="Tahoma"/>
            <family val="2"/>
          </rPr>
          <t xml:space="preserve">  </t>
        </r>
        <r>
          <rPr>
            <sz val="10"/>
            <color indexed="81"/>
            <rFont val="Tahoma"/>
            <family val="2"/>
          </rPr>
          <t xml:space="preserve"> 9/2/2022 3:38:31 PM </t>
        </r>
        <r>
          <rPr>
            <b/>
            <sz val="10"/>
            <color indexed="81"/>
            <rFont val="Tahoma"/>
            <family val="2"/>
          </rPr>
          <t xml:space="preserve">= 60485 - Referinta </t>
        </r>
        <r>
          <rPr>
            <sz val="10"/>
            <color indexed="81"/>
            <rFont val="Tahoma"/>
            <family val="2"/>
          </rPr>
          <t xml:space="preserve">* Bucuresti Km Auto Vanzari (Responses)
   9/5/2022 7:35:45 AM </t>
        </r>
        <r>
          <rPr>
            <b/>
            <sz val="10"/>
            <color indexed="81"/>
            <rFont val="Tahoma"/>
            <family val="2"/>
          </rPr>
          <t xml:space="preserve">= 60825 - Normal </t>
        </r>
        <r>
          <rPr>
            <sz val="10"/>
            <color indexed="81"/>
            <rFont val="Tahoma"/>
            <family val="2"/>
          </rPr>
          <t xml:space="preserve">* Bucuresti Km Auto Vanzari (Responses)
</t>
        </r>
      </text>
    </comment>
    <comment ref="O18" authorId="0" shapeId="0" xr:uid="{33C870A2-105E-4E55-901A-856CA83AD9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Referinta a fost pusa automat
__________________________________________________________________
</t>
        </r>
        <r>
          <rPr>
            <sz val="10"/>
            <color indexed="12"/>
            <rFont val="Tahoma"/>
            <family val="2"/>
          </rPr>
          <t xml:space="preserve">  </t>
        </r>
        <r>
          <rPr>
            <sz val="10"/>
            <color indexed="81"/>
            <rFont val="Tahoma"/>
            <family val="2"/>
          </rPr>
          <t xml:space="preserve"> 9/9/2022 5:00:00 AM </t>
        </r>
        <r>
          <rPr>
            <b/>
            <sz val="10"/>
            <color indexed="81"/>
            <rFont val="Tahoma"/>
            <family val="2"/>
          </rPr>
          <t xml:space="preserve">= 61089 - Referinta </t>
        </r>
        <r>
          <rPr>
            <sz val="10"/>
            <color indexed="81"/>
            <rFont val="Tahoma"/>
            <family val="2"/>
          </rPr>
          <t xml:space="preserve">* Bucuresti Km Auto Vanzari (Responses)
  9/12/2022 7:30:00 AM </t>
        </r>
        <r>
          <rPr>
            <b/>
            <sz val="10"/>
            <color indexed="81"/>
            <rFont val="Tahoma"/>
            <family val="2"/>
          </rPr>
          <t xml:space="preserve">= 61287 - Normal </t>
        </r>
        <r>
          <rPr>
            <sz val="10"/>
            <color indexed="81"/>
            <rFont val="Tahoma"/>
            <family val="2"/>
          </rPr>
          <t xml:space="preserve">* Bucuresti Km Auto Vanzari (Responses)
</t>
        </r>
      </text>
    </comment>
    <comment ref="AD18" authorId="0" shapeId="0" xr:uid="{A0EC191B-F54C-496F-B045-C807395EA9B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Referinta a fost pusa automat
__________________________________________________________________
</t>
        </r>
        <r>
          <rPr>
            <sz val="10"/>
            <color indexed="12"/>
            <rFont val="Tahoma"/>
            <family val="2"/>
          </rPr>
          <t xml:space="preserve">  </t>
        </r>
        <r>
          <rPr>
            <sz val="10"/>
            <color indexed="81"/>
            <rFont val="Tahoma"/>
            <family val="2"/>
          </rPr>
          <t xml:space="preserve">9/30/2022 3:30:00 AM </t>
        </r>
        <r>
          <rPr>
            <b/>
            <sz val="10"/>
            <color indexed="81"/>
            <rFont val="Tahoma"/>
            <family val="2"/>
          </rPr>
          <t xml:space="preserve">= 62464 - Referinta </t>
        </r>
        <r>
          <rPr>
            <sz val="10"/>
            <color indexed="81"/>
            <rFont val="Tahoma"/>
            <family val="2"/>
          </rPr>
          <t xml:space="preserve">* Bucuresti Km Auto Vanzari (Responses)
  10/3/2022 7:35:00 AM </t>
        </r>
        <r>
          <rPr>
            <b/>
            <sz val="10"/>
            <color indexed="81"/>
            <rFont val="Tahoma"/>
            <family val="2"/>
          </rPr>
          <t xml:space="preserve">= 62791 - Normal </t>
        </r>
        <r>
          <rPr>
            <sz val="10"/>
            <color indexed="81"/>
            <rFont val="Tahoma"/>
            <family val="2"/>
          </rPr>
          <t xml:space="preserve">* Bucuresti Km Auto Vanzari (Responses)
</t>
        </r>
      </text>
    </comment>
    <comment ref="J19" authorId="0" shapeId="0" xr:uid="{60347682-F2B8-496C-982C-C2A958A263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9/5/2022 4:57:43 PM </t>
        </r>
        <r>
          <rPr>
            <b/>
            <sz val="10"/>
            <color indexed="81"/>
            <rFont val="Tahoma"/>
            <family val="2"/>
          </rPr>
          <t xml:space="preserve">= 17272 - Referinta </t>
        </r>
        <r>
          <rPr>
            <sz val="10"/>
            <color indexed="81"/>
            <rFont val="Tahoma"/>
            <family val="2"/>
          </rPr>
          <t xml:space="preserve">* Bucuresti Km Auto Vanzari (Responses)
</t>
        </r>
      </text>
    </comment>
    <comment ref="O19" authorId="0" shapeId="0" xr:uid="{CD95EE0C-FC19-449A-AE79-901F7F80B7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__________________________________________________________________
</t>
        </r>
        <r>
          <rPr>
            <sz val="10"/>
            <color indexed="12"/>
            <rFont val="Tahoma"/>
            <family val="2"/>
          </rPr>
          <t xml:space="preserve">  </t>
        </r>
        <r>
          <rPr>
            <sz val="10"/>
            <color indexed="81"/>
            <rFont val="Tahoma"/>
            <family val="2"/>
          </rPr>
          <t xml:space="preserve"> 9/9/2022 7:50:31 PM </t>
        </r>
        <r>
          <rPr>
            <b/>
            <sz val="10"/>
            <color indexed="81"/>
            <rFont val="Tahoma"/>
            <family val="2"/>
          </rPr>
          <t xml:space="preserve">= 17548 - Referinta </t>
        </r>
        <r>
          <rPr>
            <sz val="10"/>
            <color indexed="81"/>
            <rFont val="Tahoma"/>
            <family val="2"/>
          </rPr>
          <t xml:space="preserve">* Bucuresti Km Auto Vanzari (Responses)
  9/12/2022 8:28:00 AM </t>
        </r>
        <r>
          <rPr>
            <b/>
            <sz val="10"/>
            <color indexed="81"/>
            <rFont val="Tahoma"/>
            <family val="2"/>
          </rPr>
          <t xml:space="preserve">= 17629 - Normal </t>
        </r>
        <r>
          <rPr>
            <sz val="10"/>
            <color indexed="81"/>
            <rFont val="Tahoma"/>
            <family val="2"/>
          </rPr>
          <t xml:space="preserve">* Bucuresti Km Auto Vanzari (Responses)
  9/14/2022 8:05:00 AM </t>
        </r>
        <r>
          <rPr>
            <b/>
            <sz val="10"/>
            <color indexed="81"/>
            <rFont val="Tahoma"/>
            <family val="2"/>
          </rPr>
          <t xml:space="preserve">= 17653 - Concediu </t>
        </r>
        <r>
          <rPr>
            <sz val="10"/>
            <color indexed="81"/>
            <rFont val="Tahoma"/>
            <family val="2"/>
          </rPr>
          <t xml:space="preserve">* Bucuresti Km Auto Vanzari (Responses)
</t>
        </r>
      </text>
    </comment>
    <comment ref="T19" authorId="0" shapeId="0" xr:uid="{9A26D3A7-AB27-4A94-9265-BE41FD06A65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Referinta a fost pusa automat
__________________________________________________________________
</t>
        </r>
        <r>
          <rPr>
            <sz val="10"/>
            <color indexed="12"/>
            <rFont val="Tahoma"/>
            <family val="2"/>
          </rPr>
          <t xml:space="preserve">  </t>
        </r>
        <r>
          <rPr>
            <sz val="10"/>
            <color indexed="81"/>
            <rFont val="Tahoma"/>
            <family val="2"/>
          </rPr>
          <t xml:space="preserve">9/19/2022 8:12:00 AM </t>
        </r>
        <r>
          <rPr>
            <b/>
            <sz val="10"/>
            <color indexed="81"/>
            <rFont val="Tahoma"/>
            <family val="2"/>
          </rPr>
          <t xml:space="preserve">= 17662 - Referinta </t>
        </r>
        <r>
          <rPr>
            <sz val="10"/>
            <color indexed="81"/>
            <rFont val="Tahoma"/>
            <family val="2"/>
          </rPr>
          <t xml:space="preserve">* Bucuresti Km Auto Vanzari (Responses)
</t>
        </r>
      </text>
    </comment>
    <comment ref="Y19" authorId="0" shapeId="0" xr:uid="{67891A17-67A5-490A-A784-6AB5BB09D2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__________________________________________________________________
</t>
        </r>
        <r>
          <rPr>
            <sz val="10"/>
            <color indexed="12"/>
            <rFont val="Tahoma"/>
            <family val="2"/>
          </rPr>
          <t xml:space="preserve">  </t>
        </r>
        <r>
          <rPr>
            <sz val="10"/>
            <color indexed="81"/>
            <rFont val="Tahoma"/>
            <family val="2"/>
          </rPr>
          <t xml:space="preserve">9/23/2022 4:12:00 AM </t>
        </r>
        <r>
          <rPr>
            <b/>
            <sz val="10"/>
            <color indexed="81"/>
            <rFont val="Tahoma"/>
            <family val="2"/>
          </rPr>
          <t xml:space="preserve">= 17806 - Referinta </t>
        </r>
        <r>
          <rPr>
            <sz val="10"/>
            <color indexed="81"/>
            <rFont val="Tahoma"/>
            <family val="2"/>
          </rPr>
          <t xml:space="preserve">* Bucuresti Km Auto Vanzari (Responses)
  9/26/2022 8:00:00 AM </t>
        </r>
        <r>
          <rPr>
            <b/>
            <sz val="10"/>
            <color indexed="81"/>
            <rFont val="Tahoma"/>
            <family val="2"/>
          </rPr>
          <t xml:space="preserve">= 17815 - Normal </t>
        </r>
        <r>
          <rPr>
            <sz val="10"/>
            <color indexed="81"/>
            <rFont val="Tahoma"/>
            <family val="2"/>
          </rPr>
          <t xml:space="preserve">* Bucuresti Km Auto Vanzari (Responses)
</t>
        </r>
      </text>
    </comment>
    <comment ref="AD19" authorId="0" shapeId="0" xr:uid="{388FFE6D-9959-4FFE-A112-E731C864CF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__________________________________________________________________
</t>
        </r>
        <r>
          <rPr>
            <sz val="10"/>
            <color indexed="12"/>
            <rFont val="Tahoma"/>
            <family val="2"/>
          </rPr>
          <t xml:space="preserve">  </t>
        </r>
        <r>
          <rPr>
            <sz val="10"/>
            <color indexed="81"/>
            <rFont val="Tahoma"/>
            <family val="2"/>
          </rPr>
          <t xml:space="preserve">9/30/2022 5:48:00 AM </t>
        </r>
        <r>
          <rPr>
            <b/>
            <sz val="10"/>
            <color indexed="81"/>
            <rFont val="Tahoma"/>
            <family val="2"/>
          </rPr>
          <t xml:space="preserve">= 17971 - Referinta </t>
        </r>
        <r>
          <rPr>
            <sz val="10"/>
            <color indexed="81"/>
            <rFont val="Tahoma"/>
            <family val="2"/>
          </rPr>
          <t xml:space="preserve">* Bucuresti Km Auto Vanzari (Responses)
  10/3/2022 8:27:00 AM </t>
        </r>
        <r>
          <rPr>
            <b/>
            <sz val="10"/>
            <color indexed="81"/>
            <rFont val="Tahoma"/>
            <family val="2"/>
          </rPr>
          <t xml:space="preserve">= 17980 - Normal </t>
        </r>
        <r>
          <rPr>
            <sz val="10"/>
            <color indexed="81"/>
            <rFont val="Tahoma"/>
            <family val="2"/>
          </rPr>
          <t xml:space="preserve">* Bucuresti Km Auto Vanzari (Responses)
</t>
        </r>
      </text>
    </comment>
    <comment ref="J20" authorId="0" shapeId="0" xr:uid="{AE357DC6-3E0D-4AB4-8853-A8DB924901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3:16:30 PM </t>
        </r>
        <r>
          <rPr>
            <b/>
            <sz val="10"/>
            <color indexed="81"/>
            <rFont val="Tahoma"/>
            <family val="2"/>
          </rPr>
          <t xml:space="preserve">= 215633 - Referinta </t>
        </r>
        <r>
          <rPr>
            <sz val="10"/>
            <color indexed="81"/>
            <rFont val="Tahoma"/>
            <family val="2"/>
          </rPr>
          <t xml:space="preserve">* Sibiu Km Auto (Responses)
   9/2/2022 3:17:19 PM </t>
        </r>
        <r>
          <rPr>
            <b/>
            <sz val="10"/>
            <color indexed="81"/>
            <rFont val="Tahoma"/>
            <family val="2"/>
          </rPr>
          <t xml:space="preserve">= 215633 - Normal </t>
        </r>
        <r>
          <rPr>
            <sz val="10"/>
            <color indexed="81"/>
            <rFont val="Tahoma"/>
            <family val="2"/>
          </rPr>
          <t xml:space="preserve">* Sibiu Km Auto (Responses)
  9/6/2022 11:42:02 AM </t>
        </r>
        <r>
          <rPr>
            <b/>
            <sz val="10"/>
            <color indexed="81"/>
            <rFont val="Tahoma"/>
            <family val="2"/>
          </rPr>
          <t xml:space="preserve">= 215767 - Normal </t>
        </r>
        <r>
          <rPr>
            <sz val="10"/>
            <color indexed="81"/>
            <rFont val="Tahoma"/>
            <family val="2"/>
          </rPr>
          <t xml:space="preserve">* Sibiu Km Auto (Responses)
  9/6/2022 11:42:31 AM </t>
        </r>
        <r>
          <rPr>
            <b/>
            <sz val="10"/>
            <color indexed="81"/>
            <rFont val="Tahoma"/>
            <family val="2"/>
          </rPr>
          <t xml:space="preserve">= 215767 - Normal </t>
        </r>
        <r>
          <rPr>
            <sz val="10"/>
            <color indexed="81"/>
            <rFont val="Tahoma"/>
            <family val="2"/>
          </rPr>
          <t xml:space="preserve">* Sibiu Km Auto (Responses)
</t>
        </r>
      </text>
    </comment>
    <comment ref="O20" authorId="0" shapeId="0" xr:uid="{1E8DEEE5-64AE-4A92-9135-B4749CFC2B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216055 - Referinta </t>
        </r>
        <r>
          <rPr>
            <sz val="10"/>
            <color indexed="81"/>
            <rFont val="Tahoma"/>
            <family val="2"/>
          </rPr>
          <t xml:space="preserve">* Sibiu Km Auto (Responses)
  9/12/2022 9:21:35 AM </t>
        </r>
        <r>
          <rPr>
            <b/>
            <sz val="10"/>
            <color indexed="81"/>
            <rFont val="Tahoma"/>
            <family val="2"/>
          </rPr>
          <t xml:space="preserve">= 216055 - Normal </t>
        </r>
        <r>
          <rPr>
            <sz val="10"/>
            <color indexed="81"/>
            <rFont val="Tahoma"/>
            <family val="2"/>
          </rPr>
          <t xml:space="preserve">* Sibiu Km Auto (Responses)
</t>
        </r>
      </text>
    </comment>
    <comment ref="J21" authorId="0" shapeId="0" xr:uid="{BE4057D2-1439-4F95-8D6D-F149E066D6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Referinta a fost pusa automat
__________________________________________________________________
</t>
        </r>
        <r>
          <rPr>
            <sz val="10"/>
            <color indexed="12"/>
            <rFont val="Tahoma"/>
            <family val="2"/>
          </rPr>
          <t xml:space="preserve">  </t>
        </r>
        <r>
          <rPr>
            <sz val="10"/>
            <color indexed="81"/>
            <rFont val="Tahoma"/>
            <family val="2"/>
          </rPr>
          <t xml:space="preserve"> 9/5/2022 5:07:14 PM </t>
        </r>
        <r>
          <rPr>
            <b/>
            <sz val="10"/>
            <color indexed="81"/>
            <rFont val="Tahoma"/>
            <family val="2"/>
          </rPr>
          <t xml:space="preserve">= 18328 - Referinta </t>
        </r>
        <r>
          <rPr>
            <sz val="10"/>
            <color indexed="81"/>
            <rFont val="Tahoma"/>
            <family val="2"/>
          </rPr>
          <t xml:space="preserve">* Bucuresti Km Auto Vanzari (Responses)
</t>
        </r>
      </text>
    </comment>
    <comment ref="O21" authorId="0" shapeId="0" xr:uid="{C3722C50-DF7A-4976-B810-760F3D94E7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 9/9/2022 3:39:41 PM </t>
        </r>
        <r>
          <rPr>
            <b/>
            <sz val="10"/>
            <color indexed="81"/>
            <rFont val="Tahoma"/>
            <family val="2"/>
          </rPr>
          <t xml:space="preserve">= 18465 - Referinta </t>
        </r>
        <r>
          <rPr>
            <sz val="10"/>
            <color indexed="81"/>
            <rFont val="Tahoma"/>
            <family val="2"/>
          </rPr>
          <t xml:space="preserve">* Bucuresti Km Auto Vanzari (Responses)
  9/12/2022 8:19:00 AM </t>
        </r>
        <r>
          <rPr>
            <b/>
            <sz val="10"/>
            <color indexed="81"/>
            <rFont val="Tahoma"/>
            <family val="2"/>
          </rPr>
          <t xml:space="preserve">= 18473 - Normal </t>
        </r>
        <r>
          <rPr>
            <sz val="10"/>
            <color indexed="81"/>
            <rFont val="Tahoma"/>
            <family val="2"/>
          </rPr>
          <t xml:space="preserve">* Bucuresti Km Auto Vanzari (Responses)
</t>
        </r>
      </text>
    </comment>
    <comment ref="T21" authorId="0" shapeId="0" xr:uid="{E1105439-D530-4703-BA38-D93976E608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9/16/2022 4:17:02 PM </t>
        </r>
        <r>
          <rPr>
            <b/>
            <sz val="10"/>
            <color indexed="81"/>
            <rFont val="Tahoma"/>
            <family val="2"/>
          </rPr>
          <t xml:space="preserve">= 18586 - Referinta </t>
        </r>
        <r>
          <rPr>
            <sz val="10"/>
            <color indexed="81"/>
            <rFont val="Tahoma"/>
            <family val="2"/>
          </rPr>
          <t xml:space="preserve">* Bucuresti Km Auto Vanzari (Responses)
  9/19/2022 8:10:00 AM </t>
        </r>
        <r>
          <rPr>
            <b/>
            <sz val="10"/>
            <color indexed="81"/>
            <rFont val="Tahoma"/>
            <family val="2"/>
          </rPr>
          <t xml:space="preserve">= 18601 - Normal </t>
        </r>
        <r>
          <rPr>
            <sz val="10"/>
            <color indexed="81"/>
            <rFont val="Tahoma"/>
            <family val="2"/>
          </rPr>
          <t xml:space="preserve">* Bucuresti Km Auto Vanzari (Responses)
</t>
        </r>
      </text>
    </comment>
    <comment ref="Y21" authorId="0" shapeId="0" xr:uid="{174C4F3E-8AF7-4916-86F5-A7E89A4CCA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9/23/2022 3:30:00 AM </t>
        </r>
        <r>
          <rPr>
            <b/>
            <sz val="10"/>
            <color indexed="81"/>
            <rFont val="Tahoma"/>
            <family val="2"/>
          </rPr>
          <t xml:space="preserve">= 18727 - Referinta </t>
        </r>
        <r>
          <rPr>
            <sz val="10"/>
            <color indexed="81"/>
            <rFont val="Tahoma"/>
            <family val="2"/>
          </rPr>
          <t xml:space="preserve">* Bucuresti Km Auto Vanzari (Responses)
  9/26/2022 8:00:00 AM </t>
        </r>
        <r>
          <rPr>
            <b/>
            <sz val="10"/>
            <color indexed="81"/>
            <rFont val="Tahoma"/>
            <family val="2"/>
          </rPr>
          <t xml:space="preserve">= 19139 - Normal </t>
        </r>
        <r>
          <rPr>
            <sz val="10"/>
            <color indexed="81"/>
            <rFont val="Tahoma"/>
            <family val="2"/>
          </rPr>
          <t xml:space="preserve">* Bucuresti Km Auto Vanzari (Responses)
</t>
        </r>
      </text>
    </comment>
    <comment ref="AD21" authorId="0" shapeId="0" xr:uid="{676E43D7-6216-4DD4-9A42-EF510DB9B1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9/30/2022 3:30:00 AM </t>
        </r>
        <r>
          <rPr>
            <b/>
            <sz val="10"/>
            <color indexed="81"/>
            <rFont val="Tahoma"/>
            <family val="2"/>
          </rPr>
          <t xml:space="preserve">= 19298 - Referinta </t>
        </r>
        <r>
          <rPr>
            <sz val="10"/>
            <color indexed="81"/>
            <rFont val="Tahoma"/>
            <family val="2"/>
          </rPr>
          <t xml:space="preserve">* Bucuresti Km Auto Vanzari (Responses)
  10/3/2022 8:00:00 AM </t>
        </r>
        <r>
          <rPr>
            <b/>
            <sz val="10"/>
            <color indexed="81"/>
            <rFont val="Tahoma"/>
            <family val="2"/>
          </rPr>
          <t xml:space="preserve">= 19362 - Normal </t>
        </r>
        <r>
          <rPr>
            <sz val="10"/>
            <color indexed="81"/>
            <rFont val="Tahoma"/>
            <family val="2"/>
          </rPr>
          <t xml:space="preserve">* Bucuresti Km Auto Vanzari (Responses)
</t>
        </r>
      </text>
    </comment>
    <comment ref="J22" authorId="0" shapeId="0" xr:uid="{8A423841-D696-4A19-9D61-95F95D9074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Referinta a fost pusa automat
__________________________________________________________________
</t>
        </r>
        <r>
          <rPr>
            <sz val="10"/>
            <color indexed="12"/>
            <rFont val="Tahoma"/>
            <family val="2"/>
          </rPr>
          <t xml:space="preserve">  </t>
        </r>
        <r>
          <rPr>
            <sz val="10"/>
            <color indexed="81"/>
            <rFont val="Tahoma"/>
            <family val="2"/>
          </rPr>
          <t xml:space="preserve"> 9/5/2022 8:56:30 AM </t>
        </r>
        <r>
          <rPr>
            <b/>
            <sz val="10"/>
            <color indexed="81"/>
            <rFont val="Tahoma"/>
            <family val="2"/>
          </rPr>
          <t xml:space="preserve">= 107939 - Referinta </t>
        </r>
        <r>
          <rPr>
            <sz val="10"/>
            <color indexed="81"/>
            <rFont val="Tahoma"/>
            <family val="2"/>
          </rPr>
          <t xml:space="preserve">* Bucuresti Km Auto Vanzari (Responses)
   9/5/2022 8:57:24 AM </t>
        </r>
        <r>
          <rPr>
            <b/>
            <sz val="10"/>
            <color indexed="81"/>
            <rFont val="Tahoma"/>
            <family val="2"/>
          </rPr>
          <t xml:space="preserve">= 108024 - Normal </t>
        </r>
        <r>
          <rPr>
            <sz val="10"/>
            <color indexed="81"/>
            <rFont val="Tahoma"/>
            <family val="2"/>
          </rPr>
          <t xml:space="preserve">* Bucuresti Km Auto Vanzari (Responses)
</t>
        </r>
      </text>
    </comment>
    <comment ref="O22" authorId="0" shapeId="0" xr:uid="{854F8150-C04B-427E-9661-A0344DF67C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__________________________________________________________________
</t>
        </r>
        <r>
          <rPr>
            <sz val="10"/>
            <color indexed="12"/>
            <rFont val="Tahoma"/>
            <family val="2"/>
          </rPr>
          <t xml:space="preserve">  </t>
        </r>
        <r>
          <rPr>
            <sz val="10"/>
            <color indexed="81"/>
            <rFont val="Tahoma"/>
            <family val="2"/>
          </rPr>
          <t xml:space="preserve"> 9/9/2022 3:30:00 AM </t>
        </r>
        <r>
          <rPr>
            <b/>
            <sz val="10"/>
            <color indexed="81"/>
            <rFont val="Tahoma"/>
            <family val="2"/>
          </rPr>
          <t xml:space="preserve">= 108180 - Referinta </t>
        </r>
        <r>
          <rPr>
            <sz val="10"/>
            <color indexed="81"/>
            <rFont val="Tahoma"/>
            <family val="2"/>
          </rPr>
          <t xml:space="preserve">* Bucuresti Km Auto Vanzari (Responses)
  9/12/2022 8:00:00 AM </t>
        </r>
        <r>
          <rPr>
            <b/>
            <sz val="10"/>
            <color indexed="81"/>
            <rFont val="Tahoma"/>
            <family val="2"/>
          </rPr>
          <t xml:space="preserve">= 108239 - Normal </t>
        </r>
        <r>
          <rPr>
            <sz val="10"/>
            <color indexed="81"/>
            <rFont val="Tahoma"/>
            <family val="2"/>
          </rPr>
          <t xml:space="preserve">* Bucuresti Km Auto Vanzari (Responses)
</t>
        </r>
      </text>
    </comment>
    <comment ref="T22" authorId="0" shapeId="0" xr:uid="{5ACB06E0-F2F9-4783-970B-1950EA12C64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__________________________________________________________________
</t>
        </r>
        <r>
          <rPr>
            <sz val="10"/>
            <color indexed="12"/>
            <rFont val="Tahoma"/>
            <family val="2"/>
          </rPr>
          <t xml:space="preserve"> 9</t>
        </r>
        <r>
          <rPr>
            <sz val="10"/>
            <color indexed="81"/>
            <rFont val="Tahoma"/>
            <family val="2"/>
          </rPr>
          <t xml:space="preserve">/17/2022 11:00:00 AM </t>
        </r>
        <r>
          <rPr>
            <b/>
            <sz val="10"/>
            <color indexed="81"/>
            <rFont val="Tahoma"/>
            <family val="2"/>
          </rPr>
          <t xml:space="preserve">= 108394 - Referinta </t>
        </r>
        <r>
          <rPr>
            <sz val="10"/>
            <color indexed="81"/>
            <rFont val="Tahoma"/>
            <family val="2"/>
          </rPr>
          <t xml:space="preserve">* Bucuresti Km Auto Vanzari (Responses)
  9/19/2022 8:05:00 AM </t>
        </r>
        <r>
          <rPr>
            <b/>
            <sz val="10"/>
            <color indexed="81"/>
            <rFont val="Tahoma"/>
            <family val="2"/>
          </rPr>
          <t xml:space="preserve">= 108411 - Normal </t>
        </r>
        <r>
          <rPr>
            <sz val="10"/>
            <color indexed="81"/>
            <rFont val="Tahoma"/>
            <family val="2"/>
          </rPr>
          <t xml:space="preserve">* Bucuresti Km Auto Vanzari (Responses)
</t>
        </r>
      </text>
    </comment>
    <comment ref="Y22" authorId="0" shapeId="0" xr:uid="{9E211D7D-6820-4038-A2C7-D374604D3BA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__________________________________________________________________
</t>
        </r>
        <r>
          <rPr>
            <sz val="10"/>
            <color indexed="12"/>
            <rFont val="Tahoma"/>
            <family val="2"/>
          </rPr>
          <t xml:space="preserve">  </t>
        </r>
        <r>
          <rPr>
            <sz val="10"/>
            <color indexed="81"/>
            <rFont val="Tahoma"/>
            <family val="2"/>
          </rPr>
          <t xml:space="preserve">9/23/2022 7:00:00 AM </t>
        </r>
        <r>
          <rPr>
            <b/>
            <sz val="10"/>
            <color indexed="81"/>
            <rFont val="Tahoma"/>
            <family val="2"/>
          </rPr>
          <t xml:space="preserve">= 108600 - Referinta </t>
        </r>
        <r>
          <rPr>
            <sz val="10"/>
            <color indexed="81"/>
            <rFont val="Tahoma"/>
            <family val="2"/>
          </rPr>
          <t xml:space="preserve">* Bucuresti Km Auto Vanzari (Responses)
 9/26/2022 10:00:00 AM </t>
        </r>
        <r>
          <rPr>
            <b/>
            <sz val="10"/>
            <color indexed="81"/>
            <rFont val="Tahoma"/>
            <family val="2"/>
          </rPr>
          <t xml:space="preserve">= 108617 - Normal </t>
        </r>
        <r>
          <rPr>
            <sz val="10"/>
            <color indexed="81"/>
            <rFont val="Tahoma"/>
            <family val="2"/>
          </rPr>
          <t xml:space="preserve">* Bucuresti Km Auto Vanzari (Responses)
</t>
        </r>
      </text>
    </comment>
    <comment ref="AD22" authorId="0" shapeId="0" xr:uid="{6D1C881B-C5D8-4207-965E-17734A2DB3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Referinta a fost pusa automat
__________________________________________________________________
</t>
        </r>
        <r>
          <rPr>
            <sz val="10"/>
            <color indexed="12"/>
            <rFont val="Tahoma"/>
            <family val="2"/>
          </rPr>
          <t xml:space="preserve">  </t>
        </r>
        <r>
          <rPr>
            <sz val="10"/>
            <color indexed="81"/>
            <rFont val="Tahoma"/>
            <family val="2"/>
          </rPr>
          <t xml:space="preserve">10/3/2022 9:00:00 AM </t>
        </r>
        <r>
          <rPr>
            <b/>
            <sz val="10"/>
            <color indexed="81"/>
            <rFont val="Tahoma"/>
            <family val="2"/>
          </rPr>
          <t xml:space="preserve">= 108848 - Referinta </t>
        </r>
        <r>
          <rPr>
            <sz val="10"/>
            <color indexed="81"/>
            <rFont val="Tahoma"/>
            <family val="2"/>
          </rPr>
          <t xml:space="preserve">* Bucuresti Km Auto Vanzari (Responses)
</t>
        </r>
      </text>
    </comment>
    <comment ref="J23" authorId="0" shapeId="0" xr:uid="{8F68654B-841B-4978-B492-EFA7CCD9EFD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2:21:48 PM </t>
        </r>
        <r>
          <rPr>
            <b/>
            <sz val="10"/>
            <color indexed="81"/>
            <rFont val="Tahoma"/>
            <family val="2"/>
          </rPr>
          <t xml:space="preserve">= 133898 - Referinta </t>
        </r>
        <r>
          <rPr>
            <sz val="10"/>
            <color indexed="81"/>
            <rFont val="Tahoma"/>
            <family val="2"/>
          </rPr>
          <t xml:space="preserve">* Bucuresti Km Auto Tesa (Responses)
   9/5/2022 7:50:08 AM </t>
        </r>
        <r>
          <rPr>
            <b/>
            <sz val="10"/>
            <color indexed="81"/>
            <rFont val="Tahoma"/>
            <family val="2"/>
          </rPr>
          <t xml:space="preserve">= 133898 - Normal </t>
        </r>
        <r>
          <rPr>
            <sz val="10"/>
            <color indexed="81"/>
            <rFont val="Tahoma"/>
            <family val="2"/>
          </rPr>
          <t xml:space="preserve">* Bucuresti Km Auto Tesa (Responses)
</t>
        </r>
      </text>
    </comment>
    <comment ref="O23" authorId="0" shapeId="0" xr:uid="{46177C36-CCD0-40F6-86AE-AE7C021ACB0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 9/9/2022 8:14:44 AM </t>
        </r>
        <r>
          <rPr>
            <b/>
            <sz val="10"/>
            <color indexed="81"/>
            <rFont val="Tahoma"/>
            <family val="2"/>
          </rPr>
          <t xml:space="preserve">= 133932 - Referinta </t>
        </r>
        <r>
          <rPr>
            <sz val="10"/>
            <color indexed="81"/>
            <rFont val="Tahoma"/>
            <family val="2"/>
          </rPr>
          <t xml:space="preserve">* Bucuresti Km Auto Tesa (Responses)
  9/12/2022 7:52:50 AM </t>
        </r>
        <r>
          <rPr>
            <b/>
            <sz val="10"/>
            <color indexed="81"/>
            <rFont val="Tahoma"/>
            <family val="2"/>
          </rPr>
          <t xml:space="preserve">= 133932 - Normal </t>
        </r>
        <r>
          <rPr>
            <sz val="10"/>
            <color indexed="81"/>
            <rFont val="Tahoma"/>
            <family val="2"/>
          </rPr>
          <t xml:space="preserve">* Bucuresti Km Auto Tesa (Responses)
</t>
        </r>
      </text>
    </comment>
    <comment ref="T23" authorId="0" shapeId="0" xr:uid="{A84F3942-9C15-417F-882B-DC0A69AC7B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9/16/2022 3:00:01 PM </t>
        </r>
        <r>
          <rPr>
            <b/>
            <sz val="10"/>
            <color indexed="81"/>
            <rFont val="Tahoma"/>
            <family val="2"/>
          </rPr>
          <t xml:space="preserve">= 134009 - Referinta </t>
        </r>
        <r>
          <rPr>
            <sz val="10"/>
            <color indexed="81"/>
            <rFont val="Tahoma"/>
            <family val="2"/>
          </rPr>
          <t xml:space="preserve">* Bucuresti Km Auto Tesa (Responses)
  9/19/2022 7:42:39 AM </t>
        </r>
        <r>
          <rPr>
            <b/>
            <sz val="10"/>
            <color indexed="81"/>
            <rFont val="Tahoma"/>
            <family val="2"/>
          </rPr>
          <t xml:space="preserve">= 134009 - Normal </t>
        </r>
        <r>
          <rPr>
            <sz val="10"/>
            <color indexed="81"/>
            <rFont val="Tahoma"/>
            <family val="2"/>
          </rPr>
          <t xml:space="preserve">* Bucuresti Km Auto Tesa (Responses)
</t>
        </r>
      </text>
    </comment>
    <comment ref="Y23" authorId="0" shapeId="0" xr:uid="{14896910-D353-49BB-9A70-360857A440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9/23/2022 5:44:10 PM </t>
        </r>
        <r>
          <rPr>
            <b/>
            <sz val="10"/>
            <color indexed="81"/>
            <rFont val="Tahoma"/>
            <family val="2"/>
          </rPr>
          <t xml:space="preserve">= 134058 - Referinta </t>
        </r>
        <r>
          <rPr>
            <sz val="10"/>
            <color indexed="81"/>
            <rFont val="Tahoma"/>
            <family val="2"/>
          </rPr>
          <t xml:space="preserve">* Bucuresti Km Auto Tesa (Responses)
  9/26/2022 8:32:24 AM </t>
        </r>
        <r>
          <rPr>
            <b/>
            <sz val="10"/>
            <color indexed="81"/>
            <rFont val="Tahoma"/>
            <family val="2"/>
          </rPr>
          <t xml:space="preserve">= 134058 - Normal </t>
        </r>
        <r>
          <rPr>
            <sz val="10"/>
            <color indexed="81"/>
            <rFont val="Tahoma"/>
            <family val="2"/>
          </rPr>
          <t xml:space="preserve">* Bucuresti Km Auto Tesa (Responses)
</t>
        </r>
      </text>
    </comment>
    <comment ref="AD23" authorId="0" shapeId="0" xr:uid="{8AAB2AEA-92A0-4905-969C-F6F6F45DAD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9/30/2022 2:04:36 PM </t>
        </r>
        <r>
          <rPr>
            <b/>
            <sz val="10"/>
            <color indexed="81"/>
            <rFont val="Tahoma"/>
            <family val="2"/>
          </rPr>
          <t xml:space="preserve">= 134116 - Referinta </t>
        </r>
        <r>
          <rPr>
            <sz val="10"/>
            <color indexed="81"/>
            <rFont val="Tahoma"/>
            <family val="2"/>
          </rPr>
          <t xml:space="preserve">* Bucuresti Km Auto Tesa (Responses)
  10/3/2022 8:00:40 AM </t>
        </r>
        <r>
          <rPr>
            <b/>
            <sz val="10"/>
            <color indexed="81"/>
            <rFont val="Tahoma"/>
            <family val="2"/>
          </rPr>
          <t xml:space="preserve">= 134116 - Normal </t>
        </r>
        <r>
          <rPr>
            <sz val="10"/>
            <color indexed="81"/>
            <rFont val="Tahoma"/>
            <family val="2"/>
          </rPr>
          <t xml:space="preserve">* Bucuresti Km Auto Tesa (Responses)
</t>
        </r>
      </text>
    </comment>
    <comment ref="J24" authorId="0" shapeId="0" xr:uid="{1690256F-70B3-4374-9FCA-578D805656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4:08:54 PM </t>
        </r>
        <r>
          <rPr>
            <b/>
            <sz val="10"/>
            <color indexed="81"/>
            <rFont val="Tahoma"/>
            <family val="2"/>
          </rPr>
          <t xml:space="preserve">= 3892 - Referinta </t>
        </r>
        <r>
          <rPr>
            <sz val="10"/>
            <color indexed="81"/>
            <rFont val="Tahoma"/>
            <family val="2"/>
          </rPr>
          <t xml:space="preserve">* Bucuresti Marfa Km Auto (Responses)
   9/5/2022 7:06:50 AM </t>
        </r>
        <r>
          <rPr>
            <b/>
            <sz val="10"/>
            <color indexed="81"/>
            <rFont val="Tahoma"/>
            <family val="2"/>
          </rPr>
          <t xml:space="preserve">= 3895 - Interes Serviciu </t>
        </r>
        <r>
          <rPr>
            <sz val="10"/>
            <color indexed="81"/>
            <rFont val="Tahoma"/>
            <family val="2"/>
          </rPr>
          <t xml:space="preserve">* Bucuresti Marfa Km Auto (Responses)
</t>
        </r>
      </text>
    </comment>
    <comment ref="O24" authorId="0" shapeId="0" xr:uid="{47A00B49-AD41-4088-98C0-CDD65BF4A3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4:20:48 PM </t>
        </r>
        <r>
          <rPr>
            <b/>
            <sz val="10"/>
            <color indexed="81"/>
            <rFont val="Tahoma"/>
            <family val="2"/>
          </rPr>
          <t xml:space="preserve">= 4223 - Referinta </t>
        </r>
        <r>
          <rPr>
            <sz val="10"/>
            <color indexed="81"/>
            <rFont val="Tahoma"/>
            <family val="2"/>
          </rPr>
          <t xml:space="preserve">* Bucuresti Marfa Km Auto (Responses)
  9/12/2022 6:57:59 AM </t>
        </r>
        <r>
          <rPr>
            <b/>
            <sz val="10"/>
            <color indexed="81"/>
            <rFont val="Tahoma"/>
            <family val="2"/>
          </rPr>
          <t xml:space="preserve">= 4223 - Interes serviciu </t>
        </r>
        <r>
          <rPr>
            <sz val="10"/>
            <color indexed="81"/>
            <rFont val="Tahoma"/>
            <family val="2"/>
          </rPr>
          <t xml:space="preserve">* Bucuresti Marfa Km Auto (Responses)
</t>
        </r>
      </text>
    </comment>
    <comment ref="T24" authorId="0" shapeId="0" xr:uid="{5D003ECE-6A6A-4298-9726-511F0C4927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__________________________________________________________________
</t>
        </r>
        <r>
          <rPr>
            <sz val="10"/>
            <color indexed="12"/>
            <rFont val="Tahoma"/>
            <family val="2"/>
          </rPr>
          <t xml:space="preserve">  </t>
        </r>
        <r>
          <rPr>
            <sz val="10"/>
            <color indexed="81"/>
            <rFont val="Tahoma"/>
            <family val="2"/>
          </rPr>
          <t xml:space="preserve">9/16/2022 3:55:32 PM </t>
        </r>
        <r>
          <rPr>
            <b/>
            <sz val="10"/>
            <color indexed="81"/>
            <rFont val="Tahoma"/>
            <family val="2"/>
          </rPr>
          <t xml:space="preserve">= 4581 - Referinta </t>
        </r>
        <r>
          <rPr>
            <sz val="10"/>
            <color indexed="81"/>
            <rFont val="Tahoma"/>
            <family val="2"/>
          </rPr>
          <t xml:space="preserve">* Bucuresti Marfa Km Auto (Responses)
  9/19/2022 7:05:29 AM </t>
        </r>
        <r>
          <rPr>
            <b/>
            <sz val="10"/>
            <color indexed="81"/>
            <rFont val="Tahoma"/>
            <family val="2"/>
          </rPr>
          <t xml:space="preserve">= 4581 - Normal </t>
        </r>
        <r>
          <rPr>
            <sz val="10"/>
            <color indexed="81"/>
            <rFont val="Tahoma"/>
            <family val="2"/>
          </rPr>
          <t xml:space="preserve">* Bucuresti Marfa Km Auto (Responses)
</t>
        </r>
      </text>
    </comment>
    <comment ref="Y24" authorId="0" shapeId="0" xr:uid="{31FF21E3-69F1-4E0B-9029-282DCC8FB89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__________________________________________________________________
</t>
        </r>
        <r>
          <rPr>
            <sz val="10"/>
            <color indexed="12"/>
            <rFont val="Tahoma"/>
            <family val="2"/>
          </rPr>
          <t xml:space="preserve">  </t>
        </r>
        <r>
          <rPr>
            <sz val="10"/>
            <color indexed="81"/>
            <rFont val="Tahoma"/>
            <family val="2"/>
          </rPr>
          <t xml:space="preserve">9/23/2022 4:26:09 PM </t>
        </r>
        <r>
          <rPr>
            <b/>
            <sz val="10"/>
            <color indexed="81"/>
            <rFont val="Tahoma"/>
            <family val="2"/>
          </rPr>
          <t xml:space="preserve">= 4931 - Referinta </t>
        </r>
        <r>
          <rPr>
            <sz val="10"/>
            <color indexed="81"/>
            <rFont val="Tahoma"/>
            <family val="2"/>
          </rPr>
          <t xml:space="preserve">* Bucuresti Marfa Km Auto (Responses)
  9/26/2022 7:11:03 AM </t>
        </r>
        <r>
          <rPr>
            <b/>
            <sz val="10"/>
            <color indexed="81"/>
            <rFont val="Tahoma"/>
            <family val="2"/>
          </rPr>
          <t xml:space="preserve">= 4931 - Normal </t>
        </r>
        <r>
          <rPr>
            <sz val="10"/>
            <color indexed="81"/>
            <rFont val="Tahoma"/>
            <family val="2"/>
          </rPr>
          <t xml:space="preserve">* Bucuresti Marfa Km Auto (Responses)
</t>
        </r>
      </text>
    </comment>
    <comment ref="AD24" authorId="0" shapeId="0" xr:uid="{3D9B9B5A-D796-4825-B8F3-2E8725C08A8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__________________________________________________________________
</t>
        </r>
        <r>
          <rPr>
            <sz val="10"/>
            <color indexed="12"/>
            <rFont val="Tahoma"/>
            <family val="2"/>
          </rPr>
          <t xml:space="preserve">  </t>
        </r>
        <r>
          <rPr>
            <sz val="10"/>
            <color indexed="81"/>
            <rFont val="Tahoma"/>
            <family val="2"/>
          </rPr>
          <t xml:space="preserve">9/30/2022 4:35:20 PM </t>
        </r>
        <r>
          <rPr>
            <b/>
            <sz val="10"/>
            <color indexed="81"/>
            <rFont val="Tahoma"/>
            <family val="2"/>
          </rPr>
          <t xml:space="preserve">= 5217 - Referinta </t>
        </r>
        <r>
          <rPr>
            <sz val="10"/>
            <color indexed="81"/>
            <rFont val="Tahoma"/>
            <family val="2"/>
          </rPr>
          <t xml:space="preserve">* Bucuresti Marfa Km Auto (Responses)
  10/3/2022 8:23:31 AM </t>
        </r>
        <r>
          <rPr>
            <b/>
            <sz val="10"/>
            <color indexed="81"/>
            <rFont val="Tahoma"/>
            <family val="2"/>
          </rPr>
          <t xml:space="preserve">= 5217 - Normal </t>
        </r>
        <r>
          <rPr>
            <sz val="10"/>
            <color indexed="81"/>
            <rFont val="Tahoma"/>
            <family val="2"/>
          </rPr>
          <t xml:space="preserve">* Bucuresti Marfa Km Auto (Responses)
</t>
        </r>
      </text>
    </comment>
    <comment ref="J25" authorId="0" shapeId="0" xr:uid="{9D8121BB-D29E-4E16-A927-A7D7294CA1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Referinta a fost pusa automat
__________________________________________________________________
</t>
        </r>
        <r>
          <rPr>
            <sz val="10"/>
            <color indexed="12"/>
            <rFont val="Tahoma"/>
            <family val="2"/>
          </rPr>
          <t xml:space="preserve">  </t>
        </r>
        <r>
          <rPr>
            <sz val="10"/>
            <color indexed="81"/>
            <rFont val="Tahoma"/>
            <family val="2"/>
          </rPr>
          <t xml:space="preserve"> 9/2/2022 6:17:46 PM </t>
        </r>
        <r>
          <rPr>
            <b/>
            <sz val="10"/>
            <color indexed="81"/>
            <rFont val="Tahoma"/>
            <family val="2"/>
          </rPr>
          <t xml:space="preserve">= 5105 - Referinta </t>
        </r>
        <r>
          <rPr>
            <sz val="10"/>
            <color indexed="81"/>
            <rFont val="Tahoma"/>
            <family val="2"/>
          </rPr>
          <t xml:space="preserve">* Bucuresti Marfa Km Auto (Responses)
   9/5/2022 8:42:26 AM </t>
        </r>
        <r>
          <rPr>
            <b/>
            <sz val="10"/>
            <color indexed="81"/>
            <rFont val="Tahoma"/>
            <family val="2"/>
          </rPr>
          <t xml:space="preserve">= 5105 - Normal </t>
        </r>
        <r>
          <rPr>
            <sz val="10"/>
            <color indexed="81"/>
            <rFont val="Tahoma"/>
            <family val="2"/>
          </rPr>
          <t xml:space="preserve">* Bucuresti Marfa Km Auto (Responses)
</t>
        </r>
      </text>
    </comment>
    <comment ref="T25" authorId="0" shapeId="0" xr:uid="{FCCFD09D-64E6-4BE2-A9ED-46E1BACA18B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__________________________________________________________________
</t>
        </r>
        <r>
          <rPr>
            <sz val="10"/>
            <color indexed="12"/>
            <rFont val="Tahoma"/>
            <family val="2"/>
          </rPr>
          <t xml:space="preserve">  </t>
        </r>
        <r>
          <rPr>
            <sz val="10"/>
            <color indexed="81"/>
            <rFont val="Tahoma"/>
            <family val="2"/>
          </rPr>
          <t xml:space="preserve">9/16/2022 5:21:53 PM </t>
        </r>
        <r>
          <rPr>
            <b/>
            <sz val="10"/>
            <color indexed="81"/>
            <rFont val="Tahoma"/>
            <family val="2"/>
          </rPr>
          <t xml:space="preserve">= 6098 - Referinta </t>
        </r>
        <r>
          <rPr>
            <sz val="10"/>
            <color indexed="81"/>
            <rFont val="Tahoma"/>
            <family val="2"/>
          </rPr>
          <t xml:space="preserve">* Bucuresti Marfa Km Auto (Responses)
  9/19/2022 8:38:21 AM </t>
        </r>
        <r>
          <rPr>
            <b/>
            <sz val="10"/>
            <color indexed="81"/>
            <rFont val="Tahoma"/>
            <family val="2"/>
          </rPr>
          <t xml:space="preserve">= 6098 - Normal </t>
        </r>
        <r>
          <rPr>
            <sz val="10"/>
            <color indexed="81"/>
            <rFont val="Tahoma"/>
            <family val="2"/>
          </rPr>
          <t xml:space="preserve">* Bucuresti Marfa Km Auto (Responses)
 9/19/2022 11:33:04 AM </t>
        </r>
        <r>
          <rPr>
            <b/>
            <sz val="10"/>
            <color indexed="81"/>
            <rFont val="Tahoma"/>
            <family val="2"/>
          </rPr>
          <t xml:space="preserve">= 6120 - Normal </t>
        </r>
        <r>
          <rPr>
            <sz val="10"/>
            <color indexed="81"/>
            <rFont val="Tahoma"/>
            <family val="2"/>
          </rPr>
          <t xml:space="preserve">* Bucuresti Marfa Km Auto (Responses)
</t>
        </r>
      </text>
    </comment>
    <comment ref="Y25" authorId="0" shapeId="0" xr:uid="{70063D9C-5ECC-475D-96BD-B415C3A426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__________________________________________________________________
</t>
        </r>
        <r>
          <rPr>
            <sz val="10"/>
            <color indexed="12"/>
            <rFont val="Tahoma"/>
            <family val="2"/>
          </rPr>
          <t xml:space="preserve">  </t>
        </r>
        <r>
          <rPr>
            <sz val="10"/>
            <color indexed="81"/>
            <rFont val="Tahoma"/>
            <family val="2"/>
          </rPr>
          <t xml:space="preserve">9/23/2022 7:33:08 PM </t>
        </r>
        <r>
          <rPr>
            <b/>
            <sz val="10"/>
            <color indexed="81"/>
            <rFont val="Tahoma"/>
            <family val="2"/>
          </rPr>
          <t xml:space="preserve">= 6627 - Referinta </t>
        </r>
        <r>
          <rPr>
            <sz val="10"/>
            <color indexed="81"/>
            <rFont val="Tahoma"/>
            <family val="2"/>
          </rPr>
          <t xml:space="preserve">* Bucuresti Marfa Km Auto (Responses)
  9/26/2022 8:42:17 AM </t>
        </r>
        <r>
          <rPr>
            <b/>
            <sz val="10"/>
            <color indexed="81"/>
            <rFont val="Tahoma"/>
            <family val="2"/>
          </rPr>
          <t xml:space="preserve">= 6627 - Normal </t>
        </r>
        <r>
          <rPr>
            <sz val="10"/>
            <color indexed="81"/>
            <rFont val="Tahoma"/>
            <family val="2"/>
          </rPr>
          <t xml:space="preserve">* Bucuresti Marfa Km Auto (Responses)
</t>
        </r>
      </text>
    </comment>
    <comment ref="AD25" authorId="0" shapeId="0" xr:uid="{95A9130D-FA31-4ADF-A916-1B700D1E16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__________________________________________________________________
</t>
        </r>
        <r>
          <rPr>
            <sz val="10"/>
            <color indexed="12"/>
            <rFont val="Tahoma"/>
            <family val="2"/>
          </rPr>
          <t xml:space="preserve">  </t>
        </r>
        <r>
          <rPr>
            <sz val="10"/>
            <color indexed="81"/>
            <rFont val="Tahoma"/>
            <family val="2"/>
          </rPr>
          <t xml:space="preserve">9/30/2022 5:36:07 PM </t>
        </r>
        <r>
          <rPr>
            <b/>
            <sz val="10"/>
            <color indexed="81"/>
            <rFont val="Tahoma"/>
            <family val="2"/>
          </rPr>
          <t xml:space="preserve">= 6979 - Referinta </t>
        </r>
        <r>
          <rPr>
            <sz val="10"/>
            <color indexed="81"/>
            <rFont val="Tahoma"/>
            <family val="2"/>
          </rPr>
          <t xml:space="preserve">* Bucuresti Marfa Km Auto (Responses)
  10/3/2022 8:49:17 AM </t>
        </r>
        <r>
          <rPr>
            <b/>
            <sz val="10"/>
            <color indexed="81"/>
            <rFont val="Tahoma"/>
            <family val="2"/>
          </rPr>
          <t xml:space="preserve">= 6979 - Normal </t>
        </r>
        <r>
          <rPr>
            <sz val="10"/>
            <color indexed="81"/>
            <rFont val="Tahoma"/>
            <family val="2"/>
          </rPr>
          <t xml:space="preserve">* Bucuresti Marfa Km Auto (Responses)
</t>
        </r>
      </text>
    </comment>
    <comment ref="J26" authorId="0" shapeId="0" xr:uid="{A19C300E-D511-4ED0-ADA8-39775F2FDB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5:29:02 PM </t>
        </r>
        <r>
          <rPr>
            <b/>
            <sz val="10"/>
            <color indexed="81"/>
            <rFont val="Tahoma"/>
            <family val="2"/>
          </rPr>
          <t xml:space="preserve">= 181118 - Referinta </t>
        </r>
        <r>
          <rPr>
            <sz val="10"/>
            <color indexed="81"/>
            <rFont val="Tahoma"/>
            <family val="2"/>
          </rPr>
          <t xml:space="preserve">* Bucuresti Km Auto Tesa (Responses)
   9/5/2022 7:28:15 AM </t>
        </r>
        <r>
          <rPr>
            <b/>
            <sz val="10"/>
            <color indexed="81"/>
            <rFont val="Tahoma"/>
            <family val="2"/>
          </rPr>
          <t xml:space="preserve">= 181143 - Normal </t>
        </r>
        <r>
          <rPr>
            <sz val="10"/>
            <color indexed="81"/>
            <rFont val="Tahoma"/>
            <family val="2"/>
          </rPr>
          <t xml:space="preserve">* Bucuresti Km Auto Tesa (Responses)
</t>
        </r>
      </text>
    </comment>
    <comment ref="O26" authorId="0" shapeId="0" xr:uid="{0A9865DF-39E5-4A08-B082-F0105C6142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 9/9/2022 4:55:20 PM </t>
        </r>
        <r>
          <rPr>
            <b/>
            <sz val="10"/>
            <color indexed="81"/>
            <rFont val="Tahoma"/>
            <family val="2"/>
          </rPr>
          <t xml:space="preserve">= 181344 - Referinta </t>
        </r>
        <r>
          <rPr>
            <sz val="10"/>
            <color indexed="81"/>
            <rFont val="Tahoma"/>
            <family val="2"/>
          </rPr>
          <t xml:space="preserve">* Bucuresti Km Auto Tesa (Responses)
  9/12/2022 6:42:27 AM </t>
        </r>
        <r>
          <rPr>
            <b/>
            <sz val="10"/>
            <color indexed="81"/>
            <rFont val="Tahoma"/>
            <family val="2"/>
          </rPr>
          <t xml:space="preserve">= 181344 - Normal </t>
        </r>
        <r>
          <rPr>
            <sz val="10"/>
            <color indexed="81"/>
            <rFont val="Tahoma"/>
            <family val="2"/>
          </rPr>
          <t xml:space="preserve">* Bucuresti Km Auto Tesa (Responses)
</t>
        </r>
      </text>
    </comment>
    <comment ref="T26" authorId="0" shapeId="0" xr:uid="{74ED3F65-E2D4-4C87-8ABD-9D76F86C2E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9/16/2022 5:22:15 PM </t>
        </r>
        <r>
          <rPr>
            <b/>
            <sz val="10"/>
            <color indexed="81"/>
            <rFont val="Tahoma"/>
            <family val="2"/>
          </rPr>
          <t xml:space="preserve">= 181527 - Referinta </t>
        </r>
        <r>
          <rPr>
            <sz val="10"/>
            <color indexed="81"/>
            <rFont val="Tahoma"/>
            <family val="2"/>
          </rPr>
          <t xml:space="preserve">* Bucuresti Km Auto Tesa (Responses)
  9/19/2022 6:43:34 AM </t>
        </r>
        <r>
          <rPr>
            <b/>
            <sz val="10"/>
            <color indexed="81"/>
            <rFont val="Tahoma"/>
            <family val="2"/>
          </rPr>
          <t xml:space="preserve">= 181527 - Normal </t>
        </r>
        <r>
          <rPr>
            <sz val="10"/>
            <color indexed="81"/>
            <rFont val="Tahoma"/>
            <family val="2"/>
          </rPr>
          <t xml:space="preserve">* Bucuresti Km Auto Tesa (Responses)
</t>
        </r>
      </text>
    </comment>
    <comment ref="Y26" authorId="0" shapeId="0" xr:uid="{86CD3550-EE62-4FA0-B3F8-65AA1F9F0A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9/23/2022 5:32:46 PM </t>
        </r>
        <r>
          <rPr>
            <b/>
            <sz val="10"/>
            <color indexed="81"/>
            <rFont val="Tahoma"/>
            <family val="2"/>
          </rPr>
          <t xml:space="preserve">= 181753 - Referinta </t>
        </r>
        <r>
          <rPr>
            <sz val="10"/>
            <color indexed="81"/>
            <rFont val="Tahoma"/>
            <family val="2"/>
          </rPr>
          <t xml:space="preserve">* Bucuresti Km Auto Tesa (Responses)
  9/26/2022 6:49:25 AM </t>
        </r>
        <r>
          <rPr>
            <b/>
            <sz val="10"/>
            <color indexed="81"/>
            <rFont val="Tahoma"/>
            <family val="2"/>
          </rPr>
          <t xml:space="preserve">= 181753 - Normal </t>
        </r>
        <r>
          <rPr>
            <sz val="10"/>
            <color indexed="81"/>
            <rFont val="Tahoma"/>
            <family val="2"/>
          </rPr>
          <t xml:space="preserve">* Bucuresti Km Auto Tesa (Responses)
</t>
        </r>
      </text>
    </comment>
    <comment ref="AD26" authorId="0" shapeId="0" xr:uid="{00D1E252-95BD-4CF9-9533-C20D8E5341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9/30/2022 5:23:28 PM </t>
        </r>
        <r>
          <rPr>
            <b/>
            <sz val="10"/>
            <color indexed="81"/>
            <rFont val="Tahoma"/>
            <family val="2"/>
          </rPr>
          <t xml:space="preserve">= 181973 - Referinta </t>
        </r>
        <r>
          <rPr>
            <sz val="10"/>
            <color indexed="81"/>
            <rFont val="Tahoma"/>
            <family val="2"/>
          </rPr>
          <t xml:space="preserve">* Bucuresti Km Auto Tesa (Responses)
  10/3/2022 6:57:24 AM </t>
        </r>
        <r>
          <rPr>
            <b/>
            <sz val="10"/>
            <color indexed="81"/>
            <rFont val="Tahoma"/>
            <family val="2"/>
          </rPr>
          <t xml:space="preserve">= 181974 - Normal </t>
        </r>
        <r>
          <rPr>
            <sz val="10"/>
            <color indexed="81"/>
            <rFont val="Tahoma"/>
            <family val="2"/>
          </rPr>
          <t xml:space="preserve">* Bucuresti Km Auto Tesa (Responses)
</t>
        </r>
      </text>
    </comment>
    <comment ref="O27" authorId="0" shapeId="0" xr:uid="{D046EBE8-050D-475B-907C-D4A9B9D12AD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__________________________________________________________________
</t>
        </r>
        <r>
          <rPr>
            <sz val="10"/>
            <color indexed="12"/>
            <rFont val="Tahoma"/>
            <family val="2"/>
          </rPr>
          <t xml:space="preserve">  </t>
        </r>
        <r>
          <rPr>
            <sz val="10"/>
            <color indexed="81"/>
            <rFont val="Tahoma"/>
            <family val="2"/>
          </rPr>
          <t xml:space="preserve"> 9/9/2022 4:37:17 PM </t>
        </r>
        <r>
          <rPr>
            <b/>
            <sz val="10"/>
            <color indexed="81"/>
            <rFont val="Tahoma"/>
            <family val="2"/>
          </rPr>
          <t xml:space="preserve">= 19416 - Referinta </t>
        </r>
        <r>
          <rPr>
            <sz val="10"/>
            <color indexed="81"/>
            <rFont val="Tahoma"/>
            <family val="2"/>
          </rPr>
          <t xml:space="preserve">* Bucuresti Km Auto Vanzari (Responses)
  9/13/2022 7:49:18 AM </t>
        </r>
        <r>
          <rPr>
            <b/>
            <sz val="10"/>
            <color indexed="81"/>
            <rFont val="Tahoma"/>
            <family val="2"/>
          </rPr>
          <t xml:space="preserve">= 19416 - Normal </t>
        </r>
        <r>
          <rPr>
            <sz val="10"/>
            <color indexed="81"/>
            <rFont val="Tahoma"/>
            <family val="2"/>
          </rPr>
          <t xml:space="preserve">* Bucuresti Km Auto Vanzari (Responses)
</t>
        </r>
      </text>
    </comment>
    <comment ref="T27" authorId="0" shapeId="0" xr:uid="{B1AE7A1D-B40C-4BB6-8EB1-2F41C837460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__________________________________________________________________
</t>
        </r>
        <r>
          <rPr>
            <sz val="10"/>
            <color indexed="12"/>
            <rFont val="Tahoma"/>
            <family val="2"/>
          </rPr>
          <t xml:space="preserve">  </t>
        </r>
        <r>
          <rPr>
            <sz val="10"/>
            <color indexed="81"/>
            <rFont val="Tahoma"/>
            <family val="2"/>
          </rPr>
          <t xml:space="preserve">9/16/2022 4:04:56 PM </t>
        </r>
        <r>
          <rPr>
            <b/>
            <sz val="10"/>
            <color indexed="81"/>
            <rFont val="Tahoma"/>
            <family val="2"/>
          </rPr>
          <t xml:space="preserve">= 20329 - Referinta </t>
        </r>
        <r>
          <rPr>
            <sz val="10"/>
            <color indexed="81"/>
            <rFont val="Tahoma"/>
            <family val="2"/>
          </rPr>
          <t xml:space="preserve">* Bucuresti Km Auto Vanzari (Responses)
  9/19/2022 7:28:39 AM </t>
        </r>
        <r>
          <rPr>
            <b/>
            <sz val="10"/>
            <color indexed="81"/>
            <rFont val="Tahoma"/>
            <family val="2"/>
          </rPr>
          <t xml:space="preserve">= 20329 - Normal </t>
        </r>
        <r>
          <rPr>
            <sz val="10"/>
            <color indexed="81"/>
            <rFont val="Tahoma"/>
            <family val="2"/>
          </rPr>
          <t xml:space="preserve">* Bucuresti Km Auto Vanzari (Responses)
</t>
        </r>
      </text>
    </comment>
    <comment ref="AD27" authorId="0" shapeId="0" xr:uid="{D959AC40-7DC2-46AA-95AC-AC14CF938EB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__________________________________________________________________
</t>
        </r>
        <r>
          <rPr>
            <sz val="10"/>
            <color indexed="12"/>
            <rFont val="Tahoma"/>
            <family val="2"/>
          </rPr>
          <t xml:space="preserve">  </t>
        </r>
        <r>
          <rPr>
            <sz val="10"/>
            <color indexed="81"/>
            <rFont val="Tahoma"/>
            <family val="2"/>
          </rPr>
          <t xml:space="preserve">10/2/2022 2:58:00 AM </t>
        </r>
        <r>
          <rPr>
            <b/>
            <sz val="10"/>
            <color indexed="81"/>
            <rFont val="Tahoma"/>
            <family val="2"/>
          </rPr>
          <t xml:space="preserve">= 21182 - Referinta </t>
        </r>
        <r>
          <rPr>
            <sz val="10"/>
            <color indexed="81"/>
            <rFont val="Tahoma"/>
            <family val="2"/>
          </rPr>
          <t xml:space="preserve">* Bucuresti Km Auto Vanzari (Responses)
  10/3/2022 7:26:59 AM </t>
        </r>
        <r>
          <rPr>
            <b/>
            <sz val="10"/>
            <color indexed="81"/>
            <rFont val="Tahoma"/>
            <family val="2"/>
          </rPr>
          <t xml:space="preserve">= 21182 - Normal </t>
        </r>
        <r>
          <rPr>
            <sz val="10"/>
            <color indexed="81"/>
            <rFont val="Tahoma"/>
            <family val="2"/>
          </rPr>
          <t xml:space="preserve">* Bucuresti Km Auto Vanzari (Responses)
</t>
        </r>
      </text>
    </comment>
    <comment ref="J28" authorId="0" shapeId="0" xr:uid="{0EA4A227-D392-47F6-91B9-10014F9EFC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Referinta a fost pusa automat
__________________________________________________________________
</t>
        </r>
        <r>
          <rPr>
            <sz val="10"/>
            <color indexed="12"/>
            <rFont val="Tahoma"/>
            <family val="2"/>
          </rPr>
          <t xml:space="preserve">  </t>
        </r>
        <r>
          <rPr>
            <sz val="10"/>
            <color indexed="81"/>
            <rFont val="Tahoma"/>
            <family val="2"/>
          </rPr>
          <t xml:space="preserve"> 9/2/2022 3:52:19 PM </t>
        </r>
        <r>
          <rPr>
            <b/>
            <sz val="10"/>
            <color indexed="81"/>
            <rFont val="Tahoma"/>
            <family val="2"/>
          </rPr>
          <t xml:space="preserve">= 14007 - Referinta </t>
        </r>
        <r>
          <rPr>
            <sz val="10"/>
            <color indexed="81"/>
            <rFont val="Tahoma"/>
            <family val="2"/>
          </rPr>
          <t xml:space="preserve">* Bucuresti Km Auto Vanzari (Responses)
   9/5/2022 7:24:37 AM </t>
        </r>
        <r>
          <rPr>
            <b/>
            <sz val="10"/>
            <color indexed="81"/>
            <rFont val="Tahoma"/>
            <family val="2"/>
          </rPr>
          <t xml:space="preserve">= 14024 - Interes Serviciu </t>
        </r>
        <r>
          <rPr>
            <sz val="10"/>
            <color indexed="81"/>
            <rFont val="Tahoma"/>
            <family val="2"/>
          </rPr>
          <t xml:space="preserve">* Bucuresti Km Auto Vanzari (Responses)
</t>
        </r>
      </text>
    </comment>
    <comment ref="O28" authorId="0" shapeId="0" xr:uid="{C8DAFCC8-D4A4-4F68-A172-E1CDC2C4CD4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 9/9/2022 3:50:02 PM </t>
        </r>
        <r>
          <rPr>
            <b/>
            <sz val="10"/>
            <color indexed="81"/>
            <rFont val="Tahoma"/>
            <family val="2"/>
          </rPr>
          <t xml:space="preserve">= 14259 - Referinta </t>
        </r>
        <r>
          <rPr>
            <sz val="10"/>
            <color indexed="81"/>
            <rFont val="Tahoma"/>
            <family val="2"/>
          </rPr>
          <t xml:space="preserve">* Bucuresti Km Auto Vanzari (Responses)
  9/12/2022 7:25:21 AM </t>
        </r>
        <r>
          <rPr>
            <b/>
            <sz val="10"/>
            <color indexed="81"/>
            <rFont val="Tahoma"/>
            <family val="2"/>
          </rPr>
          <t xml:space="preserve">= 14276 - Normal </t>
        </r>
        <r>
          <rPr>
            <sz val="10"/>
            <color indexed="81"/>
            <rFont val="Tahoma"/>
            <family val="2"/>
          </rPr>
          <t xml:space="preserve">* Bucuresti Km Auto Vanzari (Responses)
</t>
        </r>
      </text>
    </comment>
    <comment ref="T28" authorId="0" shapeId="0" xr:uid="{377F9A16-8992-4898-ADC2-BA6D13154A7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9/16/2022 6:41:22 PM </t>
        </r>
        <r>
          <rPr>
            <b/>
            <sz val="10"/>
            <color indexed="81"/>
            <rFont val="Tahoma"/>
            <family val="2"/>
          </rPr>
          <t xml:space="preserve">= 14628 - Referinta </t>
        </r>
        <r>
          <rPr>
            <sz val="10"/>
            <color indexed="81"/>
            <rFont val="Tahoma"/>
            <family val="2"/>
          </rPr>
          <t xml:space="preserve">* Bucuresti Km Auto Vanzari (Responses)
  9/19/2022 8:04:37 AM </t>
        </r>
        <r>
          <rPr>
            <b/>
            <sz val="10"/>
            <color indexed="81"/>
            <rFont val="Tahoma"/>
            <family val="2"/>
          </rPr>
          <t xml:space="preserve">= 14645 - Normal </t>
        </r>
        <r>
          <rPr>
            <sz val="10"/>
            <color indexed="81"/>
            <rFont val="Tahoma"/>
            <family val="2"/>
          </rPr>
          <t xml:space="preserve">* Bucuresti Km Auto Vanzari (Responses)
</t>
        </r>
      </text>
    </comment>
    <comment ref="Y28" authorId="0" shapeId="0" xr:uid="{278157BD-F3FC-4CD5-AD1A-48052FBCC19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9/23/2022 4:15:14 PM </t>
        </r>
        <r>
          <rPr>
            <b/>
            <sz val="10"/>
            <color indexed="81"/>
            <rFont val="Tahoma"/>
            <family val="2"/>
          </rPr>
          <t xml:space="preserve">= 15071 - Referinta </t>
        </r>
        <r>
          <rPr>
            <sz val="10"/>
            <color indexed="81"/>
            <rFont val="Tahoma"/>
            <family val="2"/>
          </rPr>
          <t xml:space="preserve">* Bucuresti Km Auto Vanzari (Responses)
  9/26/2022 7:21:02 AM </t>
        </r>
        <r>
          <rPr>
            <b/>
            <sz val="10"/>
            <color indexed="81"/>
            <rFont val="Tahoma"/>
            <family val="2"/>
          </rPr>
          <t xml:space="preserve">= 15087 - Normal </t>
        </r>
        <r>
          <rPr>
            <sz val="10"/>
            <color indexed="81"/>
            <rFont val="Tahoma"/>
            <family val="2"/>
          </rPr>
          <t xml:space="preserve">* Bucuresti Km Auto Vanzari (Responses)
</t>
        </r>
      </text>
    </comment>
    <comment ref="AD28" authorId="0" shapeId="0" xr:uid="{4B9F6BEE-2627-49DA-9300-AA8C24ACC7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9/30/2022 4:29:37 PM </t>
        </r>
        <r>
          <rPr>
            <b/>
            <sz val="10"/>
            <color indexed="81"/>
            <rFont val="Tahoma"/>
            <family val="2"/>
          </rPr>
          <t xml:space="preserve">= 15323 - Referinta </t>
        </r>
        <r>
          <rPr>
            <sz val="10"/>
            <color indexed="81"/>
            <rFont val="Tahoma"/>
            <family val="2"/>
          </rPr>
          <t xml:space="preserve">* Bucuresti Km Auto Vanzari (Responses)
 10/3/2022 11:57:17 AM </t>
        </r>
        <r>
          <rPr>
            <b/>
            <sz val="10"/>
            <color indexed="81"/>
            <rFont val="Tahoma"/>
            <family val="2"/>
          </rPr>
          <t xml:space="preserve">= 15340 - Normal </t>
        </r>
        <r>
          <rPr>
            <sz val="10"/>
            <color indexed="81"/>
            <rFont val="Tahoma"/>
            <family val="2"/>
          </rPr>
          <t xml:space="preserve">* Bucuresti Km Auto Vanzari (Responses)
</t>
        </r>
      </text>
    </comment>
    <comment ref="J29" authorId="0" shapeId="0" xr:uid="{3BB8CEA9-F155-47E9-BBD6-38C36F1192C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Referinta a fost pusa automat
__________________________________________________________________
</t>
        </r>
        <r>
          <rPr>
            <sz val="10"/>
            <color indexed="12"/>
            <rFont val="Tahoma"/>
            <family val="2"/>
          </rPr>
          <t xml:space="preserve">  </t>
        </r>
        <r>
          <rPr>
            <sz val="10"/>
            <color indexed="81"/>
            <rFont val="Tahoma"/>
            <family val="2"/>
          </rPr>
          <t xml:space="preserve"> 9/2/2022 9:48:23 PM </t>
        </r>
        <r>
          <rPr>
            <b/>
            <sz val="10"/>
            <color indexed="81"/>
            <rFont val="Tahoma"/>
            <family val="2"/>
          </rPr>
          <t xml:space="preserve">= 2822 - Referinta </t>
        </r>
        <r>
          <rPr>
            <sz val="10"/>
            <color indexed="81"/>
            <rFont val="Tahoma"/>
            <family val="2"/>
          </rPr>
          <t xml:space="preserve">* Bucuresti Km Auto Tesa (Responses)
   9/5/2022 8:03:18 AM </t>
        </r>
        <r>
          <rPr>
            <b/>
            <sz val="10"/>
            <color indexed="81"/>
            <rFont val="Tahoma"/>
            <family val="2"/>
          </rPr>
          <t xml:space="preserve">= 2842 - Normal </t>
        </r>
        <r>
          <rPr>
            <sz val="10"/>
            <color indexed="81"/>
            <rFont val="Tahoma"/>
            <family val="2"/>
          </rPr>
          <t xml:space="preserve">* Bucuresti Km Auto Tesa (Responses)
</t>
        </r>
      </text>
    </comment>
    <comment ref="O29" authorId="0" shapeId="0" xr:uid="{92BD6972-1A67-43A2-8FE2-A18D72D9A2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t>
        </r>
        <r>
          <rPr>
            <sz val="10"/>
            <color indexed="81"/>
            <rFont val="Tahoma"/>
            <family val="2"/>
          </rPr>
          <t xml:space="preserve">9/9/2022 11:20:09 PM </t>
        </r>
        <r>
          <rPr>
            <b/>
            <sz val="10"/>
            <color indexed="81"/>
            <rFont val="Tahoma"/>
            <family val="2"/>
          </rPr>
          <t xml:space="preserve">= 3066 - Referinta </t>
        </r>
        <r>
          <rPr>
            <sz val="10"/>
            <color indexed="81"/>
            <rFont val="Tahoma"/>
            <family val="2"/>
          </rPr>
          <t xml:space="preserve">* Bucuresti Km Auto Tesa (Responses)
  9/12/2022 8:42:43 AM </t>
        </r>
        <r>
          <rPr>
            <b/>
            <sz val="10"/>
            <color indexed="81"/>
            <rFont val="Tahoma"/>
            <family val="2"/>
          </rPr>
          <t xml:space="preserve">= 3084 - Normal </t>
        </r>
        <r>
          <rPr>
            <sz val="10"/>
            <color indexed="81"/>
            <rFont val="Tahoma"/>
            <family val="2"/>
          </rPr>
          <t xml:space="preserve">* Bucuresti Km Auto Tesa (Responses)
</t>
        </r>
      </text>
    </comment>
    <comment ref="T29" authorId="0" shapeId="0" xr:uid="{CA50C055-6E24-4E1F-AB78-8EB9D21BA7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9</t>
        </r>
        <r>
          <rPr>
            <sz val="10"/>
            <color indexed="81"/>
            <rFont val="Tahoma"/>
            <family val="2"/>
          </rPr>
          <t xml:space="preserve">/16/2022 10:16:00 PM </t>
        </r>
        <r>
          <rPr>
            <b/>
            <sz val="10"/>
            <color indexed="81"/>
            <rFont val="Tahoma"/>
            <family val="2"/>
          </rPr>
          <t xml:space="preserve">= 3328 - Referinta </t>
        </r>
        <r>
          <rPr>
            <sz val="10"/>
            <color indexed="81"/>
            <rFont val="Tahoma"/>
            <family val="2"/>
          </rPr>
          <t xml:space="preserve">* Bucuresti Km Auto Tesa (Responses)
  9/19/2022 8:32:51 AM </t>
        </r>
        <r>
          <rPr>
            <b/>
            <sz val="10"/>
            <color indexed="81"/>
            <rFont val="Tahoma"/>
            <family val="2"/>
          </rPr>
          <t xml:space="preserve">= 3344 - Normal </t>
        </r>
        <r>
          <rPr>
            <sz val="10"/>
            <color indexed="81"/>
            <rFont val="Tahoma"/>
            <family val="2"/>
          </rPr>
          <t xml:space="preserve">* Bucuresti Km Auto Tesa (Responses)
</t>
        </r>
      </text>
    </comment>
    <comment ref="Y29" authorId="0" shapeId="0" xr:uid="{8A7A3383-518B-4CF9-A7CC-97AB9D3870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9</t>
        </r>
        <r>
          <rPr>
            <sz val="10"/>
            <color indexed="81"/>
            <rFont val="Tahoma"/>
            <family val="2"/>
          </rPr>
          <t xml:space="preserve">/23/2022 11:09:25 PM </t>
        </r>
        <r>
          <rPr>
            <b/>
            <sz val="10"/>
            <color indexed="81"/>
            <rFont val="Tahoma"/>
            <family val="2"/>
          </rPr>
          <t xml:space="preserve">= 3697 - Referinta </t>
        </r>
        <r>
          <rPr>
            <sz val="10"/>
            <color indexed="81"/>
            <rFont val="Tahoma"/>
            <family val="2"/>
          </rPr>
          <t xml:space="preserve">* Bucuresti Km Auto Tesa (Responses)
  9/26/2022 9:21:53 AM </t>
        </r>
        <r>
          <rPr>
            <b/>
            <sz val="10"/>
            <color indexed="81"/>
            <rFont val="Tahoma"/>
            <family val="2"/>
          </rPr>
          <t xml:space="preserve">= 3714 - Normal </t>
        </r>
        <r>
          <rPr>
            <sz val="10"/>
            <color indexed="81"/>
            <rFont val="Tahoma"/>
            <family val="2"/>
          </rPr>
          <t xml:space="preserve">* Bucuresti Km Auto Tesa (Responses)
</t>
        </r>
      </text>
    </comment>
    <comment ref="AD29" authorId="0" shapeId="0" xr:uid="{21BEE214-E39E-49B6-811A-278807A7E8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t>
        </r>
        <r>
          <rPr>
            <sz val="10"/>
            <color indexed="81"/>
            <rFont val="Tahoma"/>
            <family val="2"/>
          </rPr>
          <t xml:space="preserve">9/30/2022 9:02:54 PM </t>
        </r>
        <r>
          <rPr>
            <b/>
            <sz val="10"/>
            <color indexed="81"/>
            <rFont val="Tahoma"/>
            <family val="2"/>
          </rPr>
          <t xml:space="preserve">= 4129 - Referinta </t>
        </r>
        <r>
          <rPr>
            <sz val="10"/>
            <color indexed="81"/>
            <rFont val="Tahoma"/>
            <family val="2"/>
          </rPr>
          <t xml:space="preserve">* Bucuresti Km Auto Tesa (Responses)
  10/3/2022 8:17:20 PM </t>
        </r>
        <r>
          <rPr>
            <b/>
            <sz val="10"/>
            <color indexed="81"/>
            <rFont val="Tahoma"/>
            <family val="2"/>
          </rPr>
          <t xml:space="preserve">= 4147 - Normal </t>
        </r>
        <r>
          <rPr>
            <sz val="10"/>
            <color indexed="81"/>
            <rFont val="Tahoma"/>
            <family val="2"/>
          </rPr>
          <t xml:space="preserve">* Bucuresti Km Auto Tesa (Responses)
</t>
        </r>
      </text>
    </comment>
    <comment ref="J30" authorId="0" shapeId="0" xr:uid="{4873960B-4CFC-4688-9C1C-6A48EC0B5E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5:07:49 PM </t>
        </r>
        <r>
          <rPr>
            <b/>
            <sz val="10"/>
            <color indexed="81"/>
            <rFont val="Tahoma"/>
            <family val="2"/>
          </rPr>
          <t xml:space="preserve">= 22165 - Referinta </t>
        </r>
        <r>
          <rPr>
            <sz val="10"/>
            <color indexed="81"/>
            <rFont val="Tahoma"/>
            <family val="2"/>
          </rPr>
          <t xml:space="preserve">* Bucuresti Marfa Km Auto (Responses)
  9/5/2022 10:51:02 AM </t>
        </r>
        <r>
          <rPr>
            <b/>
            <sz val="10"/>
            <color indexed="81"/>
            <rFont val="Tahoma"/>
            <family val="2"/>
          </rPr>
          <t xml:space="preserve">= 22165 - Normal </t>
        </r>
        <r>
          <rPr>
            <sz val="10"/>
            <color indexed="81"/>
            <rFont val="Tahoma"/>
            <family val="2"/>
          </rPr>
          <t xml:space="preserve">* Bucuresti Marfa Km Auto (Responses)
</t>
        </r>
      </text>
    </comment>
    <comment ref="O30" authorId="0" shapeId="0" xr:uid="{B19B2DA7-023D-4D61-85BE-63C1AF5A88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2:42:47 PM </t>
        </r>
        <r>
          <rPr>
            <b/>
            <sz val="10"/>
            <color indexed="81"/>
            <rFont val="Tahoma"/>
            <family val="2"/>
          </rPr>
          <t xml:space="preserve">= 22476 - Referinta </t>
        </r>
        <r>
          <rPr>
            <sz val="10"/>
            <color indexed="81"/>
            <rFont val="Tahoma"/>
            <family val="2"/>
          </rPr>
          <t xml:space="preserve">* Bucuresti Marfa Km Auto (Responses)
  9/12/2022 8:24:02 AM </t>
        </r>
        <r>
          <rPr>
            <b/>
            <sz val="10"/>
            <color indexed="81"/>
            <rFont val="Tahoma"/>
            <family val="2"/>
          </rPr>
          <t xml:space="preserve">= 22476 - Normal </t>
        </r>
        <r>
          <rPr>
            <sz val="10"/>
            <color indexed="81"/>
            <rFont val="Tahoma"/>
            <family val="2"/>
          </rPr>
          <t xml:space="preserve">* Bucuresti Marfa Km Auto (Responses)
</t>
        </r>
      </text>
    </comment>
    <comment ref="T30" authorId="0" shapeId="0" xr:uid="{89A562BD-3D82-4E4F-9D83-C8D542B4433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3:30:00 AM </t>
        </r>
        <r>
          <rPr>
            <b/>
            <sz val="10"/>
            <color indexed="81"/>
            <rFont val="Tahoma"/>
            <family val="2"/>
          </rPr>
          <t xml:space="preserve">= 23209 - Referinta </t>
        </r>
        <r>
          <rPr>
            <sz val="10"/>
            <color indexed="81"/>
            <rFont val="Tahoma"/>
            <family val="2"/>
          </rPr>
          <t xml:space="preserve">* Bucuresti Marfa Km Auto (Responses)
  9/19/2022 9:18:47 AM </t>
        </r>
        <r>
          <rPr>
            <b/>
            <sz val="10"/>
            <color indexed="81"/>
            <rFont val="Tahoma"/>
            <family val="2"/>
          </rPr>
          <t xml:space="preserve">= 23209 - Normal </t>
        </r>
        <r>
          <rPr>
            <sz val="10"/>
            <color indexed="81"/>
            <rFont val="Tahoma"/>
            <family val="2"/>
          </rPr>
          <t xml:space="preserve">* Bucuresti Marfa Km Auto (Responses)
</t>
        </r>
      </text>
    </comment>
    <comment ref="Y30" authorId="0" shapeId="0" xr:uid="{B68A6529-7FA5-430A-86C8-586776C179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__________________________________________________________________
</t>
        </r>
        <r>
          <rPr>
            <sz val="10"/>
            <color indexed="12"/>
            <rFont val="Tahoma"/>
            <family val="2"/>
          </rPr>
          <t xml:space="preserve">  </t>
        </r>
        <r>
          <rPr>
            <sz val="10"/>
            <color indexed="81"/>
            <rFont val="Tahoma"/>
            <family val="2"/>
          </rPr>
          <t xml:space="preserve">9/23/2022 3:30:00 AM </t>
        </r>
        <r>
          <rPr>
            <b/>
            <sz val="10"/>
            <color indexed="81"/>
            <rFont val="Tahoma"/>
            <family val="2"/>
          </rPr>
          <t xml:space="preserve">= 23765 - Referinta </t>
        </r>
        <r>
          <rPr>
            <sz val="10"/>
            <color indexed="81"/>
            <rFont val="Tahoma"/>
            <family val="2"/>
          </rPr>
          <t xml:space="preserve">* Bucuresti Marfa Km Auto (Responses)
  9/26/2022 9:30:00 AM </t>
        </r>
        <r>
          <rPr>
            <b/>
            <sz val="10"/>
            <color indexed="81"/>
            <rFont val="Tahoma"/>
            <family val="2"/>
          </rPr>
          <t xml:space="preserve">= 23765 - Normal </t>
        </r>
        <r>
          <rPr>
            <sz val="10"/>
            <color indexed="81"/>
            <rFont val="Tahoma"/>
            <family val="2"/>
          </rPr>
          <t xml:space="preserve">* Bucuresti Marfa Km Auto (Responses)
</t>
        </r>
      </text>
    </comment>
    <comment ref="J31" authorId="0" shapeId="0" xr:uid="{9041AAD8-A6B9-4CC9-ADDA-5EB08AF9DE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Referinta a fost pusa automat
__________________________________________________________________
</t>
        </r>
        <r>
          <rPr>
            <sz val="10"/>
            <color indexed="12"/>
            <rFont val="Tahoma"/>
            <family val="2"/>
          </rPr>
          <t xml:space="preserve">  </t>
        </r>
        <r>
          <rPr>
            <sz val="10"/>
            <color indexed="81"/>
            <rFont val="Tahoma"/>
            <family val="2"/>
          </rPr>
          <t xml:space="preserve">9/4/2022 11:23:16 AM </t>
        </r>
        <r>
          <rPr>
            <b/>
            <sz val="10"/>
            <color indexed="81"/>
            <rFont val="Tahoma"/>
            <family val="2"/>
          </rPr>
          <t xml:space="preserve">= 208664 - Referinta </t>
        </r>
        <r>
          <rPr>
            <sz val="10"/>
            <color indexed="81"/>
            <rFont val="Tahoma"/>
            <family val="2"/>
          </rPr>
          <t xml:space="preserve">* Bucuresti Km Auto Tesa (Responses)
   9/5/2022 6:52:33 AM </t>
        </r>
        <r>
          <rPr>
            <b/>
            <sz val="10"/>
            <color indexed="81"/>
            <rFont val="Tahoma"/>
            <family val="2"/>
          </rPr>
          <t xml:space="preserve">= 208704 - Normal </t>
        </r>
        <r>
          <rPr>
            <sz val="10"/>
            <color indexed="81"/>
            <rFont val="Tahoma"/>
            <family val="2"/>
          </rPr>
          <t xml:space="preserve">* Bucuresti Km Auto Tesa (Responses)
</t>
        </r>
      </text>
    </comment>
    <comment ref="O31" authorId="0" shapeId="0" xr:uid="{D3E5388B-BA0D-4A8D-95DA-84981E6F2D6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9</t>
        </r>
        <r>
          <rPr>
            <sz val="10"/>
            <color indexed="81"/>
            <rFont val="Tahoma"/>
            <family val="2"/>
          </rPr>
          <t xml:space="preserve">/11/2022 10:10:00 AM </t>
        </r>
        <r>
          <rPr>
            <b/>
            <sz val="10"/>
            <color indexed="81"/>
            <rFont val="Tahoma"/>
            <family val="2"/>
          </rPr>
          <t xml:space="preserve">= 209261 - Referinta </t>
        </r>
        <r>
          <rPr>
            <sz val="10"/>
            <color indexed="81"/>
            <rFont val="Tahoma"/>
            <family val="2"/>
          </rPr>
          <t xml:space="preserve">* Bucuresti Km Auto Tesa (Responses)
  9/12/2022 6:52:58 AM </t>
        </r>
        <r>
          <rPr>
            <b/>
            <sz val="10"/>
            <color indexed="81"/>
            <rFont val="Tahoma"/>
            <family val="2"/>
          </rPr>
          <t xml:space="preserve">= 209287 - Normal </t>
        </r>
        <r>
          <rPr>
            <sz val="10"/>
            <color indexed="81"/>
            <rFont val="Tahoma"/>
            <family val="2"/>
          </rPr>
          <t xml:space="preserve">* Bucuresti Km Auto Tesa (Responses)
</t>
        </r>
      </text>
    </comment>
    <comment ref="T31" authorId="0" shapeId="0" xr:uid="{1695B97D-E02A-483B-ADAB-EEF9D542ADE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t>
        </r>
        <r>
          <rPr>
            <sz val="10"/>
            <color indexed="81"/>
            <rFont val="Tahoma"/>
            <family val="2"/>
          </rPr>
          <t xml:space="preserve">9/17/2022 8:17:12 AM </t>
        </r>
        <r>
          <rPr>
            <b/>
            <sz val="10"/>
            <color indexed="81"/>
            <rFont val="Tahoma"/>
            <family val="2"/>
          </rPr>
          <t xml:space="preserve">= 209856 - Referinta </t>
        </r>
        <r>
          <rPr>
            <sz val="10"/>
            <color indexed="81"/>
            <rFont val="Tahoma"/>
            <family val="2"/>
          </rPr>
          <t xml:space="preserve">* Bucuresti Km Auto Tesa (Responses)
  9/19/2022 7:17:15 AM </t>
        </r>
        <r>
          <rPr>
            <b/>
            <sz val="10"/>
            <color indexed="81"/>
            <rFont val="Tahoma"/>
            <family val="2"/>
          </rPr>
          <t xml:space="preserve">= 209933 - Normal </t>
        </r>
        <r>
          <rPr>
            <sz val="10"/>
            <color indexed="81"/>
            <rFont val="Tahoma"/>
            <family val="2"/>
          </rPr>
          <t xml:space="preserve">* Bucuresti Km Auto Tesa (Responses)
</t>
        </r>
      </text>
    </comment>
    <comment ref="Y31" authorId="0" shapeId="0" xr:uid="{D7DC29BA-4F49-4B19-BD95-C1375D048F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t>
        </r>
        <r>
          <rPr>
            <sz val="10"/>
            <color indexed="81"/>
            <rFont val="Tahoma"/>
            <family val="2"/>
          </rPr>
          <t xml:space="preserve">9/23/2022 8:00:00 AM </t>
        </r>
        <r>
          <rPr>
            <b/>
            <sz val="10"/>
            <color indexed="81"/>
            <rFont val="Tahoma"/>
            <family val="2"/>
          </rPr>
          <t xml:space="preserve">= 210500 - Referinta </t>
        </r>
        <r>
          <rPr>
            <sz val="10"/>
            <color indexed="81"/>
            <rFont val="Tahoma"/>
            <family val="2"/>
          </rPr>
          <t xml:space="preserve">* Bucuresti Km Auto Tesa (Responses)
  9/26/2022 8:00:00 AM </t>
        </r>
        <r>
          <rPr>
            <b/>
            <sz val="10"/>
            <color indexed="81"/>
            <rFont val="Tahoma"/>
            <family val="2"/>
          </rPr>
          <t xml:space="preserve">= 210590 - Normal </t>
        </r>
        <r>
          <rPr>
            <sz val="10"/>
            <color indexed="81"/>
            <rFont val="Tahoma"/>
            <family val="2"/>
          </rPr>
          <t xml:space="preserve">* Bucuresti Km Auto Tesa (Responses)
</t>
        </r>
      </text>
    </comment>
    <comment ref="AD31" authorId="0" shapeId="0" xr:uid="{E01CE139-4376-4EF7-871E-4844E97FADB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1</t>
        </r>
        <r>
          <rPr>
            <sz val="10"/>
            <color indexed="81"/>
            <rFont val="Tahoma"/>
            <family val="2"/>
          </rPr>
          <t xml:space="preserve">0/1/2022 10:05:08 AM </t>
        </r>
        <r>
          <rPr>
            <b/>
            <sz val="10"/>
            <color indexed="81"/>
            <rFont val="Tahoma"/>
            <family val="2"/>
          </rPr>
          <t xml:space="preserve">= 211085 - Referinta </t>
        </r>
        <r>
          <rPr>
            <sz val="10"/>
            <color indexed="81"/>
            <rFont val="Tahoma"/>
            <family val="2"/>
          </rPr>
          <t xml:space="preserve">* Bucuresti Km Auto Tesa (Responses)
  10/3/2022 7:04:43 AM </t>
        </r>
        <r>
          <rPr>
            <b/>
            <sz val="10"/>
            <color indexed="81"/>
            <rFont val="Tahoma"/>
            <family val="2"/>
          </rPr>
          <t xml:space="preserve">= 211216 - Normal </t>
        </r>
        <r>
          <rPr>
            <sz val="10"/>
            <color indexed="81"/>
            <rFont val="Tahoma"/>
            <family val="2"/>
          </rPr>
          <t xml:space="preserve">* Bucuresti Km Auto Tesa (Responses)
</t>
        </r>
      </text>
    </comment>
    <comment ref="J32" authorId="0" shapeId="0" xr:uid="{AB38E422-7441-4D60-B37B-A9BDA50832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3:28:16 PM </t>
        </r>
        <r>
          <rPr>
            <b/>
            <sz val="10"/>
            <color indexed="81"/>
            <rFont val="Tahoma"/>
            <family val="2"/>
          </rPr>
          <t xml:space="preserve">= 3894 - Referinta </t>
        </r>
        <r>
          <rPr>
            <sz val="10"/>
            <color indexed="81"/>
            <rFont val="Tahoma"/>
            <family val="2"/>
          </rPr>
          <t xml:space="preserve">* Bucuresti Marfa Km Auto (Responses)
   9/5/2022 7:36:42 AM </t>
        </r>
        <r>
          <rPr>
            <b/>
            <sz val="10"/>
            <color indexed="81"/>
            <rFont val="Tahoma"/>
            <family val="2"/>
          </rPr>
          <t xml:space="preserve">= 3894 - Normal </t>
        </r>
        <r>
          <rPr>
            <sz val="10"/>
            <color indexed="81"/>
            <rFont val="Tahoma"/>
            <family val="2"/>
          </rPr>
          <t xml:space="preserve">* Bucuresti Marfa Km Auto (Responses)
</t>
        </r>
      </text>
    </comment>
    <comment ref="O32" authorId="0" shapeId="0" xr:uid="{BB9077C6-0CBD-4F34-B66A-15D15DB320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4:17:35 PM </t>
        </r>
        <r>
          <rPr>
            <b/>
            <sz val="10"/>
            <color indexed="81"/>
            <rFont val="Tahoma"/>
            <family val="2"/>
          </rPr>
          <t xml:space="preserve">= 4449 - Referinta </t>
        </r>
        <r>
          <rPr>
            <sz val="10"/>
            <color indexed="81"/>
            <rFont val="Tahoma"/>
            <family val="2"/>
          </rPr>
          <t xml:space="preserve">* Bucuresti Marfa Km Auto (Responses)
  9/12/2022 7:28:01 AM </t>
        </r>
        <r>
          <rPr>
            <b/>
            <sz val="10"/>
            <color indexed="81"/>
            <rFont val="Tahoma"/>
            <family val="2"/>
          </rPr>
          <t xml:space="preserve">= 4449 - Normal </t>
        </r>
        <r>
          <rPr>
            <sz val="10"/>
            <color indexed="81"/>
            <rFont val="Tahoma"/>
            <family val="2"/>
          </rPr>
          <t xml:space="preserve">* Bucuresti Marfa Km Auto (Responses)
</t>
        </r>
      </text>
    </comment>
    <comment ref="T32" authorId="0" shapeId="0" xr:uid="{AB5603F7-6098-4A76-A2A0-43282347716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4:41:58 PM </t>
        </r>
        <r>
          <rPr>
            <b/>
            <sz val="10"/>
            <color indexed="81"/>
            <rFont val="Tahoma"/>
            <family val="2"/>
          </rPr>
          <t xml:space="preserve">= 4658 - Referinta </t>
        </r>
        <r>
          <rPr>
            <sz val="10"/>
            <color indexed="81"/>
            <rFont val="Tahoma"/>
            <family val="2"/>
          </rPr>
          <t xml:space="preserve">* Bucuresti Marfa Km Auto (Responses)
 9/19/2022 11:06:20 AM </t>
        </r>
        <r>
          <rPr>
            <b/>
            <sz val="10"/>
            <color indexed="81"/>
            <rFont val="Tahoma"/>
            <family val="2"/>
          </rPr>
          <t xml:space="preserve">= 4658 - Normal </t>
        </r>
        <r>
          <rPr>
            <sz val="10"/>
            <color indexed="81"/>
            <rFont val="Tahoma"/>
            <family val="2"/>
          </rPr>
          <t xml:space="preserve">* Bucuresti Marfa Km Auto (Responses)
</t>
        </r>
      </text>
    </comment>
    <comment ref="Y32" authorId="0" shapeId="0" xr:uid="{2A4142A3-2353-4DA5-8290-3E85919BCF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__________________________________________________________________
</t>
        </r>
        <r>
          <rPr>
            <sz val="10"/>
            <color indexed="12"/>
            <rFont val="Tahoma"/>
            <family val="2"/>
          </rPr>
          <t xml:space="preserve">  </t>
        </r>
        <r>
          <rPr>
            <sz val="10"/>
            <color indexed="81"/>
            <rFont val="Tahoma"/>
            <family val="2"/>
          </rPr>
          <t xml:space="preserve">9/23/2022 4:21:34 PM </t>
        </r>
        <r>
          <rPr>
            <b/>
            <sz val="10"/>
            <color indexed="81"/>
            <rFont val="Tahoma"/>
            <family val="2"/>
          </rPr>
          <t xml:space="preserve">= 4940 - Referinta </t>
        </r>
        <r>
          <rPr>
            <sz val="10"/>
            <color indexed="81"/>
            <rFont val="Tahoma"/>
            <family val="2"/>
          </rPr>
          <t xml:space="preserve">* Bucuresti Marfa Km Auto (Responses)
  9/26/2022 7:33:01 AM </t>
        </r>
        <r>
          <rPr>
            <b/>
            <sz val="10"/>
            <color indexed="81"/>
            <rFont val="Tahoma"/>
            <family val="2"/>
          </rPr>
          <t xml:space="preserve">= 4940 - Normal </t>
        </r>
        <r>
          <rPr>
            <sz val="10"/>
            <color indexed="81"/>
            <rFont val="Tahoma"/>
            <family val="2"/>
          </rPr>
          <t xml:space="preserve">* Bucuresti Marfa Km Auto (Responses)
</t>
        </r>
      </text>
    </comment>
    <comment ref="AD32" authorId="0" shapeId="0" xr:uid="{E1220E89-8C9F-46E1-AC87-ACCE9C3BBB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9/30/2022 3:38:57 PM </t>
        </r>
        <r>
          <rPr>
            <b/>
            <sz val="10"/>
            <color indexed="81"/>
            <rFont val="Tahoma"/>
            <family val="2"/>
          </rPr>
          <t xml:space="preserve">= 5277 - Referinta </t>
        </r>
        <r>
          <rPr>
            <sz val="10"/>
            <color indexed="81"/>
            <rFont val="Tahoma"/>
            <family val="2"/>
          </rPr>
          <t xml:space="preserve">* Bucuresti Marfa Km Auto (Responses)
  10/3/2022 7:35:15 AM </t>
        </r>
        <r>
          <rPr>
            <b/>
            <sz val="10"/>
            <color indexed="81"/>
            <rFont val="Tahoma"/>
            <family val="2"/>
          </rPr>
          <t xml:space="preserve">= 5277 - Normal </t>
        </r>
        <r>
          <rPr>
            <sz val="10"/>
            <color indexed="81"/>
            <rFont val="Tahoma"/>
            <family val="2"/>
          </rPr>
          <t xml:space="preserve">* Bucuresti Marfa Km Auto (Responses)
</t>
        </r>
      </text>
    </comment>
    <comment ref="J33" authorId="0" shapeId="0" xr:uid="{DEF290C7-2B60-4259-8FFE-3547D8F321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Referinta a fost pusa automat
__________________________________________________________________
</t>
        </r>
        <r>
          <rPr>
            <sz val="10"/>
            <color indexed="12"/>
            <rFont val="Tahoma"/>
            <family val="2"/>
          </rPr>
          <t xml:space="preserve">  </t>
        </r>
        <r>
          <rPr>
            <sz val="10"/>
            <color indexed="81"/>
            <rFont val="Tahoma"/>
            <family val="2"/>
          </rPr>
          <t xml:space="preserve"> 9/2/2022 4:01:26 PM </t>
        </r>
        <r>
          <rPr>
            <b/>
            <sz val="10"/>
            <color indexed="81"/>
            <rFont val="Tahoma"/>
            <family val="2"/>
          </rPr>
          <t xml:space="preserve">= 144035 - Referinta </t>
        </r>
        <r>
          <rPr>
            <sz val="10"/>
            <color indexed="81"/>
            <rFont val="Tahoma"/>
            <family val="2"/>
          </rPr>
          <t xml:space="preserve">* Bucuresti Km Auto Vanzari (Responses)
   9/5/2022 5:42:45 PM </t>
        </r>
        <r>
          <rPr>
            <b/>
            <sz val="10"/>
            <color indexed="81"/>
            <rFont val="Tahoma"/>
            <family val="2"/>
          </rPr>
          <t xml:space="preserve">= 144095 - Normal </t>
        </r>
        <r>
          <rPr>
            <sz val="10"/>
            <color indexed="81"/>
            <rFont val="Tahoma"/>
            <family val="2"/>
          </rPr>
          <t xml:space="preserve">* Bucuresti Km Auto Vanzari (Responses)
</t>
        </r>
      </text>
    </comment>
    <comment ref="O33" authorId="0" shapeId="0" xr:uid="{0CEF23A8-41FE-4F4B-BAB1-6D18E37DF6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Referinta a fost pusa automat
__________________________________________________________________
</t>
        </r>
        <r>
          <rPr>
            <sz val="10"/>
            <color indexed="12"/>
            <rFont val="Tahoma"/>
            <family val="2"/>
          </rPr>
          <t xml:space="preserve">  </t>
        </r>
        <r>
          <rPr>
            <sz val="10"/>
            <color indexed="81"/>
            <rFont val="Tahoma"/>
            <family val="2"/>
          </rPr>
          <t xml:space="preserve"> 9/9/2022 3:47:00 AM </t>
        </r>
        <r>
          <rPr>
            <b/>
            <sz val="10"/>
            <color indexed="81"/>
            <rFont val="Tahoma"/>
            <family val="2"/>
          </rPr>
          <t xml:space="preserve">= 144179 - Referinta </t>
        </r>
        <r>
          <rPr>
            <sz val="10"/>
            <color indexed="81"/>
            <rFont val="Tahoma"/>
            <family val="2"/>
          </rPr>
          <t xml:space="preserve">* Bucuresti Km Auto Vanzari (Responses)
  9/12/2022 8:04:00 AM </t>
        </r>
        <r>
          <rPr>
            <b/>
            <sz val="10"/>
            <color indexed="81"/>
            <rFont val="Tahoma"/>
            <family val="2"/>
          </rPr>
          <t xml:space="preserve">= 144297 - Normal </t>
        </r>
        <r>
          <rPr>
            <sz val="10"/>
            <color indexed="81"/>
            <rFont val="Tahoma"/>
            <family val="2"/>
          </rPr>
          <t xml:space="preserve">* Bucuresti Km Auto Vanzari (Responses)
</t>
        </r>
      </text>
    </comment>
    <comment ref="T33" authorId="0" shapeId="0" xr:uid="{DF5DAEB4-1642-490B-A57A-898976C3D6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Referinta a fost pusa automat
__________________________________________________________________
</t>
        </r>
        <r>
          <rPr>
            <sz val="10"/>
            <color indexed="12"/>
            <rFont val="Tahoma"/>
            <family val="2"/>
          </rPr>
          <t xml:space="preserve">  </t>
        </r>
        <r>
          <rPr>
            <sz val="10"/>
            <color indexed="81"/>
            <rFont val="Tahoma"/>
            <family val="2"/>
          </rPr>
          <t xml:space="preserve">9/16/2022 4:14:00 AM </t>
        </r>
        <r>
          <rPr>
            <b/>
            <sz val="10"/>
            <color indexed="81"/>
            <rFont val="Tahoma"/>
            <family val="2"/>
          </rPr>
          <t xml:space="preserve">= 144387 - Referinta </t>
        </r>
        <r>
          <rPr>
            <sz val="10"/>
            <color indexed="81"/>
            <rFont val="Tahoma"/>
            <family val="2"/>
          </rPr>
          <t xml:space="preserve">* Bucuresti Km Auto Vanzari (Responses)
  9/19/2022 7:28:00 AM </t>
        </r>
        <r>
          <rPr>
            <b/>
            <sz val="10"/>
            <color indexed="81"/>
            <rFont val="Tahoma"/>
            <family val="2"/>
          </rPr>
          <t xml:space="preserve">= 144462 - Normal </t>
        </r>
        <r>
          <rPr>
            <sz val="10"/>
            <color indexed="81"/>
            <rFont val="Tahoma"/>
            <family val="2"/>
          </rPr>
          <t xml:space="preserve">* Bucuresti Km Auto Vanzari (Responses)
</t>
        </r>
      </text>
    </comment>
    <comment ref="O34" authorId="0" shapeId="0" xr:uid="{85D1544A-E7FD-49A2-B8B5-74568E1E07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Referinta a fost pusa automat
__________________________________________________________________
</t>
        </r>
        <r>
          <rPr>
            <sz val="10"/>
            <color indexed="12"/>
            <rFont val="Tahoma"/>
            <family val="2"/>
          </rPr>
          <t xml:space="preserve">  </t>
        </r>
        <r>
          <rPr>
            <sz val="10"/>
            <color indexed="81"/>
            <rFont val="Tahoma"/>
            <family val="2"/>
          </rPr>
          <t xml:space="preserve">9/10/2022 1:24:00 AM </t>
        </r>
        <r>
          <rPr>
            <b/>
            <sz val="10"/>
            <color indexed="81"/>
            <rFont val="Tahoma"/>
            <family val="2"/>
          </rPr>
          <t xml:space="preserve">= 30385 - Referinta </t>
        </r>
        <r>
          <rPr>
            <sz val="10"/>
            <color indexed="81"/>
            <rFont val="Tahoma"/>
            <family val="2"/>
          </rPr>
          <t xml:space="preserve">* Bucuresti Km Auto Tesa (Responses)
  9/11/2022 4:57:00 AM </t>
        </r>
        <r>
          <rPr>
            <b/>
            <sz val="10"/>
            <color indexed="81"/>
            <rFont val="Tahoma"/>
            <family val="2"/>
          </rPr>
          <t xml:space="preserve">= 30385 - Normal </t>
        </r>
        <r>
          <rPr>
            <sz val="10"/>
            <color indexed="81"/>
            <rFont val="Tahoma"/>
            <family val="2"/>
          </rPr>
          <t xml:space="preserve">* Bucuresti Km Auto Tesa (Responses)
</t>
        </r>
      </text>
    </comment>
    <comment ref="T34" authorId="0" shapeId="0" xr:uid="{0F546CC9-0B95-401C-9226-54FD835E41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__________________________________________________________________
</t>
        </r>
        <r>
          <rPr>
            <sz val="10"/>
            <color indexed="12"/>
            <rFont val="Tahoma"/>
            <family val="2"/>
          </rPr>
          <t xml:space="preserve">  </t>
        </r>
        <r>
          <rPr>
            <sz val="10"/>
            <color indexed="81"/>
            <rFont val="Tahoma"/>
            <family val="2"/>
          </rPr>
          <t xml:space="preserve">9/17/2022 2:20:00 AM </t>
        </r>
        <r>
          <rPr>
            <b/>
            <sz val="10"/>
            <color indexed="81"/>
            <rFont val="Tahoma"/>
            <family val="2"/>
          </rPr>
          <t xml:space="preserve">= 30933 - Referinta </t>
        </r>
        <r>
          <rPr>
            <sz val="10"/>
            <color indexed="81"/>
            <rFont val="Tahoma"/>
            <family val="2"/>
          </rPr>
          <t xml:space="preserve">* Bucuresti Km Auto Tesa (Responses)
  9/18/2022 5:07:00 AM </t>
        </r>
        <r>
          <rPr>
            <b/>
            <sz val="10"/>
            <color indexed="81"/>
            <rFont val="Tahoma"/>
            <family val="2"/>
          </rPr>
          <t xml:space="preserve">= 30947 - Normal </t>
        </r>
        <r>
          <rPr>
            <sz val="10"/>
            <color indexed="81"/>
            <rFont val="Tahoma"/>
            <family val="2"/>
          </rPr>
          <t xml:space="preserve">* Bucuresti Km Auto Tesa (Responses)
</t>
        </r>
      </text>
    </comment>
    <comment ref="Y34" authorId="0" shapeId="0" xr:uid="{A3346570-980C-4FD3-9D7B-EFF6318D0C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__________________________________________________________________
</t>
        </r>
        <r>
          <rPr>
            <sz val="10"/>
            <color indexed="12"/>
            <rFont val="Tahoma"/>
            <family val="2"/>
          </rPr>
          <t xml:space="preserve">  </t>
        </r>
        <r>
          <rPr>
            <sz val="10"/>
            <color indexed="81"/>
            <rFont val="Tahoma"/>
            <family val="2"/>
          </rPr>
          <t xml:space="preserve">9/23/2022 7:52:00 AM </t>
        </r>
        <r>
          <rPr>
            <b/>
            <sz val="10"/>
            <color indexed="81"/>
            <rFont val="Tahoma"/>
            <family val="2"/>
          </rPr>
          <t xml:space="preserve">= 31407 - Referinta </t>
        </r>
        <r>
          <rPr>
            <sz val="10"/>
            <color indexed="81"/>
            <rFont val="Tahoma"/>
            <family val="2"/>
          </rPr>
          <t xml:space="preserve">* Bucuresti Km Auto Tesa (Responses)
  9/25/2022 4:51:00 AM </t>
        </r>
        <r>
          <rPr>
            <b/>
            <sz val="10"/>
            <color indexed="81"/>
            <rFont val="Tahoma"/>
            <family val="2"/>
          </rPr>
          <t xml:space="preserve">= 31414 - Normal </t>
        </r>
        <r>
          <rPr>
            <sz val="10"/>
            <color indexed="81"/>
            <rFont val="Tahoma"/>
            <family val="2"/>
          </rPr>
          <t xml:space="preserve">* Bucuresti Km Auto Tesa (Responses)
</t>
        </r>
      </text>
    </comment>
    <comment ref="AD34" authorId="0" shapeId="0" xr:uid="{7CA2C4D2-A5DC-435C-83A3-286E551B7B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__________________________________________________________________
</t>
        </r>
        <r>
          <rPr>
            <sz val="10"/>
            <color indexed="12"/>
            <rFont val="Tahoma"/>
            <family val="2"/>
          </rPr>
          <t xml:space="preserve"> 1</t>
        </r>
        <r>
          <rPr>
            <sz val="10"/>
            <color indexed="81"/>
            <rFont val="Tahoma"/>
            <family val="2"/>
          </rPr>
          <t xml:space="preserve">0/1/2022 12:22:00 PM </t>
        </r>
        <r>
          <rPr>
            <b/>
            <sz val="10"/>
            <color indexed="81"/>
            <rFont val="Tahoma"/>
            <family val="2"/>
          </rPr>
          <t xml:space="preserve">= 31747 - Referinta </t>
        </r>
        <r>
          <rPr>
            <sz val="10"/>
            <color indexed="81"/>
            <rFont val="Tahoma"/>
            <family val="2"/>
          </rPr>
          <t xml:space="preserve">* Bucuresti Km Auto Tesa (Responses)
  10/2/2022 1:51:00 AM </t>
        </r>
        <r>
          <rPr>
            <b/>
            <sz val="10"/>
            <color indexed="81"/>
            <rFont val="Tahoma"/>
            <family val="2"/>
          </rPr>
          <t xml:space="preserve">= 31783 - Normal </t>
        </r>
        <r>
          <rPr>
            <sz val="10"/>
            <color indexed="81"/>
            <rFont val="Tahoma"/>
            <family val="2"/>
          </rPr>
          <t xml:space="preserve">* Bucuresti Km Auto Tesa (Responses)
</t>
        </r>
      </text>
    </comment>
    <comment ref="J35" authorId="0" shapeId="0" xr:uid="{5933B82B-83A6-498D-8780-B37C1D29C99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 9/6/2022 8:11:48 AM </t>
        </r>
        <r>
          <rPr>
            <b/>
            <sz val="10"/>
            <color indexed="81"/>
            <rFont val="Tahoma"/>
            <family val="2"/>
          </rPr>
          <t xml:space="preserve">= 30135 - Referinta </t>
        </r>
        <r>
          <rPr>
            <sz val="10"/>
            <color indexed="81"/>
            <rFont val="Tahoma"/>
            <family val="2"/>
          </rPr>
          <t xml:space="preserve">* Bucuresti Marfa Km Auto (Responses)
</t>
        </r>
      </text>
    </comment>
    <comment ref="O35" authorId="0" shapeId="0" xr:uid="{97E8EA5E-6E2B-4BE1-9040-5EC605ABC0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8:49:38 PM </t>
        </r>
        <r>
          <rPr>
            <b/>
            <sz val="10"/>
            <color indexed="81"/>
            <rFont val="Tahoma"/>
            <family val="2"/>
          </rPr>
          <t xml:space="preserve">= 30676 - Referinta </t>
        </r>
        <r>
          <rPr>
            <sz val="10"/>
            <color indexed="81"/>
            <rFont val="Tahoma"/>
            <family val="2"/>
          </rPr>
          <t xml:space="preserve">* Bucuresti Marfa Km Auto (Responses)
  9/12/2022 7:44:56 AM </t>
        </r>
        <r>
          <rPr>
            <b/>
            <sz val="10"/>
            <color indexed="81"/>
            <rFont val="Tahoma"/>
            <family val="2"/>
          </rPr>
          <t xml:space="preserve">= 30676 - Normal </t>
        </r>
        <r>
          <rPr>
            <sz val="10"/>
            <color indexed="81"/>
            <rFont val="Tahoma"/>
            <family val="2"/>
          </rPr>
          <t xml:space="preserve">* Bucuresti Marfa Km Auto (Responses)
</t>
        </r>
      </text>
    </comment>
    <comment ref="T35" authorId="0" shapeId="0" xr:uid="{BE03718E-F479-4C2C-9529-7EC64D9832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9/19/2022 7:43:37 AM </t>
        </r>
        <r>
          <rPr>
            <b/>
            <sz val="10"/>
            <color indexed="81"/>
            <rFont val="Tahoma"/>
            <family val="2"/>
          </rPr>
          <t xml:space="preserve">= 30922 - Referinta </t>
        </r>
        <r>
          <rPr>
            <sz val="10"/>
            <color indexed="81"/>
            <rFont val="Tahoma"/>
            <family val="2"/>
          </rPr>
          <t xml:space="preserve">* Bucuresti Marfa Km Auto (Responses)
</t>
        </r>
      </text>
    </comment>
    <comment ref="Y35" authorId="0" shapeId="0" xr:uid="{9FB07BDE-61E0-46CC-9C58-C0F9DB6D25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9/26/2022 8:30:55 AM </t>
        </r>
        <r>
          <rPr>
            <b/>
            <sz val="10"/>
            <color indexed="81"/>
            <rFont val="Tahoma"/>
            <family val="2"/>
          </rPr>
          <t xml:space="preserve">= 31513 - Referinta </t>
        </r>
        <r>
          <rPr>
            <sz val="10"/>
            <color indexed="81"/>
            <rFont val="Tahoma"/>
            <family val="2"/>
          </rPr>
          <t xml:space="preserve">* Bucuresti Marfa Km Auto (Responses)
  9/26/2022 8:35:00 AM </t>
        </r>
        <r>
          <rPr>
            <b/>
            <sz val="10"/>
            <color indexed="81"/>
            <rFont val="Tahoma"/>
            <family val="2"/>
          </rPr>
          <t xml:space="preserve">= 31513 - Normal </t>
        </r>
        <r>
          <rPr>
            <sz val="10"/>
            <color indexed="81"/>
            <rFont val="Tahoma"/>
            <family val="2"/>
          </rPr>
          <t xml:space="preserve">* Bucuresti Marfa Km Auto (Responses)
</t>
        </r>
      </text>
    </comment>
    <comment ref="AD35" authorId="0" shapeId="0" xr:uid="{7BF8BF3A-847C-412D-B5D6-68D6138B29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__________________________________________________________________
</t>
        </r>
        <r>
          <rPr>
            <sz val="10"/>
            <color indexed="12"/>
            <rFont val="Tahoma"/>
            <family val="2"/>
          </rPr>
          <t xml:space="preserve">  </t>
        </r>
        <r>
          <rPr>
            <sz val="10"/>
            <color indexed="81"/>
            <rFont val="Tahoma"/>
            <family val="2"/>
          </rPr>
          <t xml:space="preserve">10/1/2022 3:57:05 PM </t>
        </r>
        <r>
          <rPr>
            <b/>
            <sz val="10"/>
            <color indexed="81"/>
            <rFont val="Tahoma"/>
            <family val="2"/>
          </rPr>
          <t xml:space="preserve">= 32485 - Referinta </t>
        </r>
        <r>
          <rPr>
            <sz val="10"/>
            <color indexed="81"/>
            <rFont val="Tahoma"/>
            <family val="2"/>
          </rPr>
          <t xml:space="preserve">* Bucuresti Marfa Km Auto (Responses)
  10/3/2022 7:51:23 AM </t>
        </r>
        <r>
          <rPr>
            <b/>
            <sz val="10"/>
            <color indexed="81"/>
            <rFont val="Tahoma"/>
            <family val="2"/>
          </rPr>
          <t xml:space="preserve">= 32485 - Normal </t>
        </r>
        <r>
          <rPr>
            <sz val="10"/>
            <color indexed="81"/>
            <rFont val="Tahoma"/>
            <family val="2"/>
          </rPr>
          <t xml:space="preserve">* Bucuresti Marfa Km Auto (Responses)
</t>
        </r>
      </text>
    </comment>
    <comment ref="J36" authorId="0" shapeId="0" xr:uid="{CEE4466C-7A41-4C5B-8AD4-5AED1FBEA5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4:33:13 PM </t>
        </r>
        <r>
          <rPr>
            <b/>
            <sz val="10"/>
            <color indexed="81"/>
            <rFont val="Tahoma"/>
            <family val="2"/>
          </rPr>
          <t xml:space="preserve">= 22013 - Referinta </t>
        </r>
        <r>
          <rPr>
            <sz val="10"/>
            <color indexed="81"/>
            <rFont val="Tahoma"/>
            <family val="2"/>
          </rPr>
          <t xml:space="preserve">* Bucuresti Marfa Km Auto (Responses)
   9/5/2022 9:16:23 AM </t>
        </r>
        <r>
          <rPr>
            <b/>
            <sz val="10"/>
            <color indexed="81"/>
            <rFont val="Tahoma"/>
            <family val="2"/>
          </rPr>
          <t xml:space="preserve">= 22013 - Normal </t>
        </r>
        <r>
          <rPr>
            <sz val="10"/>
            <color indexed="81"/>
            <rFont val="Tahoma"/>
            <family val="2"/>
          </rPr>
          <t xml:space="preserve">* Bucuresti Marfa Km Auto (Responses)
</t>
        </r>
      </text>
    </comment>
    <comment ref="O36" authorId="0" shapeId="0" xr:uid="{A5C7AD18-D118-455A-BE20-C68AA9417F7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9/9/2022 4:45:00 AM </t>
        </r>
        <r>
          <rPr>
            <b/>
            <sz val="10"/>
            <color indexed="81"/>
            <rFont val="Tahoma"/>
            <family val="2"/>
          </rPr>
          <t xml:space="preserve">= 22532 - Referinta </t>
        </r>
        <r>
          <rPr>
            <sz val="10"/>
            <color indexed="81"/>
            <rFont val="Tahoma"/>
            <family val="2"/>
          </rPr>
          <t xml:space="preserve">* Bucuresti Marfa Km Auto (Responses)
  9/12/2022 7:50:00 AM </t>
        </r>
        <r>
          <rPr>
            <b/>
            <sz val="10"/>
            <color indexed="81"/>
            <rFont val="Tahoma"/>
            <family val="2"/>
          </rPr>
          <t xml:space="preserve">= 22532 - Normal </t>
        </r>
        <r>
          <rPr>
            <sz val="10"/>
            <color indexed="81"/>
            <rFont val="Tahoma"/>
            <family val="2"/>
          </rPr>
          <t xml:space="preserve">* Bucuresti Marfa Km Auto (Responses)
  9/15/2022 9:30:00 AM </t>
        </r>
        <r>
          <rPr>
            <b/>
            <sz val="10"/>
            <color indexed="81"/>
            <rFont val="Tahoma"/>
            <family val="2"/>
          </rPr>
          <t xml:space="preserve">= 22839 - Concediu </t>
        </r>
        <r>
          <rPr>
            <sz val="10"/>
            <color indexed="81"/>
            <rFont val="Tahoma"/>
            <family val="2"/>
          </rPr>
          <t xml:space="preserve">* Bucuresti Marfa Km Auto (Responses)
</t>
        </r>
      </text>
    </comment>
    <comment ref="J37" authorId="0" shapeId="0" xr:uid="{D4D0F19A-4A88-45EB-8CAC-6305B2BA88E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3:29:10 PM </t>
        </r>
        <r>
          <rPr>
            <b/>
            <sz val="10"/>
            <color indexed="81"/>
            <rFont val="Tahoma"/>
            <family val="2"/>
          </rPr>
          <t xml:space="preserve">= 6829 - Referinta </t>
        </r>
        <r>
          <rPr>
            <sz val="10"/>
            <color indexed="81"/>
            <rFont val="Tahoma"/>
            <family val="2"/>
          </rPr>
          <t xml:space="preserve">* Bucuresti Km Auto Tesa (Responses)
   9/5/2022 4:42:09 PM </t>
        </r>
        <r>
          <rPr>
            <b/>
            <sz val="10"/>
            <color indexed="81"/>
            <rFont val="Tahoma"/>
            <family val="2"/>
          </rPr>
          <t xml:space="preserve">= 6829 - Normal </t>
        </r>
        <r>
          <rPr>
            <sz val="10"/>
            <color indexed="81"/>
            <rFont val="Tahoma"/>
            <family val="2"/>
          </rPr>
          <t xml:space="preserve">* Bucuresti Km Auto Tesa (Responses)
</t>
        </r>
      </text>
    </comment>
    <comment ref="O37" authorId="0" shapeId="0" xr:uid="{B59198BC-65F3-4CFA-9420-459D688526B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 9/9/2022 8:00:00 AM </t>
        </r>
        <r>
          <rPr>
            <b/>
            <sz val="10"/>
            <color indexed="81"/>
            <rFont val="Tahoma"/>
            <family val="2"/>
          </rPr>
          <t xml:space="preserve">= 6850 - Referinta </t>
        </r>
        <r>
          <rPr>
            <sz val="10"/>
            <color indexed="81"/>
            <rFont val="Tahoma"/>
            <family val="2"/>
          </rPr>
          <t xml:space="preserve">* Bucuresti Km Auto Tesa (Responses)
 9/14/2022 12:36:14 PM </t>
        </r>
        <r>
          <rPr>
            <b/>
            <sz val="10"/>
            <color indexed="81"/>
            <rFont val="Tahoma"/>
            <family val="2"/>
          </rPr>
          <t xml:space="preserve">= 6856 - Normal </t>
        </r>
        <r>
          <rPr>
            <sz val="10"/>
            <color indexed="81"/>
            <rFont val="Tahoma"/>
            <family val="2"/>
          </rPr>
          <t xml:space="preserve">* Bucuresti Km Auto Tesa (Responses)
</t>
        </r>
      </text>
    </comment>
    <comment ref="T37" authorId="0" shapeId="0" xr:uid="{302220D7-E496-419F-A429-1077987277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9/16/2022 4:08:00 AM </t>
        </r>
        <r>
          <rPr>
            <b/>
            <sz val="10"/>
            <color indexed="81"/>
            <rFont val="Tahoma"/>
            <family val="2"/>
          </rPr>
          <t xml:space="preserve">= 6928 - Referinta </t>
        </r>
        <r>
          <rPr>
            <sz val="10"/>
            <color indexed="81"/>
            <rFont val="Tahoma"/>
            <family val="2"/>
          </rPr>
          <t xml:space="preserve">* Bucuresti Km Auto Tesa (Responses)
  9/19/2022 7:24:00 AM </t>
        </r>
        <r>
          <rPr>
            <b/>
            <sz val="10"/>
            <color indexed="81"/>
            <rFont val="Tahoma"/>
            <family val="2"/>
          </rPr>
          <t xml:space="preserve">= 7522 - Interes serviciu </t>
        </r>
        <r>
          <rPr>
            <sz val="10"/>
            <color indexed="81"/>
            <rFont val="Tahoma"/>
            <family val="2"/>
          </rPr>
          <t xml:space="preserve">* Bucuresti Km Auto Tesa (Responses)
  9/19/2022 2:23:18 PM </t>
        </r>
        <r>
          <rPr>
            <b/>
            <sz val="10"/>
            <color indexed="81"/>
            <rFont val="Tahoma"/>
            <family val="2"/>
          </rPr>
          <t xml:space="preserve">= 7522 - Interes serviciu </t>
        </r>
        <r>
          <rPr>
            <sz val="10"/>
            <color indexed="81"/>
            <rFont val="Tahoma"/>
            <family val="2"/>
          </rPr>
          <t xml:space="preserve">* Bucuresti Km Auto Tesa (Responses)
</t>
        </r>
      </text>
    </comment>
    <comment ref="Y37" authorId="0" shapeId="0" xr:uid="{E418600B-4384-4F3D-AB52-9FB1F64A9A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9/23/2022 4:30:00 AM </t>
        </r>
        <r>
          <rPr>
            <b/>
            <sz val="10"/>
            <color indexed="81"/>
            <rFont val="Tahoma"/>
            <family val="2"/>
          </rPr>
          <t xml:space="preserve">= 7669 - Referinta </t>
        </r>
        <r>
          <rPr>
            <sz val="10"/>
            <color indexed="81"/>
            <rFont val="Tahoma"/>
            <family val="2"/>
          </rPr>
          <t xml:space="preserve">* Bucuresti Km Auto Tesa (Responses)
  9/26/2022 5:11:53 PM </t>
        </r>
        <r>
          <rPr>
            <b/>
            <sz val="10"/>
            <color indexed="81"/>
            <rFont val="Tahoma"/>
            <family val="2"/>
          </rPr>
          <t xml:space="preserve">= 7669 - Normal </t>
        </r>
        <r>
          <rPr>
            <sz val="10"/>
            <color indexed="81"/>
            <rFont val="Tahoma"/>
            <family val="2"/>
          </rPr>
          <t xml:space="preserve">* Bucuresti Km Auto Tesa (Responses)
</t>
        </r>
      </text>
    </comment>
    <comment ref="AD37" authorId="0" shapeId="0" xr:uid="{40D30268-A035-4490-A18C-339032671D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9/30/2022 8:18:03 PM </t>
        </r>
        <r>
          <rPr>
            <b/>
            <sz val="10"/>
            <color indexed="81"/>
            <rFont val="Tahoma"/>
            <family val="2"/>
          </rPr>
          <t xml:space="preserve">= 7687 - Referinta </t>
        </r>
        <r>
          <rPr>
            <sz val="10"/>
            <color indexed="81"/>
            <rFont val="Tahoma"/>
            <family val="2"/>
          </rPr>
          <t xml:space="preserve">* Bucuresti Km Auto Tesa (Responses)
 10/3/2022 10:21:34 AM </t>
        </r>
        <r>
          <rPr>
            <b/>
            <sz val="10"/>
            <color indexed="81"/>
            <rFont val="Tahoma"/>
            <family val="2"/>
          </rPr>
          <t xml:space="preserve">= 7687 - Normal </t>
        </r>
        <r>
          <rPr>
            <sz val="10"/>
            <color indexed="81"/>
            <rFont val="Tahoma"/>
            <family val="2"/>
          </rPr>
          <t xml:space="preserve">* Bucuresti Km Auto Tesa (Responses)
</t>
        </r>
      </text>
    </comment>
    <comment ref="O38" authorId="0" shapeId="0" xr:uid="{D7598CC3-9A2D-47CB-9D0B-AB032B1ED2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__________________________________________________________________
</t>
        </r>
        <r>
          <rPr>
            <sz val="10"/>
            <color indexed="12"/>
            <rFont val="Tahoma"/>
            <family val="2"/>
          </rPr>
          <t xml:space="preserve">  </t>
        </r>
        <r>
          <rPr>
            <sz val="10"/>
            <color indexed="81"/>
            <rFont val="Tahoma"/>
            <family val="2"/>
          </rPr>
          <t xml:space="preserve"> 9/9/2022 3:30:00 AM </t>
        </r>
        <r>
          <rPr>
            <b/>
            <sz val="10"/>
            <color indexed="81"/>
            <rFont val="Tahoma"/>
            <family val="2"/>
          </rPr>
          <t xml:space="preserve">= 129037 - Referinta </t>
        </r>
        <r>
          <rPr>
            <sz val="10"/>
            <color indexed="81"/>
            <rFont val="Tahoma"/>
            <family val="2"/>
          </rPr>
          <t xml:space="preserve">* Bucuresti Marfa Km Auto (Responses)
  9/12/2022 7:50:00 AM </t>
        </r>
        <r>
          <rPr>
            <b/>
            <sz val="10"/>
            <color indexed="81"/>
            <rFont val="Tahoma"/>
            <family val="2"/>
          </rPr>
          <t xml:space="preserve">= 129037 - Normal </t>
        </r>
        <r>
          <rPr>
            <sz val="10"/>
            <color indexed="81"/>
            <rFont val="Tahoma"/>
            <family val="2"/>
          </rPr>
          <t xml:space="preserve">* Bucuresti Marfa Km Auto (Responses)
</t>
        </r>
      </text>
    </comment>
    <comment ref="T38" authorId="0" shapeId="0" xr:uid="{BBA38E83-D4CB-47B4-889E-8817C7E30CA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__________________________________________________________________
</t>
        </r>
        <r>
          <rPr>
            <sz val="10"/>
            <color indexed="12"/>
            <rFont val="Tahoma"/>
            <family val="2"/>
          </rPr>
          <t xml:space="preserve">  </t>
        </r>
        <r>
          <rPr>
            <sz val="10"/>
            <color indexed="81"/>
            <rFont val="Tahoma"/>
            <family val="2"/>
          </rPr>
          <t xml:space="preserve">9/17/2022 8:53:24 PM </t>
        </r>
        <r>
          <rPr>
            <b/>
            <sz val="10"/>
            <color indexed="81"/>
            <rFont val="Tahoma"/>
            <family val="2"/>
          </rPr>
          <t xml:space="preserve">= 129270 - Referinta </t>
        </r>
        <r>
          <rPr>
            <sz val="10"/>
            <color indexed="81"/>
            <rFont val="Tahoma"/>
            <family val="2"/>
          </rPr>
          <t xml:space="preserve">* Bucuresti Marfa Km Auto (Responses)
</t>
        </r>
      </text>
    </comment>
    <comment ref="Y38" authorId="0" shapeId="0" xr:uid="{D9AE12CF-5D28-4696-9894-DA5C42229E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Referinta a fost pusa automat
__________________________________________________________________
</t>
        </r>
        <r>
          <rPr>
            <sz val="10"/>
            <color indexed="12"/>
            <rFont val="Tahoma"/>
            <family val="2"/>
          </rPr>
          <t xml:space="preserve">  </t>
        </r>
        <r>
          <rPr>
            <sz val="10"/>
            <color indexed="81"/>
            <rFont val="Tahoma"/>
            <family val="2"/>
          </rPr>
          <t xml:space="preserve">9/23/2022 4:00:00 AM </t>
        </r>
        <r>
          <rPr>
            <b/>
            <sz val="10"/>
            <color indexed="81"/>
            <rFont val="Tahoma"/>
            <family val="2"/>
          </rPr>
          <t xml:space="preserve">= 129535 - Referinta </t>
        </r>
        <r>
          <rPr>
            <sz val="10"/>
            <color indexed="81"/>
            <rFont val="Tahoma"/>
            <family val="2"/>
          </rPr>
          <t xml:space="preserve">* Bucuresti Marfa Km Auto (Responses)
  9/26/2022 8:00:00 AM </t>
        </r>
        <r>
          <rPr>
            <b/>
            <sz val="10"/>
            <color indexed="81"/>
            <rFont val="Tahoma"/>
            <family val="2"/>
          </rPr>
          <t xml:space="preserve">= 129535 - Normal </t>
        </r>
        <r>
          <rPr>
            <sz val="10"/>
            <color indexed="81"/>
            <rFont val="Tahoma"/>
            <family val="2"/>
          </rPr>
          <t xml:space="preserve">* Bucuresti Marfa Km Auto (Responses)
</t>
        </r>
      </text>
    </comment>
    <comment ref="AD38" authorId="0" shapeId="0" xr:uid="{4A912A2B-0E47-42BA-B0D3-9C8CA0F1A6D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Referinta a fost pusa automat
__________________________________________________________________
</t>
        </r>
        <r>
          <rPr>
            <sz val="10"/>
            <color indexed="12"/>
            <rFont val="Tahoma"/>
            <family val="2"/>
          </rPr>
          <t xml:space="preserve">  </t>
        </r>
        <r>
          <rPr>
            <sz val="10"/>
            <color indexed="81"/>
            <rFont val="Tahoma"/>
            <family val="2"/>
          </rPr>
          <t xml:space="preserve">10/3/2022 7:46:24 AM </t>
        </r>
        <r>
          <rPr>
            <b/>
            <sz val="10"/>
            <color indexed="81"/>
            <rFont val="Tahoma"/>
            <family val="2"/>
          </rPr>
          <t xml:space="preserve">= 129750 - Referinta </t>
        </r>
        <r>
          <rPr>
            <sz val="10"/>
            <color indexed="81"/>
            <rFont val="Tahoma"/>
            <family val="2"/>
          </rPr>
          <t xml:space="preserve">* Bucuresti Marfa Km Auto (Responses)
</t>
        </r>
      </text>
    </comment>
    <comment ref="O39" authorId="0" shapeId="0" xr:uid="{126FE10C-9DAC-4071-9608-B3164C64AC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Radu Paul Referinta a fost pusa automat
__________________________________________________________________
</t>
        </r>
        <r>
          <rPr>
            <sz val="10"/>
            <color indexed="12"/>
            <rFont val="Tahoma"/>
            <family val="2"/>
          </rPr>
          <t xml:space="preserve">  </t>
        </r>
        <r>
          <rPr>
            <sz val="10"/>
            <color indexed="81"/>
            <rFont val="Tahoma"/>
            <family val="2"/>
          </rPr>
          <t xml:space="preserve"> 9/9/2022 5:38:46 PM </t>
        </r>
        <r>
          <rPr>
            <b/>
            <sz val="10"/>
            <color indexed="81"/>
            <rFont val="Tahoma"/>
            <family val="2"/>
          </rPr>
          <t xml:space="preserve">= 5683 - Referinta </t>
        </r>
        <r>
          <rPr>
            <sz val="10"/>
            <color indexed="81"/>
            <rFont val="Tahoma"/>
            <family val="2"/>
          </rPr>
          <t xml:space="preserve">* Bucuresti Marfa Km Auto (Responses)
  9/12/2022 9:37:13 AM </t>
        </r>
        <r>
          <rPr>
            <b/>
            <sz val="10"/>
            <color indexed="81"/>
            <rFont val="Tahoma"/>
            <family val="2"/>
          </rPr>
          <t xml:space="preserve">= 5720 - Normal </t>
        </r>
        <r>
          <rPr>
            <sz val="10"/>
            <color indexed="81"/>
            <rFont val="Tahoma"/>
            <family val="2"/>
          </rPr>
          <t xml:space="preserve">* Bucuresti Marfa Km Auto (Responses)
</t>
        </r>
      </text>
    </comment>
    <comment ref="T40" authorId="0" shapeId="0" xr:uid="{6FBE09D9-29E0-41EC-9091-CE04F6AA68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Radu Paul 
__________________________________________________________________
</t>
        </r>
        <r>
          <rPr>
            <sz val="10"/>
            <color indexed="12"/>
            <rFont val="Tahoma"/>
            <family val="2"/>
          </rPr>
          <t xml:space="preserve">  </t>
        </r>
        <r>
          <rPr>
            <sz val="10"/>
            <color indexed="81"/>
            <rFont val="Tahoma"/>
            <family val="2"/>
          </rPr>
          <t xml:space="preserve">9/16/2022 4:42:52 PM </t>
        </r>
        <r>
          <rPr>
            <b/>
            <sz val="10"/>
            <color indexed="81"/>
            <rFont val="Tahoma"/>
            <family val="2"/>
          </rPr>
          <t xml:space="preserve">= 45569 - Referinta </t>
        </r>
        <r>
          <rPr>
            <sz val="10"/>
            <color indexed="81"/>
            <rFont val="Tahoma"/>
            <family val="2"/>
          </rPr>
          <t xml:space="preserve">* Bucuresti Marfa Km Auto (Responses)
  9/19/2022 9:02:42 AM </t>
        </r>
        <r>
          <rPr>
            <b/>
            <sz val="10"/>
            <color indexed="81"/>
            <rFont val="Tahoma"/>
            <family val="2"/>
          </rPr>
          <t xml:space="preserve">= 45593 - Normal </t>
        </r>
        <r>
          <rPr>
            <sz val="10"/>
            <color indexed="81"/>
            <rFont val="Tahoma"/>
            <family val="2"/>
          </rPr>
          <t xml:space="preserve">* Bucuresti Marfa Km Auto (Responses)
</t>
        </r>
      </text>
    </comment>
    <comment ref="O42" authorId="0" shapeId="0" xr:uid="{10C64029-2323-41EC-AF38-12BA74D601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B-182-CLT</t>
        </r>
        <r>
          <rPr>
            <b/>
            <sz val="10"/>
            <color indexed="12"/>
            <rFont val="Tahoma"/>
            <family val="2"/>
          </rPr>
          <t xml:space="preserve"> - Salajan Cristian 
__________________________________________________________________
</t>
        </r>
        <r>
          <rPr>
            <sz val="10"/>
            <color indexed="12"/>
            <rFont val="Tahoma"/>
            <family val="2"/>
          </rPr>
          <t xml:space="preserve">  </t>
        </r>
        <r>
          <rPr>
            <sz val="10"/>
            <color indexed="81"/>
            <rFont val="Tahoma"/>
            <family val="2"/>
          </rPr>
          <t xml:space="preserve">9/10/2022 2:17:00 AM </t>
        </r>
        <r>
          <rPr>
            <b/>
            <sz val="10"/>
            <color indexed="81"/>
            <rFont val="Tahoma"/>
            <family val="2"/>
          </rPr>
          <t xml:space="preserve">= 104278 - Referinta </t>
        </r>
        <r>
          <rPr>
            <sz val="10"/>
            <color indexed="81"/>
            <rFont val="Tahoma"/>
            <family val="2"/>
          </rPr>
          <t xml:space="preserve">* Bucuresti Km Auto Tesa (Responses)
</t>
        </r>
      </text>
    </comment>
    <comment ref="J43" authorId="0" shapeId="0" xr:uid="{F0555C96-E6E0-483F-9EFD-B2AB32A6E7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 9/2/2022 3:12:46 PM </t>
        </r>
        <r>
          <rPr>
            <b/>
            <sz val="10"/>
            <color indexed="81"/>
            <rFont val="Tahoma"/>
            <family val="2"/>
          </rPr>
          <t xml:space="preserve">= 34257 - Referinta </t>
        </r>
        <r>
          <rPr>
            <sz val="10"/>
            <color indexed="81"/>
            <rFont val="Tahoma"/>
            <family val="2"/>
          </rPr>
          <t xml:space="preserve">* Bucuresti Km Auto Vanzari (Responses)
   9/6/2022 9:55:44 AM </t>
        </r>
        <r>
          <rPr>
            <b/>
            <sz val="10"/>
            <color indexed="81"/>
            <rFont val="Tahoma"/>
            <family val="2"/>
          </rPr>
          <t xml:space="preserve">= 34262 - Normal </t>
        </r>
        <r>
          <rPr>
            <sz val="10"/>
            <color indexed="81"/>
            <rFont val="Tahoma"/>
            <family val="2"/>
          </rPr>
          <t xml:space="preserve">* Bucuresti Km Auto Vanzari (Responses)
</t>
        </r>
      </text>
    </comment>
    <comment ref="O43" authorId="0" shapeId="0" xr:uid="{6A218A74-37AA-4893-9686-31C761A929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Referinta a fost pusa automat
__________________________________________________________________
</t>
        </r>
        <r>
          <rPr>
            <sz val="10"/>
            <color indexed="12"/>
            <rFont val="Tahoma"/>
            <family val="2"/>
          </rPr>
          <t xml:space="preserve">  </t>
        </r>
        <r>
          <rPr>
            <sz val="10"/>
            <color indexed="81"/>
            <rFont val="Tahoma"/>
            <family val="2"/>
          </rPr>
          <t xml:space="preserve">9/12/2022 8:14:29 AM </t>
        </r>
        <r>
          <rPr>
            <b/>
            <sz val="10"/>
            <color indexed="81"/>
            <rFont val="Tahoma"/>
            <family val="2"/>
          </rPr>
          <t xml:space="preserve">= 34456 - Referinta </t>
        </r>
        <r>
          <rPr>
            <sz val="10"/>
            <color indexed="81"/>
            <rFont val="Tahoma"/>
            <family val="2"/>
          </rPr>
          <t xml:space="preserve">* Bucuresti Km Auto Vanzari (Responses)
</t>
        </r>
      </text>
    </comment>
    <comment ref="T43" authorId="0" shapeId="0" xr:uid="{F9DA51C0-04E7-49BA-9741-5568D3097A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9/16/2022 4:02:44 PM </t>
        </r>
        <r>
          <rPr>
            <b/>
            <sz val="10"/>
            <color indexed="81"/>
            <rFont val="Tahoma"/>
            <family val="2"/>
          </rPr>
          <t xml:space="preserve">= 34656 - Referinta </t>
        </r>
        <r>
          <rPr>
            <sz val="10"/>
            <color indexed="81"/>
            <rFont val="Tahoma"/>
            <family val="2"/>
          </rPr>
          <t xml:space="preserve">* Bucuresti Km Auto Vanzari (Responses)
  9/19/2022 5:45:46 PM </t>
        </r>
        <r>
          <rPr>
            <b/>
            <sz val="10"/>
            <color indexed="81"/>
            <rFont val="Tahoma"/>
            <family val="2"/>
          </rPr>
          <t xml:space="preserve">= 34659 - Normal </t>
        </r>
        <r>
          <rPr>
            <sz val="10"/>
            <color indexed="81"/>
            <rFont val="Tahoma"/>
            <family val="2"/>
          </rPr>
          <t xml:space="preserve">* Bucuresti Km Auto Vanzari (Responses)
</t>
        </r>
      </text>
    </comment>
    <comment ref="Y43" authorId="0" shapeId="0" xr:uid="{61B1C104-E883-4BCF-8F29-070866A9D62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9/23/2022 4:10:02 PM </t>
        </r>
        <r>
          <rPr>
            <b/>
            <sz val="10"/>
            <color indexed="81"/>
            <rFont val="Tahoma"/>
            <family val="2"/>
          </rPr>
          <t xml:space="preserve">= 34934 - Referinta </t>
        </r>
        <r>
          <rPr>
            <sz val="10"/>
            <color indexed="81"/>
            <rFont val="Tahoma"/>
            <family val="2"/>
          </rPr>
          <t xml:space="preserve">* Bucuresti Km Auto Vanzari (Responses)
</t>
        </r>
      </text>
    </comment>
    <comment ref="AD43" authorId="0" shapeId="0" xr:uid="{91743AA0-7D7C-48E6-97F3-5E14BEE234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9/30/2022 6:25:22 PM </t>
        </r>
        <r>
          <rPr>
            <b/>
            <sz val="10"/>
            <color indexed="81"/>
            <rFont val="Tahoma"/>
            <family val="2"/>
          </rPr>
          <t xml:space="preserve">= 35191 - Referinta </t>
        </r>
        <r>
          <rPr>
            <sz val="10"/>
            <color indexed="81"/>
            <rFont val="Tahoma"/>
            <family val="2"/>
          </rPr>
          <t xml:space="preserve">* Bucuresti Km Auto Vanzari (Responses)
  10/3/2022 8:38:40 AM </t>
        </r>
        <r>
          <rPr>
            <b/>
            <sz val="10"/>
            <color indexed="81"/>
            <rFont val="Tahoma"/>
            <family val="2"/>
          </rPr>
          <t xml:space="preserve">= 35194 - Normal </t>
        </r>
        <r>
          <rPr>
            <sz val="10"/>
            <color indexed="81"/>
            <rFont val="Tahoma"/>
            <family val="2"/>
          </rPr>
          <t xml:space="preserve">* Bucuresti Km Auto Vanzari (Responses)
</t>
        </r>
      </text>
    </comment>
    <comment ref="J44" authorId="0" shapeId="0" xr:uid="{6DB86F5E-983B-41DE-AA31-315A8633A4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Referinta a fost pusa automat
__________________________________________________________________
</t>
        </r>
        <r>
          <rPr>
            <sz val="10"/>
            <color indexed="12"/>
            <rFont val="Tahoma"/>
            <family val="2"/>
          </rPr>
          <t xml:space="preserve">  </t>
        </r>
        <r>
          <rPr>
            <sz val="10"/>
            <color indexed="81"/>
            <rFont val="Tahoma"/>
            <family val="2"/>
          </rPr>
          <t xml:space="preserve"> 9/5/2022 7:50:58 AM </t>
        </r>
        <r>
          <rPr>
            <b/>
            <sz val="10"/>
            <color indexed="81"/>
            <rFont val="Tahoma"/>
            <family val="2"/>
          </rPr>
          <t xml:space="preserve">= 34145 - Referinta </t>
        </r>
        <r>
          <rPr>
            <sz val="10"/>
            <color indexed="81"/>
            <rFont val="Tahoma"/>
            <family val="2"/>
          </rPr>
          <t xml:space="preserve">* Bucuresti Marfa Km Auto (Responses)
</t>
        </r>
      </text>
    </comment>
    <comment ref="O44" authorId="0" shapeId="0" xr:uid="{C2315010-BC33-4DD8-8BF3-D849062869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Referinta a fost pusa automat
__________________________________________________________________
</t>
        </r>
        <r>
          <rPr>
            <sz val="10"/>
            <color indexed="12"/>
            <rFont val="Tahoma"/>
            <family val="2"/>
          </rPr>
          <t xml:space="preserve">  </t>
        </r>
        <r>
          <rPr>
            <sz val="10"/>
            <color indexed="81"/>
            <rFont val="Tahoma"/>
            <family val="2"/>
          </rPr>
          <t xml:space="preserve">9/12/2022 8:39:47 AM </t>
        </r>
        <r>
          <rPr>
            <b/>
            <sz val="10"/>
            <color indexed="81"/>
            <rFont val="Tahoma"/>
            <family val="2"/>
          </rPr>
          <t xml:space="preserve">= 34755 - Referinta </t>
        </r>
        <r>
          <rPr>
            <sz val="10"/>
            <color indexed="81"/>
            <rFont val="Tahoma"/>
            <family val="2"/>
          </rPr>
          <t xml:space="preserve">* Bucuresti Marfa Km Auto (Responses)
</t>
        </r>
      </text>
    </comment>
    <comment ref="AD44" authorId="0" shapeId="0" xr:uid="{E4C8E180-978A-459E-A74C-9C8FA39200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__________________________________________________________________
</t>
        </r>
        <r>
          <rPr>
            <sz val="10"/>
            <color indexed="12"/>
            <rFont val="Tahoma"/>
            <family val="2"/>
          </rPr>
          <t xml:space="preserve">  </t>
        </r>
        <r>
          <rPr>
            <sz val="10"/>
            <color indexed="81"/>
            <rFont val="Tahoma"/>
            <family val="2"/>
          </rPr>
          <t xml:space="preserve">9/30/2022 3:16:00 AM </t>
        </r>
        <r>
          <rPr>
            <b/>
            <sz val="10"/>
            <color indexed="81"/>
            <rFont val="Tahoma"/>
            <family val="2"/>
          </rPr>
          <t xml:space="preserve">= 35820 - Referinta </t>
        </r>
        <r>
          <rPr>
            <sz val="10"/>
            <color indexed="81"/>
            <rFont val="Tahoma"/>
            <family val="2"/>
          </rPr>
          <t xml:space="preserve">* Bucuresti Marfa Km Auto (Responses)
  10/3/2022 8:30:00 AM </t>
        </r>
        <r>
          <rPr>
            <b/>
            <sz val="10"/>
            <color indexed="81"/>
            <rFont val="Tahoma"/>
            <family val="2"/>
          </rPr>
          <t xml:space="preserve">= 35820 - Normal </t>
        </r>
        <r>
          <rPr>
            <sz val="10"/>
            <color indexed="81"/>
            <rFont val="Tahoma"/>
            <family val="2"/>
          </rPr>
          <t xml:space="preserve">* Bucuresti Marfa Km Auto (Responses)
</t>
        </r>
      </text>
    </comment>
    <comment ref="J45" authorId="0" shapeId="0" xr:uid="{33F17E46-3605-47A2-A8F8-C732DD380B3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Referinta a fost pusa automat
__________________________________________________________________
</t>
        </r>
        <r>
          <rPr>
            <sz val="10"/>
            <color indexed="12"/>
            <rFont val="Tahoma"/>
            <family val="2"/>
          </rPr>
          <t xml:space="preserve">  </t>
        </r>
        <r>
          <rPr>
            <sz val="10"/>
            <color indexed="81"/>
            <rFont val="Tahoma"/>
            <family val="2"/>
          </rPr>
          <t xml:space="preserve"> 9/2/2022 5:56:41 PM </t>
        </r>
        <r>
          <rPr>
            <b/>
            <sz val="10"/>
            <color indexed="81"/>
            <rFont val="Tahoma"/>
            <family val="2"/>
          </rPr>
          <t xml:space="preserve">= 26282 - Referinta </t>
        </r>
        <r>
          <rPr>
            <sz val="10"/>
            <color indexed="81"/>
            <rFont val="Tahoma"/>
            <family val="2"/>
          </rPr>
          <t xml:space="preserve">* Bucuresti Km Auto Tesa (Responses)
   9/5/2022 5:02:44 PM </t>
        </r>
        <r>
          <rPr>
            <b/>
            <sz val="10"/>
            <color indexed="81"/>
            <rFont val="Tahoma"/>
            <family val="2"/>
          </rPr>
          <t xml:space="preserve">= 26282 - Normal </t>
        </r>
        <r>
          <rPr>
            <sz val="10"/>
            <color indexed="81"/>
            <rFont val="Tahoma"/>
            <family val="2"/>
          </rPr>
          <t xml:space="preserve">* Bucuresti Km Auto Tesa (Responses)
</t>
        </r>
      </text>
    </comment>
    <comment ref="O45" authorId="0" shapeId="0" xr:uid="{CDC1B530-694F-4A0C-8386-A3315E5828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 9/9/2022 7:03:45 PM </t>
        </r>
        <r>
          <rPr>
            <b/>
            <sz val="10"/>
            <color indexed="81"/>
            <rFont val="Tahoma"/>
            <family val="2"/>
          </rPr>
          <t xml:space="preserve">= 26525 - Referinta </t>
        </r>
        <r>
          <rPr>
            <sz val="10"/>
            <color indexed="81"/>
            <rFont val="Tahoma"/>
            <family val="2"/>
          </rPr>
          <t xml:space="preserve">* Bucuresti Km Auto Tesa (Responses)
  9/12/2022 6:57:56 AM </t>
        </r>
        <r>
          <rPr>
            <b/>
            <sz val="10"/>
            <color indexed="81"/>
            <rFont val="Tahoma"/>
            <family val="2"/>
          </rPr>
          <t xml:space="preserve">= 26525 - Normal </t>
        </r>
        <r>
          <rPr>
            <sz val="10"/>
            <color indexed="81"/>
            <rFont val="Tahoma"/>
            <family val="2"/>
          </rPr>
          <t xml:space="preserve">* Bucuresti Km Auto Tesa (Responses)
</t>
        </r>
      </text>
    </comment>
    <comment ref="T45" authorId="0" shapeId="0" xr:uid="{6C28A744-CCE9-4990-A61B-BB20FA1698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9/16/2022 5:17:58 PM </t>
        </r>
        <r>
          <rPr>
            <b/>
            <sz val="10"/>
            <color indexed="81"/>
            <rFont val="Tahoma"/>
            <family val="2"/>
          </rPr>
          <t xml:space="preserve">= 26760 - Referinta </t>
        </r>
        <r>
          <rPr>
            <sz val="10"/>
            <color indexed="81"/>
            <rFont val="Tahoma"/>
            <family val="2"/>
          </rPr>
          <t xml:space="preserve">* Bucuresti Km Auto Tesa (Responses)
  9/19/2022 6:26:07 AM </t>
        </r>
        <r>
          <rPr>
            <b/>
            <sz val="10"/>
            <color indexed="81"/>
            <rFont val="Tahoma"/>
            <family val="2"/>
          </rPr>
          <t xml:space="preserve">= 26760 - Normal </t>
        </r>
        <r>
          <rPr>
            <sz val="10"/>
            <color indexed="81"/>
            <rFont val="Tahoma"/>
            <family val="2"/>
          </rPr>
          <t xml:space="preserve">* Bucuresti Km Auto Tesa (Responses)
</t>
        </r>
      </text>
    </comment>
    <comment ref="Y45" authorId="0" shapeId="0" xr:uid="{F9347715-C058-4C7C-B16F-9E1DFF30B34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9/23/2022 5:00:52 PM </t>
        </r>
        <r>
          <rPr>
            <b/>
            <sz val="10"/>
            <color indexed="81"/>
            <rFont val="Tahoma"/>
            <family val="2"/>
          </rPr>
          <t xml:space="preserve">= 27078 - Referinta </t>
        </r>
        <r>
          <rPr>
            <sz val="10"/>
            <color indexed="81"/>
            <rFont val="Tahoma"/>
            <family val="2"/>
          </rPr>
          <t xml:space="preserve">* Bucuresti Km Auto Tesa (Responses)
  9/26/2022 6:34:31 AM </t>
        </r>
        <r>
          <rPr>
            <b/>
            <sz val="10"/>
            <color indexed="81"/>
            <rFont val="Tahoma"/>
            <family val="2"/>
          </rPr>
          <t xml:space="preserve">= 27078 - Normal </t>
        </r>
        <r>
          <rPr>
            <sz val="10"/>
            <color indexed="81"/>
            <rFont val="Tahoma"/>
            <family val="2"/>
          </rPr>
          <t xml:space="preserve">* Bucuresti Km Auto Tesa (Responses)
</t>
        </r>
      </text>
    </comment>
    <comment ref="AD45" authorId="0" shapeId="0" xr:uid="{51550F9F-CCD6-4A40-9CC2-323B902949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9/30/2022 5:31:34 PM </t>
        </r>
        <r>
          <rPr>
            <b/>
            <sz val="10"/>
            <color indexed="81"/>
            <rFont val="Tahoma"/>
            <family val="2"/>
          </rPr>
          <t xml:space="preserve">= 27349 - Referinta </t>
        </r>
        <r>
          <rPr>
            <sz val="10"/>
            <color indexed="81"/>
            <rFont val="Tahoma"/>
            <family val="2"/>
          </rPr>
          <t xml:space="preserve">* Bucuresti Km Auto Tesa (Responses)
  10/3/2022 6:41:24 AM </t>
        </r>
        <r>
          <rPr>
            <b/>
            <sz val="10"/>
            <color indexed="81"/>
            <rFont val="Tahoma"/>
            <family val="2"/>
          </rPr>
          <t xml:space="preserve">= 27349 - Normal </t>
        </r>
        <r>
          <rPr>
            <sz val="10"/>
            <color indexed="81"/>
            <rFont val="Tahoma"/>
            <family val="2"/>
          </rPr>
          <t xml:space="preserve">* Bucuresti Km Auto Tesa (Responses)
</t>
        </r>
      </text>
    </comment>
    <comment ref="J46" authorId="0" shapeId="0" xr:uid="{3CDF0407-6972-4536-A280-D2F8698483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 9/2/2022 7:06:56 PM </t>
        </r>
        <r>
          <rPr>
            <b/>
            <sz val="10"/>
            <color indexed="81"/>
            <rFont val="Tahoma"/>
            <family val="2"/>
          </rPr>
          <t xml:space="preserve">= 130864 - Referinta </t>
        </r>
        <r>
          <rPr>
            <sz val="10"/>
            <color indexed="81"/>
            <rFont val="Tahoma"/>
            <family val="2"/>
          </rPr>
          <t xml:space="preserve">* Bucuresti Km Auto Vanzari (Responses)
   9/5/2022 7:49:13 AM </t>
        </r>
        <r>
          <rPr>
            <b/>
            <sz val="10"/>
            <color indexed="81"/>
            <rFont val="Tahoma"/>
            <family val="2"/>
          </rPr>
          <t xml:space="preserve">= 130881 - Normal </t>
        </r>
        <r>
          <rPr>
            <sz val="10"/>
            <color indexed="81"/>
            <rFont val="Tahoma"/>
            <family val="2"/>
          </rPr>
          <t xml:space="preserve">* Bucuresti Km Auto Vanzari (Responses)
</t>
        </r>
      </text>
    </comment>
    <comment ref="O46" authorId="0" shapeId="0" xr:uid="{4D574CC7-DFB6-457E-A822-3612F04EDD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9/9/2022 10:27:10 PM </t>
        </r>
        <r>
          <rPr>
            <b/>
            <sz val="10"/>
            <color indexed="81"/>
            <rFont val="Tahoma"/>
            <family val="2"/>
          </rPr>
          <t xml:space="preserve">= 131078 - Referinta </t>
        </r>
        <r>
          <rPr>
            <sz val="10"/>
            <color indexed="81"/>
            <rFont val="Tahoma"/>
            <family val="2"/>
          </rPr>
          <t xml:space="preserve">* Bucuresti Km Auto Vanzari (Responses)
  9/12/2022 8:02:59 AM </t>
        </r>
        <r>
          <rPr>
            <b/>
            <sz val="10"/>
            <color indexed="81"/>
            <rFont val="Tahoma"/>
            <family val="2"/>
          </rPr>
          <t xml:space="preserve">= 131574 - Normal </t>
        </r>
        <r>
          <rPr>
            <sz val="10"/>
            <color indexed="81"/>
            <rFont val="Tahoma"/>
            <family val="2"/>
          </rPr>
          <t xml:space="preserve">* Bucuresti Km Auto Vanzari (Responses)
</t>
        </r>
      </text>
    </comment>
    <comment ref="T46" authorId="0" shapeId="0" xr:uid="{716D3311-9BDB-485E-97A7-35DC2FFB43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9/16/2022 6:16:34 PM </t>
        </r>
        <r>
          <rPr>
            <b/>
            <sz val="10"/>
            <color indexed="81"/>
            <rFont val="Tahoma"/>
            <family val="2"/>
          </rPr>
          <t xml:space="preserve">= 131826 - Referinta </t>
        </r>
        <r>
          <rPr>
            <sz val="10"/>
            <color indexed="81"/>
            <rFont val="Tahoma"/>
            <family val="2"/>
          </rPr>
          <t xml:space="preserve">* Bucuresti Km Auto Vanzari (Responses)
  9/19/2022 7:52:45 AM </t>
        </r>
        <r>
          <rPr>
            <b/>
            <sz val="10"/>
            <color indexed="81"/>
            <rFont val="Tahoma"/>
            <family val="2"/>
          </rPr>
          <t xml:space="preserve">= 132123 - Normal </t>
        </r>
        <r>
          <rPr>
            <sz val="10"/>
            <color indexed="81"/>
            <rFont val="Tahoma"/>
            <family val="2"/>
          </rPr>
          <t xml:space="preserve">* Bucuresti Km Auto Vanzari (Responses)
</t>
        </r>
      </text>
    </comment>
    <comment ref="Y46" authorId="0" shapeId="0" xr:uid="{E695C0D6-FB88-40D9-8BB0-2F102D2262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9/23/2022 5:49:24 PM </t>
        </r>
        <r>
          <rPr>
            <b/>
            <sz val="10"/>
            <color indexed="81"/>
            <rFont val="Tahoma"/>
            <family val="2"/>
          </rPr>
          <t xml:space="preserve">= 132208 - Referinta </t>
        </r>
        <r>
          <rPr>
            <sz val="10"/>
            <color indexed="81"/>
            <rFont val="Tahoma"/>
            <family val="2"/>
          </rPr>
          <t xml:space="preserve">* Bucuresti Km Auto Vanzari (Responses)
 9/26/2022 12:38:51 PM </t>
        </r>
        <r>
          <rPr>
            <b/>
            <sz val="10"/>
            <color indexed="81"/>
            <rFont val="Tahoma"/>
            <family val="2"/>
          </rPr>
          <t xml:space="preserve">= 132226 - Normal </t>
        </r>
        <r>
          <rPr>
            <sz val="10"/>
            <color indexed="81"/>
            <rFont val="Tahoma"/>
            <family val="2"/>
          </rPr>
          <t xml:space="preserve">* Bucuresti Km Auto Vanzari (Responses)
</t>
        </r>
      </text>
    </comment>
    <comment ref="AD46" authorId="0" shapeId="0" xr:uid="{93369ED9-9CF7-445C-8899-70EEDD2C8F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9/30/2022 8:08:07 PM </t>
        </r>
        <r>
          <rPr>
            <b/>
            <sz val="10"/>
            <color indexed="81"/>
            <rFont val="Tahoma"/>
            <family val="2"/>
          </rPr>
          <t xml:space="preserve">= 132332 - Referinta </t>
        </r>
        <r>
          <rPr>
            <sz val="10"/>
            <color indexed="81"/>
            <rFont val="Tahoma"/>
            <family val="2"/>
          </rPr>
          <t xml:space="preserve">* Bucuresti Km Auto Vanzari (Responses)
  10/3/2022 7:31:09 AM </t>
        </r>
        <r>
          <rPr>
            <b/>
            <sz val="10"/>
            <color indexed="81"/>
            <rFont val="Tahoma"/>
            <family val="2"/>
          </rPr>
          <t xml:space="preserve">= 132378 - Normal </t>
        </r>
        <r>
          <rPr>
            <sz val="10"/>
            <color indexed="81"/>
            <rFont val="Tahoma"/>
            <family val="2"/>
          </rPr>
          <t xml:space="preserve">* Bucuresti Km Auto Vanzari (Responses)
</t>
        </r>
      </text>
    </comment>
    <comment ref="J47" authorId="0" shapeId="0" xr:uid="{B428819A-6413-4530-B466-4446F7538EA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Referinta a fost pusa automat
__________________________________________________________________
</t>
        </r>
        <r>
          <rPr>
            <sz val="10"/>
            <color indexed="12"/>
            <rFont val="Tahoma"/>
            <family val="2"/>
          </rPr>
          <t xml:space="preserve">  </t>
        </r>
        <r>
          <rPr>
            <sz val="10"/>
            <color indexed="81"/>
            <rFont val="Tahoma"/>
            <family val="2"/>
          </rPr>
          <t xml:space="preserve"> 9/2/2022 3:39:04 PM </t>
        </r>
        <r>
          <rPr>
            <b/>
            <sz val="10"/>
            <color indexed="81"/>
            <rFont val="Tahoma"/>
            <family val="2"/>
          </rPr>
          <t xml:space="preserve">= 198675 - Referinta </t>
        </r>
        <r>
          <rPr>
            <sz val="10"/>
            <color indexed="81"/>
            <rFont val="Tahoma"/>
            <family val="2"/>
          </rPr>
          <t xml:space="preserve">* Cluj &amp; Oradea Km Auto (Responses)
   9/5/2022 8:33:23 AM </t>
        </r>
        <r>
          <rPr>
            <b/>
            <sz val="10"/>
            <color indexed="81"/>
            <rFont val="Tahoma"/>
            <family val="2"/>
          </rPr>
          <t xml:space="preserve">= 198675 - Concediu </t>
        </r>
        <r>
          <rPr>
            <sz val="10"/>
            <color indexed="81"/>
            <rFont val="Tahoma"/>
            <family val="2"/>
          </rPr>
          <t xml:space="preserve">* Cluj &amp; Oradea Km Auto (Responses)
</t>
        </r>
      </text>
    </comment>
    <comment ref="O47" authorId="0" shapeId="0" xr:uid="{80BCC64D-7DA1-4B3F-96F0-09A8E72B97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Referinta a fost pusa automat
__________________________________________________________________
</t>
        </r>
        <r>
          <rPr>
            <sz val="10"/>
            <color indexed="12"/>
            <rFont val="Tahoma"/>
            <family val="2"/>
          </rPr>
          <t xml:space="preserve">  </t>
        </r>
        <r>
          <rPr>
            <sz val="10"/>
            <color indexed="81"/>
            <rFont val="Tahoma"/>
            <family val="2"/>
          </rPr>
          <t xml:space="preserve">9/12/2022 8:15:03 AM </t>
        </r>
        <r>
          <rPr>
            <b/>
            <sz val="10"/>
            <color indexed="81"/>
            <rFont val="Tahoma"/>
            <family val="2"/>
          </rPr>
          <t xml:space="preserve">= 199311 - Referinta </t>
        </r>
        <r>
          <rPr>
            <sz val="10"/>
            <color indexed="81"/>
            <rFont val="Tahoma"/>
            <family val="2"/>
          </rPr>
          <t xml:space="preserve">* Cluj &amp; Oradea Km Auto (Responses)
</t>
        </r>
      </text>
    </comment>
    <comment ref="T47" authorId="0" shapeId="0" xr:uid="{BE9E7C1D-8F35-4147-8C7E-371CB54407D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__________________________________________________________________
</t>
        </r>
        <r>
          <rPr>
            <sz val="10"/>
            <color indexed="12"/>
            <rFont val="Tahoma"/>
            <family val="2"/>
          </rPr>
          <t xml:space="preserve">  </t>
        </r>
        <r>
          <rPr>
            <sz val="10"/>
            <color indexed="81"/>
            <rFont val="Tahoma"/>
            <family val="2"/>
          </rPr>
          <t xml:space="preserve">9/16/2022 6:19:10 PM </t>
        </r>
        <r>
          <rPr>
            <b/>
            <sz val="10"/>
            <color indexed="81"/>
            <rFont val="Tahoma"/>
            <family val="2"/>
          </rPr>
          <t xml:space="preserve">= 199992 - Referinta </t>
        </r>
        <r>
          <rPr>
            <sz val="10"/>
            <color indexed="81"/>
            <rFont val="Tahoma"/>
            <family val="2"/>
          </rPr>
          <t xml:space="preserve">* Cluj &amp; Oradea Km Auto (Responses)
  9/19/2022 7:25:54 AM </t>
        </r>
        <r>
          <rPr>
            <b/>
            <sz val="10"/>
            <color indexed="81"/>
            <rFont val="Tahoma"/>
            <family val="2"/>
          </rPr>
          <t xml:space="preserve">= 199992 - Normal </t>
        </r>
        <r>
          <rPr>
            <sz val="10"/>
            <color indexed="81"/>
            <rFont val="Tahoma"/>
            <family val="2"/>
          </rPr>
          <t xml:space="preserve">* Cluj &amp; Oradea Km Auto (Responses)
</t>
        </r>
      </text>
    </comment>
    <comment ref="Y47" authorId="0" shapeId="0" xr:uid="{0F69A868-2BF5-4C66-AB73-906D1096F5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__________________________________________________________________
</t>
        </r>
        <r>
          <rPr>
            <sz val="10"/>
            <color indexed="12"/>
            <rFont val="Tahoma"/>
            <family val="2"/>
          </rPr>
          <t xml:space="preserve">  </t>
        </r>
        <r>
          <rPr>
            <sz val="10"/>
            <color indexed="81"/>
            <rFont val="Tahoma"/>
            <family val="2"/>
          </rPr>
          <t xml:space="preserve">9/23/2022 7:57:21 PM </t>
        </r>
        <r>
          <rPr>
            <b/>
            <sz val="10"/>
            <color indexed="81"/>
            <rFont val="Tahoma"/>
            <family val="2"/>
          </rPr>
          <t xml:space="preserve">= 201618 - Referinta </t>
        </r>
        <r>
          <rPr>
            <sz val="10"/>
            <color indexed="81"/>
            <rFont val="Tahoma"/>
            <family val="2"/>
          </rPr>
          <t xml:space="preserve">* Cluj &amp; Oradea Km Auto (Responses)
  9/26/2022 6:34:45 AM </t>
        </r>
        <r>
          <rPr>
            <b/>
            <sz val="10"/>
            <color indexed="81"/>
            <rFont val="Tahoma"/>
            <family val="2"/>
          </rPr>
          <t xml:space="preserve">= 201647 - Normal </t>
        </r>
        <r>
          <rPr>
            <sz val="10"/>
            <color indexed="81"/>
            <rFont val="Tahoma"/>
            <family val="2"/>
          </rPr>
          <t xml:space="preserve">* Cluj &amp; Oradea Km Auto (Responses)
</t>
        </r>
      </text>
    </comment>
    <comment ref="AD47" authorId="0" shapeId="0" xr:uid="{17800C63-A4B1-4A07-9E7E-A7E5575FB2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__________________________________________________________________
</t>
        </r>
        <r>
          <rPr>
            <sz val="10"/>
            <color indexed="12"/>
            <rFont val="Tahoma"/>
            <family val="2"/>
          </rPr>
          <t xml:space="preserve">  </t>
        </r>
        <r>
          <rPr>
            <sz val="10"/>
            <color indexed="81"/>
            <rFont val="Tahoma"/>
            <family val="2"/>
          </rPr>
          <t xml:space="preserve">9/30/2022 6:37:31 PM </t>
        </r>
        <r>
          <rPr>
            <b/>
            <sz val="10"/>
            <color indexed="81"/>
            <rFont val="Tahoma"/>
            <family val="2"/>
          </rPr>
          <t xml:space="preserve">= 202651 - Referinta </t>
        </r>
        <r>
          <rPr>
            <sz val="10"/>
            <color indexed="81"/>
            <rFont val="Tahoma"/>
            <family val="2"/>
          </rPr>
          <t xml:space="preserve">* Cluj &amp; Oradea Km Auto (Responses)
  10/3/2022 6:29:05 AM </t>
        </r>
        <r>
          <rPr>
            <b/>
            <sz val="10"/>
            <color indexed="81"/>
            <rFont val="Tahoma"/>
            <family val="2"/>
          </rPr>
          <t xml:space="preserve">= 202661 - Normal </t>
        </r>
        <r>
          <rPr>
            <sz val="10"/>
            <color indexed="81"/>
            <rFont val="Tahoma"/>
            <family val="2"/>
          </rPr>
          <t xml:space="preserve">* Cluj &amp; Oradea Km Auto (Responses)
</t>
        </r>
      </text>
    </comment>
    <comment ref="J48" authorId="0" shapeId="0" xr:uid="{204897DB-6AC2-436E-B74B-4D687856B2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3:32:03 PM </t>
        </r>
        <r>
          <rPr>
            <b/>
            <sz val="10"/>
            <color indexed="81"/>
            <rFont val="Tahoma"/>
            <family val="2"/>
          </rPr>
          <t xml:space="preserve">= 98529 - Referinta </t>
        </r>
        <r>
          <rPr>
            <sz val="10"/>
            <color indexed="81"/>
            <rFont val="Tahoma"/>
            <family val="2"/>
          </rPr>
          <t xml:space="preserve">* Cluj &amp; Oradea Km Auto (Responses)
   9/5/2022 8:53:36 AM </t>
        </r>
        <r>
          <rPr>
            <b/>
            <sz val="10"/>
            <color indexed="81"/>
            <rFont val="Tahoma"/>
            <family val="2"/>
          </rPr>
          <t xml:space="preserve">= 98529 - Normal </t>
        </r>
        <r>
          <rPr>
            <sz val="10"/>
            <color indexed="81"/>
            <rFont val="Tahoma"/>
            <family val="2"/>
          </rPr>
          <t xml:space="preserve">* Cluj &amp; Oradea Km Auto (Responses)
</t>
        </r>
      </text>
    </comment>
    <comment ref="O48" authorId="0" shapeId="0" xr:uid="{39433C4A-33C1-4DED-9688-F8B6D38152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Referinta a fost pusa automat
__________________________________________________________________
</t>
        </r>
        <r>
          <rPr>
            <sz val="10"/>
            <color indexed="12"/>
            <rFont val="Tahoma"/>
            <family val="2"/>
          </rPr>
          <t xml:space="preserve">  </t>
        </r>
        <r>
          <rPr>
            <sz val="10"/>
            <color indexed="81"/>
            <rFont val="Tahoma"/>
            <family val="2"/>
          </rPr>
          <t xml:space="preserve">9/10/2022 4:16:43 PM </t>
        </r>
        <r>
          <rPr>
            <b/>
            <sz val="10"/>
            <color indexed="81"/>
            <rFont val="Tahoma"/>
            <family val="2"/>
          </rPr>
          <t xml:space="preserve">= 99370 - Referinta </t>
        </r>
        <r>
          <rPr>
            <sz val="10"/>
            <color indexed="81"/>
            <rFont val="Tahoma"/>
            <family val="2"/>
          </rPr>
          <t xml:space="preserve">* Cluj &amp; Oradea Km Auto (Responses)
  9/12/2022 8:11:32 AM </t>
        </r>
        <r>
          <rPr>
            <b/>
            <sz val="10"/>
            <color indexed="81"/>
            <rFont val="Tahoma"/>
            <family val="2"/>
          </rPr>
          <t xml:space="preserve">= 99371 - Normal </t>
        </r>
        <r>
          <rPr>
            <sz val="10"/>
            <color indexed="81"/>
            <rFont val="Tahoma"/>
            <family val="2"/>
          </rPr>
          <t xml:space="preserve">* Cluj &amp; Oradea Km Auto (Responses)
</t>
        </r>
      </text>
    </comment>
    <comment ref="T48" authorId="0" shapeId="0" xr:uid="{57160EA5-47AC-4B31-ABF6-F31040E750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3:48:38 PM </t>
        </r>
        <r>
          <rPr>
            <b/>
            <sz val="10"/>
            <color indexed="81"/>
            <rFont val="Tahoma"/>
            <family val="2"/>
          </rPr>
          <t xml:space="preserve">= 100422 - Referinta </t>
        </r>
        <r>
          <rPr>
            <sz val="10"/>
            <color indexed="81"/>
            <rFont val="Tahoma"/>
            <family val="2"/>
          </rPr>
          <t xml:space="preserve">* Cluj &amp; Oradea Km Auto (Responses)
  9/19/2022 8:30:16 AM </t>
        </r>
        <r>
          <rPr>
            <b/>
            <sz val="10"/>
            <color indexed="81"/>
            <rFont val="Tahoma"/>
            <family val="2"/>
          </rPr>
          <t xml:space="preserve">= 100422 - Normal </t>
        </r>
        <r>
          <rPr>
            <sz val="10"/>
            <color indexed="81"/>
            <rFont val="Tahoma"/>
            <family val="2"/>
          </rPr>
          <t xml:space="preserve">* Cluj &amp; Oradea Km Auto (Responses)
</t>
        </r>
      </text>
    </comment>
    <comment ref="Y48" authorId="0" shapeId="0" xr:uid="{757BFE5C-DE49-44B9-82F0-97DCF3AF56B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__________________________________________________________________
</t>
        </r>
        <r>
          <rPr>
            <sz val="10"/>
            <color indexed="12"/>
            <rFont val="Tahoma"/>
            <family val="2"/>
          </rPr>
          <t xml:space="preserve">  </t>
        </r>
        <r>
          <rPr>
            <sz val="10"/>
            <color indexed="81"/>
            <rFont val="Tahoma"/>
            <family val="2"/>
          </rPr>
          <t xml:space="preserve">9/23/2022 3:20:37 PM </t>
        </r>
        <r>
          <rPr>
            <b/>
            <sz val="10"/>
            <color indexed="81"/>
            <rFont val="Tahoma"/>
            <family val="2"/>
          </rPr>
          <t xml:space="preserve">= 101159 - Referinta </t>
        </r>
        <r>
          <rPr>
            <sz val="10"/>
            <color indexed="81"/>
            <rFont val="Tahoma"/>
            <family val="2"/>
          </rPr>
          <t xml:space="preserve">* Cluj &amp; Oradea Km Auto (Responses)
</t>
        </r>
      </text>
    </comment>
    <comment ref="AD48" authorId="0" shapeId="0" xr:uid="{02C196FA-0F5A-4109-B9D2-76C8AE0495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__________________________________________________________________
</t>
        </r>
        <r>
          <rPr>
            <sz val="10"/>
            <color indexed="12"/>
            <rFont val="Tahoma"/>
            <family val="2"/>
          </rPr>
          <t xml:space="preserve">  </t>
        </r>
        <r>
          <rPr>
            <sz val="10"/>
            <color indexed="81"/>
            <rFont val="Tahoma"/>
            <family val="2"/>
          </rPr>
          <t xml:space="preserve">9/30/2022 8:34:39 PM </t>
        </r>
        <r>
          <rPr>
            <b/>
            <sz val="10"/>
            <color indexed="81"/>
            <rFont val="Tahoma"/>
            <family val="2"/>
          </rPr>
          <t xml:space="preserve">= 102170 - Referinta </t>
        </r>
        <r>
          <rPr>
            <sz val="10"/>
            <color indexed="81"/>
            <rFont val="Tahoma"/>
            <family val="2"/>
          </rPr>
          <t xml:space="preserve">* Cluj &amp; Oradea Km Auto (Responses)
  10/3/2022 1:04:47 PM </t>
        </r>
        <r>
          <rPr>
            <b/>
            <sz val="10"/>
            <color indexed="81"/>
            <rFont val="Tahoma"/>
            <family val="2"/>
          </rPr>
          <t xml:space="preserve">= 102170 - Normal </t>
        </r>
        <r>
          <rPr>
            <sz val="10"/>
            <color indexed="81"/>
            <rFont val="Tahoma"/>
            <family val="2"/>
          </rPr>
          <t xml:space="preserve">* Cluj &amp; Oradea Km Auto (Responses)
  10/3/2022 1:06:09 PM </t>
        </r>
        <r>
          <rPr>
            <b/>
            <sz val="10"/>
            <color indexed="81"/>
            <rFont val="Tahoma"/>
            <family val="2"/>
          </rPr>
          <t xml:space="preserve">= 102170 - Normal </t>
        </r>
        <r>
          <rPr>
            <sz val="10"/>
            <color indexed="81"/>
            <rFont val="Tahoma"/>
            <family val="2"/>
          </rPr>
          <t xml:space="preserve">* Cluj &amp; Oradea Km Auto (Responses)
</t>
        </r>
      </text>
    </comment>
    <comment ref="T49" authorId="0" shapeId="0" xr:uid="{97DEDAD1-0A9D-45A6-8919-6969C6986D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9/16/2022 4:30:52 PM </t>
        </r>
        <r>
          <rPr>
            <b/>
            <sz val="10"/>
            <color indexed="81"/>
            <rFont val="Tahoma"/>
            <family val="2"/>
          </rPr>
          <t xml:space="preserve">= 40412 - Referinta </t>
        </r>
        <r>
          <rPr>
            <sz val="10"/>
            <color indexed="81"/>
            <rFont val="Tahoma"/>
            <family val="2"/>
          </rPr>
          <t xml:space="preserve">* Cluj &amp; Oradea Km Auto (Responses)
  9/19/2022 7:35:29 AM </t>
        </r>
        <r>
          <rPr>
            <b/>
            <sz val="10"/>
            <color indexed="81"/>
            <rFont val="Tahoma"/>
            <family val="2"/>
          </rPr>
          <t xml:space="preserve">= 40442 - Normal </t>
        </r>
        <r>
          <rPr>
            <sz val="10"/>
            <color indexed="81"/>
            <rFont val="Tahoma"/>
            <family val="2"/>
          </rPr>
          <t xml:space="preserve">* Cluj &amp; Oradea Km Auto (Responses)
</t>
        </r>
      </text>
    </comment>
    <comment ref="Y49" authorId="0" shapeId="0" xr:uid="{374F0410-7683-45AF-BAB4-76F1C11CA8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9/23/2022 4:57:40 PM </t>
        </r>
        <r>
          <rPr>
            <b/>
            <sz val="10"/>
            <color indexed="81"/>
            <rFont val="Tahoma"/>
            <family val="2"/>
          </rPr>
          <t xml:space="preserve">= 41047 - Referinta </t>
        </r>
        <r>
          <rPr>
            <sz val="10"/>
            <color indexed="81"/>
            <rFont val="Tahoma"/>
            <family val="2"/>
          </rPr>
          <t xml:space="preserve">* Cluj &amp; Oradea Km Auto (Responses)
  9/26/2022 7:37:21 AM </t>
        </r>
        <r>
          <rPr>
            <b/>
            <sz val="10"/>
            <color indexed="81"/>
            <rFont val="Tahoma"/>
            <family val="2"/>
          </rPr>
          <t xml:space="preserve">= 41185 - Normal </t>
        </r>
        <r>
          <rPr>
            <sz val="10"/>
            <color indexed="81"/>
            <rFont val="Tahoma"/>
            <family val="2"/>
          </rPr>
          <t xml:space="preserve">* Cluj &amp; Oradea Km Auto (Responses)
</t>
        </r>
      </text>
    </comment>
    <comment ref="AD49" authorId="0" shapeId="0" xr:uid="{E7EF3395-1DC7-4572-81BD-156F78B379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__________________________________________________________________
</t>
        </r>
        <r>
          <rPr>
            <sz val="10"/>
            <color indexed="12"/>
            <rFont val="Tahoma"/>
            <family val="2"/>
          </rPr>
          <t xml:space="preserve">  </t>
        </r>
        <r>
          <rPr>
            <sz val="10"/>
            <color indexed="81"/>
            <rFont val="Tahoma"/>
            <family val="2"/>
          </rPr>
          <t xml:space="preserve">9/30/2022 4:37:23 PM </t>
        </r>
        <r>
          <rPr>
            <b/>
            <sz val="10"/>
            <color indexed="81"/>
            <rFont val="Tahoma"/>
            <family val="2"/>
          </rPr>
          <t xml:space="preserve">= 42511 - Referinta </t>
        </r>
        <r>
          <rPr>
            <sz val="10"/>
            <color indexed="81"/>
            <rFont val="Tahoma"/>
            <family val="2"/>
          </rPr>
          <t xml:space="preserve">* Cluj &amp; Oradea Km Auto (Responses)
  10/3/2022 7:30:00 AM </t>
        </r>
        <r>
          <rPr>
            <b/>
            <sz val="10"/>
            <color indexed="81"/>
            <rFont val="Tahoma"/>
            <family val="2"/>
          </rPr>
          <t xml:space="preserve">= 42511 - Normal </t>
        </r>
        <r>
          <rPr>
            <sz val="10"/>
            <color indexed="81"/>
            <rFont val="Tahoma"/>
            <family val="2"/>
          </rPr>
          <t xml:space="preserve">* Cluj &amp; Oradea Km Auto (Responses)
</t>
        </r>
      </text>
    </comment>
    <comment ref="J50" authorId="0" shapeId="0" xr:uid="{A1706C67-1FA2-40FD-BD58-4F94114353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 9/2/2022 4:50:55 PM </t>
        </r>
        <r>
          <rPr>
            <b/>
            <sz val="10"/>
            <color indexed="81"/>
            <rFont val="Tahoma"/>
            <family val="2"/>
          </rPr>
          <t xml:space="preserve">= 19919 - Referinta </t>
        </r>
        <r>
          <rPr>
            <sz val="10"/>
            <color indexed="81"/>
            <rFont val="Tahoma"/>
            <family val="2"/>
          </rPr>
          <t xml:space="preserve">* Cluj &amp; Oradea Km Auto (Responses)
   9/5/2022 7:05:41 AM </t>
        </r>
        <r>
          <rPr>
            <b/>
            <sz val="10"/>
            <color indexed="81"/>
            <rFont val="Tahoma"/>
            <family val="2"/>
          </rPr>
          <t xml:space="preserve">= 19919 - Normal </t>
        </r>
        <r>
          <rPr>
            <sz val="10"/>
            <color indexed="81"/>
            <rFont val="Tahoma"/>
            <family val="2"/>
          </rPr>
          <t xml:space="preserve">* Cluj &amp; Oradea Km Auto (Responses)
</t>
        </r>
      </text>
    </comment>
    <comment ref="O50" authorId="0" shapeId="0" xr:uid="{C33ABA92-61E3-4C9D-81DA-461E9FE4D3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 9/9/2022 6:17:03 PM </t>
        </r>
        <r>
          <rPr>
            <b/>
            <sz val="10"/>
            <color indexed="81"/>
            <rFont val="Tahoma"/>
            <family val="2"/>
          </rPr>
          <t xml:space="preserve">= 20729 - Referinta </t>
        </r>
        <r>
          <rPr>
            <sz val="10"/>
            <color indexed="81"/>
            <rFont val="Tahoma"/>
            <family val="2"/>
          </rPr>
          <t xml:space="preserve">* Cluj &amp; Oradea Km Auto (Responses)
  9/12/2022 7:50:37 AM </t>
        </r>
        <r>
          <rPr>
            <b/>
            <sz val="10"/>
            <color indexed="81"/>
            <rFont val="Tahoma"/>
            <family val="2"/>
          </rPr>
          <t xml:space="preserve">= 20729 - Normal </t>
        </r>
        <r>
          <rPr>
            <sz val="10"/>
            <color indexed="81"/>
            <rFont val="Tahoma"/>
            <family val="2"/>
          </rPr>
          <t xml:space="preserve">* Cluj &amp; Oradea Km Auto (Responses)
</t>
        </r>
      </text>
    </comment>
    <comment ref="J52" authorId="0" shapeId="0" xr:uid="{9A5FFF2E-965D-41C1-AAB5-ABFA9D0445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 9/3/2022 1:55:28 PM </t>
        </r>
        <r>
          <rPr>
            <b/>
            <sz val="10"/>
            <color indexed="81"/>
            <rFont val="Tahoma"/>
            <family val="2"/>
          </rPr>
          <t xml:space="preserve">= 50322 - Referinta </t>
        </r>
        <r>
          <rPr>
            <sz val="10"/>
            <color indexed="81"/>
            <rFont val="Tahoma"/>
            <family val="2"/>
          </rPr>
          <t xml:space="preserve">* Cluj &amp; Oradea Km Auto (Responses)
   9/5/2022 6:16:35 AM </t>
        </r>
        <r>
          <rPr>
            <b/>
            <sz val="10"/>
            <color indexed="81"/>
            <rFont val="Tahoma"/>
            <family val="2"/>
          </rPr>
          <t xml:space="preserve">= 50398 - Normal </t>
        </r>
        <r>
          <rPr>
            <sz val="10"/>
            <color indexed="81"/>
            <rFont val="Tahoma"/>
            <family val="2"/>
          </rPr>
          <t xml:space="preserve">* Cluj &amp; Oradea Km Auto (Responses)
</t>
        </r>
      </text>
    </comment>
    <comment ref="O52" authorId="0" shapeId="0" xr:uid="{CEA09D30-9B61-4E31-8146-27D7E3A882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 9/9/2022 6:42:41 PM </t>
        </r>
        <r>
          <rPr>
            <b/>
            <sz val="10"/>
            <color indexed="81"/>
            <rFont val="Tahoma"/>
            <family val="2"/>
          </rPr>
          <t xml:space="preserve">= 50808 - Referinta </t>
        </r>
        <r>
          <rPr>
            <sz val="10"/>
            <color indexed="81"/>
            <rFont val="Tahoma"/>
            <family val="2"/>
          </rPr>
          <t xml:space="preserve">* Cluj &amp; Oradea Km Auto (Responses)
  9/12/2022 7:08:27 AM </t>
        </r>
        <r>
          <rPr>
            <b/>
            <sz val="10"/>
            <color indexed="81"/>
            <rFont val="Tahoma"/>
            <family val="2"/>
          </rPr>
          <t xml:space="preserve">= 51120 - Normal </t>
        </r>
        <r>
          <rPr>
            <sz val="10"/>
            <color indexed="81"/>
            <rFont val="Tahoma"/>
            <family val="2"/>
          </rPr>
          <t xml:space="preserve">* Cluj &amp; Oradea Km Auto (Responses)
</t>
        </r>
      </text>
    </comment>
    <comment ref="T52" authorId="0" shapeId="0" xr:uid="{76E550F8-5FAE-4B99-B024-E9AE8B70C7A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9/17/2022 2:23:45 PM </t>
        </r>
        <r>
          <rPr>
            <b/>
            <sz val="10"/>
            <color indexed="81"/>
            <rFont val="Tahoma"/>
            <family val="2"/>
          </rPr>
          <t xml:space="preserve">= 51452 - Referinta </t>
        </r>
        <r>
          <rPr>
            <sz val="10"/>
            <color indexed="81"/>
            <rFont val="Tahoma"/>
            <family val="2"/>
          </rPr>
          <t xml:space="preserve">* Cluj &amp; Oradea Km Auto (Responses)
  9/19/2022 6:18:29 AM </t>
        </r>
        <r>
          <rPr>
            <b/>
            <sz val="10"/>
            <color indexed="81"/>
            <rFont val="Tahoma"/>
            <family val="2"/>
          </rPr>
          <t xml:space="preserve">= 51498 - Normal </t>
        </r>
        <r>
          <rPr>
            <sz val="10"/>
            <color indexed="81"/>
            <rFont val="Tahoma"/>
            <family val="2"/>
          </rPr>
          <t xml:space="preserve">* Cluj &amp; Oradea Km Auto (Responses)
</t>
        </r>
      </text>
    </comment>
    <comment ref="Y52" authorId="0" shapeId="0" xr:uid="{8ED95FB8-031E-4E05-90AB-F2E101E006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9/24/2022 2:37:27 AM </t>
        </r>
        <r>
          <rPr>
            <b/>
            <sz val="10"/>
            <color indexed="81"/>
            <rFont val="Tahoma"/>
            <family val="2"/>
          </rPr>
          <t xml:space="preserve">= 51857 - Referinta </t>
        </r>
        <r>
          <rPr>
            <sz val="10"/>
            <color indexed="81"/>
            <rFont val="Tahoma"/>
            <family val="2"/>
          </rPr>
          <t xml:space="preserve">* Cluj &amp; Oradea Km Auto (Responses)
  9/26/2022 8:00:00 AM </t>
        </r>
        <r>
          <rPr>
            <b/>
            <sz val="10"/>
            <color indexed="81"/>
            <rFont val="Tahoma"/>
            <family val="2"/>
          </rPr>
          <t xml:space="preserve">= 51957 - Normal </t>
        </r>
        <r>
          <rPr>
            <sz val="10"/>
            <color indexed="81"/>
            <rFont val="Tahoma"/>
            <family val="2"/>
          </rPr>
          <t xml:space="preserve">* Cluj &amp; Oradea Km Auto (Responses)
</t>
        </r>
      </text>
    </comment>
    <comment ref="AD52" authorId="0" shapeId="0" xr:uid="{1BBE9276-39F8-4564-AF3D-3C9A128121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1</t>
        </r>
        <r>
          <rPr>
            <sz val="10"/>
            <color indexed="81"/>
            <rFont val="Tahoma"/>
            <family val="2"/>
          </rPr>
          <t xml:space="preserve">0/1/2022 12:48:52 PM </t>
        </r>
        <r>
          <rPr>
            <b/>
            <sz val="10"/>
            <color indexed="81"/>
            <rFont val="Tahoma"/>
            <family val="2"/>
          </rPr>
          <t xml:space="preserve">= 52299 - Referinta </t>
        </r>
        <r>
          <rPr>
            <sz val="10"/>
            <color indexed="81"/>
            <rFont val="Tahoma"/>
            <family val="2"/>
          </rPr>
          <t xml:space="preserve">* Cluj &amp; Oradea Km Auto (Responses)
  10/3/2022 6:45:35 AM </t>
        </r>
        <r>
          <rPr>
            <b/>
            <sz val="10"/>
            <color indexed="81"/>
            <rFont val="Tahoma"/>
            <family val="2"/>
          </rPr>
          <t xml:space="preserve">= 52388 - Normal </t>
        </r>
        <r>
          <rPr>
            <sz val="10"/>
            <color indexed="81"/>
            <rFont val="Tahoma"/>
            <family val="2"/>
          </rPr>
          <t xml:space="preserve">* Cluj &amp; Oradea Km Auto (Responses)
</t>
        </r>
      </text>
    </comment>
    <comment ref="O53" authorId="0" shapeId="0" xr:uid="{081F0C43-FA06-4D74-AB31-802F8666AB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B-187-CLT</t>
        </r>
        <r>
          <rPr>
            <b/>
            <sz val="10"/>
            <color indexed="12"/>
            <rFont val="Tahoma"/>
            <family val="2"/>
          </rPr>
          <t xml:space="preserve"> - Marius Neaga Referinta a fost pusa automat
__________________________________________________________________
</t>
        </r>
        <r>
          <rPr>
            <sz val="10"/>
            <color indexed="12"/>
            <rFont val="Tahoma"/>
            <family val="2"/>
          </rPr>
          <t xml:space="preserve">  </t>
        </r>
        <r>
          <rPr>
            <sz val="10"/>
            <color indexed="81"/>
            <rFont val="Tahoma"/>
            <family val="2"/>
          </rPr>
          <t xml:space="preserve"> 9/9/2022 6:44:04 PM </t>
        </r>
        <r>
          <rPr>
            <b/>
            <sz val="10"/>
            <color indexed="81"/>
            <rFont val="Tahoma"/>
            <family val="2"/>
          </rPr>
          <t xml:space="preserve">= 88909 - Referinta </t>
        </r>
        <r>
          <rPr>
            <sz val="10"/>
            <color indexed="81"/>
            <rFont val="Tahoma"/>
            <family val="2"/>
          </rPr>
          <t xml:space="preserve">* Cluj &amp; Oradea Km Auto (Responses)
  9/12/2022 7:07:11 AM </t>
        </r>
        <r>
          <rPr>
            <b/>
            <sz val="10"/>
            <color indexed="81"/>
            <rFont val="Tahoma"/>
            <family val="2"/>
          </rPr>
          <t xml:space="preserve">= 89018 - Normal </t>
        </r>
        <r>
          <rPr>
            <sz val="10"/>
            <color indexed="81"/>
            <rFont val="Tahoma"/>
            <family val="2"/>
          </rPr>
          <t xml:space="preserve">* Cluj &amp; Oradea Km Auto (Responses)
</t>
        </r>
      </text>
    </comment>
    <comment ref="J55" authorId="0" shapeId="0" xr:uid="{A290F9F0-E427-48C9-A92E-3CA4379C75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9/5/2022 8:14:29 AM </t>
        </r>
        <r>
          <rPr>
            <b/>
            <sz val="10"/>
            <color indexed="81"/>
            <rFont val="Tahoma"/>
            <family val="2"/>
          </rPr>
          <t xml:space="preserve">= 35453 - Referinta </t>
        </r>
        <r>
          <rPr>
            <sz val="10"/>
            <color indexed="81"/>
            <rFont val="Tahoma"/>
            <family val="2"/>
          </rPr>
          <t xml:space="preserve">* Cluj &amp; Oradea Km Auto (Responses)
   9/5/2022 8:15:21 AM </t>
        </r>
        <r>
          <rPr>
            <b/>
            <sz val="10"/>
            <color indexed="81"/>
            <rFont val="Tahoma"/>
            <family val="2"/>
          </rPr>
          <t xml:space="preserve">= 35474 - Normal </t>
        </r>
        <r>
          <rPr>
            <sz val="10"/>
            <color indexed="81"/>
            <rFont val="Tahoma"/>
            <family val="2"/>
          </rPr>
          <t xml:space="preserve">* Cluj &amp; Oradea Km Auto (Responses)
</t>
        </r>
      </text>
    </comment>
    <comment ref="O55" authorId="0" shapeId="0" xr:uid="{7E5836FB-71AC-43A4-83BF-9B93AE419A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__________________________________________________________________
</t>
        </r>
        <r>
          <rPr>
            <sz val="10"/>
            <color indexed="12"/>
            <rFont val="Tahoma"/>
            <family val="2"/>
          </rPr>
          <t xml:space="preserve">  </t>
        </r>
        <r>
          <rPr>
            <sz val="10"/>
            <color indexed="81"/>
            <rFont val="Tahoma"/>
            <family val="2"/>
          </rPr>
          <t xml:space="preserve"> 9/9/2022 5:10:00 AM </t>
        </r>
        <r>
          <rPr>
            <b/>
            <sz val="10"/>
            <color indexed="81"/>
            <rFont val="Tahoma"/>
            <family val="2"/>
          </rPr>
          <t xml:space="preserve">= 35730 - Referinta </t>
        </r>
        <r>
          <rPr>
            <sz val="10"/>
            <color indexed="81"/>
            <rFont val="Tahoma"/>
            <family val="2"/>
          </rPr>
          <t xml:space="preserve">* Cluj &amp; Oradea Km Auto (Responses)
  9/12/2022 7:55:15 AM </t>
        </r>
        <r>
          <rPr>
            <b/>
            <sz val="10"/>
            <color indexed="81"/>
            <rFont val="Tahoma"/>
            <family val="2"/>
          </rPr>
          <t xml:space="preserve">= 35787 - Normal </t>
        </r>
        <r>
          <rPr>
            <sz val="10"/>
            <color indexed="81"/>
            <rFont val="Tahoma"/>
            <family val="2"/>
          </rPr>
          <t xml:space="preserve">* Cluj &amp; Oradea Km Auto (Responses)
</t>
        </r>
      </text>
    </comment>
    <comment ref="T55" authorId="0" shapeId="0" xr:uid="{8A7C9509-31C6-48A0-B1FE-7E30283EF7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7:51:53 PM </t>
        </r>
        <r>
          <rPr>
            <b/>
            <sz val="10"/>
            <color indexed="81"/>
            <rFont val="Tahoma"/>
            <family val="2"/>
          </rPr>
          <t xml:space="preserve">= 35896 - Referinta </t>
        </r>
        <r>
          <rPr>
            <sz val="10"/>
            <color indexed="81"/>
            <rFont val="Tahoma"/>
            <family val="2"/>
          </rPr>
          <t xml:space="preserve">* Cluj &amp; Oradea Km Auto (Responses)
  9/19/2022 7:37:15 AM </t>
        </r>
        <r>
          <rPr>
            <b/>
            <sz val="10"/>
            <color indexed="81"/>
            <rFont val="Tahoma"/>
            <family val="2"/>
          </rPr>
          <t xml:space="preserve">= 35918 - Normal </t>
        </r>
        <r>
          <rPr>
            <sz val="10"/>
            <color indexed="81"/>
            <rFont val="Tahoma"/>
            <family val="2"/>
          </rPr>
          <t xml:space="preserve">* Cluj &amp; Oradea Km Auto (Responses)
</t>
        </r>
      </text>
    </comment>
    <comment ref="Y55" authorId="0" shapeId="0" xr:uid="{A498DD24-6677-45BA-A2B8-C184FBFB5A1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9/23/2022 6:03:34 PM </t>
        </r>
        <r>
          <rPr>
            <b/>
            <sz val="10"/>
            <color indexed="81"/>
            <rFont val="Tahoma"/>
            <family val="2"/>
          </rPr>
          <t xml:space="preserve">= 36149 - Referinta </t>
        </r>
        <r>
          <rPr>
            <sz val="10"/>
            <color indexed="81"/>
            <rFont val="Tahoma"/>
            <family val="2"/>
          </rPr>
          <t xml:space="preserve">* Cluj &amp; Oradea Km Auto (Responses)
  9/26/2022 7:39:11 AM </t>
        </r>
        <r>
          <rPr>
            <b/>
            <sz val="10"/>
            <color indexed="81"/>
            <rFont val="Tahoma"/>
            <family val="2"/>
          </rPr>
          <t xml:space="preserve">= 36173 - Normal </t>
        </r>
        <r>
          <rPr>
            <sz val="10"/>
            <color indexed="81"/>
            <rFont val="Tahoma"/>
            <family val="2"/>
          </rPr>
          <t xml:space="preserve">* Cluj &amp; Oradea Km Auto (Responses)
</t>
        </r>
      </text>
    </comment>
    <comment ref="AD55" authorId="0" shapeId="0" xr:uid="{4BCC97A6-0373-49E6-A572-97951137B9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9/30/2022 7:01:40 PM </t>
        </r>
        <r>
          <rPr>
            <b/>
            <sz val="10"/>
            <color indexed="81"/>
            <rFont val="Tahoma"/>
            <family val="2"/>
          </rPr>
          <t xml:space="preserve">= 36310 - Referinta </t>
        </r>
        <r>
          <rPr>
            <sz val="10"/>
            <color indexed="81"/>
            <rFont val="Tahoma"/>
            <family val="2"/>
          </rPr>
          <t xml:space="preserve">* Cluj &amp; Oradea Km Auto (Responses)
 10/3/2022 10:19:06 AM </t>
        </r>
        <r>
          <rPr>
            <b/>
            <sz val="10"/>
            <color indexed="81"/>
            <rFont val="Tahoma"/>
            <family val="2"/>
          </rPr>
          <t xml:space="preserve">= 36338 - Normal </t>
        </r>
        <r>
          <rPr>
            <sz val="10"/>
            <color indexed="81"/>
            <rFont val="Tahoma"/>
            <family val="2"/>
          </rPr>
          <t xml:space="preserve">* Cluj &amp; Oradea Km Auto (Responses)
</t>
        </r>
      </text>
    </comment>
    <comment ref="J56" authorId="0" shapeId="0" xr:uid="{A9FA2E67-BEFD-4A0A-831E-39B7DA22943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4:53:17 PM </t>
        </r>
        <r>
          <rPr>
            <b/>
            <sz val="10"/>
            <color indexed="81"/>
            <rFont val="Tahoma"/>
            <family val="2"/>
          </rPr>
          <t xml:space="preserve">= 96562 - Referinta </t>
        </r>
        <r>
          <rPr>
            <sz val="10"/>
            <color indexed="81"/>
            <rFont val="Tahoma"/>
            <family val="2"/>
          </rPr>
          <t xml:space="preserve">* Cluj &amp; Oradea Km Auto (Responses)
   9/5/2022 7:11:12 AM </t>
        </r>
        <r>
          <rPr>
            <b/>
            <sz val="10"/>
            <color indexed="81"/>
            <rFont val="Tahoma"/>
            <family val="2"/>
          </rPr>
          <t xml:space="preserve">= 96605 - Normal </t>
        </r>
        <r>
          <rPr>
            <sz val="10"/>
            <color indexed="81"/>
            <rFont val="Tahoma"/>
            <family val="2"/>
          </rPr>
          <t xml:space="preserve">* Cluj &amp; Oradea Km Auto (Responses)
</t>
        </r>
      </text>
    </comment>
    <comment ref="O56" authorId="0" shapeId="0" xr:uid="{6B80B808-A4AD-426A-A5E6-AB0AACDEE6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 9/9/2022 6:27:03 PM </t>
        </r>
        <r>
          <rPr>
            <b/>
            <sz val="10"/>
            <color indexed="81"/>
            <rFont val="Tahoma"/>
            <family val="2"/>
          </rPr>
          <t xml:space="preserve">= 97067 - Referinta </t>
        </r>
        <r>
          <rPr>
            <sz val="10"/>
            <color indexed="81"/>
            <rFont val="Tahoma"/>
            <family val="2"/>
          </rPr>
          <t xml:space="preserve">* Cluj &amp; Oradea Km Auto (Responses)
  9/12/2022 7:01:23 AM </t>
        </r>
        <r>
          <rPr>
            <b/>
            <sz val="10"/>
            <color indexed="81"/>
            <rFont val="Tahoma"/>
            <family val="2"/>
          </rPr>
          <t xml:space="preserve">= 97270 - Normal </t>
        </r>
        <r>
          <rPr>
            <sz val="10"/>
            <color indexed="81"/>
            <rFont val="Tahoma"/>
            <family val="2"/>
          </rPr>
          <t xml:space="preserve">* Cluj &amp; Oradea Km Auto (Responses)
</t>
        </r>
      </text>
    </comment>
    <comment ref="T56" authorId="0" shapeId="0" xr:uid="{4CEAE52D-A126-48A0-8670-2196127C64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9/16/2022 4:56:17 PM </t>
        </r>
        <r>
          <rPr>
            <b/>
            <sz val="10"/>
            <color indexed="81"/>
            <rFont val="Tahoma"/>
            <family val="2"/>
          </rPr>
          <t xml:space="preserve">= 97629 - Referinta </t>
        </r>
        <r>
          <rPr>
            <sz val="10"/>
            <color indexed="81"/>
            <rFont val="Tahoma"/>
            <family val="2"/>
          </rPr>
          <t xml:space="preserve">* Cluj &amp; Oradea Km Auto (Responses)
  9/19/2022 7:14:34 AM </t>
        </r>
        <r>
          <rPr>
            <b/>
            <sz val="10"/>
            <color indexed="81"/>
            <rFont val="Tahoma"/>
            <family val="2"/>
          </rPr>
          <t xml:space="preserve">= 97932 - Normal </t>
        </r>
        <r>
          <rPr>
            <sz val="10"/>
            <color indexed="81"/>
            <rFont val="Tahoma"/>
            <family val="2"/>
          </rPr>
          <t xml:space="preserve">* Cluj &amp; Oradea Km Auto (Responses)
</t>
        </r>
      </text>
    </comment>
    <comment ref="Y56" authorId="0" shapeId="0" xr:uid="{C6309802-C011-446F-A81D-371B0268E80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9/23/2022 5:59:14 PM </t>
        </r>
        <r>
          <rPr>
            <b/>
            <sz val="10"/>
            <color indexed="81"/>
            <rFont val="Tahoma"/>
            <family val="2"/>
          </rPr>
          <t xml:space="preserve">= 98480 - Referinta </t>
        </r>
        <r>
          <rPr>
            <sz val="10"/>
            <color indexed="81"/>
            <rFont val="Tahoma"/>
            <family val="2"/>
          </rPr>
          <t xml:space="preserve">* Cluj &amp; Oradea Km Auto (Responses)
  9/26/2022 7:15:31 AM </t>
        </r>
        <r>
          <rPr>
            <b/>
            <sz val="10"/>
            <color indexed="81"/>
            <rFont val="Tahoma"/>
            <family val="2"/>
          </rPr>
          <t xml:space="preserve">= 98482 - Normal </t>
        </r>
        <r>
          <rPr>
            <sz val="10"/>
            <color indexed="81"/>
            <rFont val="Tahoma"/>
            <family val="2"/>
          </rPr>
          <t xml:space="preserve">* Cluj &amp; Oradea Km Auto (Responses)
</t>
        </r>
      </text>
    </comment>
    <comment ref="AD56" authorId="0" shapeId="0" xr:uid="{B8C7B0D3-EA67-4462-8D37-2773EAB2954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9/30/2022 4:59:38 PM </t>
        </r>
        <r>
          <rPr>
            <b/>
            <sz val="10"/>
            <color indexed="81"/>
            <rFont val="Tahoma"/>
            <family val="2"/>
          </rPr>
          <t xml:space="preserve">= 98775 - Referinta </t>
        </r>
        <r>
          <rPr>
            <sz val="10"/>
            <color indexed="81"/>
            <rFont val="Tahoma"/>
            <family val="2"/>
          </rPr>
          <t xml:space="preserve">* Cluj &amp; Oradea Km Auto (Responses)
  10/3/2022 7:12:42 AM </t>
        </r>
        <r>
          <rPr>
            <b/>
            <sz val="10"/>
            <color indexed="81"/>
            <rFont val="Tahoma"/>
            <family val="2"/>
          </rPr>
          <t xml:space="preserve">= 98985 - Normal </t>
        </r>
        <r>
          <rPr>
            <sz val="10"/>
            <color indexed="81"/>
            <rFont val="Tahoma"/>
            <family val="2"/>
          </rPr>
          <t xml:space="preserve">* Cluj &amp; Oradea Km Auto (Responses)
</t>
        </r>
      </text>
    </comment>
    <comment ref="J57" authorId="0" shapeId="0" xr:uid="{2BA8D4C4-A1D1-4C7D-8BE6-375223C073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 9/2/2022 4:03:07 PM </t>
        </r>
        <r>
          <rPr>
            <b/>
            <sz val="10"/>
            <color indexed="81"/>
            <rFont val="Tahoma"/>
            <family val="2"/>
          </rPr>
          <t xml:space="preserve">= 61147 - Referinta </t>
        </r>
        <r>
          <rPr>
            <sz val="10"/>
            <color indexed="81"/>
            <rFont val="Tahoma"/>
            <family val="2"/>
          </rPr>
          <t xml:space="preserve">* Cluj &amp; Oradea Km Auto (Responses)
   9/5/2022 8:44:09 AM </t>
        </r>
        <r>
          <rPr>
            <b/>
            <sz val="10"/>
            <color indexed="81"/>
            <rFont val="Tahoma"/>
            <family val="2"/>
          </rPr>
          <t xml:space="preserve">= 61147 - Normal </t>
        </r>
        <r>
          <rPr>
            <sz val="10"/>
            <color indexed="81"/>
            <rFont val="Tahoma"/>
            <family val="2"/>
          </rPr>
          <t xml:space="preserve">* Cluj &amp; Oradea Km Auto (Responses)
</t>
        </r>
      </text>
    </comment>
    <comment ref="O57" authorId="0" shapeId="0" xr:uid="{D301A3DB-4EA8-4C2E-B05E-0914E3F9577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 9/9/2022 8:07:36 PM </t>
        </r>
        <r>
          <rPr>
            <b/>
            <sz val="10"/>
            <color indexed="81"/>
            <rFont val="Tahoma"/>
            <family val="2"/>
          </rPr>
          <t xml:space="preserve">= 61544 - Referinta </t>
        </r>
        <r>
          <rPr>
            <sz val="10"/>
            <color indexed="81"/>
            <rFont val="Tahoma"/>
            <family val="2"/>
          </rPr>
          <t xml:space="preserve">* Cluj &amp; Oradea Km Auto (Responses)
  9/12/2022 8:22:49 AM </t>
        </r>
        <r>
          <rPr>
            <b/>
            <sz val="10"/>
            <color indexed="81"/>
            <rFont val="Tahoma"/>
            <family val="2"/>
          </rPr>
          <t xml:space="preserve">= 61567 - Normal </t>
        </r>
        <r>
          <rPr>
            <sz val="10"/>
            <color indexed="81"/>
            <rFont val="Tahoma"/>
            <family val="2"/>
          </rPr>
          <t xml:space="preserve">* Cluj &amp; Oradea Km Auto (Responses)
</t>
        </r>
      </text>
    </comment>
    <comment ref="T57" authorId="0" shapeId="0" xr:uid="{E552EEFD-B911-4F47-B285-81EF2AE112B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9/16/2022 4:20:20 PM </t>
        </r>
        <r>
          <rPr>
            <b/>
            <sz val="10"/>
            <color indexed="81"/>
            <rFont val="Tahoma"/>
            <family val="2"/>
          </rPr>
          <t xml:space="preserve">= 61742 - Referinta </t>
        </r>
        <r>
          <rPr>
            <sz val="10"/>
            <color indexed="81"/>
            <rFont val="Tahoma"/>
            <family val="2"/>
          </rPr>
          <t xml:space="preserve">* Cluj &amp; Oradea Km Auto (Responses)
  9/19/2022 8:27:56 AM </t>
        </r>
        <r>
          <rPr>
            <b/>
            <sz val="10"/>
            <color indexed="81"/>
            <rFont val="Tahoma"/>
            <family val="2"/>
          </rPr>
          <t xml:space="preserve">= 61747 - Normal </t>
        </r>
        <r>
          <rPr>
            <sz val="10"/>
            <color indexed="81"/>
            <rFont val="Tahoma"/>
            <family val="2"/>
          </rPr>
          <t xml:space="preserve">* Cluj &amp; Oradea Km Auto (Responses)
</t>
        </r>
      </text>
    </comment>
    <comment ref="Y57" authorId="0" shapeId="0" xr:uid="{D247760D-7B25-4591-850A-B1493C170AE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9/23/2022 3:38:38 PM </t>
        </r>
        <r>
          <rPr>
            <b/>
            <sz val="10"/>
            <color indexed="81"/>
            <rFont val="Tahoma"/>
            <family val="2"/>
          </rPr>
          <t xml:space="preserve">= 61864 - Referinta </t>
        </r>
        <r>
          <rPr>
            <sz val="10"/>
            <color indexed="81"/>
            <rFont val="Tahoma"/>
            <family val="2"/>
          </rPr>
          <t xml:space="preserve">* Cluj &amp; Oradea Km Auto (Responses)
  9/26/2022 8:31:13 AM </t>
        </r>
        <r>
          <rPr>
            <b/>
            <sz val="10"/>
            <color indexed="81"/>
            <rFont val="Tahoma"/>
            <family val="2"/>
          </rPr>
          <t xml:space="preserve">= 61879 - Normal </t>
        </r>
        <r>
          <rPr>
            <sz val="10"/>
            <color indexed="81"/>
            <rFont val="Tahoma"/>
            <family val="2"/>
          </rPr>
          <t xml:space="preserve">* Cluj &amp; Oradea Km Auto (Responses)
</t>
        </r>
      </text>
    </comment>
    <comment ref="AD57" authorId="0" shapeId="0" xr:uid="{CBB7C1B6-4F7D-4A0B-8A45-039B00D019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9/30/2022 4:08:51 PM </t>
        </r>
        <r>
          <rPr>
            <b/>
            <sz val="10"/>
            <color indexed="81"/>
            <rFont val="Tahoma"/>
            <family val="2"/>
          </rPr>
          <t xml:space="preserve">= 62053 - Referinta </t>
        </r>
        <r>
          <rPr>
            <sz val="10"/>
            <color indexed="81"/>
            <rFont val="Tahoma"/>
            <family val="2"/>
          </rPr>
          <t xml:space="preserve">* Cluj &amp; Oradea Km Auto (Responses)
  10/3/2022 8:15:13 AM </t>
        </r>
        <r>
          <rPr>
            <b/>
            <sz val="10"/>
            <color indexed="81"/>
            <rFont val="Tahoma"/>
            <family val="2"/>
          </rPr>
          <t xml:space="preserve">= 62053 - Normal </t>
        </r>
        <r>
          <rPr>
            <sz val="10"/>
            <color indexed="81"/>
            <rFont val="Tahoma"/>
            <family val="2"/>
          </rPr>
          <t xml:space="preserve">* Cluj &amp; Oradea Km Auto (Responses)
  10/6/2022 6:56:18 PM </t>
        </r>
        <r>
          <rPr>
            <b/>
            <sz val="10"/>
            <color indexed="81"/>
            <rFont val="Tahoma"/>
            <family val="2"/>
          </rPr>
          <t xml:space="preserve">= 62089 - Referinta </t>
        </r>
        <r>
          <rPr>
            <sz val="10"/>
            <color indexed="81"/>
            <rFont val="Tahoma"/>
            <family val="2"/>
          </rPr>
          <t xml:space="preserve">* Cluj &amp; Oradea Km Auto (Responses)
</t>
        </r>
      </text>
    </comment>
    <comment ref="J58" authorId="0" shapeId="0" xr:uid="{C7774A6D-660D-4818-AA26-3D521A39EA9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 9/2/2022 4:57:24 PM </t>
        </r>
        <r>
          <rPr>
            <b/>
            <sz val="10"/>
            <color indexed="81"/>
            <rFont val="Tahoma"/>
            <family val="2"/>
          </rPr>
          <t xml:space="preserve">= 74020 - Referinta </t>
        </r>
        <r>
          <rPr>
            <sz val="10"/>
            <color indexed="81"/>
            <rFont val="Tahoma"/>
            <family val="2"/>
          </rPr>
          <t xml:space="preserve">* Constanta Km Auto (Responses)
   9/5/2022 7:28:31 AM </t>
        </r>
        <r>
          <rPr>
            <b/>
            <sz val="10"/>
            <color indexed="81"/>
            <rFont val="Tahoma"/>
            <family val="2"/>
          </rPr>
          <t xml:space="preserve">= 74025 - Normal </t>
        </r>
        <r>
          <rPr>
            <sz val="10"/>
            <color indexed="81"/>
            <rFont val="Tahoma"/>
            <family val="2"/>
          </rPr>
          <t xml:space="preserve">* Constanta Km Auto (Responses)
</t>
        </r>
      </text>
    </comment>
    <comment ref="O58" authorId="0" shapeId="0" xr:uid="{A924B42F-D9E0-4920-8341-232DBA47B2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 9/9/2022 4:34:10 PM </t>
        </r>
        <r>
          <rPr>
            <b/>
            <sz val="10"/>
            <color indexed="81"/>
            <rFont val="Tahoma"/>
            <family val="2"/>
          </rPr>
          <t xml:space="preserve">= 74525 - Referinta </t>
        </r>
        <r>
          <rPr>
            <sz val="10"/>
            <color indexed="81"/>
            <rFont val="Tahoma"/>
            <family val="2"/>
          </rPr>
          <t xml:space="preserve">* Constanta Km Auto (Responses)
  9/12/2022 7:31:14 AM </t>
        </r>
        <r>
          <rPr>
            <b/>
            <sz val="10"/>
            <color indexed="81"/>
            <rFont val="Tahoma"/>
            <family val="2"/>
          </rPr>
          <t xml:space="preserve">= 74525 - Normal </t>
        </r>
        <r>
          <rPr>
            <sz val="10"/>
            <color indexed="81"/>
            <rFont val="Tahoma"/>
            <family val="2"/>
          </rPr>
          <t xml:space="preserve">* Constanta Km Auto (Responses)
</t>
        </r>
      </text>
    </comment>
    <comment ref="T58" authorId="0" shapeId="0" xr:uid="{62BC09DF-48D7-493D-B616-7200DFBAB48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9/16/2022 8:52:03 PM </t>
        </r>
        <r>
          <rPr>
            <b/>
            <sz val="10"/>
            <color indexed="81"/>
            <rFont val="Tahoma"/>
            <family val="2"/>
          </rPr>
          <t xml:space="preserve">= 74661 - Referinta </t>
        </r>
        <r>
          <rPr>
            <sz val="10"/>
            <color indexed="81"/>
            <rFont val="Tahoma"/>
            <family val="2"/>
          </rPr>
          <t xml:space="preserve">* Constanta Km Auto (Responses)
  9/19/2022 7:35:38 AM </t>
        </r>
        <r>
          <rPr>
            <b/>
            <sz val="10"/>
            <color indexed="81"/>
            <rFont val="Tahoma"/>
            <family val="2"/>
          </rPr>
          <t xml:space="preserve">= 74677 - Normal </t>
        </r>
        <r>
          <rPr>
            <sz val="10"/>
            <color indexed="81"/>
            <rFont val="Tahoma"/>
            <family val="2"/>
          </rPr>
          <t xml:space="preserve">* Constanta Km Auto (Responses)
</t>
        </r>
      </text>
    </comment>
    <comment ref="Y58" authorId="0" shapeId="0" xr:uid="{5AB83D3D-F0B4-4932-B656-B65F49B0BA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9/23/2022 5:48:28 PM </t>
        </r>
        <r>
          <rPr>
            <b/>
            <sz val="10"/>
            <color indexed="81"/>
            <rFont val="Tahoma"/>
            <family val="2"/>
          </rPr>
          <t xml:space="preserve">= 74778 - Referinta </t>
        </r>
        <r>
          <rPr>
            <sz val="10"/>
            <color indexed="81"/>
            <rFont val="Tahoma"/>
            <family val="2"/>
          </rPr>
          <t xml:space="preserve">* Constanta Km Auto (Responses)
  9/26/2022 7:35:40 AM </t>
        </r>
        <r>
          <rPr>
            <b/>
            <sz val="10"/>
            <color indexed="81"/>
            <rFont val="Tahoma"/>
            <family val="2"/>
          </rPr>
          <t xml:space="preserve">= 74808 - Normal </t>
        </r>
        <r>
          <rPr>
            <sz val="10"/>
            <color indexed="81"/>
            <rFont val="Tahoma"/>
            <family val="2"/>
          </rPr>
          <t xml:space="preserve">* Constanta Km Auto (Responses)
</t>
        </r>
      </text>
    </comment>
    <comment ref="AD58" authorId="0" shapeId="0" xr:uid="{025EC0D2-014D-405F-8C0B-943F9342E95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9/30/2022 5:16:07 PM </t>
        </r>
        <r>
          <rPr>
            <b/>
            <sz val="10"/>
            <color indexed="81"/>
            <rFont val="Tahoma"/>
            <family val="2"/>
          </rPr>
          <t xml:space="preserve">= 74981 - Referinta </t>
        </r>
        <r>
          <rPr>
            <sz val="10"/>
            <color indexed="81"/>
            <rFont val="Tahoma"/>
            <family val="2"/>
          </rPr>
          <t xml:space="preserve">* Constanta Km Auto (Responses)
  10/3/2022 7:39:43 AM </t>
        </r>
        <r>
          <rPr>
            <b/>
            <sz val="10"/>
            <color indexed="81"/>
            <rFont val="Tahoma"/>
            <family val="2"/>
          </rPr>
          <t xml:space="preserve">= 75016 - Normal </t>
        </r>
        <r>
          <rPr>
            <sz val="10"/>
            <color indexed="81"/>
            <rFont val="Tahoma"/>
            <family val="2"/>
          </rPr>
          <t xml:space="preserve">* Constanta Km Auto (Responses)
</t>
        </r>
      </text>
    </comment>
    <comment ref="J59" authorId="0" shapeId="0" xr:uid="{B4CFAA26-D182-4728-B72D-834E6A4EE2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Referinta a fost pusa automat
__________________________________________________________________
</t>
        </r>
        <r>
          <rPr>
            <sz val="10"/>
            <color indexed="12"/>
            <rFont val="Tahoma"/>
            <family val="2"/>
          </rPr>
          <t xml:space="preserve">  </t>
        </r>
        <r>
          <rPr>
            <sz val="10"/>
            <color indexed="81"/>
            <rFont val="Tahoma"/>
            <family val="2"/>
          </rPr>
          <t xml:space="preserve"> 9/5/2022 8:15:04 AM </t>
        </r>
        <r>
          <rPr>
            <b/>
            <sz val="10"/>
            <color indexed="81"/>
            <rFont val="Tahoma"/>
            <family val="2"/>
          </rPr>
          <t xml:space="preserve">= 58673 - Referinta </t>
        </r>
        <r>
          <rPr>
            <sz val="10"/>
            <color indexed="81"/>
            <rFont val="Tahoma"/>
            <family val="2"/>
          </rPr>
          <t xml:space="preserve">* Constanta Km Auto (Responses)
</t>
        </r>
      </text>
    </comment>
    <comment ref="O59" authorId="0" shapeId="0" xr:uid="{D926A787-ECBF-48A7-B927-A8642BD690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 9/9/2022 4:35:01 PM </t>
        </r>
        <r>
          <rPr>
            <b/>
            <sz val="10"/>
            <color indexed="81"/>
            <rFont val="Tahoma"/>
            <family val="2"/>
          </rPr>
          <t xml:space="preserve">= 58954 - Referinta </t>
        </r>
        <r>
          <rPr>
            <sz val="10"/>
            <color indexed="81"/>
            <rFont val="Tahoma"/>
            <family val="2"/>
          </rPr>
          <t xml:space="preserve">* Constanta Km Auto (Responses)
  9/12/2022 6:39:00 AM </t>
        </r>
        <r>
          <rPr>
            <b/>
            <sz val="10"/>
            <color indexed="81"/>
            <rFont val="Tahoma"/>
            <family val="2"/>
          </rPr>
          <t xml:space="preserve">= 58954 - Normal </t>
        </r>
        <r>
          <rPr>
            <sz val="10"/>
            <color indexed="81"/>
            <rFont val="Tahoma"/>
            <family val="2"/>
          </rPr>
          <t xml:space="preserve">* Constanta Km Auto (Responses)
</t>
        </r>
      </text>
    </comment>
    <comment ref="T59" authorId="0" shapeId="0" xr:uid="{82EFD89D-942C-4951-8E9D-CBEAF3A82A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9/16/2022 5:11:00 AM </t>
        </r>
        <r>
          <rPr>
            <b/>
            <sz val="10"/>
            <color indexed="81"/>
            <rFont val="Tahoma"/>
            <family val="2"/>
          </rPr>
          <t xml:space="preserve">= 60326 - Referinta </t>
        </r>
        <r>
          <rPr>
            <sz val="10"/>
            <color indexed="81"/>
            <rFont val="Tahoma"/>
            <family val="2"/>
          </rPr>
          <t xml:space="preserve">* Constanta Km Auto (Responses)
  9/19/2022 8:09:00 AM </t>
        </r>
        <r>
          <rPr>
            <b/>
            <sz val="10"/>
            <color indexed="81"/>
            <rFont val="Tahoma"/>
            <family val="2"/>
          </rPr>
          <t xml:space="preserve">= 60326 - Normal </t>
        </r>
        <r>
          <rPr>
            <sz val="10"/>
            <color indexed="81"/>
            <rFont val="Tahoma"/>
            <family val="2"/>
          </rPr>
          <t xml:space="preserve">* Constanta Km Auto (Responses)
</t>
        </r>
      </text>
    </comment>
    <comment ref="Y59" authorId="0" shapeId="0" xr:uid="{8C408FF4-B08D-4769-A525-566865C0BC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9/23/2022 5:17:00 AM </t>
        </r>
        <r>
          <rPr>
            <b/>
            <sz val="10"/>
            <color indexed="81"/>
            <rFont val="Tahoma"/>
            <family val="2"/>
          </rPr>
          <t xml:space="preserve">= 60831 - Referinta </t>
        </r>
        <r>
          <rPr>
            <sz val="10"/>
            <color indexed="81"/>
            <rFont val="Tahoma"/>
            <family val="2"/>
          </rPr>
          <t xml:space="preserve">* Constanta Km Auto (Responses)
  9/26/2022 8:41:00 AM </t>
        </r>
        <r>
          <rPr>
            <b/>
            <sz val="10"/>
            <color indexed="81"/>
            <rFont val="Tahoma"/>
            <family val="2"/>
          </rPr>
          <t xml:space="preserve">= 60831 - Normal </t>
        </r>
        <r>
          <rPr>
            <sz val="10"/>
            <color indexed="81"/>
            <rFont val="Tahoma"/>
            <family val="2"/>
          </rPr>
          <t xml:space="preserve">* Constanta Km Auto (Responses)
</t>
        </r>
      </text>
    </comment>
    <comment ref="AD59" authorId="0" shapeId="0" xr:uid="{59FEC5CB-BEA3-40F6-BD3A-4F1EF4D596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9/30/2022 5:25:00 AM </t>
        </r>
        <r>
          <rPr>
            <b/>
            <sz val="10"/>
            <color indexed="81"/>
            <rFont val="Tahoma"/>
            <family val="2"/>
          </rPr>
          <t xml:space="preserve">= 61379 - Referinta </t>
        </r>
        <r>
          <rPr>
            <sz val="10"/>
            <color indexed="81"/>
            <rFont val="Tahoma"/>
            <family val="2"/>
          </rPr>
          <t xml:space="preserve">* Constanta Km Auto (Responses)
 10/3/2022 10:59:00 AM </t>
        </r>
        <r>
          <rPr>
            <b/>
            <sz val="10"/>
            <color indexed="81"/>
            <rFont val="Tahoma"/>
            <family val="2"/>
          </rPr>
          <t xml:space="preserve">= 61379 - Normal </t>
        </r>
        <r>
          <rPr>
            <sz val="10"/>
            <color indexed="81"/>
            <rFont val="Tahoma"/>
            <family val="2"/>
          </rPr>
          <t xml:space="preserve">* Constanta Km Auto (Responses)
</t>
        </r>
      </text>
    </comment>
    <comment ref="J60" authorId="0" shapeId="0" xr:uid="{64C7AF3B-C95C-422E-8D15-74C02927061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 9/2/2022 4:19:56 PM </t>
        </r>
        <r>
          <rPr>
            <b/>
            <sz val="10"/>
            <color indexed="81"/>
            <rFont val="Tahoma"/>
            <family val="2"/>
          </rPr>
          <t xml:space="preserve">= 52881 - Referinta </t>
        </r>
        <r>
          <rPr>
            <sz val="10"/>
            <color indexed="81"/>
            <rFont val="Tahoma"/>
            <family val="2"/>
          </rPr>
          <t xml:space="preserve">* Constanta Km Auto (Responses)
   9/5/2022 7:42:52 AM </t>
        </r>
        <r>
          <rPr>
            <b/>
            <sz val="10"/>
            <color indexed="81"/>
            <rFont val="Tahoma"/>
            <family val="2"/>
          </rPr>
          <t xml:space="preserve">= 52911 - Normal </t>
        </r>
        <r>
          <rPr>
            <sz val="10"/>
            <color indexed="81"/>
            <rFont val="Tahoma"/>
            <family val="2"/>
          </rPr>
          <t xml:space="preserve">* Constanta Km Auto (Responses)
</t>
        </r>
      </text>
    </comment>
    <comment ref="O60" authorId="0" shapeId="0" xr:uid="{4762A07B-AA69-4D36-93CA-31E3D72D5E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 9/9/2022 4:22:00 AM </t>
        </r>
        <r>
          <rPr>
            <b/>
            <sz val="10"/>
            <color indexed="81"/>
            <rFont val="Tahoma"/>
            <family val="2"/>
          </rPr>
          <t xml:space="preserve">= 53428 - Referinta </t>
        </r>
        <r>
          <rPr>
            <sz val="10"/>
            <color indexed="81"/>
            <rFont val="Tahoma"/>
            <family val="2"/>
          </rPr>
          <t xml:space="preserve">* Constanta Km Auto (Responses)
  9/12/2022 7:54:00 AM </t>
        </r>
        <r>
          <rPr>
            <b/>
            <sz val="10"/>
            <color indexed="81"/>
            <rFont val="Tahoma"/>
            <family val="2"/>
          </rPr>
          <t xml:space="preserve">= 53462 - Normal </t>
        </r>
        <r>
          <rPr>
            <sz val="10"/>
            <color indexed="81"/>
            <rFont val="Tahoma"/>
            <family val="2"/>
          </rPr>
          <t xml:space="preserve">* Constanta Km Auto (Responses)
  9/15/2022 4:20:00 AM </t>
        </r>
        <r>
          <rPr>
            <b/>
            <sz val="10"/>
            <color indexed="81"/>
            <rFont val="Tahoma"/>
            <family val="2"/>
          </rPr>
          <t xml:space="preserve">= 53897 - Concediu </t>
        </r>
        <r>
          <rPr>
            <sz val="10"/>
            <color indexed="81"/>
            <rFont val="Tahoma"/>
            <family val="2"/>
          </rPr>
          <t xml:space="preserve">* Constanta Km Auto (Responses)
</t>
        </r>
      </text>
    </comment>
    <comment ref="T60" authorId="0" shapeId="0" xr:uid="{575E0ADB-5D3B-423C-983F-665EC61F68A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9/19/2022 8:09:00 AM </t>
        </r>
        <r>
          <rPr>
            <b/>
            <sz val="10"/>
            <color indexed="81"/>
            <rFont val="Tahoma"/>
            <family val="2"/>
          </rPr>
          <t xml:space="preserve">= 53902 - Referinta </t>
        </r>
        <r>
          <rPr>
            <sz val="10"/>
            <color indexed="81"/>
            <rFont val="Tahoma"/>
            <family val="2"/>
          </rPr>
          <t xml:space="preserve">* Constanta Km Auto (Responses)
</t>
        </r>
      </text>
    </comment>
    <comment ref="Y60" authorId="0" shapeId="0" xr:uid="{F8B5A30A-D6E7-484E-8B8D-3B24678EA7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9/23/2022 4:16:40 PM </t>
        </r>
        <r>
          <rPr>
            <b/>
            <sz val="10"/>
            <color indexed="81"/>
            <rFont val="Tahoma"/>
            <family val="2"/>
          </rPr>
          <t xml:space="preserve">= 54149 - Referinta </t>
        </r>
        <r>
          <rPr>
            <sz val="10"/>
            <color indexed="81"/>
            <rFont val="Tahoma"/>
            <family val="2"/>
          </rPr>
          <t xml:space="preserve">* Constanta Km Auto (Responses)
  9/26/2022 8:02:47 AM </t>
        </r>
        <r>
          <rPr>
            <b/>
            <sz val="10"/>
            <color indexed="81"/>
            <rFont val="Tahoma"/>
            <family val="2"/>
          </rPr>
          <t xml:space="preserve">= 54154 - Normal </t>
        </r>
        <r>
          <rPr>
            <sz val="10"/>
            <color indexed="81"/>
            <rFont val="Tahoma"/>
            <family val="2"/>
          </rPr>
          <t xml:space="preserve">* Constanta Km Auto (Responses)
  9/26/2022 8:02:49 AM </t>
        </r>
        <r>
          <rPr>
            <b/>
            <sz val="10"/>
            <color indexed="81"/>
            <rFont val="Tahoma"/>
            <family val="2"/>
          </rPr>
          <t xml:space="preserve">= 54154 - Normal </t>
        </r>
        <r>
          <rPr>
            <sz val="10"/>
            <color indexed="81"/>
            <rFont val="Tahoma"/>
            <family val="2"/>
          </rPr>
          <t xml:space="preserve">* Constanta Km Auto (Responses)
</t>
        </r>
      </text>
    </comment>
    <comment ref="AD60" authorId="0" shapeId="0" xr:uid="{09267F78-418D-4303-8C83-E70679685B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9/30/2022 4:42:21 PM </t>
        </r>
        <r>
          <rPr>
            <b/>
            <sz val="10"/>
            <color indexed="81"/>
            <rFont val="Tahoma"/>
            <family val="2"/>
          </rPr>
          <t xml:space="preserve">= 54639 - Referinta </t>
        </r>
        <r>
          <rPr>
            <sz val="10"/>
            <color indexed="81"/>
            <rFont val="Tahoma"/>
            <family val="2"/>
          </rPr>
          <t xml:space="preserve">* Constanta Km Auto (Responses)
  10/3/2022 8:04:53 AM </t>
        </r>
        <r>
          <rPr>
            <b/>
            <sz val="10"/>
            <color indexed="81"/>
            <rFont val="Tahoma"/>
            <family val="2"/>
          </rPr>
          <t xml:space="preserve">= 54644 - Normal </t>
        </r>
        <r>
          <rPr>
            <sz val="10"/>
            <color indexed="81"/>
            <rFont val="Tahoma"/>
            <family val="2"/>
          </rPr>
          <t xml:space="preserve">* Constanta Km Auto (Responses)
</t>
        </r>
      </text>
    </comment>
    <comment ref="J61" authorId="0" shapeId="0" xr:uid="{3734D6AF-09F5-4300-9CF8-1E68FA3F9BD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 9/2/2022 7:44:01 PM </t>
        </r>
        <r>
          <rPr>
            <b/>
            <sz val="10"/>
            <color indexed="81"/>
            <rFont val="Tahoma"/>
            <family val="2"/>
          </rPr>
          <t xml:space="preserve">= 164401 - Referinta </t>
        </r>
        <r>
          <rPr>
            <sz val="10"/>
            <color indexed="81"/>
            <rFont val="Tahoma"/>
            <family val="2"/>
          </rPr>
          <t xml:space="preserve">* Constanta Km Auto (Responses)
   9/5/2022 8:03:29 AM </t>
        </r>
        <r>
          <rPr>
            <b/>
            <sz val="10"/>
            <color indexed="81"/>
            <rFont val="Tahoma"/>
            <family val="2"/>
          </rPr>
          <t xml:space="preserve">= 164436 - Normal </t>
        </r>
        <r>
          <rPr>
            <sz val="10"/>
            <color indexed="81"/>
            <rFont val="Tahoma"/>
            <family val="2"/>
          </rPr>
          <t xml:space="preserve">* Constanta Km Auto (Responses)
</t>
        </r>
      </text>
    </comment>
    <comment ref="O61" authorId="0" shapeId="0" xr:uid="{961D2C89-8EEE-4479-93C1-6EDD02C30A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 9/9/2022 4:12:00 AM </t>
        </r>
        <r>
          <rPr>
            <b/>
            <sz val="10"/>
            <color indexed="81"/>
            <rFont val="Tahoma"/>
            <family val="2"/>
          </rPr>
          <t xml:space="preserve">= 164992 - Referinta </t>
        </r>
        <r>
          <rPr>
            <sz val="10"/>
            <color indexed="81"/>
            <rFont val="Tahoma"/>
            <family val="2"/>
          </rPr>
          <t xml:space="preserve">* Constanta Km Auto (Responses)
  9/12/2022 8:00:00 AM </t>
        </r>
        <r>
          <rPr>
            <b/>
            <sz val="10"/>
            <color indexed="81"/>
            <rFont val="Tahoma"/>
            <family val="2"/>
          </rPr>
          <t xml:space="preserve">= 165043 - Normal </t>
        </r>
        <r>
          <rPr>
            <sz val="10"/>
            <color indexed="81"/>
            <rFont val="Tahoma"/>
            <family val="2"/>
          </rPr>
          <t xml:space="preserve">* Constanta Km Auto (Responses)
</t>
        </r>
      </text>
    </comment>
    <comment ref="T61" authorId="0" shapeId="0" xr:uid="{D44A6509-F0A0-4B9E-BDF2-1D57AA248B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9/16/2022 4:10:00 AM </t>
        </r>
        <r>
          <rPr>
            <b/>
            <sz val="10"/>
            <color indexed="81"/>
            <rFont val="Tahoma"/>
            <family val="2"/>
          </rPr>
          <t xml:space="preserve">= 165594 - Referinta </t>
        </r>
        <r>
          <rPr>
            <sz val="10"/>
            <color indexed="81"/>
            <rFont val="Tahoma"/>
            <family val="2"/>
          </rPr>
          <t xml:space="preserve">* Constanta Km Auto (Responses)
  9/19/2022 8:00:00 AM </t>
        </r>
        <r>
          <rPr>
            <b/>
            <sz val="10"/>
            <color indexed="81"/>
            <rFont val="Tahoma"/>
            <family val="2"/>
          </rPr>
          <t xml:space="preserve">= 165668 - Normal </t>
        </r>
        <r>
          <rPr>
            <sz val="10"/>
            <color indexed="81"/>
            <rFont val="Tahoma"/>
            <family val="2"/>
          </rPr>
          <t xml:space="preserve">* Constanta Km Auto (Responses)
</t>
        </r>
      </text>
    </comment>
    <comment ref="Y61" authorId="0" shapeId="0" xr:uid="{DD94EBF0-D70C-481D-B4C0-8C5FE0A760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9/23/2022 4:00:00 AM </t>
        </r>
        <r>
          <rPr>
            <b/>
            <sz val="10"/>
            <color indexed="81"/>
            <rFont val="Tahoma"/>
            <family val="2"/>
          </rPr>
          <t xml:space="preserve">= 166202 - Referinta </t>
        </r>
        <r>
          <rPr>
            <sz val="10"/>
            <color indexed="81"/>
            <rFont val="Tahoma"/>
            <family val="2"/>
          </rPr>
          <t xml:space="preserve">* Constanta Km Auto (Responses)
  9/26/2022 8:00:00 AM </t>
        </r>
        <r>
          <rPr>
            <b/>
            <sz val="10"/>
            <color indexed="81"/>
            <rFont val="Tahoma"/>
            <family val="2"/>
          </rPr>
          <t xml:space="preserve">= 166236 - Normal </t>
        </r>
        <r>
          <rPr>
            <sz val="10"/>
            <color indexed="81"/>
            <rFont val="Tahoma"/>
            <family val="2"/>
          </rPr>
          <t xml:space="preserve">* Constanta Km Auto (Responses)
</t>
        </r>
      </text>
    </comment>
    <comment ref="AD61" authorId="0" shapeId="0" xr:uid="{273DDD83-A7BC-49A1-8604-89BF704DEB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1</t>
        </r>
        <r>
          <rPr>
            <sz val="10"/>
            <color indexed="81"/>
            <rFont val="Tahoma"/>
            <family val="2"/>
          </rPr>
          <t xml:space="preserve">0/1/2022 10:00:00 AM </t>
        </r>
        <r>
          <rPr>
            <b/>
            <sz val="10"/>
            <color indexed="81"/>
            <rFont val="Tahoma"/>
            <family val="2"/>
          </rPr>
          <t xml:space="preserve">= 166762 - Referinta </t>
        </r>
        <r>
          <rPr>
            <sz val="10"/>
            <color indexed="81"/>
            <rFont val="Tahoma"/>
            <family val="2"/>
          </rPr>
          <t xml:space="preserve">* Constanta Km Auto (Responses)
  10/3/2022 8:05:00 AM </t>
        </r>
        <r>
          <rPr>
            <b/>
            <sz val="10"/>
            <color indexed="81"/>
            <rFont val="Tahoma"/>
            <family val="2"/>
          </rPr>
          <t xml:space="preserve">= 166809 - Normal </t>
        </r>
        <r>
          <rPr>
            <sz val="10"/>
            <color indexed="81"/>
            <rFont val="Tahoma"/>
            <family val="2"/>
          </rPr>
          <t xml:space="preserve">* Constanta Km Auto (Responses)
</t>
        </r>
      </text>
    </comment>
    <comment ref="J62" authorId="0" shapeId="0" xr:uid="{AF3FB1CA-B228-4044-8175-74C27178FC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9/5/2022 9:16:38 AM </t>
        </r>
        <r>
          <rPr>
            <b/>
            <sz val="10"/>
            <color indexed="81"/>
            <rFont val="Tahoma"/>
            <family val="2"/>
          </rPr>
          <t xml:space="preserve">= 33626 - Referinta </t>
        </r>
        <r>
          <rPr>
            <sz val="10"/>
            <color indexed="81"/>
            <rFont val="Tahoma"/>
            <family val="2"/>
          </rPr>
          <t xml:space="preserve">* Constanta Km Auto (Responses)
   9/5/2022 9:17:20 AM </t>
        </r>
        <r>
          <rPr>
            <b/>
            <sz val="10"/>
            <color indexed="81"/>
            <rFont val="Tahoma"/>
            <family val="2"/>
          </rPr>
          <t xml:space="preserve">= 33746 - Normal </t>
        </r>
        <r>
          <rPr>
            <sz val="10"/>
            <color indexed="81"/>
            <rFont val="Tahoma"/>
            <family val="2"/>
          </rPr>
          <t xml:space="preserve">* Constanta Km Auto (Responses)
</t>
        </r>
      </text>
    </comment>
    <comment ref="O62" authorId="0" shapeId="0" xr:uid="{21DB0C3D-A435-4A00-8B9C-70CBA1B9F5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33900 - Referinta </t>
        </r>
        <r>
          <rPr>
            <sz val="10"/>
            <color indexed="81"/>
            <rFont val="Tahoma"/>
            <family val="2"/>
          </rPr>
          <t xml:space="preserve">* Constanta Km Auto (Responses)
  9/12/2022 8:00:00 AM </t>
        </r>
        <r>
          <rPr>
            <b/>
            <sz val="10"/>
            <color indexed="81"/>
            <rFont val="Tahoma"/>
            <family val="2"/>
          </rPr>
          <t xml:space="preserve">= 33941 - Normal </t>
        </r>
        <r>
          <rPr>
            <sz val="10"/>
            <color indexed="81"/>
            <rFont val="Tahoma"/>
            <family val="2"/>
          </rPr>
          <t xml:space="preserve">* Constanta Km Auto (Responses)
</t>
        </r>
      </text>
    </comment>
    <comment ref="T62" authorId="0" shapeId="0" xr:uid="{84B9C219-5C49-4D71-A832-5B56769FB9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9/16/2022 4:30:00 AM </t>
        </r>
        <r>
          <rPr>
            <b/>
            <sz val="10"/>
            <color indexed="81"/>
            <rFont val="Tahoma"/>
            <family val="2"/>
          </rPr>
          <t xml:space="preserve">= 34373 - Referinta </t>
        </r>
        <r>
          <rPr>
            <sz val="10"/>
            <color indexed="81"/>
            <rFont val="Tahoma"/>
            <family val="2"/>
          </rPr>
          <t xml:space="preserve">* Constanta Km Auto (Responses)
  9/19/2022 8:00:00 AM </t>
        </r>
        <r>
          <rPr>
            <b/>
            <sz val="10"/>
            <color indexed="81"/>
            <rFont val="Tahoma"/>
            <family val="2"/>
          </rPr>
          <t xml:space="preserve">= 34554 - Normal </t>
        </r>
        <r>
          <rPr>
            <sz val="10"/>
            <color indexed="81"/>
            <rFont val="Tahoma"/>
            <family val="2"/>
          </rPr>
          <t xml:space="preserve">* Constanta Km Auto (Responses)
</t>
        </r>
      </text>
    </comment>
    <comment ref="Y62" authorId="0" shapeId="0" xr:uid="{8211901A-FBDD-475B-86FE-41D4F03477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9/23/2022 4:00:00 AM </t>
        </r>
        <r>
          <rPr>
            <b/>
            <sz val="10"/>
            <color indexed="81"/>
            <rFont val="Tahoma"/>
            <family val="2"/>
          </rPr>
          <t xml:space="preserve">= 34810 - Referinta </t>
        </r>
        <r>
          <rPr>
            <sz val="10"/>
            <color indexed="81"/>
            <rFont val="Tahoma"/>
            <family val="2"/>
          </rPr>
          <t xml:space="preserve">* Constanta Km Auto (Responses)
  9/26/2022 8:00:00 AM </t>
        </r>
        <r>
          <rPr>
            <b/>
            <sz val="10"/>
            <color indexed="81"/>
            <rFont val="Tahoma"/>
            <family val="2"/>
          </rPr>
          <t xml:space="preserve">= 34878 - Normal </t>
        </r>
        <r>
          <rPr>
            <sz val="10"/>
            <color indexed="81"/>
            <rFont val="Tahoma"/>
            <family val="2"/>
          </rPr>
          <t xml:space="preserve">* Constanta Km Auto (Responses)
</t>
        </r>
      </text>
    </comment>
    <comment ref="AD62" authorId="0" shapeId="0" xr:uid="{EB6186A0-0B11-405D-A299-2A39903873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35146 - Referinta </t>
        </r>
        <r>
          <rPr>
            <sz val="10"/>
            <color indexed="81"/>
            <rFont val="Tahoma"/>
            <family val="2"/>
          </rPr>
          <t xml:space="preserve">* Constanta Km Auto (Responses)
  10/3/2022 8:00:00 AM </t>
        </r>
        <r>
          <rPr>
            <b/>
            <sz val="10"/>
            <color indexed="81"/>
            <rFont val="Tahoma"/>
            <family val="2"/>
          </rPr>
          <t xml:space="preserve">= 35214 - Normal </t>
        </r>
        <r>
          <rPr>
            <sz val="10"/>
            <color indexed="81"/>
            <rFont val="Tahoma"/>
            <family val="2"/>
          </rPr>
          <t xml:space="preserve">* Constanta Km Auto (Responses)
</t>
        </r>
      </text>
    </comment>
    <comment ref="J63" authorId="0" shapeId="0" xr:uid="{05DCBA53-18B2-4A78-8DB0-075B7AA4D2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 9/2/2022 3:39:26 PM </t>
        </r>
        <r>
          <rPr>
            <b/>
            <sz val="10"/>
            <color indexed="81"/>
            <rFont val="Tahoma"/>
            <family val="2"/>
          </rPr>
          <t xml:space="preserve">= 178670 - Referinta </t>
        </r>
        <r>
          <rPr>
            <sz val="10"/>
            <color indexed="81"/>
            <rFont val="Tahoma"/>
            <family val="2"/>
          </rPr>
          <t xml:space="preserve">* Constanta Km Auto (Responses)
   9/5/2022 7:46:19 AM </t>
        </r>
        <r>
          <rPr>
            <b/>
            <sz val="10"/>
            <color indexed="81"/>
            <rFont val="Tahoma"/>
            <family val="2"/>
          </rPr>
          <t xml:space="preserve">= 178670 - Normal </t>
        </r>
        <r>
          <rPr>
            <sz val="10"/>
            <color indexed="81"/>
            <rFont val="Tahoma"/>
            <family val="2"/>
          </rPr>
          <t xml:space="preserve">* Constanta Km Auto (Responses)
</t>
        </r>
      </text>
    </comment>
    <comment ref="O63" authorId="0" shapeId="0" xr:uid="{8E623C5C-5E6B-4091-A157-FC86FDC97C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 9/9/2022 4:05:23 PM </t>
        </r>
        <r>
          <rPr>
            <b/>
            <sz val="10"/>
            <color indexed="81"/>
            <rFont val="Tahoma"/>
            <family val="2"/>
          </rPr>
          <t xml:space="preserve">= 179735 - Referinta </t>
        </r>
        <r>
          <rPr>
            <sz val="10"/>
            <color indexed="81"/>
            <rFont val="Tahoma"/>
            <family val="2"/>
          </rPr>
          <t xml:space="preserve">* Constanta Km Auto (Responses)
  9/12/2022 7:46:14 AM </t>
        </r>
        <r>
          <rPr>
            <b/>
            <sz val="10"/>
            <color indexed="81"/>
            <rFont val="Tahoma"/>
            <family val="2"/>
          </rPr>
          <t xml:space="preserve">= 179735 - Normal </t>
        </r>
        <r>
          <rPr>
            <sz val="10"/>
            <color indexed="81"/>
            <rFont val="Tahoma"/>
            <family val="2"/>
          </rPr>
          <t xml:space="preserve">* Constanta Km Auto (Responses)
</t>
        </r>
      </text>
    </comment>
    <comment ref="T63" authorId="0" shapeId="0" xr:uid="{33811CD7-554F-4A7B-8B1B-F67BA387F9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9/19/2022 7:42:20 AM </t>
        </r>
        <r>
          <rPr>
            <b/>
            <sz val="10"/>
            <color indexed="81"/>
            <rFont val="Tahoma"/>
            <family val="2"/>
          </rPr>
          <t xml:space="preserve">= 180732 - Referinta </t>
        </r>
        <r>
          <rPr>
            <sz val="10"/>
            <color indexed="81"/>
            <rFont val="Tahoma"/>
            <family val="2"/>
          </rPr>
          <t xml:space="preserve">* Constanta Km Auto (Responses)
</t>
        </r>
      </text>
    </comment>
    <comment ref="Y63" authorId="0" shapeId="0" xr:uid="{6BBFAF15-83FE-4E2F-975F-588279C7FF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9/23/2022 3:22:27 PM </t>
        </r>
        <r>
          <rPr>
            <b/>
            <sz val="10"/>
            <color indexed="81"/>
            <rFont val="Tahoma"/>
            <family val="2"/>
          </rPr>
          <t xml:space="preserve">= 181927 - Referinta </t>
        </r>
        <r>
          <rPr>
            <sz val="10"/>
            <color indexed="81"/>
            <rFont val="Tahoma"/>
            <family val="2"/>
          </rPr>
          <t xml:space="preserve">* Constanta Km Auto (Responses)
  9/26/2022 7:49:08 AM </t>
        </r>
        <r>
          <rPr>
            <b/>
            <sz val="10"/>
            <color indexed="81"/>
            <rFont val="Tahoma"/>
            <family val="2"/>
          </rPr>
          <t xml:space="preserve">= 181927 - Normal </t>
        </r>
        <r>
          <rPr>
            <sz val="10"/>
            <color indexed="81"/>
            <rFont val="Tahoma"/>
            <family val="2"/>
          </rPr>
          <t xml:space="preserve">* Constanta Km Auto (Responses)
</t>
        </r>
      </text>
    </comment>
    <comment ref="AD63" authorId="0" shapeId="0" xr:uid="{7C7E624B-F870-4E49-80C8-7F3E6E6B04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9/30/2022 3:42:32 PM </t>
        </r>
        <r>
          <rPr>
            <b/>
            <sz val="10"/>
            <color indexed="81"/>
            <rFont val="Tahoma"/>
            <family val="2"/>
          </rPr>
          <t xml:space="preserve">= 183026 - Referinta </t>
        </r>
        <r>
          <rPr>
            <sz val="10"/>
            <color indexed="81"/>
            <rFont val="Tahoma"/>
            <family val="2"/>
          </rPr>
          <t xml:space="preserve">* Constanta Km Auto (Responses)
  10/3/2022 7:38:55 AM </t>
        </r>
        <r>
          <rPr>
            <b/>
            <sz val="10"/>
            <color indexed="81"/>
            <rFont val="Tahoma"/>
            <family val="2"/>
          </rPr>
          <t xml:space="preserve">= 183026 - Normal </t>
        </r>
        <r>
          <rPr>
            <sz val="10"/>
            <color indexed="81"/>
            <rFont val="Tahoma"/>
            <family val="2"/>
          </rPr>
          <t xml:space="preserve">* Constanta Km Auto (Responses)
</t>
        </r>
      </text>
    </comment>
    <comment ref="AD64" authorId="0" shapeId="0" xr:uid="{35A50D8D-5AB9-4A1B-9001-8EC07DDA525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10/3/2022 8:18:51 AM </t>
        </r>
        <r>
          <rPr>
            <b/>
            <sz val="10"/>
            <color indexed="81"/>
            <rFont val="Tahoma"/>
            <family val="2"/>
          </rPr>
          <t xml:space="preserve">= 120337 - Referinta </t>
        </r>
        <r>
          <rPr>
            <sz val="10"/>
            <color indexed="81"/>
            <rFont val="Tahoma"/>
            <family val="2"/>
          </rPr>
          <t xml:space="preserve">* Constanta Km Auto (Responses)
</t>
        </r>
      </text>
    </comment>
    <comment ref="J66" authorId="0" shapeId="0" xr:uid="{78A2AED7-2F86-440B-9383-9571E36D92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3:41:09 PM </t>
        </r>
        <r>
          <rPr>
            <b/>
            <sz val="10"/>
            <color indexed="81"/>
            <rFont val="Tahoma"/>
            <family val="2"/>
          </rPr>
          <t xml:space="preserve">= 70400 - Referinta </t>
        </r>
        <r>
          <rPr>
            <sz val="10"/>
            <color indexed="81"/>
            <rFont val="Tahoma"/>
            <family val="2"/>
          </rPr>
          <t xml:space="preserve">* Constanta Km Auto (Responses)
   9/5/2022 7:41:23 AM </t>
        </r>
        <r>
          <rPr>
            <b/>
            <sz val="10"/>
            <color indexed="81"/>
            <rFont val="Tahoma"/>
            <family val="2"/>
          </rPr>
          <t xml:space="preserve">= 70484 - Normal </t>
        </r>
        <r>
          <rPr>
            <sz val="10"/>
            <color indexed="81"/>
            <rFont val="Tahoma"/>
            <family val="2"/>
          </rPr>
          <t xml:space="preserve">* Constanta Km Auto (Responses)
</t>
        </r>
      </text>
    </comment>
    <comment ref="O66" authorId="0" shapeId="0" xr:uid="{CDC74B80-E6F8-4FC1-B9AB-6B8EE30BD9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3:49:54 PM </t>
        </r>
        <r>
          <rPr>
            <b/>
            <sz val="10"/>
            <color indexed="81"/>
            <rFont val="Tahoma"/>
            <family val="2"/>
          </rPr>
          <t xml:space="preserve">= 71088 - Referinta </t>
        </r>
        <r>
          <rPr>
            <sz val="10"/>
            <color indexed="81"/>
            <rFont val="Tahoma"/>
            <family val="2"/>
          </rPr>
          <t xml:space="preserve">* Constanta Km Auto (Responses)
  9/12/2022 7:45:04 AM </t>
        </r>
        <r>
          <rPr>
            <b/>
            <sz val="10"/>
            <color indexed="81"/>
            <rFont val="Tahoma"/>
            <family val="2"/>
          </rPr>
          <t xml:space="preserve">= 71171 - Normal </t>
        </r>
        <r>
          <rPr>
            <sz val="10"/>
            <color indexed="81"/>
            <rFont val="Tahoma"/>
            <family val="2"/>
          </rPr>
          <t xml:space="preserve">* Constanta Km Auto (Responses)
</t>
        </r>
      </text>
    </comment>
    <comment ref="T66" authorId="0" shapeId="0" xr:uid="{37F00A7F-4077-432D-AC66-BF702BDC8C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3:42:37 PM </t>
        </r>
        <r>
          <rPr>
            <b/>
            <sz val="10"/>
            <color indexed="81"/>
            <rFont val="Tahoma"/>
            <family val="2"/>
          </rPr>
          <t xml:space="preserve">= 71758 - Referinta </t>
        </r>
        <r>
          <rPr>
            <sz val="10"/>
            <color indexed="81"/>
            <rFont val="Tahoma"/>
            <family val="2"/>
          </rPr>
          <t xml:space="preserve">* Constanta Km Auto (Responses)
  9/19/2022 7:35:18 AM </t>
        </r>
        <r>
          <rPr>
            <b/>
            <sz val="10"/>
            <color indexed="81"/>
            <rFont val="Tahoma"/>
            <family val="2"/>
          </rPr>
          <t xml:space="preserve">= 71841 - Normal </t>
        </r>
        <r>
          <rPr>
            <sz val="10"/>
            <color indexed="81"/>
            <rFont val="Tahoma"/>
            <family val="2"/>
          </rPr>
          <t xml:space="preserve">* Constanta Km Auto (Responses)
</t>
        </r>
      </text>
    </comment>
    <comment ref="Y66" authorId="0" shapeId="0" xr:uid="{1ACA95F5-F8FA-47EE-8DED-D5C80828308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9/23/2022 3:43:19 PM </t>
        </r>
        <r>
          <rPr>
            <b/>
            <sz val="10"/>
            <color indexed="81"/>
            <rFont val="Tahoma"/>
            <family val="2"/>
          </rPr>
          <t xml:space="preserve">= 72419 - Referinta </t>
        </r>
        <r>
          <rPr>
            <sz val="10"/>
            <color indexed="81"/>
            <rFont val="Tahoma"/>
            <family val="2"/>
          </rPr>
          <t xml:space="preserve">* Constanta Km Auto (Responses)
  9/26/2022 7:21:06 AM </t>
        </r>
        <r>
          <rPr>
            <b/>
            <sz val="10"/>
            <color indexed="81"/>
            <rFont val="Tahoma"/>
            <family val="2"/>
          </rPr>
          <t xml:space="preserve">= 72501 - Normal </t>
        </r>
        <r>
          <rPr>
            <sz val="10"/>
            <color indexed="81"/>
            <rFont val="Tahoma"/>
            <family val="2"/>
          </rPr>
          <t xml:space="preserve">* Constanta Km Auto (Responses)
</t>
        </r>
      </text>
    </comment>
    <comment ref="AD66" authorId="0" shapeId="0" xr:uid="{4649F3BA-D380-4A6C-AB07-ED5E2DB393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__________________________________________________________________
</t>
        </r>
        <r>
          <rPr>
            <sz val="10"/>
            <color indexed="12"/>
            <rFont val="Tahoma"/>
            <family val="2"/>
          </rPr>
          <t xml:space="preserve">  </t>
        </r>
        <r>
          <rPr>
            <sz val="10"/>
            <color indexed="81"/>
            <rFont val="Tahoma"/>
            <family val="2"/>
          </rPr>
          <t xml:space="preserve">9/30/2022 8:39:22 AM </t>
        </r>
        <r>
          <rPr>
            <b/>
            <sz val="10"/>
            <color indexed="81"/>
            <rFont val="Tahoma"/>
            <family val="2"/>
          </rPr>
          <t xml:space="preserve">= 73128 - Referinta </t>
        </r>
        <r>
          <rPr>
            <sz val="10"/>
            <color indexed="81"/>
            <rFont val="Tahoma"/>
            <family val="2"/>
          </rPr>
          <t xml:space="preserve">* Constanta Km Auto (Responses)
  10/3/2022 7:52:05 AM </t>
        </r>
        <r>
          <rPr>
            <b/>
            <sz val="10"/>
            <color indexed="81"/>
            <rFont val="Tahoma"/>
            <family val="2"/>
          </rPr>
          <t xml:space="preserve">= 73211 - Normal </t>
        </r>
        <r>
          <rPr>
            <sz val="10"/>
            <color indexed="81"/>
            <rFont val="Tahoma"/>
            <family val="2"/>
          </rPr>
          <t xml:space="preserve">* Constanta Km Auto (Responses)
</t>
        </r>
      </text>
    </comment>
    <comment ref="J67" authorId="0" shapeId="0" xr:uid="{DBA457D2-EB2E-4F7C-A3A9-1F2B4A8800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Referinta a fost pusa automat
__________________________________________________________________
</t>
        </r>
        <r>
          <rPr>
            <sz val="10"/>
            <color indexed="12"/>
            <rFont val="Tahoma"/>
            <family val="2"/>
          </rPr>
          <t xml:space="preserve">  </t>
        </r>
        <r>
          <rPr>
            <sz val="10"/>
            <color indexed="81"/>
            <rFont val="Tahoma"/>
            <family val="2"/>
          </rPr>
          <t xml:space="preserve">9/4/2022 12:00:38 PM </t>
        </r>
        <r>
          <rPr>
            <b/>
            <sz val="10"/>
            <color indexed="81"/>
            <rFont val="Tahoma"/>
            <family val="2"/>
          </rPr>
          <t xml:space="preserve">= 316786 - Referinta </t>
        </r>
        <r>
          <rPr>
            <sz val="10"/>
            <color indexed="81"/>
            <rFont val="Tahoma"/>
            <family val="2"/>
          </rPr>
          <t xml:space="preserve">* Constanta Km Auto (Responses)
   9/5/2022 7:43:15 AM </t>
        </r>
        <r>
          <rPr>
            <b/>
            <sz val="10"/>
            <color indexed="81"/>
            <rFont val="Tahoma"/>
            <family val="2"/>
          </rPr>
          <t xml:space="preserve">= 316820 - Normal </t>
        </r>
        <r>
          <rPr>
            <sz val="10"/>
            <color indexed="81"/>
            <rFont val="Tahoma"/>
            <family val="2"/>
          </rPr>
          <t xml:space="preserve">* Constanta Km Auto (Responses)
</t>
        </r>
      </text>
    </comment>
    <comment ref="O67" authorId="0" shapeId="0" xr:uid="{5AD0F094-BA8E-4307-A72F-5E3626D27A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 9/9/2022 5:39:00 PM </t>
        </r>
        <r>
          <rPr>
            <b/>
            <sz val="10"/>
            <color indexed="81"/>
            <rFont val="Tahoma"/>
            <family val="2"/>
          </rPr>
          <t xml:space="preserve">= 317099 - Referinta </t>
        </r>
        <r>
          <rPr>
            <sz val="10"/>
            <color indexed="81"/>
            <rFont val="Tahoma"/>
            <family val="2"/>
          </rPr>
          <t xml:space="preserve">* Constanta Km Auto (Responses)
  9/12/2022 7:45:13 AM </t>
        </r>
        <r>
          <rPr>
            <b/>
            <sz val="10"/>
            <color indexed="81"/>
            <rFont val="Tahoma"/>
            <family val="2"/>
          </rPr>
          <t xml:space="preserve">= 317157 - Normal </t>
        </r>
        <r>
          <rPr>
            <sz val="10"/>
            <color indexed="81"/>
            <rFont val="Tahoma"/>
            <family val="2"/>
          </rPr>
          <t xml:space="preserve">* Constanta Km Auto (Responses)
</t>
        </r>
      </text>
    </comment>
    <comment ref="T67" authorId="0" shapeId="0" xr:uid="{28110496-B7FC-4CC7-869C-E45CC86FF55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9/17/2022 3:06:20 AM </t>
        </r>
        <r>
          <rPr>
            <b/>
            <sz val="10"/>
            <color indexed="81"/>
            <rFont val="Tahoma"/>
            <family val="2"/>
          </rPr>
          <t xml:space="preserve">= 317475 - Referinta </t>
        </r>
        <r>
          <rPr>
            <sz val="10"/>
            <color indexed="81"/>
            <rFont val="Tahoma"/>
            <family val="2"/>
          </rPr>
          <t xml:space="preserve">* Constanta Km Auto (Responses)
  9/19/2022 8:25:14 AM </t>
        </r>
        <r>
          <rPr>
            <b/>
            <sz val="10"/>
            <color indexed="81"/>
            <rFont val="Tahoma"/>
            <family val="2"/>
          </rPr>
          <t xml:space="preserve">= 317478 - Normal </t>
        </r>
        <r>
          <rPr>
            <sz val="10"/>
            <color indexed="81"/>
            <rFont val="Tahoma"/>
            <family val="2"/>
          </rPr>
          <t xml:space="preserve">* Constanta Km Auto (Responses)
</t>
        </r>
      </text>
    </comment>
    <comment ref="Y67" authorId="0" shapeId="0" xr:uid="{2A746968-994E-4C9F-BA39-762A4609A0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9/23/2022 5:37:30 PM </t>
        </r>
        <r>
          <rPr>
            <b/>
            <sz val="10"/>
            <color indexed="81"/>
            <rFont val="Tahoma"/>
            <family val="2"/>
          </rPr>
          <t xml:space="preserve">= 317839 - Referinta </t>
        </r>
        <r>
          <rPr>
            <sz val="10"/>
            <color indexed="81"/>
            <rFont val="Tahoma"/>
            <family val="2"/>
          </rPr>
          <t xml:space="preserve">* Constanta Km Auto (Responses)
  9/26/2022 8:08:08 AM </t>
        </r>
        <r>
          <rPr>
            <b/>
            <sz val="10"/>
            <color indexed="81"/>
            <rFont val="Tahoma"/>
            <family val="2"/>
          </rPr>
          <t xml:space="preserve">= 317854 - Normal </t>
        </r>
        <r>
          <rPr>
            <sz val="10"/>
            <color indexed="81"/>
            <rFont val="Tahoma"/>
            <family val="2"/>
          </rPr>
          <t xml:space="preserve">* Constanta Km Auto (Responses)
</t>
        </r>
      </text>
    </comment>
    <comment ref="AD67" authorId="0" shapeId="0" xr:uid="{1B368BCE-2B1E-4A97-ACB5-D45B65A66A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10/1/2022 9:02:00 AM </t>
        </r>
        <r>
          <rPr>
            <b/>
            <sz val="10"/>
            <color indexed="81"/>
            <rFont val="Tahoma"/>
            <family val="2"/>
          </rPr>
          <t xml:space="preserve">= 318073 - Referinta </t>
        </r>
        <r>
          <rPr>
            <sz val="10"/>
            <color indexed="81"/>
            <rFont val="Tahoma"/>
            <family val="2"/>
          </rPr>
          <t xml:space="preserve">* Constanta Km Auto (Responses)
  10/3/2022 7:39:53 AM </t>
        </r>
        <r>
          <rPr>
            <b/>
            <sz val="10"/>
            <color indexed="81"/>
            <rFont val="Tahoma"/>
            <family val="2"/>
          </rPr>
          <t xml:space="preserve">= 318106 - Normal </t>
        </r>
        <r>
          <rPr>
            <sz val="10"/>
            <color indexed="81"/>
            <rFont val="Tahoma"/>
            <family val="2"/>
          </rPr>
          <t xml:space="preserve">* Constanta Km Auto (Responses)
</t>
        </r>
      </text>
    </comment>
    <comment ref="J68" authorId="0" shapeId="0" xr:uid="{CAEA5A3C-26FC-4B3B-A95D-F13C414D4F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Marinescu Ionut Referinta a fost pusa automat
__________________________________________________________________
</t>
        </r>
        <r>
          <rPr>
            <sz val="10"/>
            <color indexed="12"/>
            <rFont val="Tahoma"/>
            <family val="2"/>
          </rPr>
          <t xml:space="preserve">  </t>
        </r>
        <r>
          <rPr>
            <sz val="10"/>
            <color indexed="81"/>
            <rFont val="Tahoma"/>
            <family val="2"/>
          </rPr>
          <t xml:space="preserve"> 9/4/2022 6:54:19 PM </t>
        </r>
        <r>
          <rPr>
            <b/>
            <sz val="10"/>
            <color indexed="81"/>
            <rFont val="Tahoma"/>
            <family val="2"/>
          </rPr>
          <t xml:space="preserve">= 119035 - Referinta </t>
        </r>
        <r>
          <rPr>
            <sz val="10"/>
            <color indexed="81"/>
            <rFont val="Tahoma"/>
            <family val="2"/>
          </rPr>
          <t xml:space="preserve">* Constanta Km Auto (Responses)
</t>
        </r>
      </text>
    </comment>
    <comment ref="J70" authorId="0" shapeId="0" xr:uid="{D2BD3C13-EC3A-4358-A812-6B3BCB698C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5:40:13 PM </t>
        </r>
        <r>
          <rPr>
            <b/>
            <sz val="10"/>
            <color indexed="81"/>
            <rFont val="Tahoma"/>
            <family val="2"/>
          </rPr>
          <t xml:space="preserve">= 5579 - Referinta </t>
        </r>
        <r>
          <rPr>
            <sz val="10"/>
            <color indexed="81"/>
            <rFont val="Tahoma"/>
            <family val="2"/>
          </rPr>
          <t xml:space="preserve">* Constanta Km Auto (Responses)
   9/5/2022 7:57:54 AM </t>
        </r>
        <r>
          <rPr>
            <b/>
            <sz val="10"/>
            <color indexed="81"/>
            <rFont val="Tahoma"/>
            <family val="2"/>
          </rPr>
          <t xml:space="preserve">= 5609 - Normal </t>
        </r>
        <r>
          <rPr>
            <sz val="10"/>
            <color indexed="81"/>
            <rFont val="Tahoma"/>
            <family val="2"/>
          </rPr>
          <t xml:space="preserve">* Constanta Km Auto (Responses)
</t>
        </r>
      </text>
    </comment>
    <comment ref="O70" authorId="0" shapeId="0" xr:uid="{AEF2C966-F23D-4B9F-808F-15E9FA14D6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 9/9/2022 4:19:02 PM </t>
        </r>
        <r>
          <rPr>
            <b/>
            <sz val="10"/>
            <color indexed="81"/>
            <rFont val="Tahoma"/>
            <family val="2"/>
          </rPr>
          <t xml:space="preserve">= 5713 - Referinta </t>
        </r>
        <r>
          <rPr>
            <sz val="10"/>
            <color indexed="81"/>
            <rFont val="Tahoma"/>
            <family val="2"/>
          </rPr>
          <t xml:space="preserve">* Constanta Km Auto (Responses)
  9/12/2022 8:09:12 AM </t>
        </r>
        <r>
          <rPr>
            <b/>
            <sz val="10"/>
            <color indexed="81"/>
            <rFont val="Tahoma"/>
            <family val="2"/>
          </rPr>
          <t xml:space="preserve">= 5761 - Normal </t>
        </r>
        <r>
          <rPr>
            <sz val="10"/>
            <color indexed="81"/>
            <rFont val="Tahoma"/>
            <family val="2"/>
          </rPr>
          <t xml:space="preserve">* Constanta Km Auto (Responses)
</t>
        </r>
      </text>
    </comment>
    <comment ref="T70" authorId="0" shapeId="0" xr:uid="{5B7B5BB8-F64E-4162-9E9C-B0A7014A08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9/16/2022 4:09:23 PM </t>
        </r>
        <r>
          <rPr>
            <b/>
            <sz val="10"/>
            <color indexed="81"/>
            <rFont val="Tahoma"/>
            <family val="2"/>
          </rPr>
          <t xml:space="preserve">= 5821 - Referinta </t>
        </r>
        <r>
          <rPr>
            <sz val="10"/>
            <color indexed="81"/>
            <rFont val="Tahoma"/>
            <family val="2"/>
          </rPr>
          <t xml:space="preserve">* Constanta Km Auto (Responses)
  9/19/2022 8:00:27 AM </t>
        </r>
        <r>
          <rPr>
            <b/>
            <sz val="10"/>
            <color indexed="81"/>
            <rFont val="Tahoma"/>
            <family val="2"/>
          </rPr>
          <t xml:space="preserve">= 5861 - Normal </t>
        </r>
        <r>
          <rPr>
            <sz val="10"/>
            <color indexed="81"/>
            <rFont val="Tahoma"/>
            <family val="2"/>
          </rPr>
          <t xml:space="preserve">* Constanta Km Auto (Responses)
</t>
        </r>
      </text>
    </comment>
    <comment ref="Y70" authorId="0" shapeId="0" xr:uid="{28F3EC1E-8D77-43CC-AC6B-A88DD56771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9/23/2022 4:12:32 PM </t>
        </r>
        <r>
          <rPr>
            <b/>
            <sz val="10"/>
            <color indexed="81"/>
            <rFont val="Tahoma"/>
            <family val="2"/>
          </rPr>
          <t xml:space="preserve">= 5905 - Referinta </t>
        </r>
        <r>
          <rPr>
            <sz val="10"/>
            <color indexed="81"/>
            <rFont val="Tahoma"/>
            <family val="2"/>
          </rPr>
          <t xml:space="preserve">* Constanta Km Auto (Responses)
  9/26/2022 8:01:57 AM </t>
        </r>
        <r>
          <rPr>
            <b/>
            <sz val="10"/>
            <color indexed="81"/>
            <rFont val="Tahoma"/>
            <family val="2"/>
          </rPr>
          <t xml:space="preserve">= 6419 - Normal </t>
        </r>
        <r>
          <rPr>
            <sz val="10"/>
            <color indexed="81"/>
            <rFont val="Tahoma"/>
            <family val="2"/>
          </rPr>
          <t xml:space="preserve">* Constanta Km Auto (Responses)
</t>
        </r>
      </text>
    </comment>
    <comment ref="AD70" authorId="0" shapeId="0" xr:uid="{23410667-3E88-48C5-9E5F-777E76D20A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9/30/2022 4:11:54 PM </t>
        </r>
        <r>
          <rPr>
            <b/>
            <sz val="10"/>
            <color indexed="81"/>
            <rFont val="Tahoma"/>
            <family val="2"/>
          </rPr>
          <t xml:space="preserve">= 6512 - Referinta </t>
        </r>
        <r>
          <rPr>
            <sz val="10"/>
            <color indexed="81"/>
            <rFont val="Tahoma"/>
            <family val="2"/>
          </rPr>
          <t xml:space="preserve">* Constanta Km Auto (Responses)
  10/3/2022 8:03:13 AM </t>
        </r>
        <r>
          <rPr>
            <b/>
            <sz val="10"/>
            <color indexed="81"/>
            <rFont val="Tahoma"/>
            <family val="2"/>
          </rPr>
          <t xml:space="preserve">= 6551 - Normal </t>
        </r>
        <r>
          <rPr>
            <sz val="10"/>
            <color indexed="81"/>
            <rFont val="Tahoma"/>
            <family val="2"/>
          </rPr>
          <t xml:space="preserve">* Constanta Km Auto (Responses)
</t>
        </r>
      </text>
    </comment>
    <comment ref="J71" authorId="0" shapeId="0" xr:uid="{3482353D-C0AB-42EC-AFBD-70EEF8316C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9/5/2022 7:40:18 AM </t>
        </r>
        <r>
          <rPr>
            <b/>
            <sz val="10"/>
            <color indexed="81"/>
            <rFont val="Tahoma"/>
            <family val="2"/>
          </rPr>
          <t xml:space="preserve">= 119035 - Referinta </t>
        </r>
        <r>
          <rPr>
            <sz val="10"/>
            <color indexed="81"/>
            <rFont val="Tahoma"/>
            <family val="2"/>
          </rPr>
          <t xml:space="preserve">* Constanta Km Auto (Responses)
</t>
        </r>
      </text>
    </comment>
    <comment ref="O71" authorId="0" shapeId="0" xr:uid="{8751BE72-928B-4BC4-B6F5-84C3AB8EC2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119534 - Referinta </t>
        </r>
        <r>
          <rPr>
            <sz val="10"/>
            <color indexed="81"/>
            <rFont val="Tahoma"/>
            <family val="2"/>
          </rPr>
          <t xml:space="preserve">* Constanta Km Auto (Responses)
  9/12/2022 8:24:46 AM </t>
        </r>
        <r>
          <rPr>
            <b/>
            <sz val="10"/>
            <color indexed="81"/>
            <rFont val="Tahoma"/>
            <family val="2"/>
          </rPr>
          <t xml:space="preserve">= 119534 - Normal </t>
        </r>
        <r>
          <rPr>
            <sz val="10"/>
            <color indexed="81"/>
            <rFont val="Tahoma"/>
            <family val="2"/>
          </rPr>
          <t xml:space="preserve">* Constanta Km Auto (Responses)
</t>
        </r>
      </text>
    </comment>
    <comment ref="T71" authorId="0" shapeId="0" xr:uid="{8232FDBC-355E-4D28-AAE9-D01F3F10BD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9/16/2022 3:56:40 PM </t>
        </r>
        <r>
          <rPr>
            <b/>
            <sz val="10"/>
            <color indexed="81"/>
            <rFont val="Tahoma"/>
            <family val="2"/>
          </rPr>
          <t xml:space="preserve">= 120095 - Referinta </t>
        </r>
        <r>
          <rPr>
            <sz val="10"/>
            <color indexed="81"/>
            <rFont val="Tahoma"/>
            <family val="2"/>
          </rPr>
          <t xml:space="preserve">* Constanta Km Auto (Responses)
  9/19/2022 8:48:50 AM </t>
        </r>
        <r>
          <rPr>
            <b/>
            <sz val="10"/>
            <color indexed="81"/>
            <rFont val="Tahoma"/>
            <family val="2"/>
          </rPr>
          <t xml:space="preserve">= 120095 - Normal </t>
        </r>
        <r>
          <rPr>
            <sz val="10"/>
            <color indexed="81"/>
            <rFont val="Tahoma"/>
            <family val="2"/>
          </rPr>
          <t xml:space="preserve">* Constanta Km Auto (Responses)
</t>
        </r>
      </text>
    </comment>
    <comment ref="Y71" authorId="0" shapeId="0" xr:uid="{EC340258-CF3D-4161-A259-6EA14A4113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9/23/2022 3:45:12 PM </t>
        </r>
        <r>
          <rPr>
            <b/>
            <sz val="10"/>
            <color indexed="81"/>
            <rFont val="Tahoma"/>
            <family val="2"/>
          </rPr>
          <t xml:space="preserve">= 120160 - Referinta </t>
        </r>
        <r>
          <rPr>
            <sz val="10"/>
            <color indexed="81"/>
            <rFont val="Tahoma"/>
            <family val="2"/>
          </rPr>
          <t xml:space="preserve">* Constanta Km Auto (Responses)
  9/26/2022 8:18:10 AM </t>
        </r>
        <r>
          <rPr>
            <b/>
            <sz val="10"/>
            <color indexed="81"/>
            <rFont val="Tahoma"/>
            <family val="2"/>
          </rPr>
          <t xml:space="preserve">= 120160 - Normal </t>
        </r>
        <r>
          <rPr>
            <sz val="10"/>
            <color indexed="81"/>
            <rFont val="Tahoma"/>
            <family val="2"/>
          </rPr>
          <t xml:space="preserve">* Constanta Km Auto (Responses)
</t>
        </r>
      </text>
    </comment>
    <comment ref="AD71" authorId="0" shapeId="0" xr:uid="{F4E380AF-A53F-4F74-AA12-03B59CDC3E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9/30/2022 3:45:32 PM </t>
        </r>
        <r>
          <rPr>
            <b/>
            <sz val="10"/>
            <color indexed="81"/>
            <rFont val="Tahoma"/>
            <family val="2"/>
          </rPr>
          <t xml:space="preserve">= 120337 - Referinta </t>
        </r>
        <r>
          <rPr>
            <sz val="10"/>
            <color indexed="81"/>
            <rFont val="Tahoma"/>
            <family val="2"/>
          </rPr>
          <t xml:space="preserve">* Constanta Km Auto (Responses)
</t>
        </r>
      </text>
    </comment>
    <comment ref="J72" authorId="0" shapeId="0" xr:uid="{3D5C6D9A-604C-41FB-8FB2-67948EA9AE6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9/2/2022 4:01:41 PM </t>
        </r>
        <r>
          <rPr>
            <b/>
            <sz val="10"/>
            <color indexed="81"/>
            <rFont val="Tahoma"/>
            <family val="2"/>
          </rPr>
          <t xml:space="preserve">= 31106 - Referinta </t>
        </r>
        <r>
          <rPr>
            <sz val="10"/>
            <color indexed="81"/>
            <rFont val="Tahoma"/>
            <family val="2"/>
          </rPr>
          <t xml:space="preserve">* Constanta Km Auto (Responses)
   9/5/2022 7:31:34 AM </t>
        </r>
        <r>
          <rPr>
            <b/>
            <sz val="10"/>
            <color indexed="81"/>
            <rFont val="Tahoma"/>
            <family val="2"/>
          </rPr>
          <t xml:space="preserve">= 31106 - Normal </t>
        </r>
        <r>
          <rPr>
            <sz val="10"/>
            <color indexed="81"/>
            <rFont val="Tahoma"/>
            <family val="2"/>
          </rPr>
          <t xml:space="preserve">* Constanta Km Auto (Responses)
</t>
        </r>
      </text>
    </comment>
    <comment ref="O72" authorId="0" shapeId="0" xr:uid="{08CAD7A6-EB3A-4B48-9329-325F77F0BD6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3:48:30 PM </t>
        </r>
        <r>
          <rPr>
            <b/>
            <sz val="10"/>
            <color indexed="81"/>
            <rFont val="Tahoma"/>
            <family val="2"/>
          </rPr>
          <t xml:space="preserve">= 31955 - Referinta </t>
        </r>
        <r>
          <rPr>
            <sz val="10"/>
            <color indexed="81"/>
            <rFont val="Tahoma"/>
            <family val="2"/>
          </rPr>
          <t xml:space="preserve">* Constanta Km Auto (Responses)
  9/12/2022 7:33:49 AM </t>
        </r>
        <r>
          <rPr>
            <b/>
            <sz val="10"/>
            <color indexed="81"/>
            <rFont val="Tahoma"/>
            <family val="2"/>
          </rPr>
          <t xml:space="preserve">= 31955 - Normal </t>
        </r>
        <r>
          <rPr>
            <sz val="10"/>
            <color indexed="81"/>
            <rFont val="Tahoma"/>
            <family val="2"/>
          </rPr>
          <t xml:space="preserve">* Constanta Km Auto (Responses)
</t>
        </r>
      </text>
    </comment>
    <comment ref="T72" authorId="0" shapeId="0" xr:uid="{71CF7BC6-45BA-4902-AA89-59CA7A2488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9/16/2022 3:55:17 PM </t>
        </r>
        <r>
          <rPr>
            <b/>
            <sz val="10"/>
            <color indexed="81"/>
            <rFont val="Tahoma"/>
            <family val="2"/>
          </rPr>
          <t xml:space="preserve">= 32712 - Referinta </t>
        </r>
        <r>
          <rPr>
            <sz val="10"/>
            <color indexed="81"/>
            <rFont val="Tahoma"/>
            <family val="2"/>
          </rPr>
          <t xml:space="preserve">* Constanta Km Auto (Responses)
  9/19/2022 7:35:03 AM </t>
        </r>
        <r>
          <rPr>
            <b/>
            <sz val="10"/>
            <color indexed="81"/>
            <rFont val="Tahoma"/>
            <family val="2"/>
          </rPr>
          <t xml:space="preserve">= 32712 - Normal </t>
        </r>
        <r>
          <rPr>
            <sz val="10"/>
            <color indexed="81"/>
            <rFont val="Tahoma"/>
            <family val="2"/>
          </rPr>
          <t xml:space="preserve">* Constanta Km Auto (Responses)
</t>
        </r>
      </text>
    </comment>
    <comment ref="Y72" authorId="0" shapeId="0" xr:uid="{D14D7064-AAD6-44B1-A8A6-78FBEDCEE6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9/23/2022 3:56:04 PM </t>
        </r>
        <r>
          <rPr>
            <b/>
            <sz val="10"/>
            <color indexed="81"/>
            <rFont val="Tahoma"/>
            <family val="2"/>
          </rPr>
          <t xml:space="preserve">= 33501 - Referinta </t>
        </r>
        <r>
          <rPr>
            <sz val="10"/>
            <color indexed="81"/>
            <rFont val="Tahoma"/>
            <family val="2"/>
          </rPr>
          <t xml:space="preserve">* Constanta Km Auto (Responses)
  9/26/2022 7:41:03 AM </t>
        </r>
        <r>
          <rPr>
            <b/>
            <sz val="10"/>
            <color indexed="81"/>
            <rFont val="Tahoma"/>
            <family val="2"/>
          </rPr>
          <t xml:space="preserve">= 33501 - Normal </t>
        </r>
        <r>
          <rPr>
            <sz val="10"/>
            <color indexed="81"/>
            <rFont val="Tahoma"/>
            <family val="2"/>
          </rPr>
          <t xml:space="preserve">* Constanta Km Auto (Responses)
</t>
        </r>
      </text>
    </comment>
    <comment ref="AD72" authorId="0" shapeId="0" xr:uid="{0CA7F946-ACD7-4502-A713-19261CCFBB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9/30/2022 3:48:02 PM </t>
        </r>
        <r>
          <rPr>
            <b/>
            <sz val="10"/>
            <color indexed="81"/>
            <rFont val="Tahoma"/>
            <family val="2"/>
          </rPr>
          <t xml:space="preserve">= 34289 - Referinta </t>
        </r>
        <r>
          <rPr>
            <sz val="10"/>
            <color indexed="81"/>
            <rFont val="Tahoma"/>
            <family val="2"/>
          </rPr>
          <t xml:space="preserve">* Constanta Km Auto (Responses)
  10/3/2022 8:11:25 AM </t>
        </r>
        <r>
          <rPr>
            <b/>
            <sz val="10"/>
            <color indexed="81"/>
            <rFont val="Tahoma"/>
            <family val="2"/>
          </rPr>
          <t xml:space="preserve">= 34289 - Normal </t>
        </r>
        <r>
          <rPr>
            <sz val="10"/>
            <color indexed="81"/>
            <rFont val="Tahoma"/>
            <family val="2"/>
          </rPr>
          <t xml:space="preserve">* Constanta Km Auto (Responses)
</t>
        </r>
      </text>
    </comment>
    <comment ref="J74" authorId="0" shapeId="0" xr:uid="{982D8675-0FC3-41FB-8A97-3DE11C3B70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Referinta a fost pusa automat
__________________________________________________________________
</t>
        </r>
        <r>
          <rPr>
            <sz val="10"/>
            <color indexed="12"/>
            <rFont val="Tahoma"/>
            <family val="2"/>
          </rPr>
          <t xml:space="preserve">  </t>
        </r>
        <r>
          <rPr>
            <sz val="10"/>
            <color indexed="81"/>
            <rFont val="Tahoma"/>
            <family val="2"/>
          </rPr>
          <t xml:space="preserve"> 9/5/2022 7:35:29 AM </t>
        </r>
        <r>
          <rPr>
            <b/>
            <sz val="10"/>
            <color indexed="81"/>
            <rFont val="Tahoma"/>
            <family val="2"/>
          </rPr>
          <t xml:space="preserve">= 17439 - Referinta </t>
        </r>
        <r>
          <rPr>
            <sz val="10"/>
            <color indexed="81"/>
            <rFont val="Tahoma"/>
            <family val="2"/>
          </rPr>
          <t xml:space="preserve">* Constanta Km Auto (Responses)
   9/5/2022 7:45:40 AM </t>
        </r>
        <r>
          <rPr>
            <b/>
            <sz val="10"/>
            <color indexed="81"/>
            <rFont val="Tahoma"/>
            <family val="2"/>
          </rPr>
          <t xml:space="preserve">= 17446 - Normal </t>
        </r>
        <r>
          <rPr>
            <sz val="10"/>
            <color indexed="81"/>
            <rFont val="Tahoma"/>
            <family val="2"/>
          </rPr>
          <t xml:space="preserve">* Constanta Km Auto (Responses)
   9/7/2022 7:06:59 AM </t>
        </r>
        <r>
          <rPr>
            <b/>
            <sz val="10"/>
            <color indexed="81"/>
            <rFont val="Tahoma"/>
            <family val="2"/>
          </rPr>
          <t xml:space="preserve">= 17765 - Referinta </t>
        </r>
        <r>
          <rPr>
            <sz val="10"/>
            <color indexed="81"/>
            <rFont val="Tahoma"/>
            <family val="2"/>
          </rPr>
          <t xml:space="preserve">* Constanta Km Auto (Responses)
</t>
        </r>
      </text>
    </comment>
    <comment ref="O74" authorId="0" shapeId="0" xr:uid="{7E385F13-1A10-4CB5-9932-FE335935DBF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__________________________________________________________________
</t>
        </r>
        <r>
          <rPr>
            <sz val="10"/>
            <color indexed="12"/>
            <rFont val="Tahoma"/>
            <family val="2"/>
          </rPr>
          <t xml:space="preserve">  </t>
        </r>
        <r>
          <rPr>
            <sz val="10"/>
            <color indexed="81"/>
            <rFont val="Tahoma"/>
            <family val="2"/>
          </rPr>
          <t xml:space="preserve"> 9/9/2022 7:06:59 AM </t>
        </r>
        <r>
          <rPr>
            <b/>
            <sz val="10"/>
            <color indexed="81"/>
            <rFont val="Tahoma"/>
            <family val="2"/>
          </rPr>
          <t xml:space="preserve">= 17765 - Referinta </t>
        </r>
        <r>
          <rPr>
            <sz val="10"/>
            <color indexed="81"/>
            <rFont val="Tahoma"/>
            <family val="2"/>
          </rPr>
          <t xml:space="preserve">* Constanta Km Auto (Responses)
  9/12/2022 7:22:23 AM </t>
        </r>
        <r>
          <rPr>
            <b/>
            <sz val="10"/>
            <color indexed="81"/>
            <rFont val="Tahoma"/>
            <family val="2"/>
          </rPr>
          <t xml:space="preserve">= 17981 - Normal </t>
        </r>
        <r>
          <rPr>
            <sz val="10"/>
            <color indexed="81"/>
            <rFont val="Tahoma"/>
            <family val="2"/>
          </rPr>
          <t xml:space="preserve">* Constanta Km Auto (Responses)
</t>
        </r>
      </text>
    </comment>
    <comment ref="T74" authorId="0" shapeId="0" xr:uid="{2A57C30F-20D8-4841-92E7-A4515B3F7D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Referinta a fost pusa automat
__________________________________________________________________
</t>
        </r>
        <r>
          <rPr>
            <sz val="10"/>
            <color indexed="12"/>
            <rFont val="Tahoma"/>
            <family val="2"/>
          </rPr>
          <t xml:space="preserve">  </t>
        </r>
        <r>
          <rPr>
            <sz val="10"/>
            <color indexed="81"/>
            <rFont val="Tahoma"/>
            <family val="2"/>
          </rPr>
          <t xml:space="preserve">9/16/2022 5:22:00 AM </t>
        </r>
        <r>
          <rPr>
            <b/>
            <sz val="10"/>
            <color indexed="81"/>
            <rFont val="Tahoma"/>
            <family val="2"/>
          </rPr>
          <t xml:space="preserve">= 18621 - Referinta </t>
        </r>
        <r>
          <rPr>
            <sz val="10"/>
            <color indexed="81"/>
            <rFont val="Tahoma"/>
            <family val="2"/>
          </rPr>
          <t xml:space="preserve">* Constanta Km Auto (Responses)
  9/19/2022 7:11:00 AM </t>
        </r>
        <r>
          <rPr>
            <b/>
            <sz val="10"/>
            <color indexed="81"/>
            <rFont val="Tahoma"/>
            <family val="2"/>
          </rPr>
          <t xml:space="preserve">= 18693 - Normal </t>
        </r>
        <r>
          <rPr>
            <sz val="10"/>
            <color indexed="81"/>
            <rFont val="Tahoma"/>
            <family val="2"/>
          </rPr>
          <t xml:space="preserve">* Constanta Km Auto (Responses)
</t>
        </r>
      </text>
    </comment>
    <comment ref="Y74" authorId="0" shapeId="0" xr:uid="{88FC2F62-4910-4F2D-813C-274DA32077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Referinta a fost pusa automat
__________________________________________________________________
</t>
        </r>
        <r>
          <rPr>
            <sz val="10"/>
            <color indexed="12"/>
            <rFont val="Tahoma"/>
            <family val="2"/>
          </rPr>
          <t xml:space="preserve">  </t>
        </r>
        <r>
          <rPr>
            <sz val="10"/>
            <color indexed="81"/>
            <rFont val="Tahoma"/>
            <family val="2"/>
          </rPr>
          <t xml:space="preserve">9/25/2022 9:40:39 AM </t>
        </r>
        <r>
          <rPr>
            <b/>
            <sz val="10"/>
            <color indexed="81"/>
            <rFont val="Tahoma"/>
            <family val="2"/>
          </rPr>
          <t xml:space="preserve">= 19540 - Referinta </t>
        </r>
        <r>
          <rPr>
            <sz val="10"/>
            <color indexed="81"/>
            <rFont val="Tahoma"/>
            <family val="2"/>
          </rPr>
          <t xml:space="preserve">* Constanta Km Auto (Responses)
  9/26/2022 1:43:54 PM </t>
        </r>
        <r>
          <rPr>
            <b/>
            <sz val="10"/>
            <color indexed="81"/>
            <rFont val="Tahoma"/>
            <family val="2"/>
          </rPr>
          <t xml:space="preserve">= 19701 - Normal </t>
        </r>
        <r>
          <rPr>
            <sz val="10"/>
            <color indexed="81"/>
            <rFont val="Tahoma"/>
            <family val="2"/>
          </rPr>
          <t xml:space="preserve">* Constanta Km Auto (Responses)
</t>
        </r>
      </text>
    </comment>
    <comment ref="AD74" authorId="0" shapeId="0" xr:uid="{D92A0C85-6D6D-40F9-8AF2-095EF273E4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__________________________________________________________________
</t>
        </r>
        <r>
          <rPr>
            <sz val="10"/>
            <color indexed="12"/>
            <rFont val="Tahoma"/>
            <family val="2"/>
          </rPr>
          <t xml:space="preserve">  </t>
        </r>
        <r>
          <rPr>
            <sz val="10"/>
            <color indexed="81"/>
            <rFont val="Tahoma"/>
            <family val="2"/>
          </rPr>
          <t xml:space="preserve">9/30/2022 5:22:00 AM </t>
        </r>
        <r>
          <rPr>
            <b/>
            <sz val="10"/>
            <color indexed="81"/>
            <rFont val="Tahoma"/>
            <family val="2"/>
          </rPr>
          <t xml:space="preserve">= 20704 - Referinta </t>
        </r>
        <r>
          <rPr>
            <sz val="10"/>
            <color indexed="81"/>
            <rFont val="Tahoma"/>
            <family val="2"/>
          </rPr>
          <t xml:space="preserve">* Constanta Km Auto (Responses)
  10/3/2022 7:16:57 AM </t>
        </r>
        <r>
          <rPr>
            <b/>
            <sz val="10"/>
            <color indexed="81"/>
            <rFont val="Tahoma"/>
            <family val="2"/>
          </rPr>
          <t xml:space="preserve">= 20866 - Normal </t>
        </r>
        <r>
          <rPr>
            <sz val="10"/>
            <color indexed="81"/>
            <rFont val="Tahoma"/>
            <family val="2"/>
          </rPr>
          <t xml:space="preserve">* Constanta Km Auto (Responses)
</t>
        </r>
      </text>
    </comment>
    <comment ref="J75" authorId="0" shapeId="0" xr:uid="{90FB36A0-E933-4E8D-B62A-BF1CCED18A6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 9/3/2022 9:11:50 AM </t>
        </r>
        <r>
          <rPr>
            <b/>
            <sz val="10"/>
            <color indexed="81"/>
            <rFont val="Tahoma"/>
            <family val="2"/>
          </rPr>
          <t xml:space="preserve">= 54337 - Referinta </t>
        </r>
        <r>
          <rPr>
            <sz val="10"/>
            <color indexed="81"/>
            <rFont val="Tahoma"/>
            <family val="2"/>
          </rPr>
          <t xml:space="preserve">* Constanta Km Auto (Responses)
   9/5/2022 8:28:24 AM </t>
        </r>
        <r>
          <rPr>
            <b/>
            <sz val="10"/>
            <color indexed="81"/>
            <rFont val="Tahoma"/>
            <family val="2"/>
          </rPr>
          <t xml:space="preserve">= 54339 - Normal </t>
        </r>
        <r>
          <rPr>
            <sz val="10"/>
            <color indexed="81"/>
            <rFont val="Tahoma"/>
            <family val="2"/>
          </rPr>
          <t xml:space="preserve">* Constanta Km Auto (Responses)
   9/6/2022 5:24:50 PM </t>
        </r>
        <r>
          <rPr>
            <b/>
            <sz val="10"/>
            <color indexed="81"/>
            <rFont val="Tahoma"/>
            <family val="2"/>
          </rPr>
          <t xml:space="preserve">= 54582 - Concediu </t>
        </r>
        <r>
          <rPr>
            <sz val="10"/>
            <color indexed="81"/>
            <rFont val="Tahoma"/>
            <family val="2"/>
          </rPr>
          <t xml:space="preserve">* Constanta Km Auto (Responses)
</t>
        </r>
      </text>
    </comment>
    <comment ref="O75" authorId="0" shapeId="0" xr:uid="{117E8753-B403-4162-9DDA-FD96522E3D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9/12/2022 7:46:19 AM </t>
        </r>
        <r>
          <rPr>
            <b/>
            <sz val="10"/>
            <color indexed="81"/>
            <rFont val="Tahoma"/>
            <family val="2"/>
          </rPr>
          <t xml:space="preserve">= 54588 - Referinta </t>
        </r>
        <r>
          <rPr>
            <sz val="10"/>
            <color indexed="81"/>
            <rFont val="Tahoma"/>
            <family val="2"/>
          </rPr>
          <t xml:space="preserve">* Constanta Km Auto (Responses)
</t>
        </r>
      </text>
    </comment>
    <comment ref="T75" authorId="0" shapeId="0" xr:uid="{F07F4FA6-2609-456B-A392-05F81FD8F3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9/16/2022 5:13:57 PM </t>
        </r>
        <r>
          <rPr>
            <b/>
            <sz val="10"/>
            <color indexed="81"/>
            <rFont val="Tahoma"/>
            <family val="2"/>
          </rPr>
          <t xml:space="preserve">= 55187 - Referinta </t>
        </r>
        <r>
          <rPr>
            <sz val="10"/>
            <color indexed="81"/>
            <rFont val="Tahoma"/>
            <family val="2"/>
          </rPr>
          <t xml:space="preserve">* Constanta Km Auto (Responses)
  9/19/2022 7:46:30 AM </t>
        </r>
        <r>
          <rPr>
            <b/>
            <sz val="10"/>
            <color indexed="81"/>
            <rFont val="Tahoma"/>
            <family val="2"/>
          </rPr>
          <t xml:space="preserve">= 55415 - Normal </t>
        </r>
        <r>
          <rPr>
            <sz val="10"/>
            <color indexed="81"/>
            <rFont val="Tahoma"/>
            <family val="2"/>
          </rPr>
          <t xml:space="preserve">* Constanta Km Auto (Responses)
</t>
        </r>
      </text>
    </comment>
    <comment ref="Y75" authorId="0" shapeId="0" xr:uid="{7925E32C-3323-4074-AA22-8A1FF02D2C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9/23/2022 6:53:40 AM </t>
        </r>
        <r>
          <rPr>
            <b/>
            <sz val="10"/>
            <color indexed="81"/>
            <rFont val="Tahoma"/>
            <family val="2"/>
          </rPr>
          <t xml:space="preserve">= 56067 - Referinta </t>
        </r>
        <r>
          <rPr>
            <sz val="10"/>
            <color indexed="81"/>
            <rFont val="Tahoma"/>
            <family val="2"/>
          </rPr>
          <t xml:space="preserve">* Constanta Km Auto (Responses)
  9/26/2022 7:39:25 AM </t>
        </r>
        <r>
          <rPr>
            <b/>
            <sz val="10"/>
            <color indexed="81"/>
            <rFont val="Tahoma"/>
            <family val="2"/>
          </rPr>
          <t xml:space="preserve">= 56396 - Normal </t>
        </r>
        <r>
          <rPr>
            <sz val="10"/>
            <color indexed="81"/>
            <rFont val="Tahoma"/>
            <family val="2"/>
          </rPr>
          <t xml:space="preserve">* Constanta Km Auto (Responses)
</t>
        </r>
      </text>
    </comment>
    <comment ref="AD75" authorId="0" shapeId="0" xr:uid="{DFC7FD17-F6A8-4082-BD07-16CDFE8210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9/30/2022 4:13:15 PM </t>
        </r>
        <r>
          <rPr>
            <b/>
            <sz val="10"/>
            <color indexed="81"/>
            <rFont val="Tahoma"/>
            <family val="2"/>
          </rPr>
          <t xml:space="preserve">= 56977 - Referinta </t>
        </r>
        <r>
          <rPr>
            <sz val="10"/>
            <color indexed="81"/>
            <rFont val="Tahoma"/>
            <family val="2"/>
          </rPr>
          <t xml:space="preserve">* Constanta Km Auto (Responses)
  10/3/2022 7:33:31 AM </t>
        </r>
        <r>
          <rPr>
            <b/>
            <sz val="10"/>
            <color indexed="81"/>
            <rFont val="Tahoma"/>
            <family val="2"/>
          </rPr>
          <t xml:space="preserve">= 57019 - Normal </t>
        </r>
        <r>
          <rPr>
            <sz val="10"/>
            <color indexed="81"/>
            <rFont val="Tahoma"/>
            <family val="2"/>
          </rPr>
          <t xml:space="preserve">* Constanta Km Auto (Responses)
</t>
        </r>
      </text>
    </comment>
    <comment ref="J76" authorId="0" shapeId="0" xr:uid="{4BCB9A7B-CDC7-4133-BFB5-3E92F740249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Referinta a fost pusa automat
__________________________________________________________________
</t>
        </r>
        <r>
          <rPr>
            <sz val="10"/>
            <color indexed="12"/>
            <rFont val="Tahoma"/>
            <family val="2"/>
          </rPr>
          <t xml:space="preserve">  </t>
        </r>
        <r>
          <rPr>
            <sz val="10"/>
            <color indexed="81"/>
            <rFont val="Tahoma"/>
            <family val="2"/>
          </rPr>
          <t xml:space="preserve"> 9/2/2022 4:02:52 PM </t>
        </r>
        <r>
          <rPr>
            <b/>
            <sz val="10"/>
            <color indexed="81"/>
            <rFont val="Tahoma"/>
            <family val="2"/>
          </rPr>
          <t xml:space="preserve">= 15867 - Referinta </t>
        </r>
        <r>
          <rPr>
            <sz val="10"/>
            <color indexed="81"/>
            <rFont val="Tahoma"/>
            <family val="2"/>
          </rPr>
          <t xml:space="preserve">* Constanta Km Auto (Responses)
   9/5/2022 8:41:18 AM </t>
        </r>
        <r>
          <rPr>
            <b/>
            <sz val="10"/>
            <color indexed="81"/>
            <rFont val="Tahoma"/>
            <family val="2"/>
          </rPr>
          <t xml:space="preserve">= 15888 - Normal </t>
        </r>
        <r>
          <rPr>
            <sz val="10"/>
            <color indexed="81"/>
            <rFont val="Tahoma"/>
            <family val="2"/>
          </rPr>
          <t xml:space="preserve">* Constanta Km Auto (Responses)
   9/6/2022 6:52:18 PM </t>
        </r>
        <r>
          <rPr>
            <b/>
            <sz val="10"/>
            <color indexed="81"/>
            <rFont val="Tahoma"/>
            <family val="2"/>
          </rPr>
          <t xml:space="preserve">= 16344 - Concediu </t>
        </r>
        <r>
          <rPr>
            <sz val="10"/>
            <color indexed="81"/>
            <rFont val="Tahoma"/>
            <family val="2"/>
          </rPr>
          <t xml:space="preserve">* Constanta Km Auto (Responses)
</t>
        </r>
      </text>
    </comment>
    <comment ref="O76" authorId="0" shapeId="0" xr:uid="{696DC201-9A02-4E38-BD26-184CC901A3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Referinta a fost pusa automat
__________________________________________________________________
</t>
        </r>
        <r>
          <rPr>
            <sz val="10"/>
            <color indexed="12"/>
            <rFont val="Tahoma"/>
            <family val="2"/>
          </rPr>
          <t xml:space="preserve">  </t>
        </r>
        <r>
          <rPr>
            <sz val="10"/>
            <color indexed="81"/>
            <rFont val="Tahoma"/>
            <family val="2"/>
          </rPr>
          <t xml:space="preserve">9/13/2022 8:12:08 AM </t>
        </r>
        <r>
          <rPr>
            <b/>
            <sz val="10"/>
            <color indexed="81"/>
            <rFont val="Tahoma"/>
            <family val="2"/>
          </rPr>
          <t xml:space="preserve">= 16361 - Referinta </t>
        </r>
        <r>
          <rPr>
            <sz val="10"/>
            <color indexed="81"/>
            <rFont val="Tahoma"/>
            <family val="2"/>
          </rPr>
          <t xml:space="preserve">* Constanta Km Auto (Responses)
</t>
        </r>
      </text>
    </comment>
    <comment ref="T76" authorId="0" shapeId="0" xr:uid="{B7B0D3B5-303D-4650-93D6-128C8C723D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__________________________________________________________________
</t>
        </r>
        <r>
          <rPr>
            <sz val="10"/>
            <color indexed="12"/>
            <rFont val="Tahoma"/>
            <family val="2"/>
          </rPr>
          <t xml:space="preserve">  </t>
        </r>
        <r>
          <rPr>
            <sz val="10"/>
            <color indexed="81"/>
            <rFont val="Tahoma"/>
            <family val="2"/>
          </rPr>
          <t xml:space="preserve">9/16/2022 5:54:56 PM </t>
        </r>
        <r>
          <rPr>
            <b/>
            <sz val="10"/>
            <color indexed="81"/>
            <rFont val="Tahoma"/>
            <family val="2"/>
          </rPr>
          <t xml:space="preserve">= 16411 - Referinta </t>
        </r>
        <r>
          <rPr>
            <sz val="10"/>
            <color indexed="81"/>
            <rFont val="Tahoma"/>
            <family val="2"/>
          </rPr>
          <t xml:space="preserve">* Constanta Km Auto (Responses)
  9/19/2022 9:01:43 AM </t>
        </r>
        <r>
          <rPr>
            <b/>
            <sz val="10"/>
            <color indexed="81"/>
            <rFont val="Tahoma"/>
            <family val="2"/>
          </rPr>
          <t xml:space="preserve">= 16756 - Normal </t>
        </r>
        <r>
          <rPr>
            <sz val="10"/>
            <color indexed="81"/>
            <rFont val="Tahoma"/>
            <family val="2"/>
          </rPr>
          <t xml:space="preserve">* Constanta Km Auto (Responses)
</t>
        </r>
      </text>
    </comment>
    <comment ref="Y76" authorId="0" shapeId="0" xr:uid="{F01B07B3-A4A6-4842-A305-C0C18972B4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__________________________________________________________________
</t>
        </r>
        <r>
          <rPr>
            <sz val="10"/>
            <color indexed="12"/>
            <rFont val="Tahoma"/>
            <family val="2"/>
          </rPr>
          <t xml:space="preserve">  </t>
        </r>
        <r>
          <rPr>
            <sz val="10"/>
            <color indexed="81"/>
            <rFont val="Tahoma"/>
            <family val="2"/>
          </rPr>
          <t xml:space="preserve">9/23/2022 4:32:54 PM </t>
        </r>
        <r>
          <rPr>
            <b/>
            <sz val="10"/>
            <color indexed="81"/>
            <rFont val="Tahoma"/>
            <family val="2"/>
          </rPr>
          <t xml:space="preserve">= 17224 - Referinta </t>
        </r>
        <r>
          <rPr>
            <sz val="10"/>
            <color indexed="81"/>
            <rFont val="Tahoma"/>
            <family val="2"/>
          </rPr>
          <t xml:space="preserve">* Constanta Km Auto (Responses)
  9/26/2022 8:09:40 AM </t>
        </r>
        <r>
          <rPr>
            <b/>
            <sz val="10"/>
            <color indexed="81"/>
            <rFont val="Tahoma"/>
            <family val="2"/>
          </rPr>
          <t xml:space="preserve">= 17262 - Normal </t>
        </r>
        <r>
          <rPr>
            <sz val="10"/>
            <color indexed="81"/>
            <rFont val="Tahoma"/>
            <family val="2"/>
          </rPr>
          <t xml:space="preserve">* Constanta Km Auto (Responses)
</t>
        </r>
      </text>
    </comment>
    <comment ref="AD76" authorId="0" shapeId="0" xr:uid="{3DCFD603-C991-4EBC-B023-0188C365DA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__________________________________________________________________
</t>
        </r>
        <r>
          <rPr>
            <sz val="10"/>
            <color indexed="12"/>
            <rFont val="Tahoma"/>
            <family val="2"/>
          </rPr>
          <t xml:space="preserve">  </t>
        </r>
        <r>
          <rPr>
            <sz val="10"/>
            <color indexed="81"/>
            <rFont val="Tahoma"/>
            <family val="2"/>
          </rPr>
          <t xml:space="preserve">9/30/2022 5:21:56 PM </t>
        </r>
        <r>
          <rPr>
            <b/>
            <sz val="10"/>
            <color indexed="81"/>
            <rFont val="Tahoma"/>
            <family val="2"/>
          </rPr>
          <t xml:space="preserve">= 17331 - Referinta </t>
        </r>
        <r>
          <rPr>
            <sz val="10"/>
            <color indexed="81"/>
            <rFont val="Tahoma"/>
            <family val="2"/>
          </rPr>
          <t xml:space="preserve">* Constanta Km Auto (Responses)
  10/3/2022 9:20:13 AM </t>
        </r>
        <r>
          <rPr>
            <b/>
            <sz val="10"/>
            <color indexed="81"/>
            <rFont val="Tahoma"/>
            <family val="2"/>
          </rPr>
          <t xml:space="preserve">= 17369 - Normal </t>
        </r>
        <r>
          <rPr>
            <sz val="10"/>
            <color indexed="81"/>
            <rFont val="Tahoma"/>
            <family val="2"/>
          </rPr>
          <t xml:space="preserve">* Constanta Km Auto (Responses)
</t>
        </r>
      </text>
    </comment>
    <comment ref="J77" authorId="0" shapeId="0" xr:uid="{C8353216-1163-43FC-BE65-A4DF49483B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Referinta a fost pusa automat
__________________________________________________________________
</t>
        </r>
        <r>
          <rPr>
            <sz val="10"/>
            <color indexed="12"/>
            <rFont val="Tahoma"/>
            <family val="2"/>
          </rPr>
          <t xml:space="preserve">  </t>
        </r>
        <r>
          <rPr>
            <sz val="10"/>
            <color indexed="81"/>
            <rFont val="Tahoma"/>
            <family val="2"/>
          </rPr>
          <t xml:space="preserve"> 9/2/2022 4:08:48 PM </t>
        </r>
        <r>
          <rPr>
            <b/>
            <sz val="10"/>
            <color indexed="81"/>
            <rFont val="Tahoma"/>
            <family val="2"/>
          </rPr>
          <t xml:space="preserve">= 46221 - Referinta </t>
        </r>
        <r>
          <rPr>
            <sz val="10"/>
            <color indexed="81"/>
            <rFont val="Tahoma"/>
            <family val="2"/>
          </rPr>
          <t xml:space="preserve">* Craiova Km Auto (Responses)
   9/5/2022 8:03:46 AM </t>
        </r>
        <r>
          <rPr>
            <b/>
            <sz val="10"/>
            <color indexed="81"/>
            <rFont val="Tahoma"/>
            <family val="2"/>
          </rPr>
          <t xml:space="preserve">= 46226 - Normal </t>
        </r>
        <r>
          <rPr>
            <sz val="10"/>
            <color indexed="81"/>
            <rFont val="Tahoma"/>
            <family val="2"/>
          </rPr>
          <t xml:space="preserve">* Craiova Km Auto (Responses)
</t>
        </r>
      </text>
    </comment>
    <comment ref="O77" authorId="0" shapeId="0" xr:uid="{08F93255-574A-4447-89B6-84F36D348A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 9/9/2022 3:57:59 PM </t>
        </r>
        <r>
          <rPr>
            <b/>
            <sz val="10"/>
            <color indexed="81"/>
            <rFont val="Tahoma"/>
            <family val="2"/>
          </rPr>
          <t xml:space="preserve">= 46453 - Referinta </t>
        </r>
        <r>
          <rPr>
            <sz val="10"/>
            <color indexed="81"/>
            <rFont val="Tahoma"/>
            <family val="2"/>
          </rPr>
          <t xml:space="preserve">* Craiova Km Auto (Responses)
  9/12/2022 8:07:51 AM </t>
        </r>
        <r>
          <rPr>
            <b/>
            <sz val="10"/>
            <color indexed="81"/>
            <rFont val="Tahoma"/>
            <family val="2"/>
          </rPr>
          <t xml:space="preserve">= 46476 - Normal </t>
        </r>
        <r>
          <rPr>
            <sz val="10"/>
            <color indexed="81"/>
            <rFont val="Tahoma"/>
            <family val="2"/>
          </rPr>
          <t xml:space="preserve">* Craiova Km Auto (Responses)
</t>
        </r>
      </text>
    </comment>
    <comment ref="T77" authorId="0" shapeId="0" xr:uid="{797C59C4-2865-4C50-9E83-CA0364DD3D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9/16/2022 4:33:38 PM </t>
        </r>
        <r>
          <rPr>
            <b/>
            <sz val="10"/>
            <color indexed="81"/>
            <rFont val="Tahoma"/>
            <family val="2"/>
          </rPr>
          <t xml:space="preserve">= 46671 - Referinta </t>
        </r>
        <r>
          <rPr>
            <sz val="10"/>
            <color indexed="81"/>
            <rFont val="Tahoma"/>
            <family val="2"/>
          </rPr>
          <t xml:space="preserve">* Craiova Km Auto (Responses)
  9/19/2022 8:02:08 AM </t>
        </r>
        <r>
          <rPr>
            <b/>
            <sz val="10"/>
            <color indexed="81"/>
            <rFont val="Tahoma"/>
            <family val="2"/>
          </rPr>
          <t xml:space="preserve">= 46699 - Normal </t>
        </r>
        <r>
          <rPr>
            <sz val="10"/>
            <color indexed="81"/>
            <rFont val="Tahoma"/>
            <family val="2"/>
          </rPr>
          <t xml:space="preserve">* Craiova Km Auto (Responses)
</t>
        </r>
      </text>
    </comment>
    <comment ref="Y77" authorId="0" shapeId="0" xr:uid="{7BD94952-653A-422F-97BC-D7B7A82A30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9/23/2022 4:03:01 PM </t>
        </r>
        <r>
          <rPr>
            <b/>
            <sz val="10"/>
            <color indexed="81"/>
            <rFont val="Tahoma"/>
            <family val="2"/>
          </rPr>
          <t xml:space="preserve">= 47083 - Referinta </t>
        </r>
        <r>
          <rPr>
            <sz val="10"/>
            <color indexed="81"/>
            <rFont val="Tahoma"/>
            <family val="2"/>
          </rPr>
          <t xml:space="preserve">* Craiova Km Auto (Responses)
  9/26/2022 8:07:54 AM </t>
        </r>
        <r>
          <rPr>
            <b/>
            <sz val="10"/>
            <color indexed="81"/>
            <rFont val="Tahoma"/>
            <family val="2"/>
          </rPr>
          <t xml:space="preserve">= 47091 - Normal </t>
        </r>
        <r>
          <rPr>
            <sz val="10"/>
            <color indexed="81"/>
            <rFont val="Tahoma"/>
            <family val="2"/>
          </rPr>
          <t xml:space="preserve">* Craiova Km Auto (Responses)
</t>
        </r>
      </text>
    </comment>
    <comment ref="AD77" authorId="0" shapeId="0" xr:uid="{20975A5C-6284-40DC-8929-8C4BF4AB26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9/30/2022 4:12:59 PM </t>
        </r>
        <r>
          <rPr>
            <b/>
            <sz val="10"/>
            <color indexed="81"/>
            <rFont val="Tahoma"/>
            <family val="2"/>
          </rPr>
          <t xml:space="preserve">= 47249 - Referinta </t>
        </r>
        <r>
          <rPr>
            <sz val="10"/>
            <color indexed="81"/>
            <rFont val="Tahoma"/>
            <family val="2"/>
          </rPr>
          <t xml:space="preserve">* Craiova Km Auto (Responses)
  10/3/2022 8:19:33 AM </t>
        </r>
        <r>
          <rPr>
            <b/>
            <sz val="10"/>
            <color indexed="81"/>
            <rFont val="Tahoma"/>
            <family val="2"/>
          </rPr>
          <t xml:space="preserve">= 47281 - Normal </t>
        </r>
        <r>
          <rPr>
            <sz val="10"/>
            <color indexed="81"/>
            <rFont val="Tahoma"/>
            <family val="2"/>
          </rPr>
          <t xml:space="preserve">* Craiova Km Auto (Responses)
</t>
        </r>
      </text>
    </comment>
    <comment ref="J78" authorId="0" shapeId="0" xr:uid="{1014C69B-BC8D-4A9C-9C8D-D6B894A158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 9/2/2022 7:06:52 PM </t>
        </r>
        <r>
          <rPr>
            <b/>
            <sz val="10"/>
            <color indexed="81"/>
            <rFont val="Tahoma"/>
            <family val="2"/>
          </rPr>
          <t xml:space="preserve">= 33278 - Referinta </t>
        </r>
        <r>
          <rPr>
            <sz val="10"/>
            <color indexed="81"/>
            <rFont val="Tahoma"/>
            <family val="2"/>
          </rPr>
          <t xml:space="preserve">* Craiova Km Auto (Responses)
</t>
        </r>
      </text>
    </comment>
    <comment ref="O78" authorId="0" shapeId="0" xr:uid="{9F947703-C0DC-4051-8D65-41F7B1DAC6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 9/9/2022 4:01:00 AM </t>
        </r>
        <r>
          <rPr>
            <b/>
            <sz val="10"/>
            <color indexed="81"/>
            <rFont val="Tahoma"/>
            <family val="2"/>
          </rPr>
          <t xml:space="preserve">= 33738 - Referinta </t>
        </r>
        <r>
          <rPr>
            <sz val="10"/>
            <color indexed="81"/>
            <rFont val="Tahoma"/>
            <family val="2"/>
          </rPr>
          <t xml:space="preserve">* Craiova Km Auto (Responses)
  9/12/2022 8:01:00 AM </t>
        </r>
        <r>
          <rPr>
            <b/>
            <sz val="10"/>
            <color indexed="81"/>
            <rFont val="Tahoma"/>
            <family val="2"/>
          </rPr>
          <t xml:space="preserve">= 34050 - Normal </t>
        </r>
        <r>
          <rPr>
            <sz val="10"/>
            <color indexed="81"/>
            <rFont val="Tahoma"/>
            <family val="2"/>
          </rPr>
          <t xml:space="preserve">* Craiova Km Auto (Responses)
</t>
        </r>
      </text>
    </comment>
    <comment ref="T78" authorId="0" shapeId="0" xr:uid="{C6212C1B-1EE4-49DB-8DC5-DAB90CEF44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9/16/2022 4:03:38 PM </t>
        </r>
        <r>
          <rPr>
            <b/>
            <sz val="10"/>
            <color indexed="81"/>
            <rFont val="Tahoma"/>
            <family val="2"/>
          </rPr>
          <t xml:space="preserve">= 34307 - Referinta </t>
        </r>
        <r>
          <rPr>
            <sz val="10"/>
            <color indexed="81"/>
            <rFont val="Tahoma"/>
            <family val="2"/>
          </rPr>
          <t xml:space="preserve">* Craiova Km Auto (Responses)
  9/19/2022 8:44:28 AM </t>
        </r>
        <r>
          <rPr>
            <b/>
            <sz val="10"/>
            <color indexed="81"/>
            <rFont val="Tahoma"/>
            <family val="2"/>
          </rPr>
          <t xml:space="preserve">= 34349 - Normal </t>
        </r>
        <r>
          <rPr>
            <sz val="10"/>
            <color indexed="81"/>
            <rFont val="Tahoma"/>
            <family val="2"/>
          </rPr>
          <t xml:space="preserve">* Craiova Km Auto (Responses)
</t>
        </r>
      </text>
    </comment>
    <comment ref="Y78" authorId="0" shapeId="0" xr:uid="{A26FBEB4-1C29-418F-902A-32F35BEE4C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9/23/2022 4:43:19 PM </t>
        </r>
        <r>
          <rPr>
            <b/>
            <sz val="10"/>
            <color indexed="81"/>
            <rFont val="Tahoma"/>
            <family val="2"/>
          </rPr>
          <t xml:space="preserve">= 34741 - Referinta </t>
        </r>
        <r>
          <rPr>
            <sz val="10"/>
            <color indexed="81"/>
            <rFont val="Tahoma"/>
            <family val="2"/>
          </rPr>
          <t xml:space="preserve">* Craiova Km Auto (Responses)
  9/26/2022 8:00:38 AM </t>
        </r>
        <r>
          <rPr>
            <b/>
            <sz val="10"/>
            <color indexed="81"/>
            <rFont val="Tahoma"/>
            <family val="2"/>
          </rPr>
          <t xml:space="preserve">= 34928 - Normal </t>
        </r>
        <r>
          <rPr>
            <sz val="10"/>
            <color indexed="81"/>
            <rFont val="Tahoma"/>
            <family val="2"/>
          </rPr>
          <t xml:space="preserve">* Craiova Km Auto (Responses)
</t>
        </r>
      </text>
    </comment>
    <comment ref="AD78" authorId="0" shapeId="0" xr:uid="{6BAC2A9D-2C35-43D1-86F5-8DCEC5F017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9/30/2022 8:04:42 PM </t>
        </r>
        <r>
          <rPr>
            <b/>
            <sz val="10"/>
            <color indexed="81"/>
            <rFont val="Tahoma"/>
            <family val="2"/>
          </rPr>
          <t xml:space="preserve">= 35391 - Referinta </t>
        </r>
        <r>
          <rPr>
            <sz val="10"/>
            <color indexed="81"/>
            <rFont val="Tahoma"/>
            <family val="2"/>
          </rPr>
          <t xml:space="preserve">* Craiova Km Auto (Responses)
  10/3/2022 8:26:17 AM </t>
        </r>
        <r>
          <rPr>
            <b/>
            <sz val="10"/>
            <color indexed="81"/>
            <rFont val="Tahoma"/>
            <family val="2"/>
          </rPr>
          <t xml:space="preserve">= 35644 - Normal </t>
        </r>
        <r>
          <rPr>
            <sz val="10"/>
            <color indexed="81"/>
            <rFont val="Tahoma"/>
            <family val="2"/>
          </rPr>
          <t xml:space="preserve">* Craiova Km Auto (Responses)
</t>
        </r>
      </text>
    </comment>
    <comment ref="J79" authorId="0" shapeId="0" xr:uid="{07AB4F59-93AD-40D3-9A6A-F45F35AD9A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 9/2/2022 5:47:20 PM </t>
        </r>
        <r>
          <rPr>
            <b/>
            <sz val="10"/>
            <color indexed="81"/>
            <rFont val="Tahoma"/>
            <family val="2"/>
          </rPr>
          <t xml:space="preserve">= 83326 - Referinta </t>
        </r>
        <r>
          <rPr>
            <sz val="10"/>
            <color indexed="81"/>
            <rFont val="Tahoma"/>
            <family val="2"/>
          </rPr>
          <t xml:space="preserve">* Craiova Km Auto (Responses)
   9/5/2022 4:47:56 PM </t>
        </r>
        <r>
          <rPr>
            <b/>
            <sz val="10"/>
            <color indexed="81"/>
            <rFont val="Tahoma"/>
            <family val="2"/>
          </rPr>
          <t xml:space="preserve">= 83369 - Normal </t>
        </r>
        <r>
          <rPr>
            <sz val="10"/>
            <color indexed="81"/>
            <rFont val="Tahoma"/>
            <family val="2"/>
          </rPr>
          <t xml:space="preserve">* Craiova Km Auto (Responses)
</t>
        </r>
      </text>
    </comment>
    <comment ref="O79" authorId="0" shapeId="0" xr:uid="{A289A4E5-44C1-4678-B278-FC7B47CCD2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 9/9/2022 7:01:11 PM </t>
        </r>
        <r>
          <rPr>
            <b/>
            <sz val="10"/>
            <color indexed="81"/>
            <rFont val="Tahoma"/>
            <family val="2"/>
          </rPr>
          <t xml:space="preserve">= 83897 - Referinta </t>
        </r>
        <r>
          <rPr>
            <sz val="10"/>
            <color indexed="81"/>
            <rFont val="Tahoma"/>
            <family val="2"/>
          </rPr>
          <t xml:space="preserve">* Craiova Km Auto (Responses)
  9/12/2022 8:38:00 AM </t>
        </r>
        <r>
          <rPr>
            <b/>
            <sz val="10"/>
            <color indexed="81"/>
            <rFont val="Tahoma"/>
            <family val="2"/>
          </rPr>
          <t xml:space="preserve">= 84063 - Normal </t>
        </r>
        <r>
          <rPr>
            <sz val="10"/>
            <color indexed="81"/>
            <rFont val="Tahoma"/>
            <family val="2"/>
          </rPr>
          <t xml:space="preserve">* Craiova Km Auto (Responses)
</t>
        </r>
      </text>
    </comment>
    <comment ref="T79" authorId="0" shapeId="0" xr:uid="{6E6F0C79-F4B1-40A9-AAD2-B2A2B35935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9/16/2022 8:07:04 PM </t>
        </r>
        <r>
          <rPr>
            <b/>
            <sz val="10"/>
            <color indexed="81"/>
            <rFont val="Tahoma"/>
            <family val="2"/>
          </rPr>
          <t xml:space="preserve">= 84926 - Referinta </t>
        </r>
        <r>
          <rPr>
            <sz val="10"/>
            <color indexed="81"/>
            <rFont val="Tahoma"/>
            <family val="2"/>
          </rPr>
          <t xml:space="preserve">* Craiova Km Auto (Responses)
 9/19/2022 12:12:59 PM </t>
        </r>
        <r>
          <rPr>
            <b/>
            <sz val="10"/>
            <color indexed="81"/>
            <rFont val="Tahoma"/>
            <family val="2"/>
          </rPr>
          <t xml:space="preserve">= 84968 - Normal </t>
        </r>
        <r>
          <rPr>
            <sz val="10"/>
            <color indexed="81"/>
            <rFont val="Tahoma"/>
            <family val="2"/>
          </rPr>
          <t xml:space="preserve">* Craiova Km Auto (Responses)
</t>
        </r>
      </text>
    </comment>
    <comment ref="Y79" authorId="0" shapeId="0" xr:uid="{7F58E2D1-CBAA-492B-A796-D1FD0D3779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9/23/2022 4:43:43 PM </t>
        </r>
        <r>
          <rPr>
            <b/>
            <sz val="10"/>
            <color indexed="81"/>
            <rFont val="Tahoma"/>
            <family val="2"/>
          </rPr>
          <t xml:space="preserve">= 85407 - Referinta </t>
        </r>
        <r>
          <rPr>
            <sz val="10"/>
            <color indexed="81"/>
            <rFont val="Tahoma"/>
            <family val="2"/>
          </rPr>
          <t xml:space="preserve">* Craiova Km Auto (Responses)
 9/26/2022 10:57:17 AM </t>
        </r>
        <r>
          <rPr>
            <b/>
            <sz val="10"/>
            <color indexed="81"/>
            <rFont val="Tahoma"/>
            <family val="2"/>
          </rPr>
          <t xml:space="preserve">= 85407 - Normal </t>
        </r>
        <r>
          <rPr>
            <sz val="10"/>
            <color indexed="81"/>
            <rFont val="Tahoma"/>
            <family val="2"/>
          </rPr>
          <t xml:space="preserve">* Craiova Km Auto (Responses)
</t>
        </r>
      </text>
    </comment>
    <comment ref="J80" authorId="0" shapeId="0" xr:uid="{6F413205-7E3B-44A7-B2DE-D60B460BE7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Referinta a fost pusa automat
__________________________________________________________________
</t>
        </r>
        <r>
          <rPr>
            <sz val="10"/>
            <color indexed="12"/>
            <rFont val="Tahoma"/>
            <family val="2"/>
          </rPr>
          <t xml:space="preserve">  </t>
        </r>
        <r>
          <rPr>
            <sz val="10"/>
            <color indexed="81"/>
            <rFont val="Tahoma"/>
            <family val="2"/>
          </rPr>
          <t xml:space="preserve"> 9/2/2022 4:32:58 PM </t>
        </r>
        <r>
          <rPr>
            <b/>
            <sz val="10"/>
            <color indexed="81"/>
            <rFont val="Tahoma"/>
            <family val="2"/>
          </rPr>
          <t xml:space="preserve">= 49972 - Referinta </t>
        </r>
        <r>
          <rPr>
            <sz val="10"/>
            <color indexed="81"/>
            <rFont val="Tahoma"/>
            <family val="2"/>
          </rPr>
          <t xml:space="preserve">* Craiova Km Auto (Responses)
   9/5/2022 7:45:38 AM </t>
        </r>
        <r>
          <rPr>
            <b/>
            <sz val="10"/>
            <color indexed="81"/>
            <rFont val="Tahoma"/>
            <family val="2"/>
          </rPr>
          <t xml:space="preserve">= 50006 - Normal </t>
        </r>
        <r>
          <rPr>
            <sz val="10"/>
            <color indexed="81"/>
            <rFont val="Tahoma"/>
            <family val="2"/>
          </rPr>
          <t xml:space="preserve">* Craiova Km Auto (Responses)
</t>
        </r>
      </text>
    </comment>
    <comment ref="O80" authorId="0" shapeId="0" xr:uid="{714AEC0A-959B-497C-BB9F-0D2B9346467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__________________________________________________________________
</t>
        </r>
        <r>
          <rPr>
            <sz val="10"/>
            <color indexed="12"/>
            <rFont val="Tahoma"/>
            <family val="2"/>
          </rPr>
          <t xml:space="preserve">  </t>
        </r>
        <r>
          <rPr>
            <sz val="10"/>
            <color indexed="81"/>
            <rFont val="Tahoma"/>
            <family val="2"/>
          </rPr>
          <t xml:space="preserve"> 9/9/2022 4:00:44 PM </t>
        </r>
        <r>
          <rPr>
            <b/>
            <sz val="10"/>
            <color indexed="81"/>
            <rFont val="Tahoma"/>
            <family val="2"/>
          </rPr>
          <t xml:space="preserve">= 50457 - Referinta </t>
        </r>
        <r>
          <rPr>
            <sz val="10"/>
            <color indexed="81"/>
            <rFont val="Tahoma"/>
            <family val="2"/>
          </rPr>
          <t xml:space="preserve">* Craiova Km Auto (Responses)
  9/12/2022 7:45:50 AM </t>
        </r>
        <r>
          <rPr>
            <b/>
            <sz val="10"/>
            <color indexed="81"/>
            <rFont val="Tahoma"/>
            <family val="2"/>
          </rPr>
          <t xml:space="preserve">= 50466 - Normal </t>
        </r>
        <r>
          <rPr>
            <sz val="10"/>
            <color indexed="81"/>
            <rFont val="Tahoma"/>
            <family val="2"/>
          </rPr>
          <t xml:space="preserve">* Craiova Km Auto (Responses)
  9/13/2022 4:49:53 AM </t>
        </r>
        <r>
          <rPr>
            <b/>
            <sz val="10"/>
            <color indexed="81"/>
            <rFont val="Tahoma"/>
            <family val="2"/>
          </rPr>
          <t xml:space="preserve">= 50500 - Concediu </t>
        </r>
        <r>
          <rPr>
            <sz val="10"/>
            <color indexed="81"/>
            <rFont val="Tahoma"/>
            <family val="2"/>
          </rPr>
          <t xml:space="preserve">* Craiova Km Auto (Responses)
  9/14/2022 8:16:31 AM </t>
        </r>
        <r>
          <rPr>
            <b/>
            <sz val="10"/>
            <color indexed="81"/>
            <rFont val="Tahoma"/>
            <family val="2"/>
          </rPr>
          <t xml:space="preserve">= 50972 - Concediu </t>
        </r>
        <r>
          <rPr>
            <sz val="10"/>
            <color indexed="81"/>
            <rFont val="Tahoma"/>
            <family val="2"/>
          </rPr>
          <t xml:space="preserve">* Craiova Km Auto (Responses)
</t>
        </r>
      </text>
    </comment>
    <comment ref="T80" authorId="0" shapeId="0" xr:uid="{EB33009D-9C27-49EA-9411-EB4F8676DF2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__________________________________________________________________
</t>
        </r>
        <r>
          <rPr>
            <sz val="10"/>
            <color indexed="12"/>
            <rFont val="Tahoma"/>
            <family val="2"/>
          </rPr>
          <t xml:space="preserve">  </t>
        </r>
        <r>
          <rPr>
            <sz val="10"/>
            <color indexed="81"/>
            <rFont val="Tahoma"/>
            <family val="2"/>
          </rPr>
          <t xml:space="preserve">9/16/2022 3:50:33 PM </t>
        </r>
        <r>
          <rPr>
            <b/>
            <sz val="10"/>
            <color indexed="81"/>
            <rFont val="Tahoma"/>
            <family val="2"/>
          </rPr>
          <t xml:space="preserve">= 51084 - Referinta </t>
        </r>
        <r>
          <rPr>
            <sz val="10"/>
            <color indexed="81"/>
            <rFont val="Tahoma"/>
            <family val="2"/>
          </rPr>
          <t xml:space="preserve">* Craiova Km Auto (Responses)
</t>
        </r>
      </text>
    </comment>
    <comment ref="J81" authorId="0" shapeId="0" xr:uid="{42EFCAE8-465F-4F5F-B68E-779789288B7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 9/2/2022 7:07:52 PM </t>
        </r>
        <r>
          <rPr>
            <b/>
            <sz val="10"/>
            <color indexed="81"/>
            <rFont val="Tahoma"/>
            <family val="2"/>
          </rPr>
          <t xml:space="preserve">= 312697 - Referinta </t>
        </r>
        <r>
          <rPr>
            <sz val="10"/>
            <color indexed="81"/>
            <rFont val="Tahoma"/>
            <family val="2"/>
          </rPr>
          <t xml:space="preserve">* Craiova Km Auto (Responses)
</t>
        </r>
      </text>
    </comment>
    <comment ref="O81" authorId="0" shapeId="0" xr:uid="{DC62DD55-813B-4D6A-A97A-059645EFEFC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 9/9/2022 3:56:00 AM </t>
        </r>
        <r>
          <rPr>
            <b/>
            <sz val="10"/>
            <color indexed="81"/>
            <rFont val="Tahoma"/>
            <family val="2"/>
          </rPr>
          <t xml:space="preserve">= 312995 - Referinta </t>
        </r>
        <r>
          <rPr>
            <sz val="10"/>
            <color indexed="81"/>
            <rFont val="Tahoma"/>
            <family val="2"/>
          </rPr>
          <t xml:space="preserve">* Craiova Km Auto (Responses)
</t>
        </r>
      </text>
    </comment>
    <comment ref="T81" authorId="0" shapeId="0" xr:uid="{23AA80BD-EBE4-41E5-A96B-056766FAC7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9/16/2022 5:39:50 PM </t>
        </r>
        <r>
          <rPr>
            <b/>
            <sz val="10"/>
            <color indexed="81"/>
            <rFont val="Tahoma"/>
            <family val="2"/>
          </rPr>
          <t xml:space="preserve">= 314279 - Referinta </t>
        </r>
        <r>
          <rPr>
            <sz val="10"/>
            <color indexed="81"/>
            <rFont val="Tahoma"/>
            <family val="2"/>
          </rPr>
          <t xml:space="preserve">* Craiova Km Auto (Responses)
</t>
        </r>
      </text>
    </comment>
    <comment ref="Y81" authorId="0" shapeId="0" xr:uid="{404505C8-D443-41C3-8270-11E0FD8B09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9/23/2022 4:39:37 PM </t>
        </r>
        <r>
          <rPr>
            <b/>
            <sz val="10"/>
            <color indexed="81"/>
            <rFont val="Tahoma"/>
            <family val="2"/>
          </rPr>
          <t xml:space="preserve">= 314690 - Referinta </t>
        </r>
        <r>
          <rPr>
            <sz val="10"/>
            <color indexed="81"/>
            <rFont val="Tahoma"/>
            <family val="2"/>
          </rPr>
          <t xml:space="preserve">* Craiova Km Auto (Responses)
</t>
        </r>
      </text>
    </comment>
    <comment ref="AD81" authorId="0" shapeId="0" xr:uid="{B8150E3F-72E5-4988-B9F5-6C2931728E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9/30/2022 5:02:19 PM </t>
        </r>
        <r>
          <rPr>
            <b/>
            <sz val="10"/>
            <color indexed="81"/>
            <rFont val="Tahoma"/>
            <family val="2"/>
          </rPr>
          <t xml:space="preserve">= 315783 - Referinta </t>
        </r>
        <r>
          <rPr>
            <sz val="10"/>
            <color indexed="81"/>
            <rFont val="Tahoma"/>
            <family val="2"/>
          </rPr>
          <t xml:space="preserve">* Craiova Km Auto (Responses)
</t>
        </r>
      </text>
    </comment>
    <comment ref="J82" authorId="0" shapeId="0" xr:uid="{BF570331-B8BE-4326-AE1F-00BF97C2256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 9/2/2022 3:26:48 PM </t>
        </r>
        <r>
          <rPr>
            <b/>
            <sz val="10"/>
            <color indexed="81"/>
            <rFont val="Tahoma"/>
            <family val="2"/>
          </rPr>
          <t xml:space="preserve">= 95682 - Referinta </t>
        </r>
        <r>
          <rPr>
            <sz val="10"/>
            <color indexed="81"/>
            <rFont val="Tahoma"/>
            <family val="2"/>
          </rPr>
          <t xml:space="preserve">* Craiova Km Auto (Responses)
</t>
        </r>
      </text>
    </comment>
    <comment ref="O82" authorId="0" shapeId="0" xr:uid="{E087A1A7-A476-4419-AA05-A48A414541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 9/9/2022 3:57:00 AM </t>
        </r>
        <r>
          <rPr>
            <b/>
            <sz val="10"/>
            <color indexed="81"/>
            <rFont val="Tahoma"/>
            <family val="2"/>
          </rPr>
          <t xml:space="preserve">= 96533 - Referinta </t>
        </r>
        <r>
          <rPr>
            <sz val="10"/>
            <color indexed="81"/>
            <rFont val="Tahoma"/>
            <family val="2"/>
          </rPr>
          <t xml:space="preserve">* Craiova Km Auto (Responses)
</t>
        </r>
      </text>
    </comment>
    <comment ref="T82" authorId="0" shapeId="0" xr:uid="{1FD7919A-4445-4B05-890B-64B6573A38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9/16/2022 4:00:09 PM </t>
        </r>
        <r>
          <rPr>
            <b/>
            <sz val="10"/>
            <color indexed="81"/>
            <rFont val="Tahoma"/>
            <family val="2"/>
          </rPr>
          <t xml:space="preserve">= 97137 - Referinta </t>
        </r>
        <r>
          <rPr>
            <sz val="10"/>
            <color indexed="81"/>
            <rFont val="Tahoma"/>
            <family val="2"/>
          </rPr>
          <t xml:space="preserve">* Craiova Km Auto (Responses)
</t>
        </r>
      </text>
    </comment>
    <comment ref="Y82" authorId="0" shapeId="0" xr:uid="{0806E916-B20F-42CC-A8FA-70A7AA239A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9/23/2022 4:57:00 AM </t>
        </r>
        <r>
          <rPr>
            <b/>
            <sz val="10"/>
            <color indexed="81"/>
            <rFont val="Tahoma"/>
            <family val="2"/>
          </rPr>
          <t xml:space="preserve">= 98069 - Referinta </t>
        </r>
        <r>
          <rPr>
            <sz val="10"/>
            <color indexed="81"/>
            <rFont val="Tahoma"/>
            <family val="2"/>
          </rPr>
          <t xml:space="preserve">* Craiova Km Auto (Responses)
</t>
        </r>
      </text>
    </comment>
    <comment ref="AD82" authorId="0" shapeId="0" xr:uid="{C5F986D9-3528-4440-A98D-4CB2D53820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9/30/2022 5:01:37 PM </t>
        </r>
        <r>
          <rPr>
            <b/>
            <sz val="10"/>
            <color indexed="81"/>
            <rFont val="Tahoma"/>
            <family val="2"/>
          </rPr>
          <t xml:space="preserve">= 98510 - Referinta </t>
        </r>
        <r>
          <rPr>
            <sz val="10"/>
            <color indexed="81"/>
            <rFont val="Tahoma"/>
            <family val="2"/>
          </rPr>
          <t xml:space="preserve">* Craiova Km Auto (Responses)
</t>
        </r>
      </text>
    </comment>
    <comment ref="J83" authorId="0" shapeId="0" xr:uid="{55E5426E-864A-41E6-9A42-A10A88DA37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 9/2/2022 4:18:13 PM </t>
        </r>
        <r>
          <rPr>
            <b/>
            <sz val="10"/>
            <color indexed="81"/>
            <rFont val="Tahoma"/>
            <family val="2"/>
          </rPr>
          <t xml:space="preserve">= 15637 - Referinta </t>
        </r>
        <r>
          <rPr>
            <sz val="10"/>
            <color indexed="81"/>
            <rFont val="Tahoma"/>
            <family val="2"/>
          </rPr>
          <t xml:space="preserve">* Craiova Km Auto (Responses)
   9/5/2022 7:54:09 AM </t>
        </r>
        <r>
          <rPr>
            <b/>
            <sz val="10"/>
            <color indexed="81"/>
            <rFont val="Tahoma"/>
            <family val="2"/>
          </rPr>
          <t xml:space="preserve">= 15652 - Normal </t>
        </r>
        <r>
          <rPr>
            <sz val="10"/>
            <color indexed="81"/>
            <rFont val="Tahoma"/>
            <family val="2"/>
          </rPr>
          <t xml:space="preserve">* Craiova Km Auto (Responses)
</t>
        </r>
      </text>
    </comment>
    <comment ref="O83" authorId="0" shapeId="0" xr:uid="{21D7D049-E08F-4DD0-BA7D-F6855FBE166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3:42:19 PM </t>
        </r>
        <r>
          <rPr>
            <b/>
            <sz val="10"/>
            <color indexed="81"/>
            <rFont val="Tahoma"/>
            <family val="2"/>
          </rPr>
          <t xml:space="preserve">= 15962 - Referinta </t>
        </r>
        <r>
          <rPr>
            <sz val="10"/>
            <color indexed="81"/>
            <rFont val="Tahoma"/>
            <family val="2"/>
          </rPr>
          <t xml:space="preserve">* Craiova Km Auto (Responses)
  9/12/2022 9:18:23 AM </t>
        </r>
        <r>
          <rPr>
            <b/>
            <sz val="10"/>
            <color indexed="81"/>
            <rFont val="Tahoma"/>
            <family val="2"/>
          </rPr>
          <t xml:space="preserve">= 15973 - Normal </t>
        </r>
        <r>
          <rPr>
            <sz val="10"/>
            <color indexed="81"/>
            <rFont val="Tahoma"/>
            <family val="2"/>
          </rPr>
          <t xml:space="preserve">* Craiova Km Auto (Responses)
</t>
        </r>
      </text>
    </comment>
    <comment ref="T83" authorId="0" shapeId="0" xr:uid="{34D82A28-525D-4246-8658-331EE9E5EC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9/16/2022 3:45:34 PM </t>
        </r>
        <r>
          <rPr>
            <b/>
            <sz val="10"/>
            <color indexed="81"/>
            <rFont val="Tahoma"/>
            <family val="2"/>
          </rPr>
          <t xml:space="preserve">= 16328 - Referinta </t>
        </r>
        <r>
          <rPr>
            <sz val="10"/>
            <color indexed="81"/>
            <rFont val="Tahoma"/>
            <family val="2"/>
          </rPr>
          <t xml:space="preserve">* Craiova Km Auto (Responses)
  9/19/2022 8:40:06 AM </t>
        </r>
        <r>
          <rPr>
            <b/>
            <sz val="10"/>
            <color indexed="81"/>
            <rFont val="Tahoma"/>
            <family val="2"/>
          </rPr>
          <t xml:space="preserve">= 16346 - Normal </t>
        </r>
        <r>
          <rPr>
            <sz val="10"/>
            <color indexed="81"/>
            <rFont val="Tahoma"/>
            <family val="2"/>
          </rPr>
          <t xml:space="preserve">* Craiova Km Auto (Responses)
</t>
        </r>
      </text>
    </comment>
    <comment ref="Y83" authorId="0" shapeId="0" xr:uid="{EFF9CFBB-1200-4C7E-B29E-AE09902B7C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9/23/2022 3:40:50 PM </t>
        </r>
        <r>
          <rPr>
            <b/>
            <sz val="10"/>
            <color indexed="81"/>
            <rFont val="Tahoma"/>
            <family val="2"/>
          </rPr>
          <t xml:space="preserve">= 16618 - Referinta </t>
        </r>
        <r>
          <rPr>
            <sz val="10"/>
            <color indexed="81"/>
            <rFont val="Tahoma"/>
            <family val="2"/>
          </rPr>
          <t xml:space="preserve">* Craiova Km Auto (Responses)
  9/26/2022 8:47:21 AM </t>
        </r>
        <r>
          <rPr>
            <b/>
            <sz val="10"/>
            <color indexed="81"/>
            <rFont val="Tahoma"/>
            <family val="2"/>
          </rPr>
          <t xml:space="preserve">= 16636 - Normal </t>
        </r>
        <r>
          <rPr>
            <sz val="10"/>
            <color indexed="81"/>
            <rFont val="Tahoma"/>
            <family val="2"/>
          </rPr>
          <t xml:space="preserve">* Craiova Km Auto (Responses)
</t>
        </r>
      </text>
    </comment>
    <comment ref="AD83" authorId="0" shapeId="0" xr:uid="{E84B81F4-6738-41B8-9E65-3697F72264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9/30/2022 4:08:08 PM </t>
        </r>
        <r>
          <rPr>
            <b/>
            <sz val="10"/>
            <color indexed="81"/>
            <rFont val="Tahoma"/>
            <family val="2"/>
          </rPr>
          <t xml:space="preserve">= 16954 - Referinta </t>
        </r>
        <r>
          <rPr>
            <sz val="10"/>
            <color indexed="81"/>
            <rFont val="Tahoma"/>
            <family val="2"/>
          </rPr>
          <t xml:space="preserve">* Craiova Km Auto (Responses)
  10/3/2022 8:33:41 AM </t>
        </r>
        <r>
          <rPr>
            <b/>
            <sz val="10"/>
            <color indexed="81"/>
            <rFont val="Tahoma"/>
            <family val="2"/>
          </rPr>
          <t xml:space="preserve">= 16972 - Normal </t>
        </r>
        <r>
          <rPr>
            <sz val="10"/>
            <color indexed="81"/>
            <rFont val="Tahoma"/>
            <family val="2"/>
          </rPr>
          <t xml:space="preserve">* Craiova Km Auto (Responses)
</t>
        </r>
      </text>
    </comment>
    <comment ref="J84" authorId="0" shapeId="0" xr:uid="{416C3265-0333-47FF-838D-2561BBA28D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 9/3/2022 3:23:04 PM </t>
        </r>
        <r>
          <rPr>
            <b/>
            <sz val="10"/>
            <color indexed="81"/>
            <rFont val="Tahoma"/>
            <family val="2"/>
          </rPr>
          <t xml:space="preserve">= 90079 - Referinta </t>
        </r>
        <r>
          <rPr>
            <sz val="10"/>
            <color indexed="81"/>
            <rFont val="Tahoma"/>
            <family val="2"/>
          </rPr>
          <t xml:space="preserve">* Craiova Km Auto (Responses)
   9/5/2022 7:53:50 AM </t>
        </r>
        <r>
          <rPr>
            <b/>
            <sz val="10"/>
            <color indexed="81"/>
            <rFont val="Tahoma"/>
            <family val="2"/>
          </rPr>
          <t xml:space="preserve">= 90396 - Normal </t>
        </r>
        <r>
          <rPr>
            <sz val="10"/>
            <color indexed="81"/>
            <rFont val="Tahoma"/>
            <family val="2"/>
          </rPr>
          <t xml:space="preserve">* Craiova Km Auto (Responses)
</t>
        </r>
      </text>
    </comment>
    <comment ref="O84" authorId="0" shapeId="0" xr:uid="{0CD1CFBA-1626-4810-A4D4-5EA46F4C39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9:24:44 PM </t>
        </r>
        <r>
          <rPr>
            <b/>
            <sz val="10"/>
            <color indexed="81"/>
            <rFont val="Tahoma"/>
            <family val="2"/>
          </rPr>
          <t xml:space="preserve">= 90490 - Referinta </t>
        </r>
        <r>
          <rPr>
            <sz val="10"/>
            <color indexed="81"/>
            <rFont val="Tahoma"/>
            <family val="2"/>
          </rPr>
          <t xml:space="preserve">* Craiova Km Auto (Responses)
  9/12/2022 7:52:00 AM </t>
        </r>
        <r>
          <rPr>
            <b/>
            <sz val="10"/>
            <color indexed="81"/>
            <rFont val="Tahoma"/>
            <family val="2"/>
          </rPr>
          <t xml:space="preserve">= 90522 - Normal </t>
        </r>
        <r>
          <rPr>
            <sz val="10"/>
            <color indexed="81"/>
            <rFont val="Tahoma"/>
            <family val="2"/>
          </rPr>
          <t xml:space="preserve">* Craiova Km Auto (Responses)
</t>
        </r>
      </text>
    </comment>
    <comment ref="T84" authorId="0" shapeId="0" xr:uid="{F298FB28-7589-4189-A9C1-DF29693EC0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4:14:11 PM </t>
        </r>
        <r>
          <rPr>
            <b/>
            <sz val="10"/>
            <color indexed="81"/>
            <rFont val="Tahoma"/>
            <family val="2"/>
          </rPr>
          <t xml:space="preserve">= 90916 - Referinta </t>
        </r>
        <r>
          <rPr>
            <sz val="10"/>
            <color indexed="81"/>
            <rFont val="Tahoma"/>
            <family val="2"/>
          </rPr>
          <t xml:space="preserve">* Craiova Km Auto (Responses)
</t>
        </r>
      </text>
    </comment>
    <comment ref="Y84" authorId="0" shapeId="0" xr:uid="{EBD257F2-FCA4-4813-80A4-2C834821B8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9/24/2022 9:23:00 AM </t>
        </r>
        <r>
          <rPr>
            <b/>
            <sz val="10"/>
            <color indexed="81"/>
            <rFont val="Tahoma"/>
            <family val="2"/>
          </rPr>
          <t xml:space="preserve">= 91565 - Referinta </t>
        </r>
        <r>
          <rPr>
            <sz val="10"/>
            <color indexed="81"/>
            <rFont val="Tahoma"/>
            <family val="2"/>
          </rPr>
          <t xml:space="preserve">* Craiova Km Auto (Responses)
  9/27/2022 5:20:00 AM </t>
        </r>
        <r>
          <rPr>
            <b/>
            <sz val="10"/>
            <color indexed="81"/>
            <rFont val="Tahoma"/>
            <family val="2"/>
          </rPr>
          <t xml:space="preserve">= 91578 - Normal </t>
        </r>
        <r>
          <rPr>
            <sz val="10"/>
            <color indexed="81"/>
            <rFont val="Tahoma"/>
            <family val="2"/>
          </rPr>
          <t xml:space="preserve">* Craiova Km Auto (Responses)
</t>
        </r>
      </text>
    </comment>
    <comment ref="AD84" authorId="0" shapeId="0" xr:uid="{9E1ED2A3-30EC-4598-8A8B-813FDC4B59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10/3/2022 8:17:09 AM </t>
        </r>
        <r>
          <rPr>
            <b/>
            <sz val="10"/>
            <color indexed="81"/>
            <rFont val="Tahoma"/>
            <family val="2"/>
          </rPr>
          <t xml:space="preserve">= 92090 - Referinta </t>
        </r>
        <r>
          <rPr>
            <sz val="10"/>
            <color indexed="81"/>
            <rFont val="Tahoma"/>
            <family val="2"/>
          </rPr>
          <t xml:space="preserve">* Craiova Km Auto (Responses)
</t>
        </r>
      </text>
    </comment>
    <comment ref="T85" authorId="0" shapeId="0" xr:uid="{EEF9E58D-6A9D-4C5E-B377-F08F0E1B49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9/16/2022 3:10:03 PM </t>
        </r>
        <r>
          <rPr>
            <b/>
            <sz val="10"/>
            <color indexed="81"/>
            <rFont val="Tahoma"/>
            <family val="2"/>
          </rPr>
          <t xml:space="preserve">= 105493 - Referinta </t>
        </r>
        <r>
          <rPr>
            <sz val="10"/>
            <color indexed="81"/>
            <rFont val="Tahoma"/>
            <family val="2"/>
          </rPr>
          <t xml:space="preserve">* Galati Km Auto (Responses)
  9/19/2022 9:02:50 AM </t>
        </r>
        <r>
          <rPr>
            <b/>
            <sz val="10"/>
            <color indexed="81"/>
            <rFont val="Tahoma"/>
            <family val="2"/>
          </rPr>
          <t xml:space="preserve">= 105493 - Normal </t>
        </r>
        <r>
          <rPr>
            <sz val="10"/>
            <color indexed="81"/>
            <rFont val="Tahoma"/>
            <family val="2"/>
          </rPr>
          <t xml:space="preserve">* Galati Km Auto (Responses)
</t>
        </r>
      </text>
    </comment>
    <comment ref="Y85" authorId="0" shapeId="0" xr:uid="{CF55A57C-0F68-40C6-A0A8-D0A3720592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9/23/2022 3:38:54 PM </t>
        </r>
        <r>
          <rPr>
            <b/>
            <sz val="10"/>
            <color indexed="81"/>
            <rFont val="Tahoma"/>
            <family val="2"/>
          </rPr>
          <t xml:space="preserve">= 105558 - Referinta </t>
        </r>
        <r>
          <rPr>
            <sz val="10"/>
            <color indexed="81"/>
            <rFont val="Tahoma"/>
            <family val="2"/>
          </rPr>
          <t xml:space="preserve">* Galati Km Auto (Responses)
  9/26/2022 8:59:03 AM </t>
        </r>
        <r>
          <rPr>
            <b/>
            <sz val="10"/>
            <color indexed="81"/>
            <rFont val="Tahoma"/>
            <family val="2"/>
          </rPr>
          <t xml:space="preserve">= 105558 - Normal </t>
        </r>
        <r>
          <rPr>
            <sz val="10"/>
            <color indexed="81"/>
            <rFont val="Tahoma"/>
            <family val="2"/>
          </rPr>
          <t xml:space="preserve">* Galati Km Auto (Responses)
</t>
        </r>
      </text>
    </comment>
    <comment ref="AD85" authorId="0" shapeId="0" xr:uid="{17B91E82-E523-4F94-A205-C38AFBB3F38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105558 - Referinta </t>
        </r>
        <r>
          <rPr>
            <sz val="10"/>
            <color indexed="81"/>
            <rFont val="Tahoma"/>
            <family val="2"/>
          </rPr>
          <t xml:space="preserve">* Galati Km Auto (Responses)
  10/3/2022 8:16:25 AM </t>
        </r>
        <r>
          <rPr>
            <b/>
            <sz val="10"/>
            <color indexed="81"/>
            <rFont val="Tahoma"/>
            <family val="2"/>
          </rPr>
          <t xml:space="preserve">= 105558 - Normal </t>
        </r>
        <r>
          <rPr>
            <sz val="10"/>
            <color indexed="81"/>
            <rFont val="Tahoma"/>
            <family val="2"/>
          </rPr>
          <t xml:space="preserve">* Galati Km Auto (Responses)
</t>
        </r>
      </text>
    </comment>
    <comment ref="J86" authorId="0" shapeId="0" xr:uid="{8904901D-766E-492F-98E5-B69D3C2A19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Referinta a fost pusa automat
__________________________________________________________________
</t>
        </r>
        <r>
          <rPr>
            <sz val="10"/>
            <color indexed="12"/>
            <rFont val="Tahoma"/>
            <family val="2"/>
          </rPr>
          <t xml:space="preserve">  </t>
        </r>
        <r>
          <rPr>
            <sz val="10"/>
            <color indexed="81"/>
            <rFont val="Tahoma"/>
            <family val="2"/>
          </rPr>
          <t xml:space="preserve"> 9/6/2022 8:50:23 AM </t>
        </r>
        <r>
          <rPr>
            <b/>
            <sz val="10"/>
            <color indexed="81"/>
            <rFont val="Tahoma"/>
            <family val="2"/>
          </rPr>
          <t xml:space="preserve">= 49524 - Referinta </t>
        </r>
        <r>
          <rPr>
            <sz val="10"/>
            <color indexed="81"/>
            <rFont val="Tahoma"/>
            <family val="2"/>
          </rPr>
          <t xml:space="preserve">* Galati Km Auto (Responses)
   9/6/2022 8:51:11 AM </t>
        </r>
        <r>
          <rPr>
            <b/>
            <sz val="10"/>
            <color indexed="81"/>
            <rFont val="Tahoma"/>
            <family val="2"/>
          </rPr>
          <t xml:space="preserve">= 50393 - Concediu </t>
        </r>
        <r>
          <rPr>
            <sz val="10"/>
            <color indexed="81"/>
            <rFont val="Tahoma"/>
            <family val="2"/>
          </rPr>
          <t xml:space="preserve">* Galati Km Auto (Responses)
</t>
        </r>
      </text>
    </comment>
    <comment ref="O86" authorId="0" shapeId="0" xr:uid="{6B9B351F-7F29-4ACF-B0D1-35732D37E7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9/12/2022 8:34:14 AM </t>
        </r>
        <r>
          <rPr>
            <b/>
            <sz val="10"/>
            <color indexed="81"/>
            <rFont val="Tahoma"/>
            <family val="2"/>
          </rPr>
          <t xml:space="preserve">= 50534 - Referinta </t>
        </r>
        <r>
          <rPr>
            <sz val="10"/>
            <color indexed="81"/>
            <rFont val="Tahoma"/>
            <family val="2"/>
          </rPr>
          <t xml:space="preserve">* Galati Km Auto (Responses)
  9/12/2022 8:36:43 AM </t>
        </r>
        <r>
          <rPr>
            <b/>
            <sz val="10"/>
            <color indexed="81"/>
            <rFont val="Tahoma"/>
            <family val="2"/>
          </rPr>
          <t xml:space="preserve">= 50805 - Normal </t>
        </r>
        <r>
          <rPr>
            <sz val="10"/>
            <color indexed="81"/>
            <rFont val="Tahoma"/>
            <family val="2"/>
          </rPr>
          <t xml:space="preserve">* Galati Km Auto (Responses)
</t>
        </r>
      </text>
    </comment>
    <comment ref="T86" authorId="0" shapeId="0" xr:uid="{6B23DD33-858F-4FAC-90D1-72618EE8FC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9/16/2022 4:41:32 PM </t>
        </r>
        <r>
          <rPr>
            <b/>
            <sz val="10"/>
            <color indexed="81"/>
            <rFont val="Tahoma"/>
            <family val="2"/>
          </rPr>
          <t xml:space="preserve">= 50955 - Referinta </t>
        </r>
        <r>
          <rPr>
            <sz val="10"/>
            <color indexed="81"/>
            <rFont val="Tahoma"/>
            <family val="2"/>
          </rPr>
          <t xml:space="preserve">* Galati Km Auto (Responses)
  9/19/2022 8:59:31 AM </t>
        </r>
        <r>
          <rPr>
            <b/>
            <sz val="10"/>
            <color indexed="81"/>
            <rFont val="Tahoma"/>
            <family val="2"/>
          </rPr>
          <t xml:space="preserve">= 50998 - Normal </t>
        </r>
        <r>
          <rPr>
            <sz val="10"/>
            <color indexed="81"/>
            <rFont val="Tahoma"/>
            <family val="2"/>
          </rPr>
          <t xml:space="preserve">* Galati Km Auto (Responses)
</t>
        </r>
      </text>
    </comment>
    <comment ref="Y86" authorId="0" shapeId="0" xr:uid="{DCA94FCC-68CC-4577-A9A5-C2DEEBD3D0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9/26/2022 8:55:49 AM </t>
        </r>
        <r>
          <rPr>
            <b/>
            <sz val="10"/>
            <color indexed="81"/>
            <rFont val="Tahoma"/>
            <family val="2"/>
          </rPr>
          <t xml:space="preserve">= 51176 - Referinta </t>
        </r>
        <r>
          <rPr>
            <sz val="10"/>
            <color indexed="81"/>
            <rFont val="Tahoma"/>
            <family val="2"/>
          </rPr>
          <t xml:space="preserve">* Galati Km Auto (Responses)
  9/26/2022 8:57:14 AM </t>
        </r>
        <r>
          <rPr>
            <b/>
            <sz val="10"/>
            <color indexed="81"/>
            <rFont val="Tahoma"/>
            <family val="2"/>
          </rPr>
          <t xml:space="preserve">= 51412 - Normal </t>
        </r>
        <r>
          <rPr>
            <sz val="10"/>
            <color indexed="81"/>
            <rFont val="Tahoma"/>
            <family val="2"/>
          </rPr>
          <t xml:space="preserve">* Galati Km Auto (Responses)
</t>
        </r>
      </text>
    </comment>
    <comment ref="AD86" authorId="0" shapeId="0" xr:uid="{3EFCE6B2-1891-4A93-A0C6-B7B987EF46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9/30/2022 5:30:00 AM </t>
        </r>
        <r>
          <rPr>
            <b/>
            <sz val="10"/>
            <color indexed="81"/>
            <rFont val="Tahoma"/>
            <family val="2"/>
          </rPr>
          <t xml:space="preserve">= 51670 - Referinta </t>
        </r>
        <r>
          <rPr>
            <sz val="10"/>
            <color indexed="81"/>
            <rFont val="Tahoma"/>
            <family val="2"/>
          </rPr>
          <t xml:space="preserve">* Galati Km Auto (Responses)
  10/3/2022 8:32:05 AM </t>
        </r>
        <r>
          <rPr>
            <b/>
            <sz val="10"/>
            <color indexed="81"/>
            <rFont val="Tahoma"/>
            <family val="2"/>
          </rPr>
          <t xml:space="preserve">= 51718 - Normal </t>
        </r>
        <r>
          <rPr>
            <sz val="10"/>
            <color indexed="81"/>
            <rFont val="Tahoma"/>
            <family val="2"/>
          </rPr>
          <t xml:space="preserve">* Galati Km Auto (Responses)
</t>
        </r>
      </text>
    </comment>
    <comment ref="J88" authorId="0" shapeId="0" xr:uid="{2ABB2B4F-8627-4A5D-947A-44A573707C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Referinta a fost pusa automat
__________________________________________________________________
</t>
        </r>
        <r>
          <rPr>
            <sz val="10"/>
            <color indexed="12"/>
            <rFont val="Tahoma"/>
            <family val="2"/>
          </rPr>
          <t xml:space="preserve">  </t>
        </r>
        <r>
          <rPr>
            <sz val="10"/>
            <color indexed="81"/>
            <rFont val="Tahoma"/>
            <family val="2"/>
          </rPr>
          <t xml:space="preserve"> 9/2/2022 4:57:24 PM </t>
        </r>
        <r>
          <rPr>
            <b/>
            <sz val="10"/>
            <color indexed="81"/>
            <rFont val="Tahoma"/>
            <family val="2"/>
          </rPr>
          <t xml:space="preserve">= 105473 - Referinta </t>
        </r>
        <r>
          <rPr>
            <sz val="10"/>
            <color indexed="81"/>
            <rFont val="Tahoma"/>
            <family val="2"/>
          </rPr>
          <t xml:space="preserve">* Galati Km Auto (Responses)
   9/5/2022 9:37:16 AM </t>
        </r>
        <r>
          <rPr>
            <b/>
            <sz val="10"/>
            <color indexed="81"/>
            <rFont val="Tahoma"/>
            <family val="2"/>
          </rPr>
          <t xml:space="preserve">= 105473 - Normal </t>
        </r>
        <r>
          <rPr>
            <sz val="10"/>
            <color indexed="81"/>
            <rFont val="Tahoma"/>
            <family val="2"/>
          </rPr>
          <t xml:space="preserve">* Galati Km Auto (Responses)
</t>
        </r>
      </text>
    </comment>
    <comment ref="O88" authorId="0" shapeId="0" xr:uid="{0F09DC7A-CF78-4266-BEB0-B6E505E243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105493 - Referinta </t>
        </r>
        <r>
          <rPr>
            <sz val="10"/>
            <color indexed="81"/>
            <rFont val="Tahoma"/>
            <family val="2"/>
          </rPr>
          <t xml:space="preserve">* Galati Km Auto (Responses)
  9/12/2022 8:38:36 AM </t>
        </r>
        <r>
          <rPr>
            <b/>
            <sz val="10"/>
            <color indexed="81"/>
            <rFont val="Tahoma"/>
            <family val="2"/>
          </rPr>
          <t xml:space="preserve">= 105493 - Normal </t>
        </r>
        <r>
          <rPr>
            <sz val="10"/>
            <color indexed="81"/>
            <rFont val="Tahoma"/>
            <family val="2"/>
          </rPr>
          <t xml:space="preserve">* Galati Km Auto (Responses)
</t>
        </r>
      </text>
    </comment>
    <comment ref="J89" authorId="0" shapeId="0" xr:uid="{405237E2-8FAC-4659-895F-E634BC8590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 9/2/2022 5:00:00 AM </t>
        </r>
        <r>
          <rPr>
            <b/>
            <sz val="10"/>
            <color indexed="81"/>
            <rFont val="Tahoma"/>
            <family val="2"/>
          </rPr>
          <t xml:space="preserve">= 120090 - Referinta </t>
        </r>
        <r>
          <rPr>
            <sz val="10"/>
            <color indexed="81"/>
            <rFont val="Tahoma"/>
            <family val="2"/>
          </rPr>
          <t xml:space="preserve">* Galati Km Auto (Responses)
   9/5/2022 8:00:00 AM </t>
        </r>
        <r>
          <rPr>
            <b/>
            <sz val="10"/>
            <color indexed="81"/>
            <rFont val="Tahoma"/>
            <family val="2"/>
          </rPr>
          <t xml:space="preserve">= 120110 - Normal </t>
        </r>
        <r>
          <rPr>
            <sz val="10"/>
            <color indexed="81"/>
            <rFont val="Tahoma"/>
            <family val="2"/>
          </rPr>
          <t xml:space="preserve">* Galati Km Auto (Responses)
</t>
        </r>
      </text>
    </comment>
    <comment ref="O89" authorId="0" shapeId="0" xr:uid="{CDE84B34-09A1-4414-B856-6C704AC8C8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120116 - Referinta </t>
        </r>
        <r>
          <rPr>
            <sz val="10"/>
            <color indexed="81"/>
            <rFont val="Tahoma"/>
            <family val="2"/>
          </rPr>
          <t xml:space="preserve">* Galati Km Auto (Responses)
  9/12/2022 8:34:25 AM </t>
        </r>
        <r>
          <rPr>
            <b/>
            <sz val="10"/>
            <color indexed="81"/>
            <rFont val="Tahoma"/>
            <family val="2"/>
          </rPr>
          <t xml:space="preserve">= 120116 - Normal </t>
        </r>
        <r>
          <rPr>
            <sz val="10"/>
            <color indexed="81"/>
            <rFont val="Tahoma"/>
            <family val="2"/>
          </rPr>
          <t xml:space="preserve">* Galati Km Auto (Responses)
</t>
        </r>
      </text>
    </comment>
    <comment ref="T89" authorId="0" shapeId="0" xr:uid="{2609B381-F6FF-4B20-9827-6827973F3BB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9/16/2022 3:09:08 PM </t>
        </r>
        <r>
          <rPr>
            <b/>
            <sz val="10"/>
            <color indexed="81"/>
            <rFont val="Tahoma"/>
            <family val="2"/>
          </rPr>
          <t xml:space="preserve">= 120173 - Referinta </t>
        </r>
        <r>
          <rPr>
            <sz val="10"/>
            <color indexed="81"/>
            <rFont val="Tahoma"/>
            <family val="2"/>
          </rPr>
          <t xml:space="preserve">* Galati Km Auto (Responses)
  9/19/2022 9:00:27 AM </t>
        </r>
        <r>
          <rPr>
            <b/>
            <sz val="10"/>
            <color indexed="81"/>
            <rFont val="Tahoma"/>
            <family val="2"/>
          </rPr>
          <t xml:space="preserve">= 120173 - Normal </t>
        </r>
        <r>
          <rPr>
            <sz val="10"/>
            <color indexed="81"/>
            <rFont val="Tahoma"/>
            <family val="2"/>
          </rPr>
          <t xml:space="preserve">* Galati Km Auto (Responses)
</t>
        </r>
      </text>
    </comment>
    <comment ref="Y89" authorId="0" shapeId="0" xr:uid="{4AD60A86-735D-40AA-8AA5-C3775D03FC1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9/23/2022 3:37:57 PM </t>
        </r>
        <r>
          <rPr>
            <b/>
            <sz val="10"/>
            <color indexed="81"/>
            <rFont val="Tahoma"/>
            <family val="2"/>
          </rPr>
          <t xml:space="preserve">= 120187 - Referinta </t>
        </r>
        <r>
          <rPr>
            <sz val="10"/>
            <color indexed="81"/>
            <rFont val="Tahoma"/>
            <family val="2"/>
          </rPr>
          <t xml:space="preserve">* Galati Km Auto (Responses)
  9/26/2022 8:58:08 AM </t>
        </r>
        <r>
          <rPr>
            <b/>
            <sz val="10"/>
            <color indexed="81"/>
            <rFont val="Tahoma"/>
            <family val="2"/>
          </rPr>
          <t xml:space="preserve">= 120187 - Normal </t>
        </r>
        <r>
          <rPr>
            <sz val="10"/>
            <color indexed="81"/>
            <rFont val="Tahoma"/>
            <family val="2"/>
          </rPr>
          <t xml:space="preserve">* Galati Km Auto (Responses)
</t>
        </r>
      </text>
    </comment>
    <comment ref="AD89" authorId="0" shapeId="0" xr:uid="{77C1B6D3-2DE4-4BCD-BB28-4CE5677F5D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120210 - Referinta </t>
        </r>
        <r>
          <rPr>
            <sz val="10"/>
            <color indexed="81"/>
            <rFont val="Tahoma"/>
            <family val="2"/>
          </rPr>
          <t xml:space="preserve">* Galati Km Auto (Responses)
  10/3/2022 8:28:30 AM </t>
        </r>
        <r>
          <rPr>
            <b/>
            <sz val="10"/>
            <color indexed="81"/>
            <rFont val="Tahoma"/>
            <family val="2"/>
          </rPr>
          <t xml:space="preserve">= 120210 - Normal </t>
        </r>
        <r>
          <rPr>
            <sz val="10"/>
            <color indexed="81"/>
            <rFont val="Tahoma"/>
            <family val="2"/>
          </rPr>
          <t xml:space="preserve">* Galati Km Auto (Responses)
</t>
        </r>
      </text>
    </comment>
    <comment ref="J90" authorId="0" shapeId="0" xr:uid="{0BEA8BFC-B3E9-4D82-9C9A-7AC15BB326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4:59:41 PM </t>
        </r>
        <r>
          <rPr>
            <b/>
            <sz val="10"/>
            <color indexed="81"/>
            <rFont val="Tahoma"/>
            <family val="2"/>
          </rPr>
          <t xml:space="preserve">= 29484 - Referinta </t>
        </r>
        <r>
          <rPr>
            <sz val="10"/>
            <color indexed="81"/>
            <rFont val="Tahoma"/>
            <family val="2"/>
          </rPr>
          <t xml:space="preserve">* Galati Km Auto (Responses)
   9/5/2022 9:36:36 AM </t>
        </r>
        <r>
          <rPr>
            <b/>
            <sz val="10"/>
            <color indexed="81"/>
            <rFont val="Tahoma"/>
            <family val="2"/>
          </rPr>
          <t xml:space="preserve">= 29554 - Normal </t>
        </r>
        <r>
          <rPr>
            <sz val="10"/>
            <color indexed="81"/>
            <rFont val="Tahoma"/>
            <family val="2"/>
          </rPr>
          <t xml:space="preserve">* Galati Km Auto (Responses)
</t>
        </r>
      </text>
    </comment>
    <comment ref="O90" authorId="0" shapeId="0" xr:uid="{60243454-915D-46D8-BA8A-06B158AF72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29984 - Referinta </t>
        </r>
        <r>
          <rPr>
            <sz val="10"/>
            <color indexed="81"/>
            <rFont val="Tahoma"/>
            <family val="2"/>
          </rPr>
          <t xml:space="preserve">* Galati Km Auto (Responses)
  9/12/2022 8:11:47 AM </t>
        </r>
        <r>
          <rPr>
            <b/>
            <sz val="10"/>
            <color indexed="81"/>
            <rFont val="Tahoma"/>
            <family val="2"/>
          </rPr>
          <t xml:space="preserve">= 30065 - Normal </t>
        </r>
        <r>
          <rPr>
            <sz val="10"/>
            <color indexed="81"/>
            <rFont val="Tahoma"/>
            <family val="2"/>
          </rPr>
          <t xml:space="preserve">* Galati Km Auto (Responses)
</t>
        </r>
      </text>
    </comment>
    <comment ref="T90" authorId="0" shapeId="0" xr:uid="{9F1D70D7-15A6-479F-8BA6-BEE27E9E1C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9/16/2022 4:30:00 AM </t>
        </r>
        <r>
          <rPr>
            <b/>
            <sz val="10"/>
            <color indexed="81"/>
            <rFont val="Tahoma"/>
            <family val="2"/>
          </rPr>
          <t xml:space="preserve">= 30326 - Referinta </t>
        </r>
        <r>
          <rPr>
            <sz val="10"/>
            <color indexed="81"/>
            <rFont val="Tahoma"/>
            <family val="2"/>
          </rPr>
          <t xml:space="preserve">* Galati Km Auto (Responses)
  9/19/2022 2:19:00 AM </t>
        </r>
        <r>
          <rPr>
            <b/>
            <sz val="10"/>
            <color indexed="81"/>
            <rFont val="Tahoma"/>
            <family val="2"/>
          </rPr>
          <t xml:space="preserve">= 30374 - Normal </t>
        </r>
        <r>
          <rPr>
            <sz val="10"/>
            <color indexed="81"/>
            <rFont val="Tahoma"/>
            <family val="2"/>
          </rPr>
          <t xml:space="preserve">* Galati Km Auto (Responses)
</t>
        </r>
      </text>
    </comment>
    <comment ref="Y90" authorId="0" shapeId="0" xr:uid="{36DE6959-1798-4A83-8A25-71895B80A3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9/23/2022 5:28:00 AM </t>
        </r>
        <r>
          <rPr>
            <b/>
            <sz val="10"/>
            <color indexed="81"/>
            <rFont val="Tahoma"/>
            <family val="2"/>
          </rPr>
          <t xml:space="preserve">= 30755 - Referinta </t>
        </r>
        <r>
          <rPr>
            <sz val="10"/>
            <color indexed="81"/>
            <rFont val="Tahoma"/>
            <family val="2"/>
          </rPr>
          <t xml:space="preserve">* Galati Km Auto (Responses)
  9/26/2022 8:00:00 AM </t>
        </r>
        <r>
          <rPr>
            <b/>
            <sz val="10"/>
            <color indexed="81"/>
            <rFont val="Tahoma"/>
            <family val="2"/>
          </rPr>
          <t xml:space="preserve">= 30769 - Normal </t>
        </r>
        <r>
          <rPr>
            <sz val="10"/>
            <color indexed="81"/>
            <rFont val="Tahoma"/>
            <family val="2"/>
          </rPr>
          <t xml:space="preserve">* Galati Km Auto (Responses)
</t>
        </r>
      </text>
    </comment>
    <comment ref="AD90" authorId="0" shapeId="0" xr:uid="{51E14047-1C46-4C75-A2E7-B2E58B9F6B6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9/30/2022 5:46:00 AM </t>
        </r>
        <r>
          <rPr>
            <b/>
            <sz val="10"/>
            <color indexed="81"/>
            <rFont val="Tahoma"/>
            <family val="2"/>
          </rPr>
          <t xml:space="preserve">= 30982 - Referinta </t>
        </r>
        <r>
          <rPr>
            <sz val="10"/>
            <color indexed="81"/>
            <rFont val="Tahoma"/>
            <family val="2"/>
          </rPr>
          <t xml:space="preserve">* Galati Km Auto (Responses)
  10/3/2022 8:30:00 AM </t>
        </r>
        <r>
          <rPr>
            <b/>
            <sz val="10"/>
            <color indexed="81"/>
            <rFont val="Tahoma"/>
            <family val="2"/>
          </rPr>
          <t xml:space="preserve">= 31220 - Normal </t>
        </r>
        <r>
          <rPr>
            <sz val="10"/>
            <color indexed="81"/>
            <rFont val="Tahoma"/>
            <family val="2"/>
          </rPr>
          <t xml:space="preserve">* Galati Km Auto (Responses)
</t>
        </r>
      </text>
    </comment>
    <comment ref="J91" authorId="0" shapeId="0" xr:uid="{C28463F2-5ACF-4F0B-B4AF-C68C48C910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6:11:02 PM </t>
        </r>
        <r>
          <rPr>
            <b/>
            <sz val="10"/>
            <color indexed="81"/>
            <rFont val="Tahoma"/>
            <family val="2"/>
          </rPr>
          <t xml:space="preserve">= 170740 - Referinta </t>
        </r>
        <r>
          <rPr>
            <sz val="10"/>
            <color indexed="81"/>
            <rFont val="Tahoma"/>
            <family val="2"/>
          </rPr>
          <t xml:space="preserve">* Galati Km Auto (Responses)
   9/5/2022 9:34:01 AM </t>
        </r>
        <r>
          <rPr>
            <b/>
            <sz val="10"/>
            <color indexed="81"/>
            <rFont val="Tahoma"/>
            <family val="2"/>
          </rPr>
          <t xml:space="preserve">= 170740 - Normal </t>
        </r>
        <r>
          <rPr>
            <sz val="10"/>
            <color indexed="81"/>
            <rFont val="Tahoma"/>
            <family val="2"/>
          </rPr>
          <t xml:space="preserve">* Galati Km Auto (Responses)
</t>
        </r>
      </text>
    </comment>
    <comment ref="O91" authorId="0" shapeId="0" xr:uid="{8ED9D782-DB6A-4396-8C65-B007995EC7B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 9/9/2022 5:20:00 AM </t>
        </r>
        <r>
          <rPr>
            <b/>
            <sz val="10"/>
            <color indexed="81"/>
            <rFont val="Tahoma"/>
            <family val="2"/>
          </rPr>
          <t xml:space="preserve">= 171405 - Referinta </t>
        </r>
        <r>
          <rPr>
            <sz val="10"/>
            <color indexed="81"/>
            <rFont val="Tahoma"/>
            <family val="2"/>
          </rPr>
          <t xml:space="preserve">* Galati Km Auto (Responses)
  9/12/2022 8:37:29 AM </t>
        </r>
        <r>
          <rPr>
            <b/>
            <sz val="10"/>
            <color indexed="81"/>
            <rFont val="Tahoma"/>
            <family val="2"/>
          </rPr>
          <t xml:space="preserve">= 171405 - Normal </t>
        </r>
        <r>
          <rPr>
            <sz val="10"/>
            <color indexed="81"/>
            <rFont val="Tahoma"/>
            <family val="2"/>
          </rPr>
          <t xml:space="preserve">* Galati Km Auto (Responses)
</t>
        </r>
      </text>
    </comment>
    <comment ref="T91" authorId="0" shapeId="0" xr:uid="{F28F1A64-1AD7-4EDA-90C1-8CC7402FA0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9/16/2022 3:56:18 PM </t>
        </r>
        <r>
          <rPr>
            <b/>
            <sz val="10"/>
            <color indexed="81"/>
            <rFont val="Tahoma"/>
            <family val="2"/>
          </rPr>
          <t xml:space="preserve">= 171966 - Referinta </t>
        </r>
        <r>
          <rPr>
            <sz val="10"/>
            <color indexed="81"/>
            <rFont val="Tahoma"/>
            <family val="2"/>
          </rPr>
          <t xml:space="preserve">* Galati Km Auto (Responses)
  9/19/2022 9:01:37 AM </t>
        </r>
        <r>
          <rPr>
            <b/>
            <sz val="10"/>
            <color indexed="81"/>
            <rFont val="Tahoma"/>
            <family val="2"/>
          </rPr>
          <t xml:space="preserve">= 171966 - Normal </t>
        </r>
        <r>
          <rPr>
            <sz val="10"/>
            <color indexed="81"/>
            <rFont val="Tahoma"/>
            <family val="2"/>
          </rPr>
          <t xml:space="preserve">* Galati Km Auto (Responses)
</t>
        </r>
      </text>
    </comment>
    <comment ref="Y91" authorId="0" shapeId="0" xr:uid="{A9379BF8-0238-4C5A-AE59-28CD11F2C1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9/23/2022 5:10:00 AM </t>
        </r>
        <r>
          <rPr>
            <b/>
            <sz val="10"/>
            <color indexed="81"/>
            <rFont val="Tahoma"/>
            <family val="2"/>
          </rPr>
          <t xml:space="preserve">= 172472 - Referinta </t>
        </r>
        <r>
          <rPr>
            <sz val="10"/>
            <color indexed="81"/>
            <rFont val="Tahoma"/>
            <family val="2"/>
          </rPr>
          <t xml:space="preserve">* Galati Km Auto (Responses)
  9/26/2022 9:00:55 AM </t>
        </r>
        <r>
          <rPr>
            <b/>
            <sz val="10"/>
            <color indexed="81"/>
            <rFont val="Tahoma"/>
            <family val="2"/>
          </rPr>
          <t xml:space="preserve">= 172472 - Normal </t>
        </r>
        <r>
          <rPr>
            <sz val="10"/>
            <color indexed="81"/>
            <rFont val="Tahoma"/>
            <family val="2"/>
          </rPr>
          <t xml:space="preserve">* Galati Km Auto (Responses)
</t>
        </r>
      </text>
    </comment>
    <comment ref="AD91" authorId="0" shapeId="0" xr:uid="{A4D83B34-F304-4277-9D52-874B1286C6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9/30/2022 5:00:00 AM </t>
        </r>
        <r>
          <rPr>
            <b/>
            <sz val="10"/>
            <color indexed="81"/>
            <rFont val="Tahoma"/>
            <family val="2"/>
          </rPr>
          <t xml:space="preserve">= 173019 - Referinta </t>
        </r>
        <r>
          <rPr>
            <sz val="10"/>
            <color indexed="81"/>
            <rFont val="Tahoma"/>
            <family val="2"/>
          </rPr>
          <t xml:space="preserve">* Galati Km Auto (Responses)
  10/3/2022 8:12:56 AM </t>
        </r>
        <r>
          <rPr>
            <b/>
            <sz val="10"/>
            <color indexed="81"/>
            <rFont val="Tahoma"/>
            <family val="2"/>
          </rPr>
          <t xml:space="preserve">= 173019 - Normal </t>
        </r>
        <r>
          <rPr>
            <sz val="10"/>
            <color indexed="81"/>
            <rFont val="Tahoma"/>
            <family val="2"/>
          </rPr>
          <t xml:space="preserve">* Galati Km Auto (Responses)
</t>
        </r>
      </text>
    </comment>
    <comment ref="J92" authorId="0" shapeId="0" xr:uid="{A06075B4-1C7C-4635-9B33-880A481AC7E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 9/2/2022 5:00:00 AM </t>
        </r>
        <r>
          <rPr>
            <b/>
            <sz val="10"/>
            <color indexed="81"/>
            <rFont val="Tahoma"/>
            <family val="2"/>
          </rPr>
          <t xml:space="preserve">= 62990 - Referinta </t>
        </r>
        <r>
          <rPr>
            <sz val="10"/>
            <color indexed="81"/>
            <rFont val="Tahoma"/>
            <family val="2"/>
          </rPr>
          <t xml:space="preserve">* Galati Km Auto (Responses)
   9/5/2022 8:00:00 AM </t>
        </r>
        <r>
          <rPr>
            <b/>
            <sz val="10"/>
            <color indexed="81"/>
            <rFont val="Tahoma"/>
            <family val="2"/>
          </rPr>
          <t xml:space="preserve">= 63010 - Normal </t>
        </r>
        <r>
          <rPr>
            <sz val="10"/>
            <color indexed="81"/>
            <rFont val="Tahoma"/>
            <family val="2"/>
          </rPr>
          <t xml:space="preserve">* Galati Km Auto (Responses)
</t>
        </r>
      </text>
    </comment>
    <comment ref="O92" authorId="0" shapeId="0" xr:uid="{7CA3447B-6650-49A4-B73D-086B040455F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 9/9/2022 9:17:42 PM </t>
        </r>
        <r>
          <rPr>
            <b/>
            <sz val="10"/>
            <color indexed="81"/>
            <rFont val="Tahoma"/>
            <family val="2"/>
          </rPr>
          <t xml:space="preserve">= 63460 - Referinta </t>
        </r>
        <r>
          <rPr>
            <sz val="10"/>
            <color indexed="81"/>
            <rFont val="Tahoma"/>
            <family val="2"/>
          </rPr>
          <t xml:space="preserve">* Galati Km Auto (Responses)
  9/12/2022 8:40:53 AM </t>
        </r>
        <r>
          <rPr>
            <b/>
            <sz val="10"/>
            <color indexed="81"/>
            <rFont val="Tahoma"/>
            <family val="2"/>
          </rPr>
          <t xml:space="preserve">= 63481 - Normal </t>
        </r>
        <r>
          <rPr>
            <sz val="10"/>
            <color indexed="81"/>
            <rFont val="Tahoma"/>
            <family val="2"/>
          </rPr>
          <t xml:space="preserve">* Galati Km Auto (Responses)
</t>
        </r>
      </text>
    </comment>
    <comment ref="T92" authorId="0" shapeId="0" xr:uid="{1811956A-5764-4640-98CD-C9336FB34C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9/16/2022 8:25:25 PM </t>
        </r>
        <r>
          <rPr>
            <b/>
            <sz val="10"/>
            <color indexed="81"/>
            <rFont val="Tahoma"/>
            <family val="2"/>
          </rPr>
          <t xml:space="preserve">= 63555 - Referinta </t>
        </r>
        <r>
          <rPr>
            <sz val="10"/>
            <color indexed="81"/>
            <rFont val="Tahoma"/>
            <family val="2"/>
          </rPr>
          <t xml:space="preserve">* Galati Km Auto (Responses)
  9/19/2022 5:41:03 PM </t>
        </r>
        <r>
          <rPr>
            <b/>
            <sz val="10"/>
            <color indexed="81"/>
            <rFont val="Tahoma"/>
            <family val="2"/>
          </rPr>
          <t xml:space="preserve">= 63573 - Normal </t>
        </r>
        <r>
          <rPr>
            <sz val="10"/>
            <color indexed="81"/>
            <rFont val="Tahoma"/>
            <family val="2"/>
          </rPr>
          <t xml:space="preserve">* Galati Km Auto (Responses)
</t>
        </r>
      </text>
    </comment>
    <comment ref="Y92" authorId="0" shapeId="0" xr:uid="{18CFFC56-6A42-4A6D-B5D8-CB61E3C427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9/23/2022 8:50:29 PM </t>
        </r>
        <r>
          <rPr>
            <b/>
            <sz val="10"/>
            <color indexed="81"/>
            <rFont val="Tahoma"/>
            <family val="2"/>
          </rPr>
          <t xml:space="preserve">= 63646 - Referinta </t>
        </r>
        <r>
          <rPr>
            <sz val="10"/>
            <color indexed="81"/>
            <rFont val="Tahoma"/>
            <family val="2"/>
          </rPr>
          <t xml:space="preserve">* Galati Km Auto (Responses)
  9/26/2022 1:24:00 PM </t>
        </r>
        <r>
          <rPr>
            <b/>
            <sz val="10"/>
            <color indexed="81"/>
            <rFont val="Tahoma"/>
            <family val="2"/>
          </rPr>
          <t xml:space="preserve">= 63662 - Normal </t>
        </r>
        <r>
          <rPr>
            <sz val="10"/>
            <color indexed="81"/>
            <rFont val="Tahoma"/>
            <family val="2"/>
          </rPr>
          <t xml:space="preserve">* Galati Km Auto (Responses)
</t>
        </r>
      </text>
    </comment>
    <comment ref="AD92" authorId="0" shapeId="0" xr:uid="{F83EE605-1493-48B8-BF4F-13C4D77BF27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9</t>
        </r>
        <r>
          <rPr>
            <sz val="10"/>
            <color indexed="81"/>
            <rFont val="Tahoma"/>
            <family val="2"/>
          </rPr>
          <t xml:space="preserve">/30/2022 11:40:09 PM </t>
        </r>
        <r>
          <rPr>
            <b/>
            <sz val="10"/>
            <color indexed="81"/>
            <rFont val="Tahoma"/>
            <family val="2"/>
          </rPr>
          <t xml:space="preserve">= 63715 - Referinta </t>
        </r>
        <r>
          <rPr>
            <sz val="10"/>
            <color indexed="81"/>
            <rFont val="Tahoma"/>
            <family val="2"/>
          </rPr>
          <t xml:space="preserve">* Galati Km Auto (Responses)
  10/3/2022 8:35:11 AM </t>
        </r>
        <r>
          <rPr>
            <b/>
            <sz val="10"/>
            <color indexed="81"/>
            <rFont val="Tahoma"/>
            <family val="2"/>
          </rPr>
          <t xml:space="preserve">= 63719 - Normal </t>
        </r>
        <r>
          <rPr>
            <sz val="10"/>
            <color indexed="81"/>
            <rFont val="Tahoma"/>
            <family val="2"/>
          </rPr>
          <t xml:space="preserve">* Galati Km Auto (Responses)
</t>
        </r>
      </text>
    </comment>
    <comment ref="J93" authorId="0" shapeId="0" xr:uid="{1D70633D-CE9E-46CF-8CDC-412B2B29C4E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Referinta a fost pusa automat
__________________________________________________________________
</t>
        </r>
        <r>
          <rPr>
            <sz val="10"/>
            <color indexed="12"/>
            <rFont val="Tahoma"/>
            <family val="2"/>
          </rPr>
          <t xml:space="preserve">  </t>
        </r>
        <r>
          <rPr>
            <sz val="10"/>
            <color indexed="81"/>
            <rFont val="Tahoma"/>
            <family val="2"/>
          </rPr>
          <t xml:space="preserve"> 9/2/2022 6:00:48 PM </t>
        </r>
        <r>
          <rPr>
            <b/>
            <sz val="10"/>
            <color indexed="81"/>
            <rFont val="Tahoma"/>
            <family val="2"/>
          </rPr>
          <t xml:space="preserve">= 86121 - Referinta </t>
        </r>
        <r>
          <rPr>
            <sz val="10"/>
            <color indexed="81"/>
            <rFont val="Tahoma"/>
            <family val="2"/>
          </rPr>
          <t xml:space="preserve">* Iasi Km Auto (Responses)
   9/5/2022 7:45:57 AM </t>
        </r>
        <r>
          <rPr>
            <b/>
            <sz val="10"/>
            <color indexed="81"/>
            <rFont val="Tahoma"/>
            <family val="2"/>
          </rPr>
          <t xml:space="preserve">= 86121 - Normal </t>
        </r>
        <r>
          <rPr>
            <sz val="10"/>
            <color indexed="81"/>
            <rFont val="Tahoma"/>
            <family val="2"/>
          </rPr>
          <t xml:space="preserve">* Iasi Km Auto (Responses)
</t>
        </r>
      </text>
    </comment>
    <comment ref="O93" authorId="0" shapeId="0" xr:uid="{B038CCA3-5770-4BEF-85B5-F69D5C0100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 9/9/2022 5:50:00 AM </t>
        </r>
        <r>
          <rPr>
            <b/>
            <sz val="10"/>
            <color indexed="81"/>
            <rFont val="Tahoma"/>
            <family val="2"/>
          </rPr>
          <t xml:space="preserve">= 87561 - Referinta </t>
        </r>
        <r>
          <rPr>
            <sz val="10"/>
            <color indexed="81"/>
            <rFont val="Tahoma"/>
            <family val="2"/>
          </rPr>
          <t xml:space="preserve">* Iasi Km Auto (Responses)
  9/12/2022 8:00:00 AM </t>
        </r>
        <r>
          <rPr>
            <b/>
            <sz val="10"/>
            <color indexed="81"/>
            <rFont val="Tahoma"/>
            <family val="2"/>
          </rPr>
          <t xml:space="preserve">= 87562 - Normal </t>
        </r>
        <r>
          <rPr>
            <sz val="10"/>
            <color indexed="81"/>
            <rFont val="Tahoma"/>
            <family val="2"/>
          </rPr>
          <t xml:space="preserve">* Iasi Km Auto (Responses)
</t>
        </r>
      </text>
    </comment>
    <comment ref="T93" authorId="0" shapeId="0" xr:uid="{1946D079-067C-4E1B-B430-D8F0BB40C1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9/16/2022 6:10:00 AM </t>
        </r>
        <r>
          <rPr>
            <b/>
            <sz val="10"/>
            <color indexed="81"/>
            <rFont val="Tahoma"/>
            <family val="2"/>
          </rPr>
          <t xml:space="preserve">= 88706 - Referinta </t>
        </r>
        <r>
          <rPr>
            <sz val="10"/>
            <color indexed="81"/>
            <rFont val="Tahoma"/>
            <family val="2"/>
          </rPr>
          <t xml:space="preserve">* Iasi Km Auto (Responses)
  9/19/2022 8:00:00 AM </t>
        </r>
        <r>
          <rPr>
            <b/>
            <sz val="10"/>
            <color indexed="81"/>
            <rFont val="Tahoma"/>
            <family val="2"/>
          </rPr>
          <t xml:space="preserve">= 88706 - Normal </t>
        </r>
        <r>
          <rPr>
            <sz val="10"/>
            <color indexed="81"/>
            <rFont val="Tahoma"/>
            <family val="2"/>
          </rPr>
          <t xml:space="preserve">* Iasi Km Auto (Responses)
</t>
        </r>
      </text>
    </comment>
    <comment ref="Y93" authorId="0" shapeId="0" xr:uid="{A3AB8BA0-D081-418D-97A6-32585DD8FD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9/23/2022 3:50:00 AM </t>
        </r>
        <r>
          <rPr>
            <b/>
            <sz val="10"/>
            <color indexed="81"/>
            <rFont val="Tahoma"/>
            <family val="2"/>
          </rPr>
          <t xml:space="preserve">= 89922 - Referinta </t>
        </r>
        <r>
          <rPr>
            <sz val="10"/>
            <color indexed="81"/>
            <rFont val="Tahoma"/>
            <family val="2"/>
          </rPr>
          <t xml:space="preserve">* Iasi Km Auto (Responses)
  9/27/2022 7:30:00 AM </t>
        </r>
        <r>
          <rPr>
            <b/>
            <sz val="10"/>
            <color indexed="81"/>
            <rFont val="Tahoma"/>
            <family val="2"/>
          </rPr>
          <t xml:space="preserve">= 89922 - Normal </t>
        </r>
        <r>
          <rPr>
            <sz val="10"/>
            <color indexed="81"/>
            <rFont val="Tahoma"/>
            <family val="2"/>
          </rPr>
          <t xml:space="preserve">* Iasi Km Auto (Responses)
</t>
        </r>
      </text>
    </comment>
    <comment ref="AD93" authorId="0" shapeId="0" xr:uid="{DF326997-45D7-41D7-8FA3-F5F9F0A441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9/30/2022 5:10:00 AM </t>
        </r>
        <r>
          <rPr>
            <b/>
            <sz val="10"/>
            <color indexed="81"/>
            <rFont val="Tahoma"/>
            <family val="2"/>
          </rPr>
          <t xml:space="preserve">= 90826 - Referinta </t>
        </r>
        <r>
          <rPr>
            <sz val="10"/>
            <color indexed="81"/>
            <rFont val="Tahoma"/>
            <family val="2"/>
          </rPr>
          <t xml:space="preserve">* Iasi Km Auto (Responses)
  10/3/2022 8:00:00 AM </t>
        </r>
        <r>
          <rPr>
            <b/>
            <sz val="10"/>
            <color indexed="81"/>
            <rFont val="Tahoma"/>
            <family val="2"/>
          </rPr>
          <t xml:space="preserve">= 90826 - Normal </t>
        </r>
        <r>
          <rPr>
            <sz val="10"/>
            <color indexed="81"/>
            <rFont val="Tahoma"/>
            <family val="2"/>
          </rPr>
          <t xml:space="preserve">* Iasi Km Auto (Responses)
</t>
        </r>
      </text>
    </comment>
    <comment ref="J94" authorId="0" shapeId="0" xr:uid="{9D6CAAAE-135E-49E9-8B67-5A034547BD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4:26:52 PM </t>
        </r>
        <r>
          <rPr>
            <b/>
            <sz val="10"/>
            <color indexed="81"/>
            <rFont val="Tahoma"/>
            <family val="2"/>
          </rPr>
          <t xml:space="preserve">= 22284 - Referinta </t>
        </r>
        <r>
          <rPr>
            <sz val="10"/>
            <color indexed="81"/>
            <rFont val="Tahoma"/>
            <family val="2"/>
          </rPr>
          <t xml:space="preserve">* Iasi Km Auto (Responses)
  9/5/2022 10:18:27 AM </t>
        </r>
        <r>
          <rPr>
            <b/>
            <sz val="10"/>
            <color indexed="81"/>
            <rFont val="Tahoma"/>
            <family val="2"/>
          </rPr>
          <t xml:space="preserve">= 22292 - Normal </t>
        </r>
        <r>
          <rPr>
            <sz val="10"/>
            <color indexed="81"/>
            <rFont val="Tahoma"/>
            <family val="2"/>
          </rPr>
          <t xml:space="preserve">* Iasi Km Auto (Responses)
</t>
        </r>
      </text>
    </comment>
    <comment ref="O94" authorId="0" shapeId="0" xr:uid="{EB3BF89E-B31E-43E1-9E89-C46E66A4B2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 9/9/2022 4:46:00 AM </t>
        </r>
        <r>
          <rPr>
            <b/>
            <sz val="10"/>
            <color indexed="81"/>
            <rFont val="Tahoma"/>
            <family val="2"/>
          </rPr>
          <t xml:space="preserve">= 22713 - Referinta </t>
        </r>
        <r>
          <rPr>
            <sz val="10"/>
            <color indexed="81"/>
            <rFont val="Tahoma"/>
            <family val="2"/>
          </rPr>
          <t xml:space="preserve">* Iasi Km Auto (Responses)
  9/12/2022 7:28:00 AM </t>
        </r>
        <r>
          <rPr>
            <b/>
            <sz val="10"/>
            <color indexed="81"/>
            <rFont val="Tahoma"/>
            <family val="2"/>
          </rPr>
          <t xml:space="preserve">= 22725 - Normal </t>
        </r>
        <r>
          <rPr>
            <sz val="10"/>
            <color indexed="81"/>
            <rFont val="Tahoma"/>
            <family val="2"/>
          </rPr>
          <t xml:space="preserve">* Iasi Km Auto (Responses)
  9/12/2022 7:30:00 AM </t>
        </r>
        <r>
          <rPr>
            <b/>
            <sz val="10"/>
            <color indexed="81"/>
            <rFont val="Tahoma"/>
            <family val="2"/>
          </rPr>
          <t xml:space="preserve">= 22725 - Normal </t>
        </r>
        <r>
          <rPr>
            <sz val="10"/>
            <color indexed="81"/>
            <rFont val="Tahoma"/>
            <family val="2"/>
          </rPr>
          <t xml:space="preserve">* Iasi Km Auto (Responses)
</t>
        </r>
      </text>
    </comment>
    <comment ref="T94" authorId="0" shapeId="0" xr:uid="{E33F6F2C-870B-407F-9817-64DAF2E6956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9/16/2022 6:09:00 AM </t>
        </r>
        <r>
          <rPr>
            <b/>
            <sz val="10"/>
            <color indexed="81"/>
            <rFont val="Tahoma"/>
            <family val="2"/>
          </rPr>
          <t xml:space="preserve">= 23090 - Referinta </t>
        </r>
        <r>
          <rPr>
            <sz val="10"/>
            <color indexed="81"/>
            <rFont val="Tahoma"/>
            <family val="2"/>
          </rPr>
          <t xml:space="preserve">* Iasi Km Auto (Responses)
  9/19/2022 7:15:00 AM </t>
        </r>
        <r>
          <rPr>
            <b/>
            <sz val="10"/>
            <color indexed="81"/>
            <rFont val="Tahoma"/>
            <family val="2"/>
          </rPr>
          <t xml:space="preserve">= 23100 - Normal </t>
        </r>
        <r>
          <rPr>
            <sz val="10"/>
            <color indexed="81"/>
            <rFont val="Tahoma"/>
            <family val="2"/>
          </rPr>
          <t xml:space="preserve">* Iasi Km Auto (Responses)
</t>
        </r>
      </text>
    </comment>
    <comment ref="Y94" authorId="0" shapeId="0" xr:uid="{DED8DC02-6C1D-4554-A0B8-2F641F1C556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9/23/2022 4:34:00 AM </t>
        </r>
        <r>
          <rPr>
            <b/>
            <sz val="10"/>
            <color indexed="81"/>
            <rFont val="Tahoma"/>
            <family val="2"/>
          </rPr>
          <t xml:space="preserve">= 23477 - Referinta </t>
        </r>
        <r>
          <rPr>
            <sz val="10"/>
            <color indexed="81"/>
            <rFont val="Tahoma"/>
            <family val="2"/>
          </rPr>
          <t xml:space="preserve">* Iasi Km Auto (Responses)
  9/26/2022 7:42:00 AM </t>
        </r>
        <r>
          <rPr>
            <b/>
            <sz val="10"/>
            <color indexed="81"/>
            <rFont val="Tahoma"/>
            <family val="2"/>
          </rPr>
          <t xml:space="preserve">= 23481 - Normal </t>
        </r>
        <r>
          <rPr>
            <sz val="10"/>
            <color indexed="81"/>
            <rFont val="Tahoma"/>
            <family val="2"/>
          </rPr>
          <t xml:space="preserve">* Iasi Km Auto (Responses)
</t>
        </r>
      </text>
    </comment>
    <comment ref="AD94" authorId="0" shapeId="0" xr:uid="{ED24582B-FE25-4CB0-91A7-47E3111E71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9/30/2022 4:08:00 AM </t>
        </r>
        <r>
          <rPr>
            <b/>
            <sz val="10"/>
            <color indexed="81"/>
            <rFont val="Tahoma"/>
            <family val="2"/>
          </rPr>
          <t xml:space="preserve">= 23878 - Referinta </t>
        </r>
        <r>
          <rPr>
            <sz val="10"/>
            <color indexed="81"/>
            <rFont val="Tahoma"/>
            <family val="2"/>
          </rPr>
          <t xml:space="preserve">* Iasi Km Auto (Responses)
  10/3/2022 7:15:00 AM </t>
        </r>
        <r>
          <rPr>
            <b/>
            <sz val="10"/>
            <color indexed="81"/>
            <rFont val="Tahoma"/>
            <family val="2"/>
          </rPr>
          <t xml:space="preserve">= 23893 - Normal </t>
        </r>
        <r>
          <rPr>
            <sz val="10"/>
            <color indexed="81"/>
            <rFont val="Tahoma"/>
            <family val="2"/>
          </rPr>
          <t xml:space="preserve">* Iasi Km Auto (Responses)
</t>
        </r>
      </text>
    </comment>
    <comment ref="J95" authorId="0" shapeId="0" xr:uid="{BB32D1BA-18C8-4E9A-A6A6-0F5DC1F1F67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3:33:54 PM </t>
        </r>
        <r>
          <rPr>
            <b/>
            <sz val="10"/>
            <color indexed="81"/>
            <rFont val="Tahoma"/>
            <family val="2"/>
          </rPr>
          <t xml:space="preserve">= 239535 - Referinta </t>
        </r>
        <r>
          <rPr>
            <sz val="10"/>
            <color indexed="81"/>
            <rFont val="Tahoma"/>
            <family val="2"/>
          </rPr>
          <t xml:space="preserve">* Iasi Km Auto (Responses)
   9/5/2022 7:45:57 AM </t>
        </r>
        <r>
          <rPr>
            <b/>
            <sz val="10"/>
            <color indexed="81"/>
            <rFont val="Tahoma"/>
            <family val="2"/>
          </rPr>
          <t xml:space="preserve">= 239535 - Normal </t>
        </r>
        <r>
          <rPr>
            <sz val="10"/>
            <color indexed="81"/>
            <rFont val="Tahoma"/>
            <family val="2"/>
          </rPr>
          <t xml:space="preserve">* Iasi Km Auto (Responses)
</t>
        </r>
      </text>
    </comment>
    <comment ref="O95" authorId="0" shapeId="0" xr:uid="{104BF3FF-2A14-475D-B8D7-05B8A97871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 9/9/2022 3:58:00 AM </t>
        </r>
        <r>
          <rPr>
            <b/>
            <sz val="10"/>
            <color indexed="81"/>
            <rFont val="Tahoma"/>
            <family val="2"/>
          </rPr>
          <t xml:space="preserve">= 239537 - Referinta </t>
        </r>
        <r>
          <rPr>
            <sz val="10"/>
            <color indexed="81"/>
            <rFont val="Tahoma"/>
            <family val="2"/>
          </rPr>
          <t xml:space="preserve">* Iasi Km Auto (Responses)
  9/12/2022 7:39:00 AM </t>
        </r>
        <r>
          <rPr>
            <b/>
            <sz val="10"/>
            <color indexed="81"/>
            <rFont val="Tahoma"/>
            <family val="2"/>
          </rPr>
          <t xml:space="preserve">= 239537 - Normal </t>
        </r>
        <r>
          <rPr>
            <sz val="10"/>
            <color indexed="81"/>
            <rFont val="Tahoma"/>
            <family val="2"/>
          </rPr>
          <t xml:space="preserve">* Iasi Km Auto (Responses)
</t>
        </r>
      </text>
    </comment>
    <comment ref="T95" authorId="0" shapeId="0" xr:uid="{168A3BF1-5250-44BC-B94F-E97C380F02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9/16/2022 4:10:00 AM </t>
        </r>
        <r>
          <rPr>
            <b/>
            <sz val="10"/>
            <color indexed="81"/>
            <rFont val="Tahoma"/>
            <family val="2"/>
          </rPr>
          <t xml:space="preserve">= 239551 - Referinta </t>
        </r>
        <r>
          <rPr>
            <sz val="10"/>
            <color indexed="81"/>
            <rFont val="Tahoma"/>
            <family val="2"/>
          </rPr>
          <t xml:space="preserve">* Iasi Km Auto (Responses)
  9/19/2022 7:30:00 AM </t>
        </r>
        <r>
          <rPr>
            <b/>
            <sz val="10"/>
            <color indexed="81"/>
            <rFont val="Tahoma"/>
            <family val="2"/>
          </rPr>
          <t xml:space="preserve">= 239584 - Normal </t>
        </r>
        <r>
          <rPr>
            <sz val="10"/>
            <color indexed="81"/>
            <rFont val="Tahoma"/>
            <family val="2"/>
          </rPr>
          <t xml:space="preserve">* Iasi Km Auto (Responses)
</t>
        </r>
      </text>
    </comment>
    <comment ref="Y95" authorId="0" shapeId="0" xr:uid="{2458908C-7874-43E7-819F-68296DECA0B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9/23/2022 4:05:00 AM </t>
        </r>
        <r>
          <rPr>
            <b/>
            <sz val="10"/>
            <color indexed="81"/>
            <rFont val="Tahoma"/>
            <family val="2"/>
          </rPr>
          <t xml:space="preserve">= 239635 - Referinta </t>
        </r>
        <r>
          <rPr>
            <sz val="10"/>
            <color indexed="81"/>
            <rFont val="Tahoma"/>
            <family val="2"/>
          </rPr>
          <t xml:space="preserve">* Iasi Km Auto (Responses)
  9/26/2022 7:30:00 AM </t>
        </r>
        <r>
          <rPr>
            <b/>
            <sz val="10"/>
            <color indexed="81"/>
            <rFont val="Tahoma"/>
            <family val="2"/>
          </rPr>
          <t xml:space="preserve">= 239639 - Normal </t>
        </r>
        <r>
          <rPr>
            <sz val="10"/>
            <color indexed="81"/>
            <rFont val="Tahoma"/>
            <family val="2"/>
          </rPr>
          <t xml:space="preserve">* Iasi Km Auto (Responses)
</t>
        </r>
      </text>
    </comment>
    <comment ref="AD95" authorId="0" shapeId="0" xr:uid="{84BC7ACC-F400-4988-AAB8-8382758B31A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9/30/2022 3:20:00 AM </t>
        </r>
        <r>
          <rPr>
            <b/>
            <sz val="10"/>
            <color indexed="81"/>
            <rFont val="Tahoma"/>
            <family val="2"/>
          </rPr>
          <t xml:space="preserve">= 239756 - Referinta </t>
        </r>
        <r>
          <rPr>
            <sz val="10"/>
            <color indexed="81"/>
            <rFont val="Tahoma"/>
            <family val="2"/>
          </rPr>
          <t xml:space="preserve">* Iasi Km Auto (Responses)
  10/3/2022 7:48:00 AM </t>
        </r>
        <r>
          <rPr>
            <b/>
            <sz val="10"/>
            <color indexed="81"/>
            <rFont val="Tahoma"/>
            <family val="2"/>
          </rPr>
          <t xml:space="preserve">= 239756 - Normal </t>
        </r>
        <r>
          <rPr>
            <sz val="10"/>
            <color indexed="81"/>
            <rFont val="Tahoma"/>
            <family val="2"/>
          </rPr>
          <t xml:space="preserve">* Iasi Km Auto (Responses)
</t>
        </r>
      </text>
    </comment>
    <comment ref="J96" authorId="0" shapeId="0" xr:uid="{0D52B166-0F8E-4BB0-8234-E7B41871F0C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 9/2/2022 5:00:00 AM </t>
        </r>
        <r>
          <rPr>
            <b/>
            <sz val="10"/>
            <color indexed="81"/>
            <rFont val="Tahoma"/>
            <family val="2"/>
          </rPr>
          <t xml:space="preserve">= 45687 - Referinta </t>
        </r>
        <r>
          <rPr>
            <sz val="10"/>
            <color indexed="81"/>
            <rFont val="Tahoma"/>
            <family val="2"/>
          </rPr>
          <t xml:space="preserve">* Iasi Km Auto (Responses)
   9/5/2022 7:47:49 AM </t>
        </r>
        <r>
          <rPr>
            <b/>
            <sz val="10"/>
            <color indexed="81"/>
            <rFont val="Tahoma"/>
            <family val="2"/>
          </rPr>
          <t xml:space="preserve">= 45707 - Normal </t>
        </r>
        <r>
          <rPr>
            <sz val="10"/>
            <color indexed="81"/>
            <rFont val="Tahoma"/>
            <family val="2"/>
          </rPr>
          <t xml:space="preserve">* Iasi Km Auto (Responses)
</t>
        </r>
      </text>
    </comment>
    <comment ref="O96" authorId="0" shapeId="0" xr:uid="{A3CB0786-343D-4513-B1D2-64DBB1FD5C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 9/9/2022 3:49:38 PM </t>
        </r>
        <r>
          <rPr>
            <b/>
            <sz val="10"/>
            <color indexed="81"/>
            <rFont val="Tahoma"/>
            <family val="2"/>
          </rPr>
          <t xml:space="preserve">= 45812 - Referinta </t>
        </r>
        <r>
          <rPr>
            <sz val="10"/>
            <color indexed="81"/>
            <rFont val="Tahoma"/>
            <family val="2"/>
          </rPr>
          <t xml:space="preserve">* Iasi Km Auto (Responses)
  9/12/2022 7:55:45 AM </t>
        </r>
        <r>
          <rPr>
            <b/>
            <sz val="10"/>
            <color indexed="81"/>
            <rFont val="Tahoma"/>
            <family val="2"/>
          </rPr>
          <t xml:space="preserve">= 45818 - Normal </t>
        </r>
        <r>
          <rPr>
            <sz val="10"/>
            <color indexed="81"/>
            <rFont val="Tahoma"/>
            <family val="2"/>
          </rPr>
          <t xml:space="preserve">* Iasi Km Auto (Responses)
</t>
        </r>
      </text>
    </comment>
    <comment ref="T96" authorId="0" shapeId="0" xr:uid="{8FA097AD-22C4-41DA-BF05-1D27306F6C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9/16/2022 3:59:31 PM </t>
        </r>
        <r>
          <rPr>
            <b/>
            <sz val="10"/>
            <color indexed="81"/>
            <rFont val="Tahoma"/>
            <family val="2"/>
          </rPr>
          <t xml:space="preserve">= 45888 - Referinta </t>
        </r>
        <r>
          <rPr>
            <sz val="10"/>
            <color indexed="81"/>
            <rFont val="Tahoma"/>
            <family val="2"/>
          </rPr>
          <t xml:space="preserve">* Iasi Km Auto (Responses)
  9/19/2022 7:43:29 AM </t>
        </r>
        <r>
          <rPr>
            <b/>
            <sz val="10"/>
            <color indexed="81"/>
            <rFont val="Tahoma"/>
            <family val="2"/>
          </rPr>
          <t xml:space="preserve">= 45902 - Normal </t>
        </r>
        <r>
          <rPr>
            <sz val="10"/>
            <color indexed="81"/>
            <rFont val="Tahoma"/>
            <family val="2"/>
          </rPr>
          <t xml:space="preserve">* Iasi Km Auto (Responses)
</t>
        </r>
      </text>
    </comment>
    <comment ref="Y96" authorId="0" shapeId="0" xr:uid="{CF926E47-93A4-4B8D-9AA6-A03739392E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9/23/2022 5:00:56 PM </t>
        </r>
        <r>
          <rPr>
            <b/>
            <sz val="10"/>
            <color indexed="81"/>
            <rFont val="Tahoma"/>
            <family val="2"/>
          </rPr>
          <t xml:space="preserve">= 45976 - Referinta </t>
        </r>
        <r>
          <rPr>
            <sz val="10"/>
            <color indexed="81"/>
            <rFont val="Tahoma"/>
            <family val="2"/>
          </rPr>
          <t xml:space="preserve">* Iasi Km Auto (Responses)
  9/26/2022 7:38:27 AM </t>
        </r>
        <r>
          <rPr>
            <b/>
            <sz val="10"/>
            <color indexed="81"/>
            <rFont val="Tahoma"/>
            <family val="2"/>
          </rPr>
          <t xml:space="preserve">= 46006 - Normal </t>
        </r>
        <r>
          <rPr>
            <sz val="10"/>
            <color indexed="81"/>
            <rFont val="Tahoma"/>
            <family val="2"/>
          </rPr>
          <t xml:space="preserve">* Iasi Km Auto (Responses)
  9/29/2022 5:11:47 PM </t>
        </r>
        <r>
          <rPr>
            <b/>
            <sz val="10"/>
            <color indexed="81"/>
            <rFont val="Tahoma"/>
            <family val="2"/>
          </rPr>
          <t xml:space="preserve">= 46368 - Referinta </t>
        </r>
        <r>
          <rPr>
            <sz val="10"/>
            <color indexed="81"/>
            <rFont val="Tahoma"/>
            <family val="2"/>
          </rPr>
          <t xml:space="preserve">* Iasi Km Auto (Responses)
</t>
        </r>
      </text>
    </comment>
    <comment ref="AD96" authorId="0" shapeId="0" xr:uid="{B607484E-DA58-49EE-B452-5ED93E6974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Referinta a fost pusa automat
__________________________________________________________________
</t>
        </r>
        <r>
          <rPr>
            <sz val="10"/>
            <color indexed="12"/>
            <rFont val="Tahoma"/>
            <family val="2"/>
          </rPr>
          <t xml:space="preserve">  </t>
        </r>
        <r>
          <rPr>
            <sz val="10"/>
            <color indexed="81"/>
            <rFont val="Tahoma"/>
            <family val="2"/>
          </rPr>
          <t xml:space="preserve">10/3/2022 8:16:10 AM </t>
        </r>
        <r>
          <rPr>
            <b/>
            <sz val="10"/>
            <color indexed="81"/>
            <rFont val="Tahoma"/>
            <family val="2"/>
          </rPr>
          <t xml:space="preserve">= 46389 - Referinta </t>
        </r>
        <r>
          <rPr>
            <sz val="10"/>
            <color indexed="81"/>
            <rFont val="Tahoma"/>
            <family val="2"/>
          </rPr>
          <t xml:space="preserve">* Iasi Km Auto (Responses)
  10/3/2022 8:17:58 AM </t>
        </r>
        <r>
          <rPr>
            <b/>
            <sz val="10"/>
            <color indexed="81"/>
            <rFont val="Tahoma"/>
            <family val="2"/>
          </rPr>
          <t xml:space="preserve">= 46389 - Normal </t>
        </r>
        <r>
          <rPr>
            <sz val="10"/>
            <color indexed="81"/>
            <rFont val="Tahoma"/>
            <family val="2"/>
          </rPr>
          <t xml:space="preserve">* Iasi Km Auto (Responses)
</t>
        </r>
      </text>
    </comment>
    <comment ref="J97" authorId="0" shapeId="0" xr:uid="{AFCCD3D6-A76A-46D1-8A61-28BC062FEE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9/5/2022 11:37:28 AM </t>
        </r>
        <r>
          <rPr>
            <b/>
            <sz val="10"/>
            <color indexed="81"/>
            <rFont val="Tahoma"/>
            <family val="2"/>
          </rPr>
          <t xml:space="preserve">= 835302 - Referinta </t>
        </r>
        <r>
          <rPr>
            <sz val="10"/>
            <color indexed="81"/>
            <rFont val="Tahoma"/>
            <family val="2"/>
          </rPr>
          <t xml:space="preserve">* Iasi Km Auto (Responses)
</t>
        </r>
      </text>
    </comment>
    <comment ref="O97" authorId="0" shapeId="0" xr:uid="{7EAB8182-D629-4549-94F2-2E44208757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 9/9/2022 7:24:59 PM </t>
        </r>
        <r>
          <rPr>
            <b/>
            <sz val="10"/>
            <color indexed="81"/>
            <rFont val="Tahoma"/>
            <family val="2"/>
          </rPr>
          <t xml:space="preserve">= 845882 - Referinta </t>
        </r>
        <r>
          <rPr>
            <sz val="10"/>
            <color indexed="81"/>
            <rFont val="Tahoma"/>
            <family val="2"/>
          </rPr>
          <t xml:space="preserve">* Iasi Km Auto (Responses)
</t>
        </r>
      </text>
    </comment>
    <comment ref="T97" authorId="0" shapeId="0" xr:uid="{5129B8BF-52AD-4918-8F76-2B963C853A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9/16/2022 4:15:21 PM </t>
        </r>
        <r>
          <rPr>
            <b/>
            <sz val="10"/>
            <color indexed="81"/>
            <rFont val="Tahoma"/>
            <family val="2"/>
          </rPr>
          <t xml:space="preserve">= 847681 - Referinta </t>
        </r>
        <r>
          <rPr>
            <sz val="10"/>
            <color indexed="81"/>
            <rFont val="Tahoma"/>
            <family val="2"/>
          </rPr>
          <t xml:space="preserve">* Iasi Km Auto (Responses)
  9/20/2022 9:24:56 AM </t>
        </r>
        <r>
          <rPr>
            <b/>
            <sz val="10"/>
            <color indexed="81"/>
            <rFont val="Tahoma"/>
            <family val="2"/>
          </rPr>
          <t xml:space="preserve">= 847681 - Normal </t>
        </r>
        <r>
          <rPr>
            <sz val="10"/>
            <color indexed="81"/>
            <rFont val="Tahoma"/>
            <family val="2"/>
          </rPr>
          <t xml:space="preserve">* Iasi Km Auto (Responses)
</t>
        </r>
      </text>
    </comment>
    <comment ref="Y97" authorId="0" shapeId="0" xr:uid="{B5D55DFB-52A0-4C9E-9965-2F79A9CA48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9/23/2022 3:44:18 PM </t>
        </r>
        <r>
          <rPr>
            <b/>
            <sz val="10"/>
            <color indexed="81"/>
            <rFont val="Tahoma"/>
            <family val="2"/>
          </rPr>
          <t xml:space="preserve">= 855667 - Referinta </t>
        </r>
        <r>
          <rPr>
            <sz val="10"/>
            <color indexed="81"/>
            <rFont val="Tahoma"/>
            <family val="2"/>
          </rPr>
          <t xml:space="preserve">* Iasi Km Auto (Responses)
  9/27/2022 9:40:57 AM </t>
        </r>
        <r>
          <rPr>
            <b/>
            <sz val="10"/>
            <color indexed="81"/>
            <rFont val="Tahoma"/>
            <family val="2"/>
          </rPr>
          <t xml:space="preserve">= 855667 - Normal </t>
        </r>
        <r>
          <rPr>
            <sz val="10"/>
            <color indexed="81"/>
            <rFont val="Tahoma"/>
            <family val="2"/>
          </rPr>
          <t xml:space="preserve">* Iasi Km Auto (Responses)
</t>
        </r>
      </text>
    </comment>
    <comment ref="AD97" authorId="0" shapeId="0" xr:uid="{EFA3BB73-B38B-459C-9CA5-E928BE1D7C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9/30/2022 4:25:57 PM </t>
        </r>
        <r>
          <rPr>
            <b/>
            <sz val="10"/>
            <color indexed="81"/>
            <rFont val="Tahoma"/>
            <family val="2"/>
          </rPr>
          <t xml:space="preserve">= 869374 - Referinta </t>
        </r>
        <r>
          <rPr>
            <sz val="10"/>
            <color indexed="81"/>
            <rFont val="Tahoma"/>
            <family val="2"/>
          </rPr>
          <t xml:space="preserve">* Iasi Km Auto (Responses)
  10/3/2022 8:15:37 AM </t>
        </r>
        <r>
          <rPr>
            <b/>
            <sz val="10"/>
            <color indexed="81"/>
            <rFont val="Tahoma"/>
            <family val="2"/>
          </rPr>
          <t xml:space="preserve">= 869374 - Normal </t>
        </r>
        <r>
          <rPr>
            <sz val="10"/>
            <color indexed="81"/>
            <rFont val="Tahoma"/>
            <family val="2"/>
          </rPr>
          <t xml:space="preserve">* Iasi Km Auto (Responses)
</t>
        </r>
      </text>
    </comment>
    <comment ref="J98" authorId="0" shapeId="0" xr:uid="{DD52A827-F545-4FA1-8412-18FD001DD1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9/5/2022 12:17:13 PM </t>
        </r>
        <r>
          <rPr>
            <b/>
            <sz val="10"/>
            <color indexed="81"/>
            <rFont val="Tahoma"/>
            <family val="2"/>
          </rPr>
          <t xml:space="preserve">= 92318 - Referinta </t>
        </r>
        <r>
          <rPr>
            <sz val="10"/>
            <color indexed="81"/>
            <rFont val="Tahoma"/>
            <family val="2"/>
          </rPr>
          <t xml:space="preserve">* Iasi Km Auto (Responses)
</t>
        </r>
      </text>
    </comment>
    <comment ref="O98" authorId="0" shapeId="0" xr:uid="{8A456A4B-3C97-4755-9400-6FA5C806636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 9/9/2022 9:08:29 PM </t>
        </r>
        <r>
          <rPr>
            <b/>
            <sz val="10"/>
            <color indexed="81"/>
            <rFont val="Tahoma"/>
            <family val="2"/>
          </rPr>
          <t xml:space="preserve">= 92438 - Referinta </t>
        </r>
        <r>
          <rPr>
            <sz val="10"/>
            <color indexed="81"/>
            <rFont val="Tahoma"/>
            <family val="2"/>
          </rPr>
          <t xml:space="preserve">* Iasi Km Auto (Responses)
  9/12/2022 8:13:00 AM </t>
        </r>
        <r>
          <rPr>
            <b/>
            <sz val="10"/>
            <color indexed="81"/>
            <rFont val="Tahoma"/>
            <family val="2"/>
          </rPr>
          <t xml:space="preserve">= 92496 - Normal </t>
        </r>
        <r>
          <rPr>
            <sz val="10"/>
            <color indexed="81"/>
            <rFont val="Tahoma"/>
            <family val="2"/>
          </rPr>
          <t xml:space="preserve">* Iasi Km Auto (Responses)
</t>
        </r>
      </text>
    </comment>
    <comment ref="T98" authorId="0" shapeId="0" xr:uid="{10BE89FB-E0B7-4A70-8907-63D86140930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9/16/2022 5:47:29 PM </t>
        </r>
        <r>
          <rPr>
            <b/>
            <sz val="10"/>
            <color indexed="81"/>
            <rFont val="Tahoma"/>
            <family val="2"/>
          </rPr>
          <t xml:space="preserve">= 92696 - Referinta </t>
        </r>
        <r>
          <rPr>
            <sz val="10"/>
            <color indexed="81"/>
            <rFont val="Tahoma"/>
            <family val="2"/>
          </rPr>
          <t xml:space="preserve">* Iasi Km Auto (Responses)
  9/19/2022 6:36:31 AM </t>
        </r>
        <r>
          <rPr>
            <b/>
            <sz val="10"/>
            <color indexed="81"/>
            <rFont val="Tahoma"/>
            <family val="2"/>
          </rPr>
          <t xml:space="preserve">= 92786 - Normal </t>
        </r>
        <r>
          <rPr>
            <sz val="10"/>
            <color indexed="81"/>
            <rFont val="Tahoma"/>
            <family val="2"/>
          </rPr>
          <t xml:space="preserve">* Iasi Km Auto (Responses)
</t>
        </r>
      </text>
    </comment>
    <comment ref="Y98" authorId="0" shapeId="0" xr:uid="{393C9B0B-DFEF-4038-A870-FD7430535B2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9/23/2022 7:59:31 PM </t>
        </r>
        <r>
          <rPr>
            <b/>
            <sz val="10"/>
            <color indexed="81"/>
            <rFont val="Tahoma"/>
            <family val="2"/>
          </rPr>
          <t xml:space="preserve">= 93146 - Referinta </t>
        </r>
        <r>
          <rPr>
            <sz val="10"/>
            <color indexed="81"/>
            <rFont val="Tahoma"/>
            <family val="2"/>
          </rPr>
          <t xml:space="preserve">* Iasi Km Auto (Responses)
  9/26/2022 6:04:41 AM </t>
        </r>
        <r>
          <rPr>
            <b/>
            <sz val="10"/>
            <color indexed="81"/>
            <rFont val="Tahoma"/>
            <family val="2"/>
          </rPr>
          <t xml:space="preserve">= 93151 - Normal </t>
        </r>
        <r>
          <rPr>
            <sz val="10"/>
            <color indexed="81"/>
            <rFont val="Tahoma"/>
            <family val="2"/>
          </rPr>
          <t xml:space="preserve">* Iasi Km Auto (Responses)
</t>
        </r>
      </text>
    </comment>
    <comment ref="AD98" authorId="0" shapeId="0" xr:uid="{1CBA36D5-80F4-47A6-B31A-716DFE7707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9/30/2022 5:32:29 PM </t>
        </r>
        <r>
          <rPr>
            <b/>
            <sz val="10"/>
            <color indexed="81"/>
            <rFont val="Tahoma"/>
            <family val="2"/>
          </rPr>
          <t xml:space="preserve">= 93279 - Referinta </t>
        </r>
        <r>
          <rPr>
            <sz val="10"/>
            <color indexed="81"/>
            <rFont val="Tahoma"/>
            <family val="2"/>
          </rPr>
          <t xml:space="preserve">* Iasi Km Auto (Responses)
  10/3/2022 7:17:52 AM </t>
        </r>
        <r>
          <rPr>
            <b/>
            <sz val="10"/>
            <color indexed="81"/>
            <rFont val="Tahoma"/>
            <family val="2"/>
          </rPr>
          <t xml:space="preserve">= 93279 - Normal </t>
        </r>
        <r>
          <rPr>
            <sz val="10"/>
            <color indexed="81"/>
            <rFont val="Tahoma"/>
            <family val="2"/>
          </rPr>
          <t xml:space="preserve">* Iasi Km Auto (Responses)
</t>
        </r>
      </text>
    </comment>
    <comment ref="J100" authorId="0" shapeId="0" xr:uid="{E6404889-1286-49DA-B785-79B2EBBDAF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9/5/2022 10:05:58 AM </t>
        </r>
        <r>
          <rPr>
            <b/>
            <sz val="10"/>
            <color indexed="81"/>
            <rFont val="Tahoma"/>
            <family val="2"/>
          </rPr>
          <t xml:space="preserve">= 45587 - Referinta </t>
        </r>
        <r>
          <rPr>
            <sz val="10"/>
            <color indexed="81"/>
            <rFont val="Tahoma"/>
            <family val="2"/>
          </rPr>
          <t xml:space="preserve">* Militari Km Auto (Responses)
  9/5/2022 10:06:39 AM </t>
        </r>
        <r>
          <rPr>
            <b/>
            <sz val="10"/>
            <color indexed="81"/>
            <rFont val="Tahoma"/>
            <family val="2"/>
          </rPr>
          <t xml:space="preserve">= 45599 - Normal </t>
        </r>
        <r>
          <rPr>
            <sz val="10"/>
            <color indexed="81"/>
            <rFont val="Tahoma"/>
            <family val="2"/>
          </rPr>
          <t xml:space="preserve">* Militari Km Auto (Responses)
</t>
        </r>
      </text>
    </comment>
    <comment ref="O100" authorId="0" shapeId="0" xr:uid="{59AB81B1-9A84-4520-BFBF-E4401C657C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9/12/2022 4:12:37 PM </t>
        </r>
        <r>
          <rPr>
            <b/>
            <sz val="10"/>
            <color indexed="81"/>
            <rFont val="Tahoma"/>
            <family val="2"/>
          </rPr>
          <t xml:space="preserve">= 46207 - Referinta </t>
        </r>
        <r>
          <rPr>
            <sz val="10"/>
            <color indexed="81"/>
            <rFont val="Tahoma"/>
            <family val="2"/>
          </rPr>
          <t xml:space="preserve">* Militari Km Auto (Responses)
  9/12/2022 4:13:21 PM </t>
        </r>
        <r>
          <rPr>
            <b/>
            <sz val="10"/>
            <color indexed="81"/>
            <rFont val="Tahoma"/>
            <family val="2"/>
          </rPr>
          <t xml:space="preserve">= 46273 - Normal </t>
        </r>
        <r>
          <rPr>
            <sz val="10"/>
            <color indexed="81"/>
            <rFont val="Tahoma"/>
            <family val="2"/>
          </rPr>
          <t xml:space="preserve">* Militari Km Auto (Responses)
  9/15/2022 3:21:21 PM </t>
        </r>
        <r>
          <rPr>
            <b/>
            <sz val="10"/>
            <color indexed="81"/>
            <rFont val="Tahoma"/>
            <family val="2"/>
          </rPr>
          <t xml:space="preserve">= 46379 - Normal </t>
        </r>
        <r>
          <rPr>
            <sz val="10"/>
            <color indexed="81"/>
            <rFont val="Tahoma"/>
            <family val="2"/>
          </rPr>
          <t xml:space="preserve">* Militari Km Auto (Responses)
  9/15/2022 3:22:16 PM </t>
        </r>
        <r>
          <rPr>
            <b/>
            <sz val="10"/>
            <color indexed="81"/>
            <rFont val="Tahoma"/>
            <family val="2"/>
          </rPr>
          <t xml:space="preserve">= 46383 - Normal </t>
        </r>
        <r>
          <rPr>
            <sz val="10"/>
            <color indexed="81"/>
            <rFont val="Tahoma"/>
            <family val="2"/>
          </rPr>
          <t xml:space="preserve">* Militari Km Auto (Responses)
</t>
        </r>
      </text>
    </comment>
    <comment ref="T100" authorId="0" shapeId="0" xr:uid="{DA57EF87-91B1-4C0F-A701-C69349FE0C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9/19/2022 1:22:01 PM </t>
        </r>
        <r>
          <rPr>
            <b/>
            <sz val="10"/>
            <color indexed="81"/>
            <rFont val="Tahoma"/>
            <family val="2"/>
          </rPr>
          <t xml:space="preserve">= 46626 - Referinta </t>
        </r>
        <r>
          <rPr>
            <sz val="10"/>
            <color indexed="81"/>
            <rFont val="Tahoma"/>
            <family val="2"/>
          </rPr>
          <t xml:space="preserve">* Militari Km Auto (Responses)
  9/19/2022 1:22:53 PM </t>
        </r>
        <r>
          <rPr>
            <b/>
            <sz val="10"/>
            <color indexed="81"/>
            <rFont val="Tahoma"/>
            <family val="2"/>
          </rPr>
          <t xml:space="preserve">= 46652 - Normal </t>
        </r>
        <r>
          <rPr>
            <sz val="10"/>
            <color indexed="81"/>
            <rFont val="Tahoma"/>
            <family val="2"/>
          </rPr>
          <t xml:space="preserve">* Militari Km Auto (Responses)
</t>
        </r>
      </text>
    </comment>
    <comment ref="Y100" authorId="0" shapeId="0" xr:uid="{074C3A73-278F-46F0-85D4-A7DB1512B8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9/26/2022 9:34:31 AM </t>
        </r>
        <r>
          <rPr>
            <b/>
            <sz val="10"/>
            <color indexed="81"/>
            <rFont val="Tahoma"/>
            <family val="2"/>
          </rPr>
          <t xml:space="preserve">= 46902 - Referinta </t>
        </r>
        <r>
          <rPr>
            <sz val="10"/>
            <color indexed="81"/>
            <rFont val="Tahoma"/>
            <family val="2"/>
          </rPr>
          <t xml:space="preserve">* Militari Km Auto (Responses)
  9/26/2022 9:35:15 AM </t>
        </r>
        <r>
          <rPr>
            <b/>
            <sz val="10"/>
            <color indexed="81"/>
            <rFont val="Tahoma"/>
            <family val="2"/>
          </rPr>
          <t xml:space="preserve">= 46907 - Normal </t>
        </r>
        <r>
          <rPr>
            <sz val="10"/>
            <color indexed="81"/>
            <rFont val="Tahoma"/>
            <family val="2"/>
          </rPr>
          <t xml:space="preserve">* Militari Km Auto (Responses)
</t>
        </r>
      </text>
    </comment>
    <comment ref="AD100" authorId="0" shapeId="0" xr:uid="{873B53B9-3467-438C-83AF-36EF4D81FF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10/3/2022 2:02:47 PM </t>
        </r>
        <r>
          <rPr>
            <b/>
            <sz val="10"/>
            <color indexed="81"/>
            <rFont val="Tahoma"/>
            <family val="2"/>
          </rPr>
          <t xml:space="preserve">= 47205 - Referinta </t>
        </r>
        <r>
          <rPr>
            <sz val="10"/>
            <color indexed="81"/>
            <rFont val="Tahoma"/>
            <family val="2"/>
          </rPr>
          <t xml:space="preserve">* Militari Km Auto (Responses)
  10/3/2022 2:03:59 PM </t>
        </r>
        <r>
          <rPr>
            <b/>
            <sz val="10"/>
            <color indexed="81"/>
            <rFont val="Tahoma"/>
            <family val="2"/>
          </rPr>
          <t xml:space="preserve">= 47212 - Normal </t>
        </r>
        <r>
          <rPr>
            <sz val="10"/>
            <color indexed="81"/>
            <rFont val="Tahoma"/>
            <family val="2"/>
          </rPr>
          <t xml:space="preserve">* Militari Km Auto (Responses)
</t>
        </r>
      </text>
    </comment>
    <comment ref="J101" authorId="0" shapeId="0" xr:uid="{0E01EACC-CBE1-4015-96B7-77C86F34D5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Referinta a fost pusa automat
__________________________________________________________________
</t>
        </r>
        <r>
          <rPr>
            <sz val="10"/>
            <color indexed="12"/>
            <rFont val="Tahoma"/>
            <family val="2"/>
          </rPr>
          <t xml:space="preserve">  </t>
        </r>
        <r>
          <rPr>
            <sz val="10"/>
            <color indexed="81"/>
            <rFont val="Tahoma"/>
            <family val="2"/>
          </rPr>
          <t xml:space="preserve"> 9/3/2022 7:12:49 PM </t>
        </r>
        <r>
          <rPr>
            <b/>
            <sz val="10"/>
            <color indexed="81"/>
            <rFont val="Tahoma"/>
            <family val="2"/>
          </rPr>
          <t xml:space="preserve">= 49504 - Referinta </t>
        </r>
        <r>
          <rPr>
            <sz val="10"/>
            <color indexed="81"/>
            <rFont val="Tahoma"/>
            <family val="2"/>
          </rPr>
          <t xml:space="preserve">* Militari Km Auto (Responses)
   9/5/2022 4:38:45 PM </t>
        </r>
        <r>
          <rPr>
            <b/>
            <sz val="10"/>
            <color indexed="81"/>
            <rFont val="Tahoma"/>
            <family val="2"/>
          </rPr>
          <t xml:space="preserve">= 49584 - Normal </t>
        </r>
        <r>
          <rPr>
            <sz val="10"/>
            <color indexed="81"/>
            <rFont val="Tahoma"/>
            <family val="2"/>
          </rPr>
          <t xml:space="preserve">* Militari Km Auto (Responses)
</t>
        </r>
      </text>
    </comment>
    <comment ref="O101" authorId="0" shapeId="0" xr:uid="{07E04A5C-E4DA-4463-8535-62A9D01BF63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__________________________________________________________________
</t>
        </r>
        <r>
          <rPr>
            <sz val="10"/>
            <color indexed="12"/>
            <rFont val="Tahoma"/>
            <family val="2"/>
          </rPr>
          <t xml:space="preserve"> 9</t>
        </r>
        <r>
          <rPr>
            <sz val="10"/>
            <color indexed="81"/>
            <rFont val="Tahoma"/>
            <family val="2"/>
          </rPr>
          <t xml:space="preserve">/10/2022 11:11:34 AM </t>
        </r>
        <r>
          <rPr>
            <b/>
            <sz val="10"/>
            <color indexed="81"/>
            <rFont val="Tahoma"/>
            <family val="2"/>
          </rPr>
          <t xml:space="preserve">= 49794 - Referinta </t>
        </r>
        <r>
          <rPr>
            <sz val="10"/>
            <color indexed="81"/>
            <rFont val="Tahoma"/>
            <family val="2"/>
          </rPr>
          <t xml:space="preserve">* Militari Km Auto (Responses)
  9/12/2022 1:19:48 PM </t>
        </r>
        <r>
          <rPr>
            <b/>
            <sz val="10"/>
            <color indexed="81"/>
            <rFont val="Tahoma"/>
            <family val="2"/>
          </rPr>
          <t xml:space="preserve">= 49814 - Normal </t>
        </r>
        <r>
          <rPr>
            <sz val="10"/>
            <color indexed="81"/>
            <rFont val="Tahoma"/>
            <family val="2"/>
          </rPr>
          <t xml:space="preserve">* Militari Km Auto (Responses)
</t>
        </r>
      </text>
    </comment>
    <comment ref="T101" authorId="0" shapeId="0" xr:uid="{4112A480-2A5B-4085-A772-315E43ECC9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Referinta a fost pusa automat
__________________________________________________________________
</t>
        </r>
        <r>
          <rPr>
            <sz val="10"/>
            <color indexed="12"/>
            <rFont val="Tahoma"/>
            <family val="2"/>
          </rPr>
          <t xml:space="preserve">  </t>
        </r>
        <r>
          <rPr>
            <sz val="10"/>
            <color indexed="81"/>
            <rFont val="Tahoma"/>
            <family val="2"/>
          </rPr>
          <t xml:space="preserve">9/19/2022 9:10:17 AM </t>
        </r>
        <r>
          <rPr>
            <b/>
            <sz val="10"/>
            <color indexed="81"/>
            <rFont val="Tahoma"/>
            <family val="2"/>
          </rPr>
          <t xml:space="preserve">= 49982 - Referinta </t>
        </r>
        <r>
          <rPr>
            <sz val="10"/>
            <color indexed="81"/>
            <rFont val="Tahoma"/>
            <family val="2"/>
          </rPr>
          <t xml:space="preserve">* Militari Km Auto (Responses)
</t>
        </r>
      </text>
    </comment>
    <comment ref="Y101" authorId="0" shapeId="0" xr:uid="{1B28AB7D-AFED-4A9B-8D56-13F330840CE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__________________________________________________________________
</t>
        </r>
        <r>
          <rPr>
            <sz val="10"/>
            <color indexed="12"/>
            <rFont val="Tahoma"/>
            <family val="2"/>
          </rPr>
          <t xml:space="preserve">  </t>
        </r>
        <r>
          <rPr>
            <sz val="10"/>
            <color indexed="81"/>
            <rFont val="Tahoma"/>
            <family val="2"/>
          </rPr>
          <t xml:space="preserve">9/25/2022 7:16:19 PM </t>
        </r>
        <r>
          <rPr>
            <b/>
            <sz val="10"/>
            <color indexed="81"/>
            <rFont val="Tahoma"/>
            <family val="2"/>
          </rPr>
          <t xml:space="preserve">= 50173 - Referinta </t>
        </r>
        <r>
          <rPr>
            <sz val="10"/>
            <color indexed="81"/>
            <rFont val="Tahoma"/>
            <family val="2"/>
          </rPr>
          <t xml:space="preserve">* Militari Km Auto (Responses)
  9/26/2022 5:22:01 PM </t>
        </r>
        <r>
          <rPr>
            <b/>
            <sz val="10"/>
            <color indexed="81"/>
            <rFont val="Tahoma"/>
            <family val="2"/>
          </rPr>
          <t xml:space="preserve">= 50198 - Normal </t>
        </r>
        <r>
          <rPr>
            <sz val="10"/>
            <color indexed="81"/>
            <rFont val="Tahoma"/>
            <family val="2"/>
          </rPr>
          <t xml:space="preserve">* Militari Km Auto (Responses)
</t>
        </r>
      </text>
    </comment>
    <comment ref="AD101" authorId="0" shapeId="0" xr:uid="{5DA3E510-E2CE-4639-A4F7-A595ABF251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__________________________________________________________________
</t>
        </r>
        <r>
          <rPr>
            <sz val="10"/>
            <color indexed="12"/>
            <rFont val="Tahoma"/>
            <family val="2"/>
          </rPr>
          <t xml:space="preserve">  </t>
        </r>
        <r>
          <rPr>
            <sz val="10"/>
            <color indexed="81"/>
            <rFont val="Tahoma"/>
            <family val="2"/>
          </rPr>
          <t xml:space="preserve">9/30/2022 3:55:05 PM </t>
        </r>
        <r>
          <rPr>
            <b/>
            <sz val="10"/>
            <color indexed="81"/>
            <rFont val="Tahoma"/>
            <family val="2"/>
          </rPr>
          <t xml:space="preserve">= 50445 - Referinta </t>
        </r>
        <r>
          <rPr>
            <sz val="10"/>
            <color indexed="81"/>
            <rFont val="Tahoma"/>
            <family val="2"/>
          </rPr>
          <t xml:space="preserve">* Militari Km Auto (Responses)
  10/3/2022 8:42:01 AM </t>
        </r>
        <r>
          <rPr>
            <b/>
            <sz val="10"/>
            <color indexed="81"/>
            <rFont val="Tahoma"/>
            <family val="2"/>
          </rPr>
          <t xml:space="preserve">= 50914 - Normal </t>
        </r>
        <r>
          <rPr>
            <sz val="10"/>
            <color indexed="81"/>
            <rFont val="Tahoma"/>
            <family val="2"/>
          </rPr>
          <t xml:space="preserve">* Militari Km Auto (Responses)
</t>
        </r>
      </text>
    </comment>
    <comment ref="O102" authorId="0" shapeId="0" xr:uid="{53DA6F99-6A4D-488F-B9EA-559117B4D3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__________________________________________________________________
</t>
        </r>
        <r>
          <rPr>
            <sz val="10"/>
            <color indexed="12"/>
            <rFont val="Tahoma"/>
            <family val="2"/>
          </rPr>
          <t xml:space="preserve">  </t>
        </r>
        <r>
          <rPr>
            <sz val="10"/>
            <color indexed="81"/>
            <rFont val="Tahoma"/>
            <family val="2"/>
          </rPr>
          <t xml:space="preserve"> 9/9/2022 5:00:00 AM </t>
        </r>
        <r>
          <rPr>
            <b/>
            <sz val="10"/>
            <color indexed="81"/>
            <rFont val="Tahoma"/>
            <family val="2"/>
          </rPr>
          <t xml:space="preserve">= 59183 - Referinta </t>
        </r>
        <r>
          <rPr>
            <sz val="10"/>
            <color indexed="81"/>
            <rFont val="Tahoma"/>
            <family val="2"/>
          </rPr>
          <t xml:space="preserve">* Militari Km Auto (Responses)
  9/12/2022 8:08:00 AM </t>
        </r>
        <r>
          <rPr>
            <b/>
            <sz val="10"/>
            <color indexed="81"/>
            <rFont val="Tahoma"/>
            <family val="2"/>
          </rPr>
          <t xml:space="preserve">= 59497 - Normal </t>
        </r>
        <r>
          <rPr>
            <sz val="10"/>
            <color indexed="81"/>
            <rFont val="Tahoma"/>
            <family val="2"/>
          </rPr>
          <t xml:space="preserve">* Militari Km Auto (Responses)
</t>
        </r>
      </text>
    </comment>
    <comment ref="T102" authorId="0" shapeId="0" xr:uid="{D401F880-049F-49B0-86B8-9253779682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__________________________________________________________________
</t>
        </r>
        <r>
          <rPr>
            <sz val="10"/>
            <color indexed="12"/>
            <rFont val="Tahoma"/>
            <family val="2"/>
          </rPr>
          <t xml:space="preserve">  </t>
        </r>
        <r>
          <rPr>
            <sz val="10"/>
            <color indexed="81"/>
            <rFont val="Tahoma"/>
            <family val="2"/>
          </rPr>
          <t xml:space="preserve">9/16/2022 3:55:00 AM </t>
        </r>
        <r>
          <rPr>
            <b/>
            <sz val="10"/>
            <color indexed="81"/>
            <rFont val="Tahoma"/>
            <family val="2"/>
          </rPr>
          <t xml:space="preserve">= 60000 - Referinta </t>
        </r>
        <r>
          <rPr>
            <sz val="10"/>
            <color indexed="81"/>
            <rFont val="Tahoma"/>
            <family val="2"/>
          </rPr>
          <t xml:space="preserve">* Militari Km Auto (Responses)
  9/19/2022 7:15:00 AM </t>
        </r>
        <r>
          <rPr>
            <b/>
            <sz val="10"/>
            <color indexed="81"/>
            <rFont val="Tahoma"/>
            <family val="2"/>
          </rPr>
          <t xml:space="preserve">= 60008 - Normal </t>
        </r>
        <r>
          <rPr>
            <sz val="10"/>
            <color indexed="81"/>
            <rFont val="Tahoma"/>
            <family val="2"/>
          </rPr>
          <t xml:space="preserve">* Militari Km Auto (Responses)
</t>
        </r>
      </text>
    </comment>
    <comment ref="Y102" authorId="0" shapeId="0" xr:uid="{F8132D13-43FC-469E-926B-36C03472A5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__________________________________________________________________
</t>
        </r>
        <r>
          <rPr>
            <sz val="10"/>
            <color indexed="12"/>
            <rFont val="Tahoma"/>
            <family val="2"/>
          </rPr>
          <t xml:space="preserve">  </t>
        </r>
        <r>
          <rPr>
            <sz val="10"/>
            <color indexed="81"/>
            <rFont val="Tahoma"/>
            <family val="2"/>
          </rPr>
          <t xml:space="preserve">9/23/2022 5:00:00 AM </t>
        </r>
        <r>
          <rPr>
            <b/>
            <sz val="10"/>
            <color indexed="81"/>
            <rFont val="Tahoma"/>
            <family val="2"/>
          </rPr>
          <t xml:space="preserve">= 60750 - Referinta </t>
        </r>
        <r>
          <rPr>
            <sz val="10"/>
            <color indexed="81"/>
            <rFont val="Tahoma"/>
            <family val="2"/>
          </rPr>
          <t xml:space="preserve">* Militari Km Auto (Responses)
  9/26/2022 8:00:00 AM </t>
        </r>
        <r>
          <rPr>
            <b/>
            <sz val="10"/>
            <color indexed="81"/>
            <rFont val="Tahoma"/>
            <family val="2"/>
          </rPr>
          <t xml:space="preserve">= 61006 - Normal </t>
        </r>
        <r>
          <rPr>
            <sz val="10"/>
            <color indexed="81"/>
            <rFont val="Tahoma"/>
            <family val="2"/>
          </rPr>
          <t xml:space="preserve">* Militari Km Auto (Responses)
</t>
        </r>
      </text>
    </comment>
    <comment ref="J103" authorId="0" shapeId="0" xr:uid="{F9155E38-2ED7-4601-8017-7D92556EF8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3:51:00 AM </t>
        </r>
        <r>
          <rPr>
            <b/>
            <sz val="10"/>
            <color indexed="81"/>
            <rFont val="Tahoma"/>
            <family val="2"/>
          </rPr>
          <t xml:space="preserve">= 5189 - Referinta </t>
        </r>
        <r>
          <rPr>
            <sz val="10"/>
            <color indexed="81"/>
            <rFont val="Tahoma"/>
            <family val="2"/>
          </rPr>
          <t xml:space="preserve">* Militari Km Auto (Responses)
   9/5/2022 7:53:00 AM </t>
        </r>
        <r>
          <rPr>
            <b/>
            <sz val="10"/>
            <color indexed="81"/>
            <rFont val="Tahoma"/>
            <family val="2"/>
          </rPr>
          <t xml:space="preserve">= 5189 - Normal </t>
        </r>
        <r>
          <rPr>
            <sz val="10"/>
            <color indexed="81"/>
            <rFont val="Tahoma"/>
            <family val="2"/>
          </rPr>
          <t xml:space="preserve">* Militari Km Auto (Responses)
</t>
        </r>
      </text>
    </comment>
    <comment ref="O103" authorId="0" shapeId="0" xr:uid="{F542DA71-2E22-4069-B845-CE52B98D0E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4:09:18 PM </t>
        </r>
        <r>
          <rPr>
            <b/>
            <sz val="10"/>
            <color indexed="81"/>
            <rFont val="Tahoma"/>
            <family val="2"/>
          </rPr>
          <t xml:space="preserve">= 5496 - Referinta </t>
        </r>
        <r>
          <rPr>
            <sz val="10"/>
            <color indexed="81"/>
            <rFont val="Tahoma"/>
            <family val="2"/>
          </rPr>
          <t xml:space="preserve">* Militari Km Auto (Responses)
  9/12/2022 4:22:41 PM </t>
        </r>
        <r>
          <rPr>
            <b/>
            <sz val="10"/>
            <color indexed="81"/>
            <rFont val="Tahoma"/>
            <family val="2"/>
          </rPr>
          <t xml:space="preserve">= 5825 - Normal </t>
        </r>
        <r>
          <rPr>
            <sz val="10"/>
            <color indexed="81"/>
            <rFont val="Tahoma"/>
            <family val="2"/>
          </rPr>
          <t xml:space="preserve">* Militari Km Auto (Responses)
</t>
        </r>
      </text>
    </comment>
    <comment ref="T103" authorId="0" shapeId="0" xr:uid="{3B26796B-871A-417D-A48B-EF4E7EBF64E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7:41:47 PM </t>
        </r>
        <r>
          <rPr>
            <b/>
            <sz val="10"/>
            <color indexed="81"/>
            <rFont val="Tahoma"/>
            <family val="2"/>
          </rPr>
          <t xml:space="preserve">= 6162 - Referinta </t>
        </r>
        <r>
          <rPr>
            <sz val="10"/>
            <color indexed="81"/>
            <rFont val="Tahoma"/>
            <family val="2"/>
          </rPr>
          <t xml:space="preserve">* Militari Km Auto (Responses)
  9/19/2022 7:55:08 AM </t>
        </r>
        <r>
          <rPr>
            <b/>
            <sz val="10"/>
            <color indexed="81"/>
            <rFont val="Tahoma"/>
            <family val="2"/>
          </rPr>
          <t xml:space="preserve">= 6366 - Normal </t>
        </r>
        <r>
          <rPr>
            <sz val="10"/>
            <color indexed="81"/>
            <rFont val="Tahoma"/>
            <family val="2"/>
          </rPr>
          <t xml:space="preserve">* Militari Km Auto (Responses)
</t>
        </r>
      </text>
    </comment>
    <comment ref="Y103" authorId="0" shapeId="0" xr:uid="{E5F33BE2-7025-4106-ACAD-F24A528D88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__________________________________________________________________
</t>
        </r>
        <r>
          <rPr>
            <sz val="10"/>
            <color indexed="12"/>
            <rFont val="Tahoma"/>
            <family val="2"/>
          </rPr>
          <t xml:space="preserve">  </t>
        </r>
        <r>
          <rPr>
            <sz val="10"/>
            <color indexed="81"/>
            <rFont val="Tahoma"/>
            <family val="2"/>
          </rPr>
          <t xml:space="preserve">9/23/2022 3:45:00 AM </t>
        </r>
        <r>
          <rPr>
            <b/>
            <sz val="10"/>
            <color indexed="81"/>
            <rFont val="Tahoma"/>
            <family val="2"/>
          </rPr>
          <t xml:space="preserve">= 6472 - Referinta </t>
        </r>
        <r>
          <rPr>
            <sz val="10"/>
            <color indexed="81"/>
            <rFont val="Tahoma"/>
            <family val="2"/>
          </rPr>
          <t xml:space="preserve">* Militari Km Auto (Responses)
  9/26/2022 8:00:00 AM </t>
        </r>
        <r>
          <rPr>
            <b/>
            <sz val="10"/>
            <color indexed="81"/>
            <rFont val="Tahoma"/>
            <family val="2"/>
          </rPr>
          <t xml:space="preserve">= 6496 - Normal </t>
        </r>
        <r>
          <rPr>
            <sz val="10"/>
            <color indexed="81"/>
            <rFont val="Tahoma"/>
            <family val="2"/>
          </rPr>
          <t xml:space="preserve">* Militari Km Auto (Responses)
</t>
        </r>
      </text>
    </comment>
    <comment ref="AD103" authorId="0" shapeId="0" xr:uid="{34A02A28-7ADF-4863-A104-B9B643DB7D8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__________________________________________________________________
</t>
        </r>
        <r>
          <rPr>
            <sz val="10"/>
            <color indexed="12"/>
            <rFont val="Tahoma"/>
            <family val="2"/>
          </rPr>
          <t xml:space="preserve">  </t>
        </r>
        <r>
          <rPr>
            <sz val="10"/>
            <color indexed="81"/>
            <rFont val="Tahoma"/>
            <family val="2"/>
          </rPr>
          <t xml:space="preserve">9/30/2022 7:28:35 PM </t>
        </r>
        <r>
          <rPr>
            <b/>
            <sz val="10"/>
            <color indexed="81"/>
            <rFont val="Tahoma"/>
            <family val="2"/>
          </rPr>
          <t xml:space="preserve">= 6639 - Referinta </t>
        </r>
        <r>
          <rPr>
            <sz val="10"/>
            <color indexed="81"/>
            <rFont val="Tahoma"/>
            <family val="2"/>
          </rPr>
          <t xml:space="preserve">* Militari Km Auto (Responses)
  10/3/2022 6:54:09 PM </t>
        </r>
        <r>
          <rPr>
            <b/>
            <sz val="10"/>
            <color indexed="81"/>
            <rFont val="Tahoma"/>
            <family val="2"/>
          </rPr>
          <t xml:space="preserve">= 6767 - Normal </t>
        </r>
        <r>
          <rPr>
            <sz val="10"/>
            <color indexed="81"/>
            <rFont val="Tahoma"/>
            <family val="2"/>
          </rPr>
          <t xml:space="preserve">* Militari Km Auto (Responses)
</t>
        </r>
      </text>
    </comment>
    <comment ref="AD104" authorId="0" shapeId="0" xr:uid="{3198D419-664C-4059-B4A2-94FCE655AD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Adrian Caba Referinta a fost pusa automat
__________________________________________________________________
</t>
        </r>
        <r>
          <rPr>
            <sz val="10"/>
            <color indexed="12"/>
            <rFont val="Tahoma"/>
            <family val="2"/>
          </rPr>
          <t xml:space="preserve"> 1</t>
        </r>
        <r>
          <rPr>
            <sz val="10"/>
            <color indexed="81"/>
            <rFont val="Tahoma"/>
            <family val="2"/>
          </rPr>
          <t xml:space="preserve">0/4/2022 11:20:19 AM </t>
        </r>
        <r>
          <rPr>
            <b/>
            <sz val="10"/>
            <color indexed="81"/>
            <rFont val="Tahoma"/>
            <family val="2"/>
          </rPr>
          <t xml:space="preserve">= 32565 - Referinta </t>
        </r>
        <r>
          <rPr>
            <sz val="10"/>
            <color indexed="81"/>
            <rFont val="Tahoma"/>
            <family val="2"/>
          </rPr>
          <t xml:space="preserve">* Cluj &amp; Oradea Km Auto (Responses)
</t>
        </r>
      </text>
    </comment>
    <comment ref="J105" authorId="0" shapeId="0" xr:uid="{B4563279-4698-4A75-8930-5D4A73EEBC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Referinta a fost pusa automat
__________________________________________________________________
</t>
        </r>
        <r>
          <rPr>
            <sz val="10"/>
            <color indexed="12"/>
            <rFont val="Tahoma"/>
            <family val="2"/>
          </rPr>
          <t xml:space="preserve">  </t>
        </r>
        <r>
          <rPr>
            <sz val="10"/>
            <color indexed="81"/>
            <rFont val="Tahoma"/>
            <family val="2"/>
          </rPr>
          <t xml:space="preserve"> 9/2/2022 8:55:23 PM </t>
        </r>
        <r>
          <rPr>
            <b/>
            <sz val="10"/>
            <color indexed="81"/>
            <rFont val="Tahoma"/>
            <family val="2"/>
          </rPr>
          <t xml:space="preserve">= 47745 - Referinta </t>
        </r>
        <r>
          <rPr>
            <sz val="10"/>
            <color indexed="81"/>
            <rFont val="Tahoma"/>
            <family val="2"/>
          </rPr>
          <t xml:space="preserve">* Cluj &amp; Oradea Km Auto (Responses)
   9/5/2022 8:28:17 AM </t>
        </r>
        <r>
          <rPr>
            <b/>
            <sz val="10"/>
            <color indexed="81"/>
            <rFont val="Tahoma"/>
            <family val="2"/>
          </rPr>
          <t xml:space="preserve">= 47759 - Normal </t>
        </r>
        <r>
          <rPr>
            <sz val="10"/>
            <color indexed="81"/>
            <rFont val="Tahoma"/>
            <family val="2"/>
          </rPr>
          <t xml:space="preserve">* Cluj &amp; Oradea Km Auto (Responses)
</t>
        </r>
      </text>
    </comment>
    <comment ref="O105" authorId="0" shapeId="0" xr:uid="{F4C0D236-1369-419A-8003-B72B151D06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 9/9/2022 8:58:41 PM </t>
        </r>
        <r>
          <rPr>
            <b/>
            <sz val="10"/>
            <color indexed="81"/>
            <rFont val="Tahoma"/>
            <family val="2"/>
          </rPr>
          <t xml:space="preserve">= 48347 - Referinta </t>
        </r>
        <r>
          <rPr>
            <sz val="10"/>
            <color indexed="81"/>
            <rFont val="Tahoma"/>
            <family val="2"/>
          </rPr>
          <t xml:space="preserve">* Cluj &amp; Oradea Km Auto (Responses)
  9/12/2022 6:51:42 AM </t>
        </r>
        <r>
          <rPr>
            <b/>
            <sz val="10"/>
            <color indexed="81"/>
            <rFont val="Tahoma"/>
            <family val="2"/>
          </rPr>
          <t xml:space="preserve">= 48347 - Normal </t>
        </r>
        <r>
          <rPr>
            <sz val="10"/>
            <color indexed="81"/>
            <rFont val="Tahoma"/>
            <family val="2"/>
          </rPr>
          <t xml:space="preserve">* Cluj &amp; Oradea Km Auto (Responses)
</t>
        </r>
      </text>
    </comment>
    <comment ref="T105" authorId="0" shapeId="0" xr:uid="{8077E6C1-C7D6-4AA3-921B-F2AA3C6F70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9/16/2022 6:22:36 PM </t>
        </r>
        <r>
          <rPr>
            <b/>
            <sz val="10"/>
            <color indexed="81"/>
            <rFont val="Tahoma"/>
            <family val="2"/>
          </rPr>
          <t xml:space="preserve">= 49225 - Referinta </t>
        </r>
        <r>
          <rPr>
            <sz val="10"/>
            <color indexed="81"/>
            <rFont val="Tahoma"/>
            <family val="2"/>
          </rPr>
          <t xml:space="preserve">* Cluj &amp; Oradea Km Auto (Responses)
  9/19/2022 7:21:42 AM </t>
        </r>
        <r>
          <rPr>
            <b/>
            <sz val="10"/>
            <color indexed="81"/>
            <rFont val="Tahoma"/>
            <family val="2"/>
          </rPr>
          <t xml:space="preserve">= 49225 - Normal </t>
        </r>
        <r>
          <rPr>
            <sz val="10"/>
            <color indexed="81"/>
            <rFont val="Tahoma"/>
            <family val="2"/>
          </rPr>
          <t xml:space="preserve">* Cluj &amp; Oradea Km Auto (Responses)
</t>
        </r>
      </text>
    </comment>
    <comment ref="Y105" authorId="0" shapeId="0" xr:uid="{9BBA2D45-75A0-45A4-A49D-7945DEC71A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9/23/2022 6:54:33 PM </t>
        </r>
        <r>
          <rPr>
            <b/>
            <sz val="10"/>
            <color indexed="81"/>
            <rFont val="Tahoma"/>
            <family val="2"/>
          </rPr>
          <t xml:space="preserve">= 49701 - Referinta </t>
        </r>
        <r>
          <rPr>
            <sz val="10"/>
            <color indexed="81"/>
            <rFont val="Tahoma"/>
            <family val="2"/>
          </rPr>
          <t xml:space="preserve">* Cluj &amp; Oradea Km Auto (Responses)
  9/26/2022 7:24:15 AM </t>
        </r>
        <r>
          <rPr>
            <b/>
            <sz val="10"/>
            <color indexed="81"/>
            <rFont val="Tahoma"/>
            <family val="2"/>
          </rPr>
          <t xml:space="preserve">= 49701 - Normal </t>
        </r>
        <r>
          <rPr>
            <sz val="10"/>
            <color indexed="81"/>
            <rFont val="Tahoma"/>
            <family val="2"/>
          </rPr>
          <t xml:space="preserve">* Cluj &amp; Oradea Km Auto (Responses)
</t>
        </r>
      </text>
    </comment>
    <comment ref="AD105" authorId="0" shapeId="0" xr:uid="{A2A67834-D8AA-44FF-AE41-F07BCF9BF4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9/30/2022 7:09:27 PM </t>
        </r>
        <r>
          <rPr>
            <b/>
            <sz val="10"/>
            <color indexed="81"/>
            <rFont val="Tahoma"/>
            <family val="2"/>
          </rPr>
          <t xml:space="preserve">= 50076 - Referinta </t>
        </r>
        <r>
          <rPr>
            <sz val="10"/>
            <color indexed="81"/>
            <rFont val="Tahoma"/>
            <family val="2"/>
          </rPr>
          <t xml:space="preserve">* Cluj &amp; Oradea Km Auto (Responses)
  10/3/2022 7:23:43 AM </t>
        </r>
        <r>
          <rPr>
            <b/>
            <sz val="10"/>
            <color indexed="81"/>
            <rFont val="Tahoma"/>
            <family val="2"/>
          </rPr>
          <t xml:space="preserve">= 50076 - Normal </t>
        </r>
        <r>
          <rPr>
            <sz val="10"/>
            <color indexed="81"/>
            <rFont val="Tahoma"/>
            <family val="2"/>
          </rPr>
          <t xml:space="preserve">* Cluj &amp; Oradea Km Auto (Responses)
</t>
        </r>
      </text>
    </comment>
    <comment ref="J107" authorId="0" shapeId="0" xr:uid="{A29D4DE1-22F3-4974-9528-BE24866A5A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Referinta a fost pusa automat
__________________________________________________________________
</t>
        </r>
        <r>
          <rPr>
            <sz val="10"/>
            <color indexed="12"/>
            <rFont val="Tahoma"/>
            <family val="2"/>
          </rPr>
          <t xml:space="preserve">  </t>
        </r>
        <r>
          <rPr>
            <sz val="10"/>
            <color indexed="81"/>
            <rFont val="Tahoma"/>
            <family val="2"/>
          </rPr>
          <t xml:space="preserve"> 9/2/2022 7:51:58 PM </t>
        </r>
        <r>
          <rPr>
            <b/>
            <sz val="10"/>
            <color indexed="81"/>
            <rFont val="Tahoma"/>
            <family val="2"/>
          </rPr>
          <t xml:space="preserve">= 30943 - Referinta </t>
        </r>
        <r>
          <rPr>
            <sz val="10"/>
            <color indexed="81"/>
            <rFont val="Tahoma"/>
            <family val="2"/>
          </rPr>
          <t xml:space="preserve">* Cluj &amp; Oradea Km Auto (Responses)
   9/5/2022 9:38:10 AM </t>
        </r>
        <r>
          <rPr>
            <b/>
            <sz val="10"/>
            <color indexed="81"/>
            <rFont val="Tahoma"/>
            <family val="2"/>
          </rPr>
          <t xml:space="preserve">= 30947 - Normal </t>
        </r>
        <r>
          <rPr>
            <sz val="10"/>
            <color indexed="81"/>
            <rFont val="Tahoma"/>
            <family val="2"/>
          </rPr>
          <t xml:space="preserve">* Cluj &amp; Oradea Km Auto (Responses)
</t>
        </r>
      </text>
    </comment>
    <comment ref="O107" authorId="0" shapeId="0" xr:uid="{C9CED1E6-4FD8-426D-B76D-3067D994EB1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Referinta a fost pusa automat
__________________________________________________________________
</t>
        </r>
        <r>
          <rPr>
            <sz val="10"/>
            <color indexed="12"/>
            <rFont val="Tahoma"/>
            <family val="2"/>
          </rPr>
          <t xml:space="preserve">  </t>
        </r>
        <r>
          <rPr>
            <sz val="10"/>
            <color indexed="81"/>
            <rFont val="Tahoma"/>
            <family val="2"/>
          </rPr>
          <t xml:space="preserve">9/9/2022 11:59:38 PM </t>
        </r>
        <r>
          <rPr>
            <b/>
            <sz val="10"/>
            <color indexed="81"/>
            <rFont val="Tahoma"/>
            <family val="2"/>
          </rPr>
          <t xml:space="preserve">= 31241 - Referinta </t>
        </r>
        <r>
          <rPr>
            <sz val="10"/>
            <color indexed="81"/>
            <rFont val="Tahoma"/>
            <family val="2"/>
          </rPr>
          <t xml:space="preserve">* Cluj &amp; Oradea Km Auto (Responses)
  9/12/2022 9:55:24 AM </t>
        </r>
        <r>
          <rPr>
            <b/>
            <sz val="10"/>
            <color indexed="81"/>
            <rFont val="Tahoma"/>
            <family val="2"/>
          </rPr>
          <t xml:space="preserve">= 31253 - Normal </t>
        </r>
        <r>
          <rPr>
            <sz val="10"/>
            <color indexed="81"/>
            <rFont val="Tahoma"/>
            <family val="2"/>
          </rPr>
          <t xml:space="preserve">* Cluj &amp; Oradea Km Auto (Responses)
</t>
        </r>
      </text>
    </comment>
    <comment ref="T107" authorId="0" shapeId="0" xr:uid="{A651C74E-7776-419B-ABDB-62ADEB8FB5B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__________________________________________________________________
</t>
        </r>
        <r>
          <rPr>
            <sz val="10"/>
            <color indexed="12"/>
            <rFont val="Tahoma"/>
            <family val="2"/>
          </rPr>
          <t xml:space="preserve">  </t>
        </r>
        <r>
          <rPr>
            <sz val="10"/>
            <color indexed="81"/>
            <rFont val="Tahoma"/>
            <family val="2"/>
          </rPr>
          <t xml:space="preserve">9/16/2022 7:42:13 PM </t>
        </r>
        <r>
          <rPr>
            <b/>
            <sz val="10"/>
            <color indexed="81"/>
            <rFont val="Tahoma"/>
            <family val="2"/>
          </rPr>
          <t xml:space="preserve">= 31461 - Referinta </t>
        </r>
        <r>
          <rPr>
            <sz val="10"/>
            <color indexed="81"/>
            <rFont val="Tahoma"/>
            <family val="2"/>
          </rPr>
          <t xml:space="preserve">* Cluj &amp; Oradea Km Auto (Responses)
  9/19/2022 9:11:53 AM </t>
        </r>
        <r>
          <rPr>
            <b/>
            <sz val="10"/>
            <color indexed="81"/>
            <rFont val="Tahoma"/>
            <family val="2"/>
          </rPr>
          <t xml:space="preserve">= 31466 - Normal </t>
        </r>
        <r>
          <rPr>
            <sz val="10"/>
            <color indexed="81"/>
            <rFont val="Tahoma"/>
            <family val="2"/>
          </rPr>
          <t xml:space="preserve">* Cluj &amp; Oradea Km Auto (Responses)
</t>
        </r>
      </text>
    </comment>
    <comment ref="Y107" authorId="0" shapeId="0" xr:uid="{9249A31E-FA53-4745-BA6C-39FF5009D5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__________________________________________________________________
</t>
        </r>
        <r>
          <rPr>
            <sz val="10"/>
            <color indexed="12"/>
            <rFont val="Tahoma"/>
            <family val="2"/>
          </rPr>
          <t xml:space="preserve">  </t>
        </r>
        <r>
          <rPr>
            <sz val="10"/>
            <color indexed="81"/>
            <rFont val="Tahoma"/>
            <family val="2"/>
          </rPr>
          <t xml:space="preserve">9/23/2022 8:21:46 PM </t>
        </r>
        <r>
          <rPr>
            <b/>
            <sz val="10"/>
            <color indexed="81"/>
            <rFont val="Tahoma"/>
            <family val="2"/>
          </rPr>
          <t xml:space="preserve">= 32033 - Referinta </t>
        </r>
        <r>
          <rPr>
            <sz val="10"/>
            <color indexed="81"/>
            <rFont val="Tahoma"/>
            <family val="2"/>
          </rPr>
          <t xml:space="preserve">* Cluj &amp; Oradea Km Auto (Responses)
 9/27/2022 12:40:57 PM </t>
        </r>
        <r>
          <rPr>
            <b/>
            <sz val="10"/>
            <color indexed="81"/>
            <rFont val="Tahoma"/>
            <family val="2"/>
          </rPr>
          <t xml:space="preserve">= 32445 - Concediu </t>
        </r>
        <r>
          <rPr>
            <sz val="10"/>
            <color indexed="81"/>
            <rFont val="Tahoma"/>
            <family val="2"/>
          </rPr>
          <t xml:space="preserve">* Cluj &amp; Oradea Km Auto (Responses)
</t>
        </r>
      </text>
    </comment>
    <comment ref="AD107" authorId="0" shapeId="0" xr:uid="{CAC31439-F2C7-495C-9C54-84174C4121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Referinta a fost pusa automat
__________________________________________________________________
</t>
        </r>
        <r>
          <rPr>
            <sz val="10"/>
            <color indexed="12"/>
            <rFont val="Tahoma"/>
            <family val="2"/>
          </rPr>
          <t xml:space="preserve">  </t>
        </r>
        <r>
          <rPr>
            <sz val="10"/>
            <color indexed="81"/>
            <rFont val="Tahoma"/>
            <family val="2"/>
          </rPr>
          <t xml:space="preserve">9/30/2022 1:37:25 PM </t>
        </r>
        <r>
          <rPr>
            <b/>
            <sz val="10"/>
            <color indexed="81"/>
            <rFont val="Tahoma"/>
            <family val="2"/>
          </rPr>
          <t xml:space="preserve">= 32445 - Referinta </t>
        </r>
        <r>
          <rPr>
            <sz val="10"/>
            <color indexed="81"/>
            <rFont val="Tahoma"/>
            <family val="2"/>
          </rPr>
          <t xml:space="preserve">* Cluj &amp; Oradea Km Auto (Responses)
  9/30/2022 2:55:56 PM </t>
        </r>
        <r>
          <rPr>
            <b/>
            <sz val="10"/>
            <color indexed="81"/>
            <rFont val="Tahoma"/>
            <family val="2"/>
          </rPr>
          <t xml:space="preserve">= 32565 - Normal </t>
        </r>
        <r>
          <rPr>
            <sz val="10"/>
            <color indexed="81"/>
            <rFont val="Tahoma"/>
            <family val="2"/>
          </rPr>
          <t xml:space="preserve">* Cluj &amp; Oradea Km Auto (Responses)
</t>
        </r>
      </text>
    </comment>
    <comment ref="J108" authorId="0" shapeId="0" xr:uid="{96851846-ED57-48A1-B484-7E6F977012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Referinta a fost pusa automat
__________________________________________________________________
</t>
        </r>
        <r>
          <rPr>
            <sz val="10"/>
            <color indexed="12"/>
            <rFont val="Tahoma"/>
            <family val="2"/>
          </rPr>
          <t xml:space="preserve">  </t>
        </r>
        <r>
          <rPr>
            <sz val="10"/>
            <color indexed="81"/>
            <rFont val="Tahoma"/>
            <family val="2"/>
          </rPr>
          <t xml:space="preserve"> 9/2/2022 7:48:57 PM </t>
        </r>
        <r>
          <rPr>
            <b/>
            <sz val="10"/>
            <color indexed="81"/>
            <rFont val="Tahoma"/>
            <family val="2"/>
          </rPr>
          <t xml:space="preserve">= 32531 - Referinta </t>
        </r>
        <r>
          <rPr>
            <sz val="10"/>
            <color indexed="81"/>
            <rFont val="Tahoma"/>
            <family val="2"/>
          </rPr>
          <t xml:space="preserve">* Cluj &amp; Oradea Km Auto (Responses)
   9/5/2022 7:32:22 AM </t>
        </r>
        <r>
          <rPr>
            <b/>
            <sz val="10"/>
            <color indexed="81"/>
            <rFont val="Tahoma"/>
            <family val="2"/>
          </rPr>
          <t xml:space="preserve">= 32531 - Normal </t>
        </r>
        <r>
          <rPr>
            <sz val="10"/>
            <color indexed="81"/>
            <rFont val="Tahoma"/>
            <family val="2"/>
          </rPr>
          <t xml:space="preserve">* Cluj &amp; Oradea Km Auto (Responses)
</t>
        </r>
      </text>
    </comment>
    <comment ref="O108" authorId="0" shapeId="0" xr:uid="{A042AE80-B6E6-409C-B55D-A66F9096CF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9/9/2022 10:02:43 PM </t>
        </r>
        <r>
          <rPr>
            <b/>
            <sz val="10"/>
            <color indexed="81"/>
            <rFont val="Tahoma"/>
            <family val="2"/>
          </rPr>
          <t xml:space="preserve">= 33169 - Referinta </t>
        </r>
        <r>
          <rPr>
            <sz val="10"/>
            <color indexed="81"/>
            <rFont val="Tahoma"/>
            <family val="2"/>
          </rPr>
          <t xml:space="preserve">* Cluj &amp; Oradea Km Auto (Responses)
  9/12/2022 6:49:00 AM </t>
        </r>
        <r>
          <rPr>
            <b/>
            <sz val="10"/>
            <color indexed="81"/>
            <rFont val="Tahoma"/>
            <family val="2"/>
          </rPr>
          <t xml:space="preserve">= 33169 - Interes serviciu </t>
        </r>
        <r>
          <rPr>
            <sz val="10"/>
            <color indexed="81"/>
            <rFont val="Tahoma"/>
            <family val="2"/>
          </rPr>
          <t xml:space="preserve">* Cluj &amp; Oradea Km Auto (Responses)
</t>
        </r>
      </text>
    </comment>
    <comment ref="T108" authorId="0" shapeId="0" xr:uid="{A49A451A-AF76-4A6A-9091-06CFBA8F45D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9/16/2022 9:35:00 AM </t>
        </r>
        <r>
          <rPr>
            <b/>
            <sz val="10"/>
            <color indexed="81"/>
            <rFont val="Tahoma"/>
            <family val="2"/>
          </rPr>
          <t xml:space="preserve">= 33444 - Referinta </t>
        </r>
        <r>
          <rPr>
            <sz val="10"/>
            <color indexed="81"/>
            <rFont val="Tahoma"/>
            <family val="2"/>
          </rPr>
          <t xml:space="preserve">* Cluj &amp; Oradea Km Auto (Responses)
  9/19/2022 7:15:00 AM </t>
        </r>
        <r>
          <rPr>
            <b/>
            <sz val="10"/>
            <color indexed="81"/>
            <rFont val="Tahoma"/>
            <family val="2"/>
          </rPr>
          <t xml:space="preserve">= 33484 - Normal </t>
        </r>
        <r>
          <rPr>
            <sz val="10"/>
            <color indexed="81"/>
            <rFont val="Tahoma"/>
            <family val="2"/>
          </rPr>
          <t xml:space="preserve">* Cluj &amp; Oradea Km Auto (Responses)
</t>
        </r>
      </text>
    </comment>
    <comment ref="Y108" authorId="0" shapeId="0" xr:uid="{FB36520A-0C62-407F-B123-137792F747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9/23/2022 9:55:00 AM </t>
        </r>
        <r>
          <rPr>
            <b/>
            <sz val="10"/>
            <color indexed="81"/>
            <rFont val="Tahoma"/>
            <family val="2"/>
          </rPr>
          <t xml:space="preserve">= 34735 - Referinta </t>
        </r>
        <r>
          <rPr>
            <sz val="10"/>
            <color indexed="81"/>
            <rFont val="Tahoma"/>
            <family val="2"/>
          </rPr>
          <t xml:space="preserve">* Cluj &amp; Oradea Km Auto (Responses)
 9/26/2022 10:20:00 AM </t>
        </r>
        <r>
          <rPr>
            <b/>
            <sz val="10"/>
            <color indexed="81"/>
            <rFont val="Tahoma"/>
            <family val="2"/>
          </rPr>
          <t xml:space="preserve">= 34740 - Normal </t>
        </r>
        <r>
          <rPr>
            <sz val="10"/>
            <color indexed="81"/>
            <rFont val="Tahoma"/>
            <family val="2"/>
          </rPr>
          <t xml:space="preserve">* Cluj &amp; Oradea Km Auto (Responses)
</t>
        </r>
      </text>
    </comment>
    <comment ref="AD108" authorId="0" shapeId="0" xr:uid="{A1FA43C2-8F35-4A1F-BFD4-8B4A91C489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9/30/2022 9:28:00 AM </t>
        </r>
        <r>
          <rPr>
            <b/>
            <sz val="10"/>
            <color indexed="81"/>
            <rFont val="Tahoma"/>
            <family val="2"/>
          </rPr>
          <t xml:space="preserve">= 35942 - Referinta </t>
        </r>
        <r>
          <rPr>
            <sz val="10"/>
            <color indexed="81"/>
            <rFont val="Tahoma"/>
            <family val="2"/>
          </rPr>
          <t xml:space="preserve">* Cluj &amp; Oradea Km Auto (Responses)
  10/3/2022 7:00:00 AM </t>
        </r>
        <r>
          <rPr>
            <b/>
            <sz val="10"/>
            <color indexed="81"/>
            <rFont val="Tahoma"/>
            <family val="2"/>
          </rPr>
          <t xml:space="preserve">= 35964 - Normal </t>
        </r>
        <r>
          <rPr>
            <sz val="10"/>
            <color indexed="81"/>
            <rFont val="Tahoma"/>
            <family val="2"/>
          </rPr>
          <t xml:space="preserve">* Cluj &amp; Oradea Km Auto (Responses)
</t>
        </r>
      </text>
    </comment>
    <comment ref="J109" authorId="0" shapeId="0" xr:uid="{FF3A9CC8-8E41-46B3-8509-434B973EE0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Referinta a fost pusa automat
__________________________________________________________________
</t>
        </r>
        <r>
          <rPr>
            <sz val="10"/>
            <color indexed="12"/>
            <rFont val="Tahoma"/>
            <family val="2"/>
          </rPr>
          <t xml:space="preserve">  </t>
        </r>
        <r>
          <rPr>
            <sz val="10"/>
            <color indexed="81"/>
            <rFont val="Tahoma"/>
            <family val="2"/>
          </rPr>
          <t xml:space="preserve">9/3/2022 10:36:50 AM </t>
        </r>
        <r>
          <rPr>
            <b/>
            <sz val="10"/>
            <color indexed="81"/>
            <rFont val="Tahoma"/>
            <family val="2"/>
          </rPr>
          <t xml:space="preserve">= 113279 - Referinta </t>
        </r>
        <r>
          <rPr>
            <sz val="10"/>
            <color indexed="81"/>
            <rFont val="Tahoma"/>
            <family val="2"/>
          </rPr>
          <t xml:space="preserve">* Cluj &amp; Oradea Km Auto (Responses)
   9/5/2022 7:32:49 AM </t>
        </r>
        <r>
          <rPr>
            <b/>
            <sz val="10"/>
            <color indexed="81"/>
            <rFont val="Tahoma"/>
            <family val="2"/>
          </rPr>
          <t xml:space="preserve">= 113393 - Normal </t>
        </r>
        <r>
          <rPr>
            <sz val="10"/>
            <color indexed="81"/>
            <rFont val="Tahoma"/>
            <family val="2"/>
          </rPr>
          <t xml:space="preserve">* Cluj &amp; Oradea Km Auto (Responses)
</t>
        </r>
      </text>
    </comment>
    <comment ref="O109" authorId="0" shapeId="0" xr:uid="{2041F873-B34A-44EA-8198-87A3C26923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Referinta a fost pusa automat
__________________________________________________________________
</t>
        </r>
        <r>
          <rPr>
            <sz val="10"/>
            <color indexed="12"/>
            <rFont val="Tahoma"/>
            <family val="2"/>
          </rPr>
          <t xml:space="preserve"> 9</t>
        </r>
        <r>
          <rPr>
            <sz val="10"/>
            <color indexed="81"/>
            <rFont val="Tahoma"/>
            <family val="2"/>
          </rPr>
          <t xml:space="preserve">/10/2022 10:52:46 AM </t>
        </r>
        <r>
          <rPr>
            <b/>
            <sz val="10"/>
            <color indexed="81"/>
            <rFont val="Tahoma"/>
            <family val="2"/>
          </rPr>
          <t xml:space="preserve">= 113778 - Referinta </t>
        </r>
        <r>
          <rPr>
            <sz val="10"/>
            <color indexed="81"/>
            <rFont val="Tahoma"/>
            <family val="2"/>
          </rPr>
          <t xml:space="preserve">* Cluj &amp; Oradea Km Auto (Responses)
  9/12/2022 6:41:00 AM </t>
        </r>
        <r>
          <rPr>
            <b/>
            <sz val="10"/>
            <color indexed="81"/>
            <rFont val="Tahoma"/>
            <family val="2"/>
          </rPr>
          <t xml:space="preserve">= 113849 - Normal </t>
        </r>
        <r>
          <rPr>
            <sz val="10"/>
            <color indexed="81"/>
            <rFont val="Tahoma"/>
            <family val="2"/>
          </rPr>
          <t xml:space="preserve">* Cluj &amp; Oradea Km Auto (Responses)
</t>
        </r>
      </text>
    </comment>
    <comment ref="T109" authorId="0" shapeId="0" xr:uid="{22ABF506-5192-4384-A4EA-23C7F28787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__________________________________________________________________
</t>
        </r>
        <r>
          <rPr>
            <sz val="10"/>
            <color indexed="12"/>
            <rFont val="Tahoma"/>
            <family val="2"/>
          </rPr>
          <t xml:space="preserve">  </t>
        </r>
        <r>
          <rPr>
            <sz val="10"/>
            <color indexed="81"/>
            <rFont val="Tahoma"/>
            <family val="2"/>
          </rPr>
          <t xml:space="preserve">9/16/2022 4:20:00 AM </t>
        </r>
        <r>
          <rPr>
            <b/>
            <sz val="10"/>
            <color indexed="81"/>
            <rFont val="Tahoma"/>
            <family val="2"/>
          </rPr>
          <t xml:space="preserve">= 114193 - Referinta </t>
        </r>
        <r>
          <rPr>
            <sz val="10"/>
            <color indexed="81"/>
            <rFont val="Tahoma"/>
            <family val="2"/>
          </rPr>
          <t xml:space="preserve">* Cluj &amp; Oradea Km Auto (Responses)
  9/19/2022 7:22:00 AM </t>
        </r>
        <r>
          <rPr>
            <b/>
            <sz val="10"/>
            <color indexed="81"/>
            <rFont val="Tahoma"/>
            <family val="2"/>
          </rPr>
          <t xml:space="preserve">= 114193 - Normal </t>
        </r>
        <r>
          <rPr>
            <sz val="10"/>
            <color indexed="81"/>
            <rFont val="Tahoma"/>
            <family val="2"/>
          </rPr>
          <t xml:space="preserve">* Cluj &amp; Oradea Km Auto (Responses)
</t>
        </r>
      </text>
    </comment>
    <comment ref="Y109" authorId="0" shapeId="0" xr:uid="{A37A66BD-7DA3-423F-BCB7-E15CB1E4F7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__________________________________________________________________
</t>
        </r>
        <r>
          <rPr>
            <sz val="10"/>
            <color indexed="12"/>
            <rFont val="Tahoma"/>
            <family val="2"/>
          </rPr>
          <t xml:space="preserve">  </t>
        </r>
        <r>
          <rPr>
            <sz val="10"/>
            <color indexed="81"/>
            <rFont val="Tahoma"/>
            <family val="2"/>
          </rPr>
          <t xml:space="preserve">9/23/2022 8:18:00 AM </t>
        </r>
        <r>
          <rPr>
            <b/>
            <sz val="10"/>
            <color indexed="81"/>
            <rFont val="Tahoma"/>
            <family val="2"/>
          </rPr>
          <t xml:space="preserve">= 114725 - Referinta </t>
        </r>
        <r>
          <rPr>
            <sz val="10"/>
            <color indexed="81"/>
            <rFont val="Tahoma"/>
            <family val="2"/>
          </rPr>
          <t xml:space="preserve">* Cluj &amp; Oradea Km Auto (Responses)
  9/26/2022 7:31:00 AM </t>
        </r>
        <r>
          <rPr>
            <b/>
            <sz val="10"/>
            <color indexed="81"/>
            <rFont val="Tahoma"/>
            <family val="2"/>
          </rPr>
          <t xml:space="preserve">= 114875 - Normal </t>
        </r>
        <r>
          <rPr>
            <sz val="10"/>
            <color indexed="81"/>
            <rFont val="Tahoma"/>
            <family val="2"/>
          </rPr>
          <t xml:space="preserve">* Cluj &amp; Oradea Km Auto (Responses)
</t>
        </r>
      </text>
    </comment>
    <comment ref="AD109" authorId="0" shapeId="0" xr:uid="{FB9A1A93-058D-4A16-AE56-7FED380DD1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__________________________________________________________________
</t>
        </r>
        <r>
          <rPr>
            <sz val="10"/>
            <color indexed="12"/>
            <rFont val="Tahoma"/>
            <family val="2"/>
          </rPr>
          <t xml:space="preserve">  </t>
        </r>
        <r>
          <rPr>
            <sz val="10"/>
            <color indexed="81"/>
            <rFont val="Tahoma"/>
            <family val="2"/>
          </rPr>
          <t xml:space="preserve">9/30/2022 8:24:00 AM </t>
        </r>
        <r>
          <rPr>
            <b/>
            <sz val="10"/>
            <color indexed="81"/>
            <rFont val="Tahoma"/>
            <family val="2"/>
          </rPr>
          <t xml:space="preserve">= 115250 - Referinta </t>
        </r>
        <r>
          <rPr>
            <sz val="10"/>
            <color indexed="81"/>
            <rFont val="Tahoma"/>
            <family val="2"/>
          </rPr>
          <t xml:space="preserve">* Cluj &amp; Oradea Km Auto (Responses)
  10/3/2022 7:16:00 AM </t>
        </r>
        <r>
          <rPr>
            <b/>
            <sz val="10"/>
            <color indexed="81"/>
            <rFont val="Tahoma"/>
            <family val="2"/>
          </rPr>
          <t xml:space="preserve">= 115344 - Normal </t>
        </r>
        <r>
          <rPr>
            <sz val="10"/>
            <color indexed="81"/>
            <rFont val="Tahoma"/>
            <family val="2"/>
          </rPr>
          <t xml:space="preserve">* Cluj &amp; Oradea Km Auto (Responses)
</t>
        </r>
      </text>
    </comment>
    <comment ref="J110" authorId="0" shapeId="0" xr:uid="{65699B07-DE7A-42AE-AC9E-4F7C4EADF7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6:25:28 PM </t>
        </r>
        <r>
          <rPr>
            <b/>
            <sz val="10"/>
            <color indexed="81"/>
            <rFont val="Tahoma"/>
            <family val="2"/>
          </rPr>
          <t xml:space="preserve">= 42747 - Referinta </t>
        </r>
        <r>
          <rPr>
            <sz val="10"/>
            <color indexed="81"/>
            <rFont val="Tahoma"/>
            <family val="2"/>
          </rPr>
          <t xml:space="preserve">* Otopeni Km Auto (Responses)
   9/5/2022 7:16:52 AM </t>
        </r>
        <r>
          <rPr>
            <b/>
            <sz val="10"/>
            <color indexed="81"/>
            <rFont val="Tahoma"/>
            <family val="2"/>
          </rPr>
          <t xml:space="preserve">= 43096 - Normal </t>
        </r>
        <r>
          <rPr>
            <sz val="10"/>
            <color indexed="81"/>
            <rFont val="Tahoma"/>
            <family val="2"/>
          </rPr>
          <t xml:space="preserve">* Otopeni Km Auto (Responses)
</t>
        </r>
      </text>
    </comment>
    <comment ref="O110" authorId="0" shapeId="0" xr:uid="{68E1796A-1B46-4C0C-A5F2-6B14CC07D5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 9/9/2022 6:19:00 AM </t>
        </r>
        <r>
          <rPr>
            <b/>
            <sz val="10"/>
            <color indexed="81"/>
            <rFont val="Tahoma"/>
            <family val="2"/>
          </rPr>
          <t xml:space="preserve">= 43509 - Referinta </t>
        </r>
        <r>
          <rPr>
            <sz val="10"/>
            <color indexed="81"/>
            <rFont val="Tahoma"/>
            <family val="2"/>
          </rPr>
          <t xml:space="preserve">* Otopeni Km Auto (Responses)
</t>
        </r>
      </text>
    </comment>
    <comment ref="T110" authorId="0" shapeId="0" xr:uid="{68CE25E6-84DA-4A31-8053-8C465060C7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9/19/2022 7:50:00 AM </t>
        </r>
        <r>
          <rPr>
            <b/>
            <sz val="10"/>
            <color indexed="81"/>
            <rFont val="Tahoma"/>
            <family val="2"/>
          </rPr>
          <t xml:space="preserve">= 44256 - Referinta </t>
        </r>
        <r>
          <rPr>
            <sz val="10"/>
            <color indexed="81"/>
            <rFont val="Tahoma"/>
            <family val="2"/>
          </rPr>
          <t xml:space="preserve">* Otopeni Km Auto (Responses)
</t>
        </r>
      </text>
    </comment>
    <comment ref="Y110" authorId="0" shapeId="0" xr:uid="{11665FB7-0BE6-4BBB-9A9A-11FAA251B20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9/23/2022 7:32:00 AM </t>
        </r>
        <r>
          <rPr>
            <b/>
            <sz val="10"/>
            <color indexed="81"/>
            <rFont val="Tahoma"/>
            <family val="2"/>
          </rPr>
          <t xml:space="preserve">= 44558 - Referinta </t>
        </r>
        <r>
          <rPr>
            <sz val="10"/>
            <color indexed="81"/>
            <rFont val="Tahoma"/>
            <family val="2"/>
          </rPr>
          <t xml:space="preserve">* Otopeni Km Auto (Responses)
  9/26/2022 7:30:00 AM </t>
        </r>
        <r>
          <rPr>
            <b/>
            <sz val="10"/>
            <color indexed="81"/>
            <rFont val="Tahoma"/>
            <family val="2"/>
          </rPr>
          <t xml:space="preserve">= 44752 - Normal </t>
        </r>
        <r>
          <rPr>
            <sz val="10"/>
            <color indexed="81"/>
            <rFont val="Tahoma"/>
            <family val="2"/>
          </rPr>
          <t xml:space="preserve">* Otopeni Km Auto (Responses)
</t>
        </r>
      </text>
    </comment>
    <comment ref="AD110" authorId="0" shapeId="0" xr:uid="{33F8CAE1-9F14-43D2-B2F3-B433068127A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9/30/2022 5:45:00 AM </t>
        </r>
        <r>
          <rPr>
            <b/>
            <sz val="10"/>
            <color indexed="81"/>
            <rFont val="Tahoma"/>
            <family val="2"/>
          </rPr>
          <t xml:space="preserve">= 45193 - Referinta </t>
        </r>
        <r>
          <rPr>
            <sz val="10"/>
            <color indexed="81"/>
            <rFont val="Tahoma"/>
            <family val="2"/>
          </rPr>
          <t xml:space="preserve">* Otopeni Km Auto (Responses)
  10/3/2022 7:15:00 AM </t>
        </r>
        <r>
          <rPr>
            <b/>
            <sz val="10"/>
            <color indexed="81"/>
            <rFont val="Tahoma"/>
            <family val="2"/>
          </rPr>
          <t xml:space="preserve">= 45350 - Normal </t>
        </r>
        <r>
          <rPr>
            <sz val="10"/>
            <color indexed="81"/>
            <rFont val="Tahoma"/>
            <family val="2"/>
          </rPr>
          <t xml:space="preserve">* Otopeni Km Auto (Responses)
</t>
        </r>
      </text>
    </comment>
    <comment ref="T111" authorId="0" shapeId="0" xr:uid="{2BFA2D2F-DB18-420E-8CA1-27053F4EF4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__________________________________________________________________
</t>
        </r>
        <r>
          <rPr>
            <sz val="10"/>
            <color indexed="12"/>
            <rFont val="Tahoma"/>
            <family val="2"/>
          </rPr>
          <t xml:space="preserve">  </t>
        </r>
        <r>
          <rPr>
            <sz val="10"/>
            <color indexed="81"/>
            <rFont val="Tahoma"/>
            <family val="2"/>
          </rPr>
          <t xml:space="preserve">9/16/2022 7:47:46 PM </t>
        </r>
        <r>
          <rPr>
            <b/>
            <sz val="10"/>
            <color indexed="81"/>
            <rFont val="Tahoma"/>
            <family val="2"/>
          </rPr>
          <t xml:space="preserve">= 212206 - Referinta </t>
        </r>
        <r>
          <rPr>
            <sz val="10"/>
            <color indexed="81"/>
            <rFont val="Tahoma"/>
            <family val="2"/>
          </rPr>
          <t xml:space="preserve">* Bucuresti Marfa Km Auto (Responses)
  9/19/2022 7:59:53 AM </t>
        </r>
        <r>
          <rPr>
            <b/>
            <sz val="10"/>
            <color indexed="81"/>
            <rFont val="Tahoma"/>
            <family val="2"/>
          </rPr>
          <t xml:space="preserve">= 212207 - Normal </t>
        </r>
        <r>
          <rPr>
            <sz val="10"/>
            <color indexed="81"/>
            <rFont val="Tahoma"/>
            <family val="2"/>
          </rPr>
          <t xml:space="preserve">* Bucuresti Marfa Km Auto (Responses)
</t>
        </r>
      </text>
    </comment>
    <comment ref="Y111" authorId="0" shapeId="0" xr:uid="{BA5A9DB2-9421-4BA1-9A7B-29244E607B6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__________________________________________________________________
</t>
        </r>
        <r>
          <rPr>
            <sz val="10"/>
            <color indexed="12"/>
            <rFont val="Tahoma"/>
            <family val="2"/>
          </rPr>
          <t xml:space="preserve">  </t>
        </r>
        <r>
          <rPr>
            <sz val="10"/>
            <color indexed="81"/>
            <rFont val="Tahoma"/>
            <family val="2"/>
          </rPr>
          <t xml:space="preserve">9/23/2022 6:45:01 PM </t>
        </r>
        <r>
          <rPr>
            <b/>
            <sz val="10"/>
            <color indexed="81"/>
            <rFont val="Tahoma"/>
            <family val="2"/>
          </rPr>
          <t xml:space="preserve">= 212781 - Referinta </t>
        </r>
        <r>
          <rPr>
            <sz val="10"/>
            <color indexed="81"/>
            <rFont val="Tahoma"/>
            <family val="2"/>
          </rPr>
          <t xml:space="preserve">* Bucuresti Marfa Km Auto (Responses)
  9/26/2022 7:45:52 AM </t>
        </r>
        <r>
          <rPr>
            <b/>
            <sz val="10"/>
            <color indexed="81"/>
            <rFont val="Tahoma"/>
            <family val="2"/>
          </rPr>
          <t xml:space="preserve">= 212781 - Normal </t>
        </r>
        <r>
          <rPr>
            <sz val="10"/>
            <color indexed="81"/>
            <rFont val="Tahoma"/>
            <family val="2"/>
          </rPr>
          <t xml:space="preserve">* Bucuresti Marfa Km Auto (Responses)
</t>
        </r>
      </text>
    </comment>
    <comment ref="J112" authorId="0" shapeId="0" xr:uid="{C028C741-1860-4326-90FA-BE6C25753F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Referinta a fost pusa automat
__________________________________________________________________
</t>
        </r>
        <r>
          <rPr>
            <sz val="10"/>
            <color indexed="12"/>
            <rFont val="Tahoma"/>
            <family val="2"/>
          </rPr>
          <t xml:space="preserve">  </t>
        </r>
        <r>
          <rPr>
            <sz val="10"/>
            <color indexed="81"/>
            <rFont val="Tahoma"/>
            <family val="2"/>
          </rPr>
          <t xml:space="preserve"> 9/5/2022 8:15:24 AM </t>
        </r>
        <r>
          <rPr>
            <b/>
            <sz val="10"/>
            <color indexed="81"/>
            <rFont val="Tahoma"/>
            <family val="2"/>
          </rPr>
          <t xml:space="preserve">= 16436 - Referinta </t>
        </r>
        <r>
          <rPr>
            <sz val="10"/>
            <color indexed="81"/>
            <rFont val="Tahoma"/>
            <family val="2"/>
          </rPr>
          <t xml:space="preserve">* Otopeni Km Auto (Responses)
   9/5/2022 8:21:35 AM </t>
        </r>
        <r>
          <rPr>
            <b/>
            <sz val="10"/>
            <color indexed="81"/>
            <rFont val="Tahoma"/>
            <family val="2"/>
          </rPr>
          <t xml:space="preserve">= 16439 - Normal </t>
        </r>
        <r>
          <rPr>
            <sz val="10"/>
            <color indexed="81"/>
            <rFont val="Tahoma"/>
            <family val="2"/>
          </rPr>
          <t xml:space="preserve">* Otopeni Km Auto (Responses)
</t>
        </r>
      </text>
    </comment>
    <comment ref="O112" authorId="0" shapeId="0" xr:uid="{7F008F28-5A34-42C0-858E-33054707AC9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Referinta a fost pusa automat
__________________________________________________________________
</t>
        </r>
        <r>
          <rPr>
            <sz val="10"/>
            <color indexed="12"/>
            <rFont val="Tahoma"/>
            <family val="2"/>
          </rPr>
          <t xml:space="preserve">  </t>
        </r>
        <r>
          <rPr>
            <sz val="10"/>
            <color indexed="81"/>
            <rFont val="Tahoma"/>
            <family val="2"/>
          </rPr>
          <t xml:space="preserve"> 9/9/2022 4:16:00 AM </t>
        </r>
        <r>
          <rPr>
            <b/>
            <sz val="10"/>
            <color indexed="81"/>
            <rFont val="Tahoma"/>
            <family val="2"/>
          </rPr>
          <t xml:space="preserve">= 16735 - Referinta </t>
        </r>
        <r>
          <rPr>
            <sz val="10"/>
            <color indexed="81"/>
            <rFont val="Tahoma"/>
            <family val="2"/>
          </rPr>
          <t xml:space="preserve">* Otopeni Km Auto (Responses)
  9/12/2022 7:01:00 AM </t>
        </r>
        <r>
          <rPr>
            <b/>
            <sz val="10"/>
            <color indexed="81"/>
            <rFont val="Tahoma"/>
            <family val="2"/>
          </rPr>
          <t xml:space="preserve">= 16735 - Normal </t>
        </r>
        <r>
          <rPr>
            <sz val="10"/>
            <color indexed="81"/>
            <rFont val="Tahoma"/>
            <family val="2"/>
          </rPr>
          <t xml:space="preserve">* Otopeni Km Auto (Responses)
</t>
        </r>
      </text>
    </comment>
    <comment ref="T112" authorId="0" shapeId="0" xr:uid="{D7A13C4E-ABCF-4302-A330-10B5EFF1328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__________________________________________________________________
</t>
        </r>
        <r>
          <rPr>
            <sz val="10"/>
            <color indexed="12"/>
            <rFont val="Tahoma"/>
            <family val="2"/>
          </rPr>
          <t xml:space="preserve">  </t>
        </r>
        <r>
          <rPr>
            <sz val="10"/>
            <color indexed="81"/>
            <rFont val="Tahoma"/>
            <family val="2"/>
          </rPr>
          <t xml:space="preserve">9/16/2022 9:15:00 AM </t>
        </r>
        <r>
          <rPr>
            <b/>
            <sz val="10"/>
            <color indexed="81"/>
            <rFont val="Tahoma"/>
            <family val="2"/>
          </rPr>
          <t xml:space="preserve">= 16990 - Referinta </t>
        </r>
        <r>
          <rPr>
            <sz val="10"/>
            <color indexed="81"/>
            <rFont val="Tahoma"/>
            <family val="2"/>
          </rPr>
          <t xml:space="preserve">* Otopeni Km Auto (Responses)
 9/19/2022 12:38:00 PM </t>
        </r>
        <r>
          <rPr>
            <b/>
            <sz val="10"/>
            <color indexed="81"/>
            <rFont val="Tahoma"/>
            <family val="2"/>
          </rPr>
          <t xml:space="preserve">= 16990 - Normal </t>
        </r>
        <r>
          <rPr>
            <sz val="10"/>
            <color indexed="81"/>
            <rFont val="Tahoma"/>
            <family val="2"/>
          </rPr>
          <t xml:space="preserve">* Otopeni Km Auto (Responses)
</t>
        </r>
      </text>
    </comment>
    <comment ref="Y112" authorId="0" shapeId="0" xr:uid="{492014BF-0C0F-4BC4-A0D6-9562ABF8AE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__________________________________________________________________
</t>
        </r>
        <r>
          <rPr>
            <sz val="10"/>
            <color indexed="12"/>
            <rFont val="Tahoma"/>
            <family val="2"/>
          </rPr>
          <t xml:space="preserve"> 9</t>
        </r>
        <r>
          <rPr>
            <sz val="10"/>
            <color indexed="81"/>
            <rFont val="Tahoma"/>
            <family val="2"/>
          </rPr>
          <t xml:space="preserve">/25/2022 11:10:00 AM </t>
        </r>
        <r>
          <rPr>
            <b/>
            <sz val="10"/>
            <color indexed="81"/>
            <rFont val="Tahoma"/>
            <family val="2"/>
          </rPr>
          <t xml:space="preserve">= 17366 - Referinta </t>
        </r>
        <r>
          <rPr>
            <sz val="10"/>
            <color indexed="81"/>
            <rFont val="Tahoma"/>
            <family val="2"/>
          </rPr>
          <t xml:space="preserve">* Otopeni Km Auto (Responses)
 9/25/2022 11:17:00 AM </t>
        </r>
        <r>
          <rPr>
            <b/>
            <sz val="10"/>
            <color indexed="81"/>
            <rFont val="Tahoma"/>
            <family val="2"/>
          </rPr>
          <t xml:space="preserve">= 17366 - Normal </t>
        </r>
        <r>
          <rPr>
            <sz val="10"/>
            <color indexed="81"/>
            <rFont val="Tahoma"/>
            <family val="2"/>
          </rPr>
          <t xml:space="preserve">* Otopeni Km Auto (Responses)
 9/26/2022 10:20:00 AM </t>
        </r>
        <r>
          <rPr>
            <b/>
            <sz val="10"/>
            <color indexed="81"/>
            <rFont val="Tahoma"/>
            <family val="2"/>
          </rPr>
          <t xml:space="preserve">= 17366 - Normal </t>
        </r>
        <r>
          <rPr>
            <sz val="10"/>
            <color indexed="81"/>
            <rFont val="Tahoma"/>
            <family val="2"/>
          </rPr>
          <t xml:space="preserve">* Otopeni Km Auto (Responses)
</t>
        </r>
      </text>
    </comment>
    <comment ref="AD112" authorId="0" shapeId="0" xr:uid="{45679F0F-E398-4832-8443-316C9D7C4E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__________________________________________________________________
</t>
        </r>
        <r>
          <rPr>
            <sz val="10"/>
            <color indexed="12"/>
            <rFont val="Tahoma"/>
            <family val="2"/>
          </rPr>
          <t xml:space="preserve"> 1</t>
        </r>
        <r>
          <rPr>
            <sz val="10"/>
            <color indexed="81"/>
            <rFont val="Tahoma"/>
            <family val="2"/>
          </rPr>
          <t xml:space="preserve">0/2/2022 10:19:00 AM </t>
        </r>
        <r>
          <rPr>
            <b/>
            <sz val="10"/>
            <color indexed="81"/>
            <rFont val="Tahoma"/>
            <family val="2"/>
          </rPr>
          <t xml:space="preserve">= 17773 - Referinta </t>
        </r>
        <r>
          <rPr>
            <sz val="10"/>
            <color indexed="81"/>
            <rFont val="Tahoma"/>
            <family val="2"/>
          </rPr>
          <t xml:space="preserve">* Otopeni Km Auto (Responses)
  10/3/2022 8:12:46 AM </t>
        </r>
        <r>
          <rPr>
            <b/>
            <sz val="10"/>
            <color indexed="81"/>
            <rFont val="Tahoma"/>
            <family val="2"/>
          </rPr>
          <t xml:space="preserve">= 17779 - Normal </t>
        </r>
        <r>
          <rPr>
            <sz val="10"/>
            <color indexed="81"/>
            <rFont val="Tahoma"/>
            <family val="2"/>
          </rPr>
          <t xml:space="preserve">* Otopeni Km Auto (Responses)
  10/3/2022 8:15:00 AM </t>
        </r>
        <r>
          <rPr>
            <b/>
            <sz val="10"/>
            <color indexed="81"/>
            <rFont val="Tahoma"/>
            <family val="2"/>
          </rPr>
          <t xml:space="preserve">= 17779 - Normal </t>
        </r>
        <r>
          <rPr>
            <sz val="10"/>
            <color indexed="81"/>
            <rFont val="Tahoma"/>
            <family val="2"/>
          </rPr>
          <t xml:space="preserve">* Otopeni Km Auto (Responses)
</t>
        </r>
      </text>
    </comment>
    <comment ref="J113" authorId="0" shapeId="0" xr:uid="{F6EBB335-E90B-4E10-A3C3-0E06E3CEBC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9/5/2022 6:54:39 AM </t>
        </r>
        <r>
          <rPr>
            <b/>
            <sz val="10"/>
            <color indexed="81"/>
            <rFont val="Tahoma"/>
            <family val="2"/>
          </rPr>
          <t xml:space="preserve">= 48783 - Referinta </t>
        </r>
        <r>
          <rPr>
            <sz val="10"/>
            <color indexed="81"/>
            <rFont val="Tahoma"/>
            <family val="2"/>
          </rPr>
          <t xml:space="preserve">* Otopeni Km Auto (Responses)
   9/5/2022 6:56:09 AM </t>
        </r>
        <r>
          <rPr>
            <b/>
            <sz val="10"/>
            <color indexed="81"/>
            <rFont val="Tahoma"/>
            <family val="2"/>
          </rPr>
          <t xml:space="preserve">= 48788 - Normal </t>
        </r>
        <r>
          <rPr>
            <sz val="10"/>
            <color indexed="81"/>
            <rFont val="Tahoma"/>
            <family val="2"/>
          </rPr>
          <t xml:space="preserve">* Otopeni Km Auto (Responses)
</t>
        </r>
      </text>
    </comment>
    <comment ref="O113" authorId="0" shapeId="0" xr:uid="{09549FD6-8E90-47E4-B168-460F22F9A3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__________________________________________________________________
</t>
        </r>
        <r>
          <rPr>
            <sz val="10"/>
            <color indexed="12"/>
            <rFont val="Tahoma"/>
            <family val="2"/>
          </rPr>
          <t xml:space="preserve">  </t>
        </r>
        <r>
          <rPr>
            <sz val="10"/>
            <color indexed="81"/>
            <rFont val="Tahoma"/>
            <family val="2"/>
          </rPr>
          <t xml:space="preserve"> 9/9/2022 5:07:00 AM </t>
        </r>
        <r>
          <rPr>
            <b/>
            <sz val="10"/>
            <color indexed="81"/>
            <rFont val="Tahoma"/>
            <family val="2"/>
          </rPr>
          <t xml:space="preserve">= 49164 - Referinta </t>
        </r>
        <r>
          <rPr>
            <sz val="10"/>
            <color indexed="81"/>
            <rFont val="Tahoma"/>
            <family val="2"/>
          </rPr>
          <t xml:space="preserve">* Otopeni Km Auto (Responses)
  9/12/2022 1:28:00 AM </t>
        </r>
        <r>
          <rPr>
            <b/>
            <sz val="10"/>
            <color indexed="81"/>
            <rFont val="Tahoma"/>
            <family val="2"/>
          </rPr>
          <t xml:space="preserve">= 50016 - Normal </t>
        </r>
        <r>
          <rPr>
            <sz val="10"/>
            <color indexed="81"/>
            <rFont val="Tahoma"/>
            <family val="2"/>
          </rPr>
          <t xml:space="preserve">* Otopeni Km Auto (Responses)
</t>
        </r>
      </text>
    </comment>
    <comment ref="T113" authorId="0" shapeId="0" xr:uid="{C94E52F7-B926-43D0-ABB4-13F4F8DF64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Referinta a fost pusa automat
__________________________________________________________________
</t>
        </r>
        <r>
          <rPr>
            <sz val="10"/>
            <color indexed="12"/>
            <rFont val="Tahoma"/>
            <family val="2"/>
          </rPr>
          <t xml:space="preserve">  </t>
        </r>
        <r>
          <rPr>
            <sz val="10"/>
            <color indexed="81"/>
            <rFont val="Tahoma"/>
            <family val="2"/>
          </rPr>
          <t xml:space="preserve">9/16/2022 3:26:14 PM </t>
        </r>
        <r>
          <rPr>
            <b/>
            <sz val="10"/>
            <color indexed="81"/>
            <rFont val="Tahoma"/>
            <family val="2"/>
          </rPr>
          <t xml:space="preserve">= 50314 - Referinta </t>
        </r>
        <r>
          <rPr>
            <sz val="10"/>
            <color indexed="81"/>
            <rFont val="Tahoma"/>
            <family val="2"/>
          </rPr>
          <t xml:space="preserve">* Otopeni Km Auto (Responses)
  9/19/2022 7:05:23 AM </t>
        </r>
        <r>
          <rPr>
            <b/>
            <sz val="10"/>
            <color indexed="81"/>
            <rFont val="Tahoma"/>
            <family val="2"/>
          </rPr>
          <t xml:space="preserve">= 50387 - Normal </t>
        </r>
        <r>
          <rPr>
            <sz val="10"/>
            <color indexed="81"/>
            <rFont val="Tahoma"/>
            <family val="2"/>
          </rPr>
          <t xml:space="preserve">* Otopeni Km Auto (Responses)
</t>
        </r>
      </text>
    </comment>
    <comment ref="Y113" authorId="0" shapeId="0" xr:uid="{D9F700FA-6C4F-47F9-ACFC-B61C1B0443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__________________________________________________________________
</t>
        </r>
        <r>
          <rPr>
            <sz val="10"/>
            <color indexed="12"/>
            <rFont val="Tahoma"/>
            <family val="2"/>
          </rPr>
          <t xml:space="preserve">  </t>
        </r>
        <r>
          <rPr>
            <sz val="10"/>
            <color indexed="81"/>
            <rFont val="Tahoma"/>
            <family val="2"/>
          </rPr>
          <t xml:space="preserve">9/23/2022 4:22:24 PM </t>
        </r>
        <r>
          <rPr>
            <b/>
            <sz val="10"/>
            <color indexed="81"/>
            <rFont val="Tahoma"/>
            <family val="2"/>
          </rPr>
          <t xml:space="preserve">= 50576 - Referinta </t>
        </r>
        <r>
          <rPr>
            <sz val="10"/>
            <color indexed="81"/>
            <rFont val="Tahoma"/>
            <family val="2"/>
          </rPr>
          <t xml:space="preserve">* Otopeni Km Auto (Responses)
  9/26/2022 7:10:23 AM </t>
        </r>
        <r>
          <rPr>
            <b/>
            <sz val="10"/>
            <color indexed="81"/>
            <rFont val="Tahoma"/>
            <family val="2"/>
          </rPr>
          <t xml:space="preserve">= 50594 - Normal </t>
        </r>
        <r>
          <rPr>
            <sz val="10"/>
            <color indexed="81"/>
            <rFont val="Tahoma"/>
            <family val="2"/>
          </rPr>
          <t xml:space="preserve">* Otopeni Km Auto (Responses)
</t>
        </r>
      </text>
    </comment>
    <comment ref="AD113" authorId="0" shapeId="0" xr:uid="{0CACDAD7-F7B1-426B-93AA-60C2E5A1FE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__________________________________________________________________
</t>
        </r>
        <r>
          <rPr>
            <sz val="10"/>
            <color indexed="12"/>
            <rFont val="Tahoma"/>
            <family val="2"/>
          </rPr>
          <t xml:space="preserve">  </t>
        </r>
        <r>
          <rPr>
            <sz val="10"/>
            <color indexed="81"/>
            <rFont val="Tahoma"/>
            <family val="2"/>
          </rPr>
          <t xml:space="preserve">9/30/2022 4:36:59 PM </t>
        </r>
        <r>
          <rPr>
            <b/>
            <sz val="10"/>
            <color indexed="81"/>
            <rFont val="Tahoma"/>
            <family val="2"/>
          </rPr>
          <t xml:space="preserve">= 50841 - Referinta </t>
        </r>
        <r>
          <rPr>
            <sz val="10"/>
            <color indexed="81"/>
            <rFont val="Tahoma"/>
            <family val="2"/>
          </rPr>
          <t xml:space="preserve">* Otopeni Km Auto (Responses)
  10/3/2022 7:02:33 AM </t>
        </r>
        <r>
          <rPr>
            <b/>
            <sz val="10"/>
            <color indexed="81"/>
            <rFont val="Tahoma"/>
            <family val="2"/>
          </rPr>
          <t xml:space="preserve">= 50844 - Normal </t>
        </r>
        <r>
          <rPr>
            <sz val="10"/>
            <color indexed="81"/>
            <rFont val="Tahoma"/>
            <family val="2"/>
          </rPr>
          <t xml:space="preserve">* Otopeni Km Auto (Responses)
</t>
        </r>
      </text>
    </comment>
    <comment ref="J114" authorId="0" shapeId="0" xr:uid="{0A60B9C8-3233-4B21-BCC1-AE3A1CF74C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9/3/2022 11:10:25 AM </t>
        </r>
        <r>
          <rPr>
            <b/>
            <sz val="10"/>
            <color indexed="81"/>
            <rFont val="Tahoma"/>
            <family val="2"/>
          </rPr>
          <t xml:space="preserve">= 17865 - Referinta </t>
        </r>
        <r>
          <rPr>
            <sz val="10"/>
            <color indexed="81"/>
            <rFont val="Tahoma"/>
            <family val="2"/>
          </rPr>
          <t xml:space="preserve">* Otopeni Km Auto (Responses)
  9/3/2022 11:11:25 AM </t>
        </r>
        <r>
          <rPr>
            <b/>
            <sz val="10"/>
            <color indexed="81"/>
            <rFont val="Tahoma"/>
            <family val="2"/>
          </rPr>
          <t xml:space="preserve">= 17865 - Normal </t>
        </r>
        <r>
          <rPr>
            <sz val="10"/>
            <color indexed="81"/>
            <rFont val="Tahoma"/>
            <family val="2"/>
          </rPr>
          <t xml:space="preserve">* Otopeni Km Auto (Responses)
   9/6/2022 6:49:53 PM </t>
        </r>
        <r>
          <rPr>
            <b/>
            <sz val="10"/>
            <color indexed="81"/>
            <rFont val="Tahoma"/>
            <family val="2"/>
          </rPr>
          <t xml:space="preserve">= 17909 - Normal </t>
        </r>
        <r>
          <rPr>
            <sz val="10"/>
            <color indexed="81"/>
            <rFont val="Tahoma"/>
            <family val="2"/>
          </rPr>
          <t xml:space="preserve">* Otopeni Km Auto (Responses)
</t>
        </r>
      </text>
    </comment>
    <comment ref="O114" authorId="0" shapeId="0" xr:uid="{00562CFE-4A55-4670-A26C-DAA5ED73BD3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 9/9/2022 4:09:24 PM </t>
        </r>
        <r>
          <rPr>
            <b/>
            <sz val="10"/>
            <color indexed="81"/>
            <rFont val="Tahoma"/>
            <family val="2"/>
          </rPr>
          <t xml:space="preserve">= 18011 - Referinta </t>
        </r>
        <r>
          <rPr>
            <sz val="10"/>
            <color indexed="81"/>
            <rFont val="Tahoma"/>
            <family val="2"/>
          </rPr>
          <t xml:space="preserve">* Otopeni Km Auto (Responses)
</t>
        </r>
      </text>
    </comment>
    <comment ref="T114" authorId="0" shapeId="0" xr:uid="{C06D1D61-5E7C-4D9F-B75C-9C2CE39702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9/17/2022 8:56:00 AM </t>
        </r>
        <r>
          <rPr>
            <b/>
            <sz val="10"/>
            <color indexed="81"/>
            <rFont val="Tahoma"/>
            <family val="2"/>
          </rPr>
          <t xml:space="preserve">= 18265 - Referinta </t>
        </r>
        <r>
          <rPr>
            <sz val="10"/>
            <color indexed="81"/>
            <rFont val="Tahoma"/>
            <family val="2"/>
          </rPr>
          <t xml:space="preserve">* Otopeni Km Auto (Responses)
  9/19/2022 3:46:00 AM </t>
        </r>
        <r>
          <rPr>
            <b/>
            <sz val="10"/>
            <color indexed="81"/>
            <rFont val="Tahoma"/>
            <family val="2"/>
          </rPr>
          <t xml:space="preserve">= 18284 - Normal </t>
        </r>
        <r>
          <rPr>
            <sz val="10"/>
            <color indexed="81"/>
            <rFont val="Tahoma"/>
            <family val="2"/>
          </rPr>
          <t xml:space="preserve">* Otopeni Km Auto (Responses)
</t>
        </r>
      </text>
    </comment>
    <comment ref="Y114" authorId="0" shapeId="0" xr:uid="{B078AE93-B7DE-43E8-9F92-07D16FB5F0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9/23/2022 7:16:09 PM </t>
        </r>
        <r>
          <rPr>
            <b/>
            <sz val="10"/>
            <color indexed="81"/>
            <rFont val="Tahoma"/>
            <family val="2"/>
          </rPr>
          <t xml:space="preserve">= 18552 - Referinta </t>
        </r>
        <r>
          <rPr>
            <sz val="10"/>
            <color indexed="81"/>
            <rFont val="Tahoma"/>
            <family val="2"/>
          </rPr>
          <t xml:space="preserve">* Otopeni Km Auto (Responses)
 9/26/2022 10:09:18 AM </t>
        </r>
        <r>
          <rPr>
            <b/>
            <sz val="10"/>
            <color indexed="81"/>
            <rFont val="Tahoma"/>
            <family val="2"/>
          </rPr>
          <t xml:space="preserve">= 18552 - Normal </t>
        </r>
        <r>
          <rPr>
            <sz val="10"/>
            <color indexed="81"/>
            <rFont val="Tahoma"/>
            <family val="2"/>
          </rPr>
          <t xml:space="preserve">* Otopeni Km Auto (Responses)
</t>
        </r>
      </text>
    </comment>
    <comment ref="AD114" authorId="0" shapeId="0" xr:uid="{D8E389D9-7D2A-4E80-8188-17CEE6B293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9/30/2022 5:43:44 PM </t>
        </r>
        <r>
          <rPr>
            <b/>
            <sz val="10"/>
            <color indexed="81"/>
            <rFont val="Tahoma"/>
            <family val="2"/>
          </rPr>
          <t xml:space="preserve">= 18818 - Referinta </t>
        </r>
        <r>
          <rPr>
            <sz val="10"/>
            <color indexed="81"/>
            <rFont val="Tahoma"/>
            <family val="2"/>
          </rPr>
          <t xml:space="preserve">* Otopeni Km Auto (Responses)
  10/4/2022 5:15:00 AM </t>
        </r>
        <r>
          <rPr>
            <b/>
            <sz val="10"/>
            <color indexed="81"/>
            <rFont val="Tahoma"/>
            <family val="2"/>
          </rPr>
          <t xml:space="preserve">= 18876 - Normal </t>
        </r>
        <r>
          <rPr>
            <sz val="10"/>
            <color indexed="81"/>
            <rFont val="Tahoma"/>
            <family val="2"/>
          </rPr>
          <t xml:space="preserve">* Otopeni Km Auto (Responses)
</t>
        </r>
      </text>
    </comment>
    <comment ref="J115" authorId="0" shapeId="0" xr:uid="{B64C9528-9029-4304-A60B-649A651E7C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Referinta a fost pusa automat
__________________________________________________________________
</t>
        </r>
        <r>
          <rPr>
            <sz val="10"/>
            <color indexed="12"/>
            <rFont val="Tahoma"/>
            <family val="2"/>
          </rPr>
          <t xml:space="preserve">  </t>
        </r>
        <r>
          <rPr>
            <sz val="10"/>
            <color indexed="81"/>
            <rFont val="Tahoma"/>
            <family val="2"/>
          </rPr>
          <t xml:space="preserve"> 9/2/2022 5:54:30 PM </t>
        </r>
        <r>
          <rPr>
            <b/>
            <sz val="10"/>
            <color indexed="81"/>
            <rFont val="Tahoma"/>
            <family val="2"/>
          </rPr>
          <t xml:space="preserve">= 28603 - Referinta </t>
        </r>
        <r>
          <rPr>
            <sz val="10"/>
            <color indexed="81"/>
            <rFont val="Tahoma"/>
            <family val="2"/>
          </rPr>
          <t xml:space="preserve">* Otopeni Km Auto (Responses)
   9/5/2022 4:31:03 PM </t>
        </r>
        <r>
          <rPr>
            <b/>
            <sz val="10"/>
            <color indexed="81"/>
            <rFont val="Tahoma"/>
            <family val="2"/>
          </rPr>
          <t xml:space="preserve">= 28644 - Normal </t>
        </r>
        <r>
          <rPr>
            <sz val="10"/>
            <color indexed="81"/>
            <rFont val="Tahoma"/>
            <family val="2"/>
          </rPr>
          <t xml:space="preserve">* Otopeni Km Auto (Responses)
</t>
        </r>
      </text>
    </comment>
    <comment ref="O115" authorId="0" shapeId="0" xr:uid="{7B6A64D0-BC14-468B-A44F-12E91C11D20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Referinta a fost pusa automat
__________________________________________________________________
</t>
        </r>
        <r>
          <rPr>
            <sz val="10"/>
            <color indexed="12"/>
            <rFont val="Tahoma"/>
            <family val="2"/>
          </rPr>
          <t xml:space="preserve">  </t>
        </r>
        <r>
          <rPr>
            <sz val="10"/>
            <color indexed="81"/>
            <rFont val="Tahoma"/>
            <family val="2"/>
          </rPr>
          <t xml:space="preserve"> 9/9/2022 4:40:00 AM </t>
        </r>
        <r>
          <rPr>
            <b/>
            <sz val="10"/>
            <color indexed="81"/>
            <rFont val="Tahoma"/>
            <family val="2"/>
          </rPr>
          <t xml:space="preserve">= 28915 - Referinta </t>
        </r>
        <r>
          <rPr>
            <sz val="10"/>
            <color indexed="81"/>
            <rFont val="Tahoma"/>
            <family val="2"/>
          </rPr>
          <t xml:space="preserve">* Otopeni Km Auto (Responses)
 9/12/2022 10:35:44 AM </t>
        </r>
        <r>
          <rPr>
            <b/>
            <sz val="10"/>
            <color indexed="81"/>
            <rFont val="Tahoma"/>
            <family val="2"/>
          </rPr>
          <t xml:space="preserve">= 28954 - Normal </t>
        </r>
        <r>
          <rPr>
            <sz val="10"/>
            <color indexed="81"/>
            <rFont val="Tahoma"/>
            <family val="2"/>
          </rPr>
          <t xml:space="preserve">* Otopeni Km Auto (Responses)
</t>
        </r>
      </text>
    </comment>
    <comment ref="T115" authorId="0" shapeId="0" xr:uid="{E004BD8F-94FE-43A7-B57F-898AFF92663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__________________________________________________________________
</t>
        </r>
        <r>
          <rPr>
            <sz val="10"/>
            <color indexed="12"/>
            <rFont val="Tahoma"/>
            <family val="2"/>
          </rPr>
          <t xml:space="preserve">  </t>
        </r>
        <r>
          <rPr>
            <sz val="10"/>
            <color indexed="81"/>
            <rFont val="Tahoma"/>
            <family val="2"/>
          </rPr>
          <t xml:space="preserve">9/16/2022 4:18:49 PM </t>
        </r>
        <r>
          <rPr>
            <b/>
            <sz val="10"/>
            <color indexed="81"/>
            <rFont val="Tahoma"/>
            <family val="2"/>
          </rPr>
          <t xml:space="preserve">= 29230 - Referinta </t>
        </r>
        <r>
          <rPr>
            <sz val="10"/>
            <color indexed="81"/>
            <rFont val="Tahoma"/>
            <family val="2"/>
          </rPr>
          <t xml:space="preserve">* Otopeni Km Auto (Responses)
  9/19/2022 1:04:22 PM </t>
        </r>
        <r>
          <rPr>
            <b/>
            <sz val="10"/>
            <color indexed="81"/>
            <rFont val="Tahoma"/>
            <family val="2"/>
          </rPr>
          <t xml:space="preserve">= 29342 - Normal </t>
        </r>
        <r>
          <rPr>
            <sz val="10"/>
            <color indexed="81"/>
            <rFont val="Tahoma"/>
            <family val="2"/>
          </rPr>
          <t xml:space="preserve">* Otopeni Km Auto (Responses)
</t>
        </r>
      </text>
    </comment>
    <comment ref="Y115" authorId="0" shapeId="0" xr:uid="{2235189B-71F3-4EDC-A33F-55B09658B3B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__________________________________________________________________
</t>
        </r>
        <r>
          <rPr>
            <sz val="10"/>
            <color indexed="12"/>
            <rFont val="Tahoma"/>
            <family val="2"/>
          </rPr>
          <t xml:space="preserve">  </t>
        </r>
        <r>
          <rPr>
            <sz val="10"/>
            <color indexed="81"/>
            <rFont val="Tahoma"/>
            <family val="2"/>
          </rPr>
          <t xml:space="preserve">9/23/2022 5:19:38 PM </t>
        </r>
        <r>
          <rPr>
            <b/>
            <sz val="10"/>
            <color indexed="81"/>
            <rFont val="Tahoma"/>
            <family val="2"/>
          </rPr>
          <t xml:space="preserve">= 29610 - Referinta </t>
        </r>
        <r>
          <rPr>
            <sz val="10"/>
            <color indexed="81"/>
            <rFont val="Tahoma"/>
            <family val="2"/>
          </rPr>
          <t xml:space="preserve">* Otopeni Km Auto (Responses)
  9/26/2022 9:59:03 AM </t>
        </r>
        <r>
          <rPr>
            <b/>
            <sz val="10"/>
            <color indexed="81"/>
            <rFont val="Tahoma"/>
            <family val="2"/>
          </rPr>
          <t xml:space="preserve">= 29649 - Normal </t>
        </r>
        <r>
          <rPr>
            <sz val="10"/>
            <color indexed="81"/>
            <rFont val="Tahoma"/>
            <family val="2"/>
          </rPr>
          <t xml:space="preserve">* Otopeni Km Auto (Responses)
</t>
        </r>
      </text>
    </comment>
    <comment ref="AD115" authorId="0" shapeId="0" xr:uid="{3A4CD628-D52E-4452-B137-9F42983DC2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__________________________________________________________________
</t>
        </r>
        <r>
          <rPr>
            <sz val="10"/>
            <color indexed="12"/>
            <rFont val="Tahoma"/>
            <family val="2"/>
          </rPr>
          <t xml:space="preserve">  </t>
        </r>
        <r>
          <rPr>
            <sz val="10"/>
            <color indexed="81"/>
            <rFont val="Tahoma"/>
            <family val="2"/>
          </rPr>
          <t xml:space="preserve">9/30/2022 3:41:45 PM </t>
        </r>
        <r>
          <rPr>
            <b/>
            <sz val="10"/>
            <color indexed="81"/>
            <rFont val="Tahoma"/>
            <family val="2"/>
          </rPr>
          <t xml:space="preserve">= 29931 - Referinta </t>
        </r>
        <r>
          <rPr>
            <sz val="10"/>
            <color indexed="81"/>
            <rFont val="Tahoma"/>
            <family val="2"/>
          </rPr>
          <t xml:space="preserve">* Otopeni Km Auto (Responses)
 10/3/2022 12:15:57 PM </t>
        </r>
        <r>
          <rPr>
            <b/>
            <sz val="10"/>
            <color indexed="81"/>
            <rFont val="Tahoma"/>
            <family val="2"/>
          </rPr>
          <t xml:space="preserve">= 30004 - Normal </t>
        </r>
        <r>
          <rPr>
            <sz val="10"/>
            <color indexed="81"/>
            <rFont val="Tahoma"/>
            <family val="2"/>
          </rPr>
          <t xml:space="preserve">* Otopeni Km Auto (Responses)
</t>
        </r>
      </text>
    </comment>
    <comment ref="AD116" authorId="0" shapeId="0" xr:uid="{DDF6ACFE-381B-4B1C-835A-D30961A17C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Radu Paul 
__________________________________________________________________
</t>
        </r>
        <r>
          <rPr>
            <sz val="10"/>
            <color indexed="12"/>
            <rFont val="Tahoma"/>
            <family val="2"/>
          </rPr>
          <t xml:space="preserve">  </t>
        </r>
        <r>
          <rPr>
            <sz val="10"/>
            <color indexed="81"/>
            <rFont val="Tahoma"/>
            <family val="2"/>
          </rPr>
          <t xml:space="preserve">9/30/2022 3:53:18 PM </t>
        </r>
        <r>
          <rPr>
            <b/>
            <sz val="10"/>
            <color indexed="81"/>
            <rFont val="Tahoma"/>
            <family val="2"/>
          </rPr>
          <t xml:space="preserve">= 213217 - Referinta </t>
        </r>
        <r>
          <rPr>
            <sz val="10"/>
            <color indexed="81"/>
            <rFont val="Tahoma"/>
            <family val="2"/>
          </rPr>
          <t xml:space="preserve">* Bucuresti Marfa Km Auto (Responses)
</t>
        </r>
      </text>
    </comment>
    <comment ref="J117" authorId="0" shapeId="0" xr:uid="{4B5AAF0D-EB5F-46CD-87EA-D8753BB8DB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 9/2/2022 3:58:05 PM </t>
        </r>
        <r>
          <rPr>
            <b/>
            <sz val="10"/>
            <color indexed="81"/>
            <rFont val="Tahoma"/>
            <family val="2"/>
          </rPr>
          <t xml:space="preserve">= 42989 - Referinta </t>
        </r>
        <r>
          <rPr>
            <sz val="10"/>
            <color indexed="81"/>
            <rFont val="Tahoma"/>
            <family val="2"/>
          </rPr>
          <t xml:space="preserve">* Bucuresti Km Auto Vanzari (Responses)
   9/5/2022 7:43:12 AM </t>
        </r>
        <r>
          <rPr>
            <b/>
            <sz val="10"/>
            <color indexed="81"/>
            <rFont val="Tahoma"/>
            <family val="2"/>
          </rPr>
          <t xml:space="preserve">= 42989 - Normal </t>
        </r>
        <r>
          <rPr>
            <sz val="10"/>
            <color indexed="81"/>
            <rFont val="Tahoma"/>
            <family val="2"/>
          </rPr>
          <t xml:space="preserve">* Bucuresti Km Auto Vanzari (Responses)
</t>
        </r>
      </text>
    </comment>
    <comment ref="O117" authorId="0" shapeId="0" xr:uid="{2391B4CD-873B-44AF-8B04-A13D4C14B2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43227 - Referinta </t>
        </r>
        <r>
          <rPr>
            <sz val="10"/>
            <color indexed="81"/>
            <rFont val="Tahoma"/>
            <family val="2"/>
          </rPr>
          <t xml:space="preserve">* Bucuresti Km Auto Vanzari (Responses)
  9/12/2022 7:44:38 AM </t>
        </r>
        <r>
          <rPr>
            <b/>
            <sz val="10"/>
            <color indexed="81"/>
            <rFont val="Tahoma"/>
            <family val="2"/>
          </rPr>
          <t xml:space="preserve">= 43242 - Normal </t>
        </r>
        <r>
          <rPr>
            <sz val="10"/>
            <color indexed="81"/>
            <rFont val="Tahoma"/>
            <family val="2"/>
          </rPr>
          <t xml:space="preserve">* Bucuresti Km Auto Vanzari (Responses)
</t>
        </r>
      </text>
    </comment>
    <comment ref="T117" authorId="0" shapeId="0" xr:uid="{2220A3DB-B29F-48A6-B3DF-76113073F4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9/18/2022 5:16:19 PM </t>
        </r>
        <r>
          <rPr>
            <b/>
            <sz val="10"/>
            <color indexed="81"/>
            <rFont val="Tahoma"/>
            <family val="2"/>
          </rPr>
          <t xml:space="preserve">= 43462 - Referinta </t>
        </r>
        <r>
          <rPr>
            <sz val="10"/>
            <color indexed="81"/>
            <rFont val="Tahoma"/>
            <family val="2"/>
          </rPr>
          <t xml:space="preserve">* Bucuresti Km Auto Vanzari (Responses)
  9/19/2022 7:52:08 AM </t>
        </r>
        <r>
          <rPr>
            <b/>
            <sz val="10"/>
            <color indexed="81"/>
            <rFont val="Tahoma"/>
            <family val="2"/>
          </rPr>
          <t xml:space="preserve">= 43462 - Normal </t>
        </r>
        <r>
          <rPr>
            <sz val="10"/>
            <color indexed="81"/>
            <rFont val="Tahoma"/>
            <family val="2"/>
          </rPr>
          <t xml:space="preserve">* Bucuresti Km Auto Vanzari (Responses)
</t>
        </r>
      </text>
    </comment>
    <comment ref="Y117" authorId="0" shapeId="0" xr:uid="{1FA5CF97-F362-4B66-909E-9F44D5FD3F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9/23/2022 2:50:09 PM </t>
        </r>
        <r>
          <rPr>
            <b/>
            <sz val="10"/>
            <color indexed="81"/>
            <rFont val="Tahoma"/>
            <family val="2"/>
          </rPr>
          <t xml:space="preserve">= 43680 - Referinta </t>
        </r>
        <r>
          <rPr>
            <sz val="10"/>
            <color indexed="81"/>
            <rFont val="Tahoma"/>
            <family val="2"/>
          </rPr>
          <t xml:space="preserve">* Bucuresti Km Auto Vanzari (Responses)
  9/26/2022 7:44:39 AM </t>
        </r>
        <r>
          <rPr>
            <b/>
            <sz val="10"/>
            <color indexed="81"/>
            <rFont val="Tahoma"/>
            <family val="2"/>
          </rPr>
          <t xml:space="preserve">= 43680 - Normal </t>
        </r>
        <r>
          <rPr>
            <sz val="10"/>
            <color indexed="81"/>
            <rFont val="Tahoma"/>
            <family val="2"/>
          </rPr>
          <t xml:space="preserve">* Bucuresti Km Auto Vanzari (Responses)
  9/28/2022 5:35:40 PM </t>
        </r>
        <r>
          <rPr>
            <b/>
            <sz val="10"/>
            <color indexed="81"/>
            <rFont val="Tahoma"/>
            <family val="2"/>
          </rPr>
          <t xml:space="preserve">= 43800 - Normal </t>
        </r>
        <r>
          <rPr>
            <sz val="10"/>
            <color indexed="81"/>
            <rFont val="Tahoma"/>
            <family val="2"/>
          </rPr>
          <t xml:space="preserve">* Bucuresti Km Auto Vanzari (Responses)
</t>
        </r>
      </text>
    </comment>
    <comment ref="AD117" authorId="0" shapeId="0" xr:uid="{E09FDBF9-A754-4CEE-8D6F-2D12DA565D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10/3/2022 7:36:47 AM </t>
        </r>
        <r>
          <rPr>
            <b/>
            <sz val="10"/>
            <color indexed="81"/>
            <rFont val="Tahoma"/>
            <family val="2"/>
          </rPr>
          <t xml:space="preserve">= 43800 - Referinta </t>
        </r>
        <r>
          <rPr>
            <sz val="10"/>
            <color indexed="81"/>
            <rFont val="Tahoma"/>
            <family val="2"/>
          </rPr>
          <t xml:space="preserve">* Bucuresti Km Auto Vanzari (Responses)
  10/3/2022 7:38:52 AM </t>
        </r>
        <r>
          <rPr>
            <b/>
            <sz val="10"/>
            <color indexed="81"/>
            <rFont val="Tahoma"/>
            <family val="2"/>
          </rPr>
          <t xml:space="preserve">= 43800 - Normal </t>
        </r>
        <r>
          <rPr>
            <sz val="10"/>
            <color indexed="81"/>
            <rFont val="Tahoma"/>
            <family val="2"/>
          </rPr>
          <t xml:space="preserve">* Bucuresti Km Auto Vanzari (Responses)
</t>
        </r>
      </text>
    </comment>
    <comment ref="J118" authorId="0" shapeId="0" xr:uid="{55B94545-0D2E-4603-8EC4-BE3FC684D0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Referinta a fost pusa automat
__________________________________________________________________
</t>
        </r>
        <r>
          <rPr>
            <sz val="10"/>
            <color indexed="12"/>
            <rFont val="Tahoma"/>
            <family val="2"/>
          </rPr>
          <t xml:space="preserve">  </t>
        </r>
        <r>
          <rPr>
            <sz val="10"/>
            <color indexed="81"/>
            <rFont val="Tahoma"/>
            <family val="2"/>
          </rPr>
          <t xml:space="preserve"> 9/4/2022 8:54:17 PM </t>
        </r>
        <r>
          <rPr>
            <b/>
            <sz val="10"/>
            <color indexed="81"/>
            <rFont val="Tahoma"/>
            <family val="2"/>
          </rPr>
          <t xml:space="preserve">= 65257 - Referinta </t>
        </r>
        <r>
          <rPr>
            <sz val="10"/>
            <color indexed="81"/>
            <rFont val="Tahoma"/>
            <family val="2"/>
          </rPr>
          <t xml:space="preserve">* Otopeni Km Auto (Responses)
   9/4/2022 8:55:00 PM </t>
        </r>
        <r>
          <rPr>
            <b/>
            <sz val="10"/>
            <color indexed="81"/>
            <rFont val="Tahoma"/>
            <family val="2"/>
          </rPr>
          <t xml:space="preserve">= 65257 - Normal </t>
        </r>
        <r>
          <rPr>
            <sz val="10"/>
            <color indexed="81"/>
            <rFont val="Tahoma"/>
            <family val="2"/>
          </rPr>
          <t xml:space="preserve">* Otopeni Km Auto (Responses)
   9/5/2022 9:13:37 AM </t>
        </r>
        <r>
          <rPr>
            <b/>
            <sz val="10"/>
            <color indexed="81"/>
            <rFont val="Tahoma"/>
            <family val="2"/>
          </rPr>
          <t xml:space="preserve">= 65301 - Normal </t>
        </r>
        <r>
          <rPr>
            <sz val="10"/>
            <color indexed="81"/>
            <rFont val="Tahoma"/>
            <family val="2"/>
          </rPr>
          <t xml:space="preserve">* Otopeni Km Auto (Responses)
</t>
        </r>
      </text>
    </comment>
    <comment ref="O118" authorId="0" shapeId="0" xr:uid="{A15D81A3-19F8-42E2-BF15-76B733C3F00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 9/9/2022 3:30:00 AM </t>
        </r>
        <r>
          <rPr>
            <b/>
            <sz val="10"/>
            <color indexed="81"/>
            <rFont val="Tahoma"/>
            <family val="2"/>
          </rPr>
          <t xml:space="preserve">= 65709 - Referinta </t>
        </r>
        <r>
          <rPr>
            <sz val="10"/>
            <color indexed="81"/>
            <rFont val="Tahoma"/>
            <family val="2"/>
          </rPr>
          <t xml:space="preserve">* Otopeni Km Auto (Responses)
  9/12/2022 9:00:00 AM </t>
        </r>
        <r>
          <rPr>
            <b/>
            <sz val="10"/>
            <color indexed="81"/>
            <rFont val="Tahoma"/>
            <family val="2"/>
          </rPr>
          <t xml:space="preserve">= 65762 - Normal </t>
        </r>
        <r>
          <rPr>
            <sz val="10"/>
            <color indexed="81"/>
            <rFont val="Tahoma"/>
            <family val="2"/>
          </rPr>
          <t xml:space="preserve">* Otopeni Km Auto (Responses)
</t>
        </r>
      </text>
    </comment>
    <comment ref="T118" authorId="0" shapeId="0" xr:uid="{3B4B5B1A-816A-40D2-8CDF-E94D96494E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9/16/2022 4:30:00 AM </t>
        </r>
        <r>
          <rPr>
            <b/>
            <sz val="10"/>
            <color indexed="81"/>
            <rFont val="Tahoma"/>
            <family val="2"/>
          </rPr>
          <t xml:space="preserve">= 66216 - Referinta </t>
        </r>
        <r>
          <rPr>
            <sz val="10"/>
            <color indexed="81"/>
            <rFont val="Tahoma"/>
            <family val="2"/>
          </rPr>
          <t xml:space="preserve">* Otopeni Km Auto (Responses)
 9/19/2022 10:10:00 AM </t>
        </r>
        <r>
          <rPr>
            <b/>
            <sz val="10"/>
            <color indexed="81"/>
            <rFont val="Tahoma"/>
            <family val="2"/>
          </rPr>
          <t xml:space="preserve">= 66244 - Normal </t>
        </r>
        <r>
          <rPr>
            <sz val="10"/>
            <color indexed="81"/>
            <rFont val="Tahoma"/>
            <family val="2"/>
          </rPr>
          <t xml:space="preserve">* Otopeni Km Auto (Responses)
</t>
        </r>
      </text>
    </comment>
    <comment ref="Y118" authorId="0" shapeId="0" xr:uid="{D8FD96A5-2559-4AB2-AB36-DA4ADA9C8BD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9/23/2022 4:42:43 PM </t>
        </r>
        <r>
          <rPr>
            <b/>
            <sz val="10"/>
            <color indexed="81"/>
            <rFont val="Tahoma"/>
            <family val="2"/>
          </rPr>
          <t xml:space="preserve">= 66710 - Referinta </t>
        </r>
        <r>
          <rPr>
            <sz val="10"/>
            <color indexed="81"/>
            <rFont val="Tahoma"/>
            <family val="2"/>
          </rPr>
          <t xml:space="preserve">* Otopeni Km Auto (Responses)
  9/26/2022 8:00:00 AM </t>
        </r>
        <r>
          <rPr>
            <b/>
            <sz val="10"/>
            <color indexed="81"/>
            <rFont val="Tahoma"/>
            <family val="2"/>
          </rPr>
          <t xml:space="preserve">= 66756 - Normal </t>
        </r>
        <r>
          <rPr>
            <sz val="10"/>
            <color indexed="81"/>
            <rFont val="Tahoma"/>
            <family val="2"/>
          </rPr>
          <t xml:space="preserve">* Otopeni Km Auto (Responses)
</t>
        </r>
      </text>
    </comment>
    <comment ref="AD118" authorId="0" shapeId="0" xr:uid="{052CA570-0FC7-4B2A-BC09-27F687DB34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9/30/2022 5:00:00 AM </t>
        </r>
        <r>
          <rPr>
            <b/>
            <sz val="10"/>
            <color indexed="81"/>
            <rFont val="Tahoma"/>
            <family val="2"/>
          </rPr>
          <t xml:space="preserve">= 67296 - Referinta </t>
        </r>
        <r>
          <rPr>
            <sz val="10"/>
            <color indexed="81"/>
            <rFont val="Tahoma"/>
            <family val="2"/>
          </rPr>
          <t xml:space="preserve">* Otopeni Km Auto (Responses)
 10/3/2022 12:24:00 PM </t>
        </r>
        <r>
          <rPr>
            <b/>
            <sz val="10"/>
            <color indexed="81"/>
            <rFont val="Tahoma"/>
            <family val="2"/>
          </rPr>
          <t xml:space="preserve">= 67405 - Normal </t>
        </r>
        <r>
          <rPr>
            <sz val="10"/>
            <color indexed="81"/>
            <rFont val="Tahoma"/>
            <family val="2"/>
          </rPr>
          <t xml:space="preserve">* Otopeni Km Auto (Responses)
</t>
        </r>
      </text>
    </comment>
    <comment ref="J119" authorId="0" shapeId="0" xr:uid="{9ED76B46-31EC-496A-8896-93DC13CBD3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 9/2/2022 3:17:57 PM </t>
        </r>
        <r>
          <rPr>
            <b/>
            <sz val="10"/>
            <color indexed="81"/>
            <rFont val="Tahoma"/>
            <family val="2"/>
          </rPr>
          <t xml:space="preserve">= 22481 - Referinta </t>
        </r>
        <r>
          <rPr>
            <sz val="10"/>
            <color indexed="81"/>
            <rFont val="Tahoma"/>
            <family val="2"/>
          </rPr>
          <t xml:space="preserve">* Sibiu Km Auto (Responses)
   9/2/2022 3:19:22 PM </t>
        </r>
        <r>
          <rPr>
            <b/>
            <sz val="10"/>
            <color indexed="81"/>
            <rFont val="Tahoma"/>
            <family val="2"/>
          </rPr>
          <t xml:space="preserve">= 22538 - Normal </t>
        </r>
        <r>
          <rPr>
            <sz val="10"/>
            <color indexed="81"/>
            <rFont val="Tahoma"/>
            <family val="2"/>
          </rPr>
          <t xml:space="preserve">* Sibiu Km Auto (Responses)
  9/6/2022 11:41:02 AM </t>
        </r>
        <r>
          <rPr>
            <b/>
            <sz val="10"/>
            <color indexed="81"/>
            <rFont val="Tahoma"/>
            <family val="2"/>
          </rPr>
          <t xml:space="preserve">= 22749 - Normal </t>
        </r>
        <r>
          <rPr>
            <sz val="10"/>
            <color indexed="81"/>
            <rFont val="Tahoma"/>
            <family val="2"/>
          </rPr>
          <t xml:space="preserve">* Sibiu Km Auto (Responses)
  9/6/2022 11:41:33 AM </t>
        </r>
        <r>
          <rPr>
            <b/>
            <sz val="10"/>
            <color indexed="81"/>
            <rFont val="Tahoma"/>
            <family val="2"/>
          </rPr>
          <t xml:space="preserve">= 22920 - Normal </t>
        </r>
        <r>
          <rPr>
            <sz val="10"/>
            <color indexed="81"/>
            <rFont val="Tahoma"/>
            <family val="2"/>
          </rPr>
          <t xml:space="preserve">* Sibiu Km Auto (Responses)
</t>
        </r>
      </text>
    </comment>
    <comment ref="O119" authorId="0" shapeId="0" xr:uid="{F7B0F21F-F526-43A7-8882-69684D3E82A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23096 - Referinta </t>
        </r>
        <r>
          <rPr>
            <sz val="10"/>
            <color indexed="81"/>
            <rFont val="Tahoma"/>
            <family val="2"/>
          </rPr>
          <t xml:space="preserve">* Sibiu Km Auto (Responses)
  9/12/2022 9:20:43 AM </t>
        </r>
        <r>
          <rPr>
            <b/>
            <sz val="10"/>
            <color indexed="81"/>
            <rFont val="Tahoma"/>
            <family val="2"/>
          </rPr>
          <t xml:space="preserve">= 23157 - Normal </t>
        </r>
        <r>
          <rPr>
            <sz val="10"/>
            <color indexed="81"/>
            <rFont val="Tahoma"/>
            <family val="2"/>
          </rPr>
          <t xml:space="preserve">* Sibiu Km Auto (Responses)
</t>
        </r>
      </text>
    </comment>
    <comment ref="T119" authorId="0" shapeId="0" xr:uid="{DCCFF4D6-D81E-4FE8-B955-B4E709A8482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9/16/2022 3:25:33 PM </t>
        </r>
        <r>
          <rPr>
            <b/>
            <sz val="10"/>
            <color indexed="81"/>
            <rFont val="Tahoma"/>
            <family val="2"/>
          </rPr>
          <t xml:space="preserve">= 23344 - Referinta </t>
        </r>
        <r>
          <rPr>
            <sz val="10"/>
            <color indexed="81"/>
            <rFont val="Tahoma"/>
            <family val="2"/>
          </rPr>
          <t xml:space="preserve">* Sibiu Km Auto (Responses)
  9/19/2022 9:41:36 AM </t>
        </r>
        <r>
          <rPr>
            <b/>
            <sz val="10"/>
            <color indexed="81"/>
            <rFont val="Tahoma"/>
            <family val="2"/>
          </rPr>
          <t xml:space="preserve">= 23351 - Normal </t>
        </r>
        <r>
          <rPr>
            <sz val="10"/>
            <color indexed="81"/>
            <rFont val="Tahoma"/>
            <family val="2"/>
          </rPr>
          <t xml:space="preserve">* Sibiu Km Auto (Responses)
</t>
        </r>
      </text>
    </comment>
    <comment ref="Y119" authorId="0" shapeId="0" xr:uid="{F58D28FB-6C0A-4440-9FD5-77C3F3E45DD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9/23/2022 3:39:10 PM </t>
        </r>
        <r>
          <rPr>
            <b/>
            <sz val="10"/>
            <color indexed="81"/>
            <rFont val="Tahoma"/>
            <family val="2"/>
          </rPr>
          <t xml:space="preserve">= 23597 - Referinta </t>
        </r>
        <r>
          <rPr>
            <sz val="10"/>
            <color indexed="81"/>
            <rFont val="Tahoma"/>
            <family val="2"/>
          </rPr>
          <t xml:space="preserve">* Sibiu Km Auto (Responses)
  9/26/2022 9:22:15 AM </t>
        </r>
        <r>
          <rPr>
            <b/>
            <sz val="10"/>
            <color indexed="81"/>
            <rFont val="Tahoma"/>
            <family val="2"/>
          </rPr>
          <t xml:space="preserve">= 23662 - Normal </t>
        </r>
        <r>
          <rPr>
            <sz val="10"/>
            <color indexed="81"/>
            <rFont val="Tahoma"/>
            <family val="2"/>
          </rPr>
          <t xml:space="preserve">* Sibiu Km Auto (Responses)
</t>
        </r>
      </text>
    </comment>
    <comment ref="AD119" authorId="0" shapeId="0" xr:uid="{ED9A269D-A637-4430-8EE2-F464CC49D8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9/30/2022 3:47:49 PM </t>
        </r>
        <r>
          <rPr>
            <b/>
            <sz val="10"/>
            <color indexed="81"/>
            <rFont val="Tahoma"/>
            <family val="2"/>
          </rPr>
          <t xml:space="preserve">= 23894 - Referinta </t>
        </r>
        <r>
          <rPr>
            <sz val="10"/>
            <color indexed="81"/>
            <rFont val="Tahoma"/>
            <family val="2"/>
          </rPr>
          <t xml:space="preserve">* Sibiu Km Auto (Responses)
  10/3/2022 8:38:55 AM </t>
        </r>
        <r>
          <rPr>
            <b/>
            <sz val="10"/>
            <color indexed="81"/>
            <rFont val="Tahoma"/>
            <family val="2"/>
          </rPr>
          <t xml:space="preserve">= 23970 - Normal </t>
        </r>
        <r>
          <rPr>
            <sz val="10"/>
            <color indexed="81"/>
            <rFont val="Tahoma"/>
            <family val="2"/>
          </rPr>
          <t xml:space="preserve">* Sibiu Km Auto (Responses)
</t>
        </r>
      </text>
    </comment>
    <comment ref="J120" authorId="0" shapeId="0" xr:uid="{91B781FD-4026-4868-A86D-EB3928CE4F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9/6/2022 11:39:45 AM </t>
        </r>
        <r>
          <rPr>
            <b/>
            <sz val="10"/>
            <color indexed="81"/>
            <rFont val="Tahoma"/>
            <family val="2"/>
          </rPr>
          <t xml:space="preserve">= 51058 - Referinta </t>
        </r>
        <r>
          <rPr>
            <sz val="10"/>
            <color indexed="81"/>
            <rFont val="Tahoma"/>
            <family val="2"/>
          </rPr>
          <t xml:space="preserve">* Sibiu Km Auto (Responses)
  9/6/2022 11:40:24 AM </t>
        </r>
        <r>
          <rPr>
            <b/>
            <sz val="10"/>
            <color indexed="81"/>
            <rFont val="Tahoma"/>
            <family val="2"/>
          </rPr>
          <t xml:space="preserve">= 51058 - Normal </t>
        </r>
        <r>
          <rPr>
            <sz val="10"/>
            <color indexed="81"/>
            <rFont val="Tahoma"/>
            <family val="2"/>
          </rPr>
          <t xml:space="preserve">* Sibiu Km Auto (Responses)
</t>
        </r>
      </text>
    </comment>
    <comment ref="O120" authorId="0" shapeId="0" xr:uid="{309F52E5-8667-4FF7-955B-932DA59637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51123 - Referinta </t>
        </r>
        <r>
          <rPr>
            <sz val="10"/>
            <color indexed="81"/>
            <rFont val="Tahoma"/>
            <family val="2"/>
          </rPr>
          <t xml:space="preserve">* Sibiu Km Auto (Responses)
  9/12/2022 9:19:42 AM </t>
        </r>
        <r>
          <rPr>
            <b/>
            <sz val="10"/>
            <color indexed="81"/>
            <rFont val="Tahoma"/>
            <family val="2"/>
          </rPr>
          <t xml:space="preserve">= 51123 - Normal </t>
        </r>
        <r>
          <rPr>
            <sz val="10"/>
            <color indexed="81"/>
            <rFont val="Tahoma"/>
            <family val="2"/>
          </rPr>
          <t xml:space="preserve">* Sibiu Km Auto (Responses)
</t>
        </r>
      </text>
    </comment>
    <comment ref="T120" authorId="0" shapeId="0" xr:uid="{F8880247-CB66-456B-858A-A853940C7D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9/16/2022 3:22:57 PM </t>
        </r>
        <r>
          <rPr>
            <b/>
            <sz val="10"/>
            <color indexed="81"/>
            <rFont val="Tahoma"/>
            <family val="2"/>
          </rPr>
          <t xml:space="preserve">= 51123 - Referinta </t>
        </r>
        <r>
          <rPr>
            <sz val="10"/>
            <color indexed="81"/>
            <rFont val="Tahoma"/>
            <family val="2"/>
          </rPr>
          <t xml:space="preserve">* Sibiu Km Auto (Responses)
  9/19/2022 9:39:37 AM </t>
        </r>
        <r>
          <rPr>
            <b/>
            <sz val="10"/>
            <color indexed="81"/>
            <rFont val="Tahoma"/>
            <family val="2"/>
          </rPr>
          <t xml:space="preserve">= 51123 - Normal </t>
        </r>
        <r>
          <rPr>
            <sz val="10"/>
            <color indexed="81"/>
            <rFont val="Tahoma"/>
            <family val="2"/>
          </rPr>
          <t xml:space="preserve">* Sibiu Km Auto (Responses)
</t>
        </r>
      </text>
    </comment>
    <comment ref="Y120" authorId="0" shapeId="0" xr:uid="{C8F69AD0-094A-4B88-A396-5138BBCA44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9/23/2022 3:40:13 PM </t>
        </r>
        <r>
          <rPr>
            <b/>
            <sz val="10"/>
            <color indexed="81"/>
            <rFont val="Tahoma"/>
            <family val="2"/>
          </rPr>
          <t xml:space="preserve">= 51129 - Referinta </t>
        </r>
        <r>
          <rPr>
            <sz val="10"/>
            <color indexed="81"/>
            <rFont val="Tahoma"/>
            <family val="2"/>
          </rPr>
          <t xml:space="preserve">* Sibiu Km Auto (Responses)
  9/26/2022 9:23:18 AM </t>
        </r>
        <r>
          <rPr>
            <b/>
            <sz val="10"/>
            <color indexed="81"/>
            <rFont val="Tahoma"/>
            <family val="2"/>
          </rPr>
          <t xml:space="preserve">= 51129 - Normal </t>
        </r>
        <r>
          <rPr>
            <sz val="10"/>
            <color indexed="81"/>
            <rFont val="Tahoma"/>
            <family val="2"/>
          </rPr>
          <t xml:space="preserve">* Sibiu Km Auto (Responses)
</t>
        </r>
      </text>
    </comment>
    <comment ref="AD120" authorId="0" shapeId="0" xr:uid="{12618365-55AF-4A52-AAF0-3E99D9CC70C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9/30/2022 3:47:02 PM </t>
        </r>
        <r>
          <rPr>
            <b/>
            <sz val="10"/>
            <color indexed="81"/>
            <rFont val="Tahoma"/>
            <family val="2"/>
          </rPr>
          <t xml:space="preserve">= 51138 - Referinta </t>
        </r>
        <r>
          <rPr>
            <sz val="10"/>
            <color indexed="81"/>
            <rFont val="Tahoma"/>
            <family val="2"/>
          </rPr>
          <t xml:space="preserve">* Sibiu Km Auto (Responses)
  10/3/2022 8:38:16 AM </t>
        </r>
        <r>
          <rPr>
            <b/>
            <sz val="10"/>
            <color indexed="81"/>
            <rFont val="Tahoma"/>
            <family val="2"/>
          </rPr>
          <t xml:space="preserve">= 51138 - Normal </t>
        </r>
        <r>
          <rPr>
            <sz val="10"/>
            <color indexed="81"/>
            <rFont val="Tahoma"/>
            <family val="2"/>
          </rPr>
          <t xml:space="preserve">* Sibiu Km Auto (Responses)
</t>
        </r>
      </text>
    </comment>
    <comment ref="T122" authorId="0" shapeId="0" xr:uid="{99575919-049C-49F6-8EF5-2CAB563E8F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9/16/2022 3:23:51 PM </t>
        </r>
        <r>
          <rPr>
            <b/>
            <sz val="10"/>
            <color indexed="81"/>
            <rFont val="Tahoma"/>
            <family val="2"/>
          </rPr>
          <t xml:space="preserve">= 101283 - Referinta </t>
        </r>
        <r>
          <rPr>
            <sz val="10"/>
            <color indexed="81"/>
            <rFont val="Tahoma"/>
            <family val="2"/>
          </rPr>
          <t xml:space="preserve">* Sibiu Km Auto (Responses)
  9/19/2022 9:40:35 AM </t>
        </r>
        <r>
          <rPr>
            <b/>
            <sz val="10"/>
            <color indexed="81"/>
            <rFont val="Tahoma"/>
            <family val="2"/>
          </rPr>
          <t xml:space="preserve">= 101283 - Normal </t>
        </r>
        <r>
          <rPr>
            <sz val="10"/>
            <color indexed="81"/>
            <rFont val="Tahoma"/>
            <family val="2"/>
          </rPr>
          <t xml:space="preserve">* Sibiu Km Auto (Responses)
</t>
        </r>
      </text>
    </comment>
    <comment ref="Y122" authorId="0" shapeId="0" xr:uid="{479859C5-56AE-4302-97AC-5D6F7D6060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9/23/2022 3:41:30 PM </t>
        </r>
        <r>
          <rPr>
            <b/>
            <sz val="10"/>
            <color indexed="81"/>
            <rFont val="Tahoma"/>
            <family val="2"/>
          </rPr>
          <t xml:space="preserve">= 101921 - Referinta </t>
        </r>
        <r>
          <rPr>
            <sz val="10"/>
            <color indexed="81"/>
            <rFont val="Tahoma"/>
            <family val="2"/>
          </rPr>
          <t xml:space="preserve">* Sibiu Km Auto (Responses)
  9/26/2022 9:24:09 AM </t>
        </r>
        <r>
          <rPr>
            <b/>
            <sz val="10"/>
            <color indexed="81"/>
            <rFont val="Tahoma"/>
            <family val="2"/>
          </rPr>
          <t xml:space="preserve">= 101921 - Normal </t>
        </r>
        <r>
          <rPr>
            <sz val="10"/>
            <color indexed="81"/>
            <rFont val="Tahoma"/>
            <family val="2"/>
          </rPr>
          <t xml:space="preserve">* Sibiu Km Auto (Responses)
</t>
        </r>
      </text>
    </comment>
    <comment ref="AD122" authorId="0" shapeId="0" xr:uid="{F3F494CF-C736-42F4-9FEF-7812959548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9/30/2022 3:48:48 PM </t>
        </r>
        <r>
          <rPr>
            <b/>
            <sz val="10"/>
            <color indexed="81"/>
            <rFont val="Tahoma"/>
            <family val="2"/>
          </rPr>
          <t xml:space="preserve">= 102169 - Referinta </t>
        </r>
        <r>
          <rPr>
            <sz val="10"/>
            <color indexed="81"/>
            <rFont val="Tahoma"/>
            <family val="2"/>
          </rPr>
          <t xml:space="preserve">* Sibiu Km Auto (Responses)
  10/3/2022 8:39:42 AM </t>
        </r>
        <r>
          <rPr>
            <b/>
            <sz val="10"/>
            <color indexed="81"/>
            <rFont val="Tahoma"/>
            <family val="2"/>
          </rPr>
          <t xml:space="preserve">= 102169 - Normal </t>
        </r>
        <r>
          <rPr>
            <sz val="10"/>
            <color indexed="81"/>
            <rFont val="Tahoma"/>
            <family val="2"/>
          </rPr>
          <t xml:space="preserve">* Sibiu Km Auto (Responses)
</t>
        </r>
      </text>
    </comment>
    <comment ref="J123" authorId="0" shapeId="0" xr:uid="{1FBB1F7C-63A7-490D-B72A-D8C064E6DC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3:15:04 PM </t>
        </r>
        <r>
          <rPr>
            <b/>
            <sz val="10"/>
            <color indexed="81"/>
            <rFont val="Tahoma"/>
            <family val="2"/>
          </rPr>
          <t xml:space="preserve">= 50854 - Referinta </t>
        </r>
        <r>
          <rPr>
            <sz val="10"/>
            <color indexed="81"/>
            <rFont val="Tahoma"/>
            <family val="2"/>
          </rPr>
          <t xml:space="preserve">* Sibiu Km Auto (Responses)
   9/2/2022 3:15:41 PM </t>
        </r>
        <r>
          <rPr>
            <b/>
            <sz val="10"/>
            <color indexed="81"/>
            <rFont val="Tahoma"/>
            <family val="2"/>
          </rPr>
          <t xml:space="preserve">= 50854 - Normal </t>
        </r>
        <r>
          <rPr>
            <sz val="10"/>
            <color indexed="81"/>
            <rFont val="Tahoma"/>
            <family val="2"/>
          </rPr>
          <t xml:space="preserve">* Sibiu Km Auto (Responses)
</t>
        </r>
      </text>
    </comment>
    <comment ref="J125" authorId="0" shapeId="0" xr:uid="{EC0A89DC-7817-427D-9E21-57569C53EC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Referinta a fost pusa automat
__________________________________________________________________
</t>
        </r>
        <r>
          <rPr>
            <sz val="10"/>
            <color indexed="12"/>
            <rFont val="Tahoma"/>
            <family val="2"/>
          </rPr>
          <t xml:space="preserve">  </t>
        </r>
        <r>
          <rPr>
            <sz val="10"/>
            <color indexed="81"/>
            <rFont val="Tahoma"/>
            <family val="2"/>
          </rPr>
          <t xml:space="preserve">9/5/2022 10:33:26 AM </t>
        </r>
        <r>
          <rPr>
            <b/>
            <sz val="10"/>
            <color indexed="81"/>
            <rFont val="Tahoma"/>
            <family val="2"/>
          </rPr>
          <t xml:space="preserve">= 947895 - Referinta </t>
        </r>
        <r>
          <rPr>
            <sz val="10"/>
            <color indexed="81"/>
            <rFont val="Tahoma"/>
            <family val="2"/>
          </rPr>
          <t xml:space="preserve">* Timisoara Km Auto (Responses)
</t>
        </r>
      </text>
    </comment>
    <comment ref="O125" authorId="0" shapeId="0" xr:uid="{FB916D5D-18D1-48EB-B0C2-BF286A2DC6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__________________________________________________________________
</t>
        </r>
        <r>
          <rPr>
            <sz val="10"/>
            <color indexed="12"/>
            <rFont val="Tahoma"/>
            <family val="2"/>
          </rPr>
          <t xml:space="preserve">  </t>
        </r>
        <r>
          <rPr>
            <sz val="10"/>
            <color indexed="81"/>
            <rFont val="Tahoma"/>
            <family val="2"/>
          </rPr>
          <t xml:space="preserve"> 9/9/2022 5:00:28 PM </t>
        </r>
        <r>
          <rPr>
            <b/>
            <sz val="10"/>
            <color indexed="81"/>
            <rFont val="Tahoma"/>
            <family val="2"/>
          </rPr>
          <t xml:space="preserve">= 95017 - Referinta </t>
        </r>
        <r>
          <rPr>
            <sz val="10"/>
            <color indexed="81"/>
            <rFont val="Tahoma"/>
            <family val="2"/>
          </rPr>
          <t xml:space="preserve">* Timisoara Km Auto (Responses)
  9/12/2022 8:32:08 AM </t>
        </r>
        <r>
          <rPr>
            <b/>
            <sz val="10"/>
            <color indexed="81"/>
            <rFont val="Tahoma"/>
            <family val="2"/>
          </rPr>
          <t xml:space="preserve">= 95017 - Normal </t>
        </r>
        <r>
          <rPr>
            <sz val="10"/>
            <color indexed="81"/>
            <rFont val="Tahoma"/>
            <family val="2"/>
          </rPr>
          <t xml:space="preserve">* Timisoara Km Auto (Responses)
</t>
        </r>
      </text>
    </comment>
    <comment ref="T125" authorId="0" shapeId="0" xr:uid="{062179AE-71ED-4F8E-8D78-6D1F8E4380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__________________________________________________________________
</t>
        </r>
        <r>
          <rPr>
            <sz val="10"/>
            <color indexed="12"/>
            <rFont val="Tahoma"/>
            <family val="2"/>
          </rPr>
          <t xml:space="preserve">  </t>
        </r>
        <r>
          <rPr>
            <sz val="10"/>
            <color indexed="81"/>
            <rFont val="Tahoma"/>
            <family val="2"/>
          </rPr>
          <t xml:space="preserve">9/16/2022 6:46:05 PM </t>
        </r>
        <r>
          <rPr>
            <b/>
            <sz val="10"/>
            <color indexed="81"/>
            <rFont val="Tahoma"/>
            <family val="2"/>
          </rPr>
          <t xml:space="preserve">= 95251 - Referinta </t>
        </r>
        <r>
          <rPr>
            <sz val="10"/>
            <color indexed="81"/>
            <rFont val="Tahoma"/>
            <family val="2"/>
          </rPr>
          <t xml:space="preserve">* Timisoara Km Auto (Responses)
  9/19/2022 8:33:48 AM </t>
        </r>
        <r>
          <rPr>
            <b/>
            <sz val="10"/>
            <color indexed="81"/>
            <rFont val="Tahoma"/>
            <family val="2"/>
          </rPr>
          <t xml:space="preserve">= 95288 - Normal </t>
        </r>
        <r>
          <rPr>
            <sz val="10"/>
            <color indexed="81"/>
            <rFont val="Tahoma"/>
            <family val="2"/>
          </rPr>
          <t xml:space="preserve">* Timisoara Km Auto (Responses)
</t>
        </r>
      </text>
    </comment>
    <comment ref="AD125" authorId="0" shapeId="0" xr:uid="{15411CD7-E883-4466-96F8-FD5A343E97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__________________________________________________________________
</t>
        </r>
        <r>
          <rPr>
            <sz val="10"/>
            <color indexed="12"/>
            <rFont val="Tahoma"/>
            <family val="2"/>
          </rPr>
          <t xml:space="preserve">  </t>
        </r>
        <r>
          <rPr>
            <sz val="10"/>
            <color indexed="81"/>
            <rFont val="Tahoma"/>
            <family val="2"/>
          </rPr>
          <t xml:space="preserve">9/30/2022 6:01:37 PM </t>
        </r>
        <r>
          <rPr>
            <b/>
            <sz val="10"/>
            <color indexed="81"/>
            <rFont val="Tahoma"/>
            <family val="2"/>
          </rPr>
          <t xml:space="preserve">= 95333 - Referinta </t>
        </r>
        <r>
          <rPr>
            <sz val="10"/>
            <color indexed="81"/>
            <rFont val="Tahoma"/>
            <family val="2"/>
          </rPr>
          <t xml:space="preserve">* Timisoara Km Auto (Responses)
  10/3/2022 8:03:44 AM </t>
        </r>
        <r>
          <rPr>
            <b/>
            <sz val="10"/>
            <color indexed="81"/>
            <rFont val="Tahoma"/>
            <family val="2"/>
          </rPr>
          <t xml:space="preserve">= 95388 - Normal </t>
        </r>
        <r>
          <rPr>
            <sz val="10"/>
            <color indexed="81"/>
            <rFont val="Tahoma"/>
            <family val="2"/>
          </rPr>
          <t xml:space="preserve">* Timisoara Km Auto (Responses)
</t>
        </r>
      </text>
    </comment>
    <comment ref="J126" authorId="0" shapeId="0" xr:uid="{8B65B1FE-C3B4-49E8-88BF-4F0F2F8EA59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Referinta a fost pusa automat
__________________________________________________________________
</t>
        </r>
        <r>
          <rPr>
            <sz val="10"/>
            <color indexed="12"/>
            <rFont val="Tahoma"/>
            <family val="2"/>
          </rPr>
          <t xml:space="preserve">  </t>
        </r>
        <r>
          <rPr>
            <sz val="10"/>
            <color indexed="81"/>
            <rFont val="Tahoma"/>
            <family val="2"/>
          </rPr>
          <t xml:space="preserve"> 9/2/2022 4:57:10 PM </t>
        </r>
        <r>
          <rPr>
            <b/>
            <sz val="10"/>
            <color indexed="81"/>
            <rFont val="Tahoma"/>
            <family val="2"/>
          </rPr>
          <t xml:space="preserve">= 153202 - Referinta </t>
        </r>
        <r>
          <rPr>
            <sz val="10"/>
            <color indexed="81"/>
            <rFont val="Tahoma"/>
            <family val="2"/>
          </rPr>
          <t xml:space="preserve">* Timisoara Km Auto (Responses)
   9/5/2022 7:59:05 AM </t>
        </r>
        <r>
          <rPr>
            <b/>
            <sz val="10"/>
            <color indexed="81"/>
            <rFont val="Tahoma"/>
            <family val="2"/>
          </rPr>
          <t xml:space="preserve">= 153202 - Normal </t>
        </r>
        <r>
          <rPr>
            <sz val="10"/>
            <color indexed="81"/>
            <rFont val="Tahoma"/>
            <family val="2"/>
          </rPr>
          <t xml:space="preserve">* Timisoara Km Auto (Responses)
</t>
        </r>
      </text>
    </comment>
    <comment ref="O126" authorId="0" shapeId="0" xr:uid="{506CE667-D56F-4010-9E17-050FEC44549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 9/9/2022 6:07:53 PM </t>
        </r>
        <r>
          <rPr>
            <b/>
            <sz val="10"/>
            <color indexed="81"/>
            <rFont val="Tahoma"/>
            <family val="2"/>
          </rPr>
          <t xml:space="preserve">= 153630 - Referinta </t>
        </r>
        <r>
          <rPr>
            <sz val="10"/>
            <color indexed="81"/>
            <rFont val="Tahoma"/>
            <family val="2"/>
          </rPr>
          <t xml:space="preserve">* Timisoara Km Auto (Responses)
  9/12/2022 8:10:40 AM </t>
        </r>
        <r>
          <rPr>
            <b/>
            <sz val="10"/>
            <color indexed="81"/>
            <rFont val="Tahoma"/>
            <family val="2"/>
          </rPr>
          <t xml:space="preserve">= 153640 - Normal </t>
        </r>
        <r>
          <rPr>
            <sz val="10"/>
            <color indexed="81"/>
            <rFont val="Tahoma"/>
            <family val="2"/>
          </rPr>
          <t xml:space="preserve">* Timisoara Km Auto (Responses)
</t>
        </r>
      </text>
    </comment>
    <comment ref="T126" authorId="0" shapeId="0" xr:uid="{D475C40A-CDD9-4D4B-9150-B508191211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9/16/2022 5:56:11 PM </t>
        </r>
        <r>
          <rPr>
            <b/>
            <sz val="10"/>
            <color indexed="81"/>
            <rFont val="Tahoma"/>
            <family val="2"/>
          </rPr>
          <t xml:space="preserve">= 154547 - Referinta </t>
        </r>
        <r>
          <rPr>
            <sz val="10"/>
            <color indexed="81"/>
            <rFont val="Tahoma"/>
            <family val="2"/>
          </rPr>
          <t xml:space="preserve">* Timisoara Km Auto (Responses)
  9/19/2022 8:21:10 AM </t>
        </r>
        <r>
          <rPr>
            <b/>
            <sz val="10"/>
            <color indexed="81"/>
            <rFont val="Tahoma"/>
            <family val="2"/>
          </rPr>
          <t xml:space="preserve">= 154557 - Normal </t>
        </r>
        <r>
          <rPr>
            <sz val="10"/>
            <color indexed="81"/>
            <rFont val="Tahoma"/>
            <family val="2"/>
          </rPr>
          <t xml:space="preserve">* Timisoara Km Auto (Responses)
</t>
        </r>
      </text>
    </comment>
    <comment ref="Y126" authorId="0" shapeId="0" xr:uid="{EF95F2CA-6287-4A6B-87E6-DAFACE2E1D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9/23/2022 8:13:21 PM </t>
        </r>
        <r>
          <rPr>
            <b/>
            <sz val="10"/>
            <color indexed="81"/>
            <rFont val="Tahoma"/>
            <family val="2"/>
          </rPr>
          <t xml:space="preserve">= 154966 - Referinta </t>
        </r>
        <r>
          <rPr>
            <sz val="10"/>
            <color indexed="81"/>
            <rFont val="Tahoma"/>
            <family val="2"/>
          </rPr>
          <t xml:space="preserve">* Timisoara Km Auto (Responses)
  9/26/2022 8:14:27 AM </t>
        </r>
        <r>
          <rPr>
            <b/>
            <sz val="10"/>
            <color indexed="81"/>
            <rFont val="Tahoma"/>
            <family val="2"/>
          </rPr>
          <t xml:space="preserve">= 154976 - Normal </t>
        </r>
        <r>
          <rPr>
            <sz val="10"/>
            <color indexed="81"/>
            <rFont val="Tahoma"/>
            <family val="2"/>
          </rPr>
          <t xml:space="preserve">* Timisoara Km Auto (Responses)
</t>
        </r>
      </text>
    </comment>
    <comment ref="AD126" authorId="0" shapeId="0" xr:uid="{46748E34-35B7-4348-81BD-F4CF57AD3E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9/30/2022 6:11:21 PM </t>
        </r>
        <r>
          <rPr>
            <b/>
            <sz val="10"/>
            <color indexed="81"/>
            <rFont val="Tahoma"/>
            <family val="2"/>
          </rPr>
          <t xml:space="preserve">= 156164 - Referinta </t>
        </r>
        <r>
          <rPr>
            <sz val="10"/>
            <color indexed="81"/>
            <rFont val="Tahoma"/>
            <family val="2"/>
          </rPr>
          <t xml:space="preserve">* Timisoara Km Auto (Responses)
  10/3/2022 8:19:06 AM </t>
        </r>
        <r>
          <rPr>
            <b/>
            <sz val="10"/>
            <color indexed="81"/>
            <rFont val="Tahoma"/>
            <family val="2"/>
          </rPr>
          <t xml:space="preserve">= 156173 - Normal </t>
        </r>
        <r>
          <rPr>
            <sz val="10"/>
            <color indexed="81"/>
            <rFont val="Tahoma"/>
            <family val="2"/>
          </rPr>
          <t xml:space="preserve">* Timisoara Km Auto (Responses)
  10/3/2022 8:26:06 AM </t>
        </r>
        <r>
          <rPr>
            <b/>
            <sz val="10"/>
            <color indexed="81"/>
            <rFont val="Tahoma"/>
            <family val="2"/>
          </rPr>
          <t xml:space="preserve">= 156173 - Normal </t>
        </r>
        <r>
          <rPr>
            <sz val="10"/>
            <color indexed="81"/>
            <rFont val="Tahoma"/>
            <family val="2"/>
          </rPr>
          <t xml:space="preserve">* Timisoara Km Auto (Responses)
</t>
        </r>
      </text>
    </comment>
    <comment ref="J127" authorId="0" shapeId="0" xr:uid="{AFEC3323-3E6E-4BA9-9038-4D1CE1B0FF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4:52:25 PM </t>
        </r>
        <r>
          <rPr>
            <b/>
            <sz val="10"/>
            <color indexed="81"/>
            <rFont val="Tahoma"/>
            <family val="2"/>
          </rPr>
          <t xml:space="preserve">= 33673 - Referinta </t>
        </r>
        <r>
          <rPr>
            <sz val="10"/>
            <color indexed="81"/>
            <rFont val="Tahoma"/>
            <family val="2"/>
          </rPr>
          <t xml:space="preserve">* Timisoara Km Auto (Responses)
   9/5/2022 7:30:24 AM </t>
        </r>
        <r>
          <rPr>
            <b/>
            <sz val="10"/>
            <color indexed="81"/>
            <rFont val="Tahoma"/>
            <family val="2"/>
          </rPr>
          <t xml:space="preserve">= 33674 - Normal </t>
        </r>
        <r>
          <rPr>
            <sz val="10"/>
            <color indexed="81"/>
            <rFont val="Tahoma"/>
            <family val="2"/>
          </rPr>
          <t xml:space="preserve">* Timisoara Km Auto (Responses)
</t>
        </r>
      </text>
    </comment>
    <comment ref="O127" authorId="0" shapeId="0" xr:uid="{D3DD12BE-BA07-467B-B63A-9235E7F06C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6:29:51 PM </t>
        </r>
        <r>
          <rPr>
            <b/>
            <sz val="10"/>
            <color indexed="81"/>
            <rFont val="Tahoma"/>
            <family val="2"/>
          </rPr>
          <t xml:space="preserve">= 34051 - Referinta </t>
        </r>
        <r>
          <rPr>
            <sz val="10"/>
            <color indexed="81"/>
            <rFont val="Tahoma"/>
            <family val="2"/>
          </rPr>
          <t xml:space="preserve">* Timisoara Km Auto (Responses)
  9/12/2022 7:32:28 AM </t>
        </r>
        <r>
          <rPr>
            <b/>
            <sz val="10"/>
            <color indexed="81"/>
            <rFont val="Tahoma"/>
            <family val="2"/>
          </rPr>
          <t xml:space="preserve">= 34052 - Normal </t>
        </r>
        <r>
          <rPr>
            <sz val="10"/>
            <color indexed="81"/>
            <rFont val="Tahoma"/>
            <family val="2"/>
          </rPr>
          <t xml:space="preserve">* Timisoara Km Auto (Responses)
</t>
        </r>
      </text>
    </comment>
    <comment ref="T127" authorId="0" shapeId="0" xr:uid="{B3AFCE02-ADB1-4705-88F1-2C8F127E79B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8:26:06 PM </t>
        </r>
        <r>
          <rPr>
            <b/>
            <sz val="10"/>
            <color indexed="81"/>
            <rFont val="Tahoma"/>
            <family val="2"/>
          </rPr>
          <t xml:space="preserve">= 34744 - Referinta </t>
        </r>
        <r>
          <rPr>
            <sz val="10"/>
            <color indexed="81"/>
            <rFont val="Tahoma"/>
            <family val="2"/>
          </rPr>
          <t xml:space="preserve">* Timisoara Km Auto (Responses)
  9/19/2022 7:33:16 AM </t>
        </r>
        <r>
          <rPr>
            <b/>
            <sz val="10"/>
            <color indexed="81"/>
            <rFont val="Tahoma"/>
            <family val="2"/>
          </rPr>
          <t xml:space="preserve">= 34746 - Normal </t>
        </r>
        <r>
          <rPr>
            <sz val="10"/>
            <color indexed="81"/>
            <rFont val="Tahoma"/>
            <family val="2"/>
          </rPr>
          <t xml:space="preserve">* Timisoara Km Auto (Responses)
</t>
        </r>
      </text>
    </comment>
    <comment ref="Y127" authorId="0" shapeId="0" xr:uid="{E7D6EC76-2927-4B89-8411-9E36B2BCFC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9/23/2022 8:23:43 PM </t>
        </r>
        <r>
          <rPr>
            <b/>
            <sz val="10"/>
            <color indexed="81"/>
            <rFont val="Tahoma"/>
            <family val="2"/>
          </rPr>
          <t xml:space="preserve">= 35191 - Referinta </t>
        </r>
        <r>
          <rPr>
            <sz val="10"/>
            <color indexed="81"/>
            <rFont val="Tahoma"/>
            <family val="2"/>
          </rPr>
          <t xml:space="preserve">* Timisoara Km Auto (Responses)
  9/26/2022 7:30:32 AM </t>
        </r>
        <r>
          <rPr>
            <b/>
            <sz val="10"/>
            <color indexed="81"/>
            <rFont val="Tahoma"/>
            <family val="2"/>
          </rPr>
          <t xml:space="preserve">= 35243 - Normal </t>
        </r>
        <r>
          <rPr>
            <sz val="10"/>
            <color indexed="81"/>
            <rFont val="Tahoma"/>
            <family val="2"/>
          </rPr>
          <t xml:space="preserve">* Timisoara Km Auto (Responses)
</t>
        </r>
      </text>
    </comment>
    <comment ref="AD127" authorId="0" shapeId="0" xr:uid="{E5591F89-53DF-43E5-ADC6-C82686D933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9/30/2022 7:10:28 PM </t>
        </r>
        <r>
          <rPr>
            <b/>
            <sz val="10"/>
            <color indexed="81"/>
            <rFont val="Tahoma"/>
            <family val="2"/>
          </rPr>
          <t xml:space="preserve">= 35495 - Referinta </t>
        </r>
        <r>
          <rPr>
            <sz val="10"/>
            <color indexed="81"/>
            <rFont val="Tahoma"/>
            <family val="2"/>
          </rPr>
          <t xml:space="preserve">* Timisoara Km Auto (Responses)
  10/3/2022 7:31:18 AM </t>
        </r>
        <r>
          <rPr>
            <b/>
            <sz val="10"/>
            <color indexed="81"/>
            <rFont val="Tahoma"/>
            <family val="2"/>
          </rPr>
          <t xml:space="preserve">= 35566 - Normal </t>
        </r>
        <r>
          <rPr>
            <sz val="10"/>
            <color indexed="81"/>
            <rFont val="Tahoma"/>
            <family val="2"/>
          </rPr>
          <t xml:space="preserve">* Timisoara Km Auto (Responses)
</t>
        </r>
      </text>
    </comment>
    <comment ref="J128" authorId="0" shapeId="0" xr:uid="{1F57FD32-8719-4FB2-AC6C-909AE74A5A5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9/3/2022 11:56:50 AM </t>
        </r>
        <r>
          <rPr>
            <b/>
            <sz val="10"/>
            <color indexed="81"/>
            <rFont val="Tahoma"/>
            <family val="2"/>
          </rPr>
          <t xml:space="preserve">= 16114 - Referinta </t>
        </r>
        <r>
          <rPr>
            <sz val="10"/>
            <color indexed="81"/>
            <rFont val="Tahoma"/>
            <family val="2"/>
          </rPr>
          <t xml:space="preserve">* Timisoara Km Auto (Responses)
   9/5/2022 7:50:58 AM </t>
        </r>
        <r>
          <rPr>
            <b/>
            <sz val="10"/>
            <color indexed="81"/>
            <rFont val="Tahoma"/>
            <family val="2"/>
          </rPr>
          <t xml:space="preserve">= 16128 - Normal </t>
        </r>
        <r>
          <rPr>
            <sz val="10"/>
            <color indexed="81"/>
            <rFont val="Tahoma"/>
            <family val="2"/>
          </rPr>
          <t xml:space="preserve">* Timisoara Km Auto (Responses)
</t>
        </r>
      </text>
    </comment>
    <comment ref="O128" authorId="0" shapeId="0" xr:uid="{62AF3886-4700-45A5-A1A1-D92C873EE1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__________________________________________________________________
</t>
        </r>
        <r>
          <rPr>
            <sz val="10"/>
            <color indexed="12"/>
            <rFont val="Tahoma"/>
            <family val="2"/>
          </rPr>
          <t xml:space="preserve">  </t>
        </r>
        <r>
          <rPr>
            <sz val="10"/>
            <color indexed="81"/>
            <rFont val="Tahoma"/>
            <family val="2"/>
          </rPr>
          <t xml:space="preserve"> 9/9/2022 4:54:39 PM </t>
        </r>
        <r>
          <rPr>
            <b/>
            <sz val="10"/>
            <color indexed="81"/>
            <rFont val="Tahoma"/>
            <family val="2"/>
          </rPr>
          <t xml:space="preserve">= 17250 - Referinta </t>
        </r>
        <r>
          <rPr>
            <sz val="10"/>
            <color indexed="81"/>
            <rFont val="Tahoma"/>
            <family val="2"/>
          </rPr>
          <t xml:space="preserve">* Timisoara Km Auto (Responses)
  9/12/2022 7:33:00 AM </t>
        </r>
        <r>
          <rPr>
            <b/>
            <sz val="10"/>
            <color indexed="81"/>
            <rFont val="Tahoma"/>
            <family val="2"/>
          </rPr>
          <t xml:space="preserve">= 17269 - Normal </t>
        </r>
        <r>
          <rPr>
            <sz val="10"/>
            <color indexed="81"/>
            <rFont val="Tahoma"/>
            <family val="2"/>
          </rPr>
          <t xml:space="preserve">* Timisoara Km Auto (Responses)
</t>
        </r>
      </text>
    </comment>
    <comment ref="T128" authorId="0" shapeId="0" xr:uid="{E5459121-9888-4851-A938-319261D3E46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__________________________________________________________________
</t>
        </r>
        <r>
          <rPr>
            <sz val="10"/>
            <color indexed="12"/>
            <rFont val="Tahoma"/>
            <family val="2"/>
          </rPr>
          <t xml:space="preserve">  </t>
        </r>
        <r>
          <rPr>
            <sz val="10"/>
            <color indexed="81"/>
            <rFont val="Tahoma"/>
            <family val="2"/>
          </rPr>
          <t xml:space="preserve">9/16/2022 5:27:41 PM </t>
        </r>
        <r>
          <rPr>
            <b/>
            <sz val="10"/>
            <color indexed="81"/>
            <rFont val="Tahoma"/>
            <family val="2"/>
          </rPr>
          <t xml:space="preserve">= 18517 - Referinta </t>
        </r>
        <r>
          <rPr>
            <sz val="10"/>
            <color indexed="81"/>
            <rFont val="Tahoma"/>
            <family val="2"/>
          </rPr>
          <t xml:space="preserve">* Timisoara Km Auto (Responses)
  9/19/2022 7:36:08 AM </t>
        </r>
        <r>
          <rPr>
            <b/>
            <sz val="10"/>
            <color indexed="81"/>
            <rFont val="Tahoma"/>
            <family val="2"/>
          </rPr>
          <t xml:space="preserve">= 18529 - Normal </t>
        </r>
        <r>
          <rPr>
            <sz val="10"/>
            <color indexed="81"/>
            <rFont val="Tahoma"/>
            <family val="2"/>
          </rPr>
          <t xml:space="preserve">* Timisoara Km Auto (Responses)
</t>
        </r>
      </text>
    </comment>
    <comment ref="Y128" authorId="0" shapeId="0" xr:uid="{96707AB9-446D-4428-AA26-645F2F635ED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Referinta a fost pusa automat
__________________________________________________________________
</t>
        </r>
        <r>
          <rPr>
            <sz val="10"/>
            <color indexed="12"/>
            <rFont val="Tahoma"/>
            <family val="2"/>
          </rPr>
          <t xml:space="preserve">  </t>
        </r>
        <r>
          <rPr>
            <sz val="10"/>
            <color indexed="81"/>
            <rFont val="Tahoma"/>
            <family val="2"/>
          </rPr>
          <t xml:space="preserve">9/23/2022 4:43:25 PM </t>
        </r>
        <r>
          <rPr>
            <b/>
            <sz val="10"/>
            <color indexed="81"/>
            <rFont val="Tahoma"/>
            <family val="2"/>
          </rPr>
          <t xml:space="preserve">= 18729 - Referinta </t>
        </r>
        <r>
          <rPr>
            <sz val="10"/>
            <color indexed="81"/>
            <rFont val="Tahoma"/>
            <family val="2"/>
          </rPr>
          <t xml:space="preserve">* Timisoara Km Auto (Responses)
  9/26/2022 7:48:24 AM </t>
        </r>
        <r>
          <rPr>
            <b/>
            <sz val="10"/>
            <color indexed="81"/>
            <rFont val="Tahoma"/>
            <family val="2"/>
          </rPr>
          <t xml:space="preserve">= 18732 - Normal </t>
        </r>
        <r>
          <rPr>
            <sz val="10"/>
            <color indexed="81"/>
            <rFont val="Tahoma"/>
            <family val="2"/>
          </rPr>
          <t xml:space="preserve">* Timisoara Km Auto (Responses)
</t>
        </r>
      </text>
    </comment>
    <comment ref="AD128" authorId="0" shapeId="0" xr:uid="{C7491F9B-EF7A-42BA-867C-08CF53F23F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9/30/2022 6:52:02 PM </t>
        </r>
        <r>
          <rPr>
            <b/>
            <sz val="10"/>
            <color indexed="81"/>
            <rFont val="Tahoma"/>
            <family val="2"/>
          </rPr>
          <t xml:space="preserve">= 19570 - Referinta </t>
        </r>
        <r>
          <rPr>
            <sz val="10"/>
            <color indexed="81"/>
            <rFont val="Tahoma"/>
            <family val="2"/>
          </rPr>
          <t xml:space="preserve">* Timisoara Km Auto (Responses)
  10/3/2022 4:54:42 AM </t>
        </r>
        <r>
          <rPr>
            <b/>
            <sz val="10"/>
            <color indexed="81"/>
            <rFont val="Tahoma"/>
            <family val="2"/>
          </rPr>
          <t xml:space="preserve">= 19743 - Normal </t>
        </r>
        <r>
          <rPr>
            <sz val="10"/>
            <color indexed="81"/>
            <rFont val="Tahoma"/>
            <family val="2"/>
          </rPr>
          <t xml:space="preserve">* Timisoara Km Auto (Responses)
</t>
        </r>
      </text>
    </comment>
    <comment ref="J129" authorId="0" shapeId="0" xr:uid="{E8DCC9C3-F077-4352-9BD0-688FBAC0AD9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5:00:16 PM </t>
        </r>
        <r>
          <rPr>
            <b/>
            <sz val="10"/>
            <color indexed="81"/>
            <rFont val="Tahoma"/>
            <family val="2"/>
          </rPr>
          <t xml:space="preserve">= 99529 - Referinta </t>
        </r>
        <r>
          <rPr>
            <sz val="10"/>
            <color indexed="81"/>
            <rFont val="Tahoma"/>
            <family val="2"/>
          </rPr>
          <t xml:space="preserve">* Timisoara Km Auto (Responses)
   9/5/2022 8:10:38 AM </t>
        </r>
        <r>
          <rPr>
            <b/>
            <sz val="10"/>
            <color indexed="81"/>
            <rFont val="Tahoma"/>
            <family val="2"/>
          </rPr>
          <t xml:space="preserve">= 99542 - Interes Serviciu </t>
        </r>
        <r>
          <rPr>
            <sz val="10"/>
            <color indexed="81"/>
            <rFont val="Tahoma"/>
            <family val="2"/>
          </rPr>
          <t xml:space="preserve">* Timisoara Km Auto (Responses)
</t>
        </r>
      </text>
    </comment>
    <comment ref="O129" authorId="0" shapeId="0" xr:uid="{8886AF6D-1075-4914-8B8C-6F3FD9507F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t>
        </r>
        <r>
          <rPr>
            <sz val="10"/>
            <color indexed="81"/>
            <rFont val="Tahoma"/>
            <family val="2"/>
          </rPr>
          <t xml:space="preserve"> 9/9/2022 6:28:34 PM </t>
        </r>
        <r>
          <rPr>
            <b/>
            <sz val="10"/>
            <color indexed="81"/>
            <rFont val="Tahoma"/>
            <family val="2"/>
          </rPr>
          <t xml:space="preserve">= 100031 - Referinta </t>
        </r>
        <r>
          <rPr>
            <sz val="10"/>
            <color indexed="81"/>
            <rFont val="Tahoma"/>
            <family val="2"/>
          </rPr>
          <t xml:space="preserve">* Timisoara Km Auto (Responses)
</t>
        </r>
      </text>
    </comment>
    <comment ref="T129" authorId="0" shapeId="0" xr:uid="{F1180FD6-A0AB-4239-A753-58E24E5E07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9</t>
        </r>
        <r>
          <rPr>
            <sz val="10"/>
            <color indexed="81"/>
            <rFont val="Tahoma"/>
            <family val="2"/>
          </rPr>
          <t xml:space="preserve">/19/2022 10:05:53 AM </t>
        </r>
        <r>
          <rPr>
            <b/>
            <sz val="10"/>
            <color indexed="81"/>
            <rFont val="Tahoma"/>
            <family val="2"/>
          </rPr>
          <t xml:space="preserve">= 100044 - Referinta </t>
        </r>
        <r>
          <rPr>
            <sz val="10"/>
            <color indexed="81"/>
            <rFont val="Tahoma"/>
            <family val="2"/>
          </rPr>
          <t xml:space="preserve">* Timisoara Km Auto (Responses)
</t>
        </r>
      </text>
    </comment>
    <comment ref="Y129" authorId="0" shapeId="0" xr:uid="{374D2C10-EF19-4DAE-A967-14676B505B3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__________________________________________________________________
</t>
        </r>
        <r>
          <rPr>
            <sz val="10"/>
            <color indexed="12"/>
            <rFont val="Tahoma"/>
            <family val="2"/>
          </rPr>
          <t xml:space="preserve">  </t>
        </r>
        <r>
          <rPr>
            <sz val="10"/>
            <color indexed="81"/>
            <rFont val="Tahoma"/>
            <family val="2"/>
          </rPr>
          <t xml:space="preserve">9/23/2022 4:29:47 PM </t>
        </r>
        <r>
          <rPr>
            <b/>
            <sz val="10"/>
            <color indexed="81"/>
            <rFont val="Tahoma"/>
            <family val="2"/>
          </rPr>
          <t xml:space="preserve">= 100404 - Referinta </t>
        </r>
        <r>
          <rPr>
            <sz val="10"/>
            <color indexed="81"/>
            <rFont val="Tahoma"/>
            <family val="2"/>
          </rPr>
          <t xml:space="preserve">* Timisoara Km Auto (Responses)
  9/26/2022 8:21:30 AM </t>
        </r>
        <r>
          <rPr>
            <b/>
            <sz val="10"/>
            <color indexed="81"/>
            <rFont val="Tahoma"/>
            <family val="2"/>
          </rPr>
          <t xml:space="preserve">= 100434 - Normal </t>
        </r>
        <r>
          <rPr>
            <sz val="10"/>
            <color indexed="81"/>
            <rFont val="Tahoma"/>
            <family val="2"/>
          </rPr>
          <t xml:space="preserve">* Timisoara Km Auto (Responses)
</t>
        </r>
      </text>
    </comment>
    <comment ref="AD129" authorId="0" shapeId="0" xr:uid="{95827A14-BFE4-42D4-8016-846B7A326C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t>
        </r>
        <r>
          <rPr>
            <sz val="10"/>
            <color indexed="81"/>
            <rFont val="Tahoma"/>
            <family val="2"/>
          </rPr>
          <t xml:space="preserve">9/30/2022 4:40:16 PM </t>
        </r>
        <r>
          <rPr>
            <b/>
            <sz val="10"/>
            <color indexed="81"/>
            <rFont val="Tahoma"/>
            <family val="2"/>
          </rPr>
          <t xml:space="preserve">= 101139 - Referinta </t>
        </r>
        <r>
          <rPr>
            <sz val="10"/>
            <color indexed="81"/>
            <rFont val="Tahoma"/>
            <family val="2"/>
          </rPr>
          <t xml:space="preserve">* Timisoara Km Auto (Responses)
  10/3/2022 8:06:30 AM </t>
        </r>
        <r>
          <rPr>
            <b/>
            <sz val="10"/>
            <color indexed="81"/>
            <rFont val="Tahoma"/>
            <family val="2"/>
          </rPr>
          <t xml:space="preserve">= 101152 - Interes serviciu </t>
        </r>
        <r>
          <rPr>
            <sz val="10"/>
            <color indexed="81"/>
            <rFont val="Tahoma"/>
            <family val="2"/>
          </rPr>
          <t xml:space="preserve">* Timisoara Km Auto (Responses)
</t>
        </r>
      </text>
    </comment>
    <comment ref="J130" authorId="0" shapeId="0" xr:uid="{D4CF3765-BAE8-41C5-BA8A-DA155F1686F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9/2/2022 4:56:05 PM </t>
        </r>
        <r>
          <rPr>
            <b/>
            <sz val="10"/>
            <color indexed="81"/>
            <rFont val="Tahoma"/>
            <family val="2"/>
          </rPr>
          <t xml:space="preserve">= 113274 - Referinta </t>
        </r>
        <r>
          <rPr>
            <sz val="10"/>
            <color indexed="81"/>
            <rFont val="Tahoma"/>
            <family val="2"/>
          </rPr>
          <t xml:space="preserve">* Timisoara Km Auto (Responses)
   9/5/2022 8:02:56 AM </t>
        </r>
        <r>
          <rPr>
            <b/>
            <sz val="10"/>
            <color indexed="81"/>
            <rFont val="Tahoma"/>
            <family val="2"/>
          </rPr>
          <t xml:space="preserve">= 113276 - Interes Serviciu </t>
        </r>
        <r>
          <rPr>
            <sz val="10"/>
            <color indexed="81"/>
            <rFont val="Tahoma"/>
            <family val="2"/>
          </rPr>
          <t xml:space="preserve">* Timisoara Km Auto (Responses)
</t>
        </r>
      </text>
    </comment>
    <comment ref="O130" authorId="0" shapeId="0" xr:uid="{D42EF56B-6DFD-4566-B2AB-E7431AB7F3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 9/9/2022 4:58:56 PM </t>
        </r>
        <r>
          <rPr>
            <b/>
            <sz val="10"/>
            <color indexed="81"/>
            <rFont val="Tahoma"/>
            <family val="2"/>
          </rPr>
          <t xml:space="preserve">= 114372 - Referinta </t>
        </r>
        <r>
          <rPr>
            <sz val="10"/>
            <color indexed="81"/>
            <rFont val="Tahoma"/>
            <family val="2"/>
          </rPr>
          <t xml:space="preserve">* Timisoara Km Auto (Responses)
  9/12/2022 8:04:25 AM </t>
        </r>
        <r>
          <rPr>
            <b/>
            <sz val="10"/>
            <color indexed="81"/>
            <rFont val="Tahoma"/>
            <family val="2"/>
          </rPr>
          <t xml:space="preserve">= 114373 - Normal </t>
        </r>
        <r>
          <rPr>
            <sz val="10"/>
            <color indexed="81"/>
            <rFont val="Tahoma"/>
            <family val="2"/>
          </rPr>
          <t xml:space="preserve">* Timisoara Km Auto (Responses)
</t>
        </r>
      </text>
    </comment>
    <comment ref="T130" authorId="0" shapeId="0" xr:uid="{8EF1260B-F9D9-49AB-BC26-AC74E9DBB3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9/16/2022 3:28:27 PM </t>
        </r>
        <r>
          <rPr>
            <b/>
            <sz val="10"/>
            <color indexed="81"/>
            <rFont val="Tahoma"/>
            <family val="2"/>
          </rPr>
          <t xml:space="preserve">= 114862 - Referinta </t>
        </r>
        <r>
          <rPr>
            <sz val="10"/>
            <color indexed="81"/>
            <rFont val="Tahoma"/>
            <family val="2"/>
          </rPr>
          <t xml:space="preserve">* Timisoara Km Auto (Responses)
  9/19/2022 8:14:54 AM </t>
        </r>
        <r>
          <rPr>
            <b/>
            <sz val="10"/>
            <color indexed="81"/>
            <rFont val="Tahoma"/>
            <family val="2"/>
          </rPr>
          <t xml:space="preserve">= 114863 - Normal </t>
        </r>
        <r>
          <rPr>
            <sz val="10"/>
            <color indexed="81"/>
            <rFont val="Tahoma"/>
            <family val="2"/>
          </rPr>
          <t xml:space="preserve">* Timisoara Km Auto (Responses)
</t>
        </r>
      </text>
    </comment>
    <comment ref="Y130" authorId="0" shapeId="0" xr:uid="{851F657D-CFB4-49D2-A5AB-8FAF290B7D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9/23/2022 4:24:04 PM </t>
        </r>
        <r>
          <rPr>
            <b/>
            <sz val="10"/>
            <color indexed="81"/>
            <rFont val="Tahoma"/>
            <family val="2"/>
          </rPr>
          <t xml:space="preserve">= 116328 - Referinta </t>
        </r>
        <r>
          <rPr>
            <sz val="10"/>
            <color indexed="81"/>
            <rFont val="Tahoma"/>
            <family val="2"/>
          </rPr>
          <t xml:space="preserve">* Timisoara Km Auto (Responses)
  9/26/2022 8:12:28 AM </t>
        </r>
        <r>
          <rPr>
            <b/>
            <sz val="10"/>
            <color indexed="81"/>
            <rFont val="Tahoma"/>
            <family val="2"/>
          </rPr>
          <t xml:space="preserve">= 116329 - Normal </t>
        </r>
        <r>
          <rPr>
            <sz val="10"/>
            <color indexed="81"/>
            <rFont val="Tahoma"/>
            <family val="2"/>
          </rPr>
          <t xml:space="preserve">* Timisoara Km Auto (Responses)
</t>
        </r>
      </text>
    </comment>
    <comment ref="AD130" authorId="0" shapeId="0" xr:uid="{6D6BFA1C-5DE0-4077-BDE5-D9BAD7997D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9/30/2022 3:56:00 PM </t>
        </r>
        <r>
          <rPr>
            <b/>
            <sz val="10"/>
            <color indexed="81"/>
            <rFont val="Tahoma"/>
            <family val="2"/>
          </rPr>
          <t xml:space="preserve">= 117202 - Referinta </t>
        </r>
        <r>
          <rPr>
            <sz val="10"/>
            <color indexed="81"/>
            <rFont val="Tahoma"/>
            <family val="2"/>
          </rPr>
          <t xml:space="preserve">* Timisoara Km Auto (Responses)
  10/3/2022 8:05:24 AM </t>
        </r>
        <r>
          <rPr>
            <b/>
            <sz val="10"/>
            <color indexed="81"/>
            <rFont val="Tahoma"/>
            <family val="2"/>
          </rPr>
          <t xml:space="preserve">= 117204 - Normal </t>
        </r>
        <r>
          <rPr>
            <sz val="10"/>
            <color indexed="81"/>
            <rFont val="Tahoma"/>
            <family val="2"/>
          </rPr>
          <t xml:space="preserve">* Timisoara Km Auto (Responses)
</t>
        </r>
      </text>
    </comment>
    <comment ref="J131" authorId="0" shapeId="0" xr:uid="{B7D9D202-4213-4C40-BE1B-CEC4D8B35A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Referinta a fost pusa automat
__________________________________________________________________
</t>
        </r>
        <r>
          <rPr>
            <sz val="10"/>
            <color indexed="12"/>
            <rFont val="Tahoma"/>
            <family val="2"/>
          </rPr>
          <t xml:space="preserve">  </t>
        </r>
        <r>
          <rPr>
            <sz val="10"/>
            <color indexed="81"/>
            <rFont val="Tahoma"/>
            <family val="2"/>
          </rPr>
          <t xml:space="preserve"> 9/2/2022 7:23:03 PM </t>
        </r>
        <r>
          <rPr>
            <b/>
            <sz val="10"/>
            <color indexed="81"/>
            <rFont val="Tahoma"/>
            <family val="2"/>
          </rPr>
          <t xml:space="preserve">= 38401 - Referinta </t>
        </r>
        <r>
          <rPr>
            <sz val="10"/>
            <color indexed="81"/>
            <rFont val="Tahoma"/>
            <family val="2"/>
          </rPr>
          <t xml:space="preserve">* Timisoara Km Auto (Responses)
   9/5/2022 7:40:45 AM </t>
        </r>
        <r>
          <rPr>
            <b/>
            <sz val="10"/>
            <color indexed="81"/>
            <rFont val="Tahoma"/>
            <family val="2"/>
          </rPr>
          <t xml:space="preserve">= 38725 - Normal </t>
        </r>
        <r>
          <rPr>
            <sz val="10"/>
            <color indexed="81"/>
            <rFont val="Tahoma"/>
            <family val="2"/>
          </rPr>
          <t xml:space="preserve">* Timisoara Km Auto (Responses)
</t>
        </r>
      </text>
    </comment>
    <comment ref="O131" authorId="0" shapeId="0" xr:uid="{00BFB4C8-9164-47A6-9C0E-4611D90107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__________________________________________________________________
</t>
        </r>
        <r>
          <rPr>
            <sz val="10"/>
            <color indexed="12"/>
            <rFont val="Tahoma"/>
            <family val="2"/>
          </rPr>
          <t xml:space="preserve">  </t>
        </r>
        <r>
          <rPr>
            <sz val="10"/>
            <color indexed="81"/>
            <rFont val="Tahoma"/>
            <family val="2"/>
          </rPr>
          <t xml:space="preserve">9/9/2022 11:12:43 PM </t>
        </r>
        <r>
          <rPr>
            <b/>
            <sz val="10"/>
            <color indexed="81"/>
            <rFont val="Tahoma"/>
            <family val="2"/>
          </rPr>
          <t xml:space="preserve">= 39106 - Referinta </t>
        </r>
        <r>
          <rPr>
            <sz val="10"/>
            <color indexed="81"/>
            <rFont val="Tahoma"/>
            <family val="2"/>
          </rPr>
          <t xml:space="preserve">* Timisoara Km Auto (Responses)
</t>
        </r>
      </text>
    </comment>
    <comment ref="T131" authorId="0" shapeId="0" xr:uid="{920AD5DC-1650-42A4-A061-8804DF1A0F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Referinta a fost pusa automat
__________________________________________________________________
</t>
        </r>
        <r>
          <rPr>
            <sz val="10"/>
            <color indexed="12"/>
            <rFont val="Tahoma"/>
            <family val="2"/>
          </rPr>
          <t xml:space="preserve">  </t>
        </r>
        <r>
          <rPr>
            <sz val="10"/>
            <color indexed="81"/>
            <rFont val="Tahoma"/>
            <family val="2"/>
          </rPr>
          <t xml:space="preserve">9/19/2022 7:58:37 AM </t>
        </r>
        <r>
          <rPr>
            <b/>
            <sz val="10"/>
            <color indexed="81"/>
            <rFont val="Tahoma"/>
            <family val="2"/>
          </rPr>
          <t xml:space="preserve">= 39636 - Referinta </t>
        </r>
        <r>
          <rPr>
            <sz val="10"/>
            <color indexed="81"/>
            <rFont val="Tahoma"/>
            <family val="2"/>
          </rPr>
          <t xml:space="preserve">* Timisoara Km Auto (Responses)
</t>
        </r>
      </text>
    </comment>
    <comment ref="Y131" authorId="0" shapeId="0" xr:uid="{51D5AD72-7DAF-41C5-999C-B215C189B9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__________________________________________________________________
</t>
        </r>
        <r>
          <rPr>
            <sz val="10"/>
            <color indexed="12"/>
            <rFont val="Tahoma"/>
            <family val="2"/>
          </rPr>
          <t xml:space="preserve">  </t>
        </r>
        <r>
          <rPr>
            <sz val="10"/>
            <color indexed="81"/>
            <rFont val="Tahoma"/>
            <family val="2"/>
          </rPr>
          <t xml:space="preserve">9/23/2022 8:44:40 PM </t>
        </r>
        <r>
          <rPr>
            <b/>
            <sz val="10"/>
            <color indexed="81"/>
            <rFont val="Tahoma"/>
            <family val="2"/>
          </rPr>
          <t xml:space="preserve">= 40178 - Referinta </t>
        </r>
        <r>
          <rPr>
            <sz val="10"/>
            <color indexed="81"/>
            <rFont val="Tahoma"/>
            <family val="2"/>
          </rPr>
          <t xml:space="preserve">* Timisoara Km Auto (Responses)
  9/26/2022 7:53:48 AM </t>
        </r>
        <r>
          <rPr>
            <b/>
            <sz val="10"/>
            <color indexed="81"/>
            <rFont val="Tahoma"/>
            <family val="2"/>
          </rPr>
          <t xml:space="preserve">= 40203 - Normal </t>
        </r>
        <r>
          <rPr>
            <sz val="10"/>
            <color indexed="81"/>
            <rFont val="Tahoma"/>
            <family val="2"/>
          </rPr>
          <t xml:space="preserve">* Timisoara Km Auto (Responses)
</t>
        </r>
      </text>
    </comment>
    <comment ref="AD131" authorId="0" shapeId="0" xr:uid="{05FF47FE-773B-4752-BDED-08F7E0A2F37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__________________________________________________________________
</t>
        </r>
        <r>
          <rPr>
            <sz val="10"/>
            <color indexed="12"/>
            <rFont val="Tahoma"/>
            <family val="2"/>
          </rPr>
          <t xml:space="preserve">  </t>
        </r>
        <r>
          <rPr>
            <sz val="10"/>
            <color indexed="81"/>
            <rFont val="Tahoma"/>
            <family val="2"/>
          </rPr>
          <t xml:space="preserve">9/30/2022 5:27:20 PM </t>
        </r>
        <r>
          <rPr>
            <b/>
            <sz val="10"/>
            <color indexed="81"/>
            <rFont val="Tahoma"/>
            <family val="2"/>
          </rPr>
          <t xml:space="preserve">= 40337 - Referinta </t>
        </r>
        <r>
          <rPr>
            <sz val="10"/>
            <color indexed="81"/>
            <rFont val="Tahoma"/>
            <family val="2"/>
          </rPr>
          <t xml:space="preserve">* Timisoara Km Auto (Responses)
  10/3/2022 7:53:26 AM </t>
        </r>
        <r>
          <rPr>
            <b/>
            <sz val="10"/>
            <color indexed="81"/>
            <rFont val="Tahoma"/>
            <family val="2"/>
          </rPr>
          <t xml:space="preserve">= 40340 - Normal </t>
        </r>
        <r>
          <rPr>
            <sz val="10"/>
            <color indexed="81"/>
            <rFont val="Tahoma"/>
            <family val="2"/>
          </rPr>
          <t xml:space="preserve">* Timisoara Km Auto (Responses)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Vicentiu MINCIOR</author>
  </authors>
  <commentList>
    <comment ref="J1" authorId="0" shapeId="0" xr:uid="{34C6E6D1-96BD-4DC1-B994-0F565E10DC36}">
      <text>
        <r>
          <rPr>
            <sz val="10"/>
            <color indexed="81"/>
            <rFont val="Tahoma"/>
            <family val="2"/>
          </rPr>
          <t>Perioada pentru introducere date: 
2022-09-02:2022-09-08</t>
        </r>
      </text>
    </comment>
    <comment ref="O1" authorId="0" shapeId="0" xr:uid="{C16F8487-AB3C-4C6D-B582-14949C0667E7}">
      <text>
        <r>
          <rPr>
            <sz val="10"/>
            <color indexed="81"/>
            <rFont val="Tahoma"/>
            <family val="2"/>
          </rPr>
          <t>Perioada pentru introducere date: 
2022-09-09:2022-09-15</t>
        </r>
      </text>
    </comment>
    <comment ref="T1" authorId="0" shapeId="0" xr:uid="{76DE8568-C559-4DD7-BA98-364311461765}">
      <text>
        <r>
          <rPr>
            <sz val="10"/>
            <color indexed="81"/>
            <rFont val="Tahoma"/>
            <family val="2"/>
          </rPr>
          <t>Perioada pentru introducere date: 
2022-09-16:2022-09-22</t>
        </r>
      </text>
    </comment>
    <comment ref="Y1" authorId="0" shapeId="0" xr:uid="{77D31B81-5FAD-489C-85E9-B0CF03F31030}">
      <text>
        <r>
          <rPr>
            <sz val="10"/>
            <color indexed="81"/>
            <rFont val="Tahoma"/>
            <family val="2"/>
          </rPr>
          <t>Perioada pentru introducere date: 
2022-09-23:2022-09-29</t>
        </r>
      </text>
    </comment>
    <comment ref="AD1" authorId="0" shapeId="0" xr:uid="{4D62FF51-1F58-4ADD-A537-E31F065F94D1}">
      <text>
        <r>
          <rPr>
            <sz val="10"/>
            <color indexed="81"/>
            <rFont val="Tahoma"/>
            <family val="2"/>
          </rPr>
          <t>Perioada pentru introducere date: 
2022-09-30:2022-10-06</t>
        </r>
      </text>
    </comment>
    <comment ref="O3" authorId="0" shapeId="0" xr:uid="{7795B1BA-E7AD-4D37-BEBD-E79A750BFE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__________________________________________________________________
</t>
        </r>
        <r>
          <rPr>
            <sz val="10"/>
            <color indexed="12"/>
            <rFont val="Tahoma"/>
            <family val="2"/>
          </rPr>
          <t xml:space="preserve">  </t>
        </r>
        <r>
          <rPr>
            <sz val="10"/>
            <color indexed="81"/>
            <rFont val="Tahoma"/>
            <family val="2"/>
          </rPr>
          <t xml:space="preserve"> 9/9/2022 5:25:00 AM </t>
        </r>
        <r>
          <rPr>
            <b/>
            <sz val="10"/>
            <color indexed="81"/>
            <rFont val="Tahoma"/>
            <family val="2"/>
          </rPr>
          <t xml:space="preserve">= 34460 - Referinta </t>
        </r>
        <r>
          <rPr>
            <sz val="10"/>
            <color indexed="81"/>
            <rFont val="Tahoma"/>
            <family val="2"/>
          </rPr>
          <t xml:space="preserve">* Bucuresti Km Auto Vanzari (Responses)
  9/12/2022 8:36:00 AM </t>
        </r>
        <r>
          <rPr>
            <b/>
            <sz val="10"/>
            <color indexed="81"/>
            <rFont val="Tahoma"/>
            <family val="2"/>
          </rPr>
          <t xml:space="preserve">= 34460 - Normal </t>
        </r>
        <r>
          <rPr>
            <sz val="10"/>
            <color indexed="81"/>
            <rFont val="Tahoma"/>
            <family val="2"/>
          </rPr>
          <t xml:space="preserve">* Bucuresti Km Auto Vanzari (Responses)
</t>
        </r>
      </text>
    </comment>
    <comment ref="T3" authorId="0" shapeId="0" xr:uid="{52021CDD-982C-4679-86F1-336A7C7A22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__________________________________________________________________
</t>
        </r>
        <r>
          <rPr>
            <sz val="10"/>
            <color indexed="12"/>
            <rFont val="Tahoma"/>
            <family val="2"/>
          </rPr>
          <t xml:space="preserve">  </t>
        </r>
        <r>
          <rPr>
            <sz val="10"/>
            <color indexed="81"/>
            <rFont val="Tahoma"/>
            <family val="2"/>
          </rPr>
          <t xml:space="preserve">9/16/2022 7:11:00 AM </t>
        </r>
        <r>
          <rPr>
            <b/>
            <sz val="10"/>
            <color indexed="81"/>
            <rFont val="Tahoma"/>
            <family val="2"/>
          </rPr>
          <t xml:space="preserve">= 34705 - Referinta </t>
        </r>
        <r>
          <rPr>
            <sz val="10"/>
            <color indexed="81"/>
            <rFont val="Tahoma"/>
            <family val="2"/>
          </rPr>
          <t xml:space="preserve">* Bucuresti Km Auto Vanzari (Responses)
  9/19/2022 7:05:00 AM </t>
        </r>
        <r>
          <rPr>
            <b/>
            <sz val="10"/>
            <color indexed="81"/>
            <rFont val="Tahoma"/>
            <family val="2"/>
          </rPr>
          <t xml:space="preserve">= 34705 - Normal </t>
        </r>
        <r>
          <rPr>
            <sz val="10"/>
            <color indexed="81"/>
            <rFont val="Tahoma"/>
            <family val="2"/>
          </rPr>
          <t xml:space="preserve">* Bucuresti Km Auto Vanzari (Responses)
</t>
        </r>
      </text>
    </comment>
    <comment ref="Y3" authorId="0" shapeId="0" xr:uid="{4EA93CA8-0994-4B5F-A669-6B69AD95C9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B-803-CLT</t>
        </r>
        <r>
          <rPr>
            <b/>
            <sz val="10"/>
            <color indexed="12"/>
            <rFont val="Tahoma"/>
            <family val="2"/>
          </rPr>
          <t xml:space="preserve"> - Apostol Cristian 
__________________________________________________________________
</t>
        </r>
        <r>
          <rPr>
            <sz val="10"/>
            <color indexed="12"/>
            <rFont val="Tahoma"/>
            <family val="2"/>
          </rPr>
          <t xml:space="preserve">  </t>
        </r>
        <r>
          <rPr>
            <sz val="10"/>
            <color indexed="81"/>
            <rFont val="Tahoma"/>
            <family val="2"/>
          </rPr>
          <t xml:space="preserve">9/24/2022 5:05:00 AM </t>
        </r>
        <r>
          <rPr>
            <b/>
            <sz val="10"/>
            <color indexed="81"/>
            <rFont val="Tahoma"/>
            <family val="2"/>
          </rPr>
          <t xml:space="preserve">= 34814 - Referinta </t>
        </r>
        <r>
          <rPr>
            <sz val="10"/>
            <color indexed="81"/>
            <rFont val="Tahoma"/>
            <family val="2"/>
          </rPr>
          <t xml:space="preserve">* Bucuresti Km Auto Vanzari (Responses)
  9/26/2022 7:21:00 AM </t>
        </r>
        <r>
          <rPr>
            <b/>
            <sz val="10"/>
            <color indexed="81"/>
            <rFont val="Tahoma"/>
            <family val="2"/>
          </rPr>
          <t xml:space="preserve">= 34834 - Normal </t>
        </r>
        <r>
          <rPr>
            <sz val="10"/>
            <color indexed="81"/>
            <rFont val="Tahoma"/>
            <family val="2"/>
          </rPr>
          <t xml:space="preserve">* Bucuresti Km Auto Vanzari (Responses)
</t>
        </r>
      </text>
    </comment>
    <comment ref="J4" authorId="0" shapeId="0" xr:uid="{DBD2C798-8218-4C74-BC10-5FA1DA94D5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 9/2/2022 4:20:48 PM </t>
        </r>
        <r>
          <rPr>
            <b/>
            <sz val="10"/>
            <color indexed="81"/>
            <rFont val="Tahoma"/>
            <family val="2"/>
          </rPr>
          <t xml:space="preserve">= 83826 - Referinta </t>
        </r>
        <r>
          <rPr>
            <sz val="10"/>
            <color indexed="81"/>
            <rFont val="Tahoma"/>
            <family val="2"/>
          </rPr>
          <t xml:space="preserve">* Brasov Km Auto (Responses)
   9/6/2022 2:00:00 AM </t>
        </r>
        <r>
          <rPr>
            <b/>
            <sz val="10"/>
            <color indexed="81"/>
            <rFont val="Tahoma"/>
            <family val="2"/>
          </rPr>
          <t xml:space="preserve">= 83971 - Normal </t>
        </r>
        <r>
          <rPr>
            <sz val="10"/>
            <color indexed="81"/>
            <rFont val="Tahoma"/>
            <family val="2"/>
          </rPr>
          <t xml:space="preserve">* Brasov Km Auto (Responses)
</t>
        </r>
      </text>
    </comment>
    <comment ref="O4" authorId="0" shapeId="0" xr:uid="{E9687D52-3CE1-43A3-A701-78FCC94EA8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B-185-CLT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 9/9/2022 8:00:00 AM </t>
        </r>
        <r>
          <rPr>
            <b/>
            <sz val="10"/>
            <color indexed="81"/>
            <rFont val="Tahoma"/>
            <family val="2"/>
          </rPr>
          <t xml:space="preserve">= 84140 - Referinta </t>
        </r>
        <r>
          <rPr>
            <sz val="10"/>
            <color indexed="81"/>
            <rFont val="Tahoma"/>
            <family val="2"/>
          </rPr>
          <t xml:space="preserve">* Brasov Km Auto (Responses)
  9/11/2022 1:00:00 AM </t>
        </r>
        <r>
          <rPr>
            <b/>
            <sz val="10"/>
            <color indexed="81"/>
            <rFont val="Tahoma"/>
            <family val="2"/>
          </rPr>
          <t xml:space="preserve">= 84144 - Normal </t>
        </r>
        <r>
          <rPr>
            <sz val="10"/>
            <color indexed="81"/>
            <rFont val="Tahoma"/>
            <family val="2"/>
          </rPr>
          <t xml:space="preserve">* Brasov Km Auto (Responses)
</t>
        </r>
      </text>
    </comment>
    <comment ref="J5" authorId="0" shapeId="0" xr:uid="{564317E1-78B9-4966-B37C-E7B4B3BD8DC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3:45:07 PM </t>
        </r>
        <r>
          <rPr>
            <b/>
            <sz val="10"/>
            <color indexed="81"/>
            <rFont val="Tahoma"/>
            <family val="2"/>
          </rPr>
          <t xml:space="preserve">= 322516 - Referinta </t>
        </r>
        <r>
          <rPr>
            <sz val="10"/>
            <color indexed="81"/>
            <rFont val="Tahoma"/>
            <family val="2"/>
          </rPr>
          <t xml:space="preserve">* Brasov Km Auto (Responses)
   9/5/2022 8:10:38 AM </t>
        </r>
        <r>
          <rPr>
            <b/>
            <sz val="10"/>
            <color indexed="81"/>
            <rFont val="Tahoma"/>
            <family val="2"/>
          </rPr>
          <t xml:space="preserve">= 322532 - Normal </t>
        </r>
        <r>
          <rPr>
            <sz val="10"/>
            <color indexed="81"/>
            <rFont val="Tahoma"/>
            <family val="2"/>
          </rPr>
          <t xml:space="preserve">* Brasov Km Auto (Responses)
</t>
        </r>
      </text>
    </comment>
    <comment ref="O5" authorId="0" shapeId="0" xr:uid="{4AB19BEF-408A-4F18-8EC8-4132733098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 9/9/2022 3:38:43 PM </t>
        </r>
        <r>
          <rPr>
            <b/>
            <sz val="10"/>
            <color indexed="81"/>
            <rFont val="Tahoma"/>
            <family val="2"/>
          </rPr>
          <t xml:space="preserve">= 323428 - Referinta </t>
        </r>
        <r>
          <rPr>
            <sz val="10"/>
            <color indexed="81"/>
            <rFont val="Tahoma"/>
            <family val="2"/>
          </rPr>
          <t xml:space="preserve">* Brasov Km Auto (Responses)
  9/12/2022 8:39:25 AM </t>
        </r>
        <r>
          <rPr>
            <b/>
            <sz val="10"/>
            <color indexed="81"/>
            <rFont val="Tahoma"/>
            <family val="2"/>
          </rPr>
          <t xml:space="preserve">= 323442 - Normal </t>
        </r>
        <r>
          <rPr>
            <sz val="10"/>
            <color indexed="81"/>
            <rFont val="Tahoma"/>
            <family val="2"/>
          </rPr>
          <t xml:space="preserve">* Brasov Km Auto (Responses)
</t>
        </r>
      </text>
    </comment>
    <comment ref="T5" authorId="0" shapeId="0" xr:uid="{D28E5511-F4FA-4010-B991-44FCE3368F1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9/16/2022 6:24:22 PM </t>
        </r>
        <r>
          <rPr>
            <b/>
            <sz val="10"/>
            <color indexed="81"/>
            <rFont val="Tahoma"/>
            <family val="2"/>
          </rPr>
          <t xml:space="preserve">= 324370 - Referinta </t>
        </r>
        <r>
          <rPr>
            <sz val="10"/>
            <color indexed="81"/>
            <rFont val="Tahoma"/>
            <family val="2"/>
          </rPr>
          <t xml:space="preserve">* Brasov Km Auto (Responses)
  9/20/2022 8:30:38 AM </t>
        </r>
        <r>
          <rPr>
            <b/>
            <sz val="10"/>
            <color indexed="81"/>
            <rFont val="Tahoma"/>
            <family val="2"/>
          </rPr>
          <t xml:space="preserve">= 324370 - Normal </t>
        </r>
        <r>
          <rPr>
            <sz val="10"/>
            <color indexed="81"/>
            <rFont val="Tahoma"/>
            <family val="2"/>
          </rPr>
          <t xml:space="preserve">* Brasov Km Auto (Responses)
</t>
        </r>
      </text>
    </comment>
    <comment ref="Y5" authorId="0" shapeId="0" xr:uid="{ECFAD8E8-F0DE-4590-84D9-ADEA1E1ED9F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9/23/2022 3:39:44 PM </t>
        </r>
        <r>
          <rPr>
            <b/>
            <sz val="10"/>
            <color indexed="81"/>
            <rFont val="Tahoma"/>
            <family val="2"/>
          </rPr>
          <t xml:space="preserve">= 325052 - Referinta </t>
        </r>
        <r>
          <rPr>
            <sz val="10"/>
            <color indexed="81"/>
            <rFont val="Tahoma"/>
            <family val="2"/>
          </rPr>
          <t xml:space="preserve">* Brasov Km Auto (Responses)
  9/26/2022 8:17:56 AM </t>
        </r>
        <r>
          <rPr>
            <b/>
            <sz val="10"/>
            <color indexed="81"/>
            <rFont val="Tahoma"/>
            <family val="2"/>
          </rPr>
          <t xml:space="preserve">= 325052 - Normal </t>
        </r>
        <r>
          <rPr>
            <sz val="10"/>
            <color indexed="81"/>
            <rFont val="Tahoma"/>
            <family val="2"/>
          </rPr>
          <t xml:space="preserve">* Brasov Km Auto (Responses)
</t>
        </r>
      </text>
    </comment>
    <comment ref="AD5" authorId="0" shapeId="0" xr:uid="{145B5375-27A1-4E9E-A211-737AC12126F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B-83-CLT</t>
        </r>
        <r>
          <rPr>
            <b/>
            <sz val="10"/>
            <color indexed="12"/>
            <rFont val="Tahoma"/>
            <family val="2"/>
          </rPr>
          <t xml:space="preserve"> - Darjan Alexandru 
__________________________________________________________________
</t>
        </r>
        <r>
          <rPr>
            <sz val="10"/>
            <color indexed="12"/>
            <rFont val="Tahoma"/>
            <family val="2"/>
          </rPr>
          <t xml:space="preserve">  </t>
        </r>
        <r>
          <rPr>
            <sz val="10"/>
            <color indexed="81"/>
            <rFont val="Tahoma"/>
            <family val="2"/>
          </rPr>
          <t xml:space="preserve">9/30/2022 3:26:51 PM </t>
        </r>
        <r>
          <rPr>
            <b/>
            <sz val="10"/>
            <color indexed="81"/>
            <rFont val="Tahoma"/>
            <family val="2"/>
          </rPr>
          <t xml:space="preserve">= 326137 - Referinta </t>
        </r>
        <r>
          <rPr>
            <sz val="10"/>
            <color indexed="81"/>
            <rFont val="Tahoma"/>
            <family val="2"/>
          </rPr>
          <t xml:space="preserve">* Brasov Km Auto (Responses)
  10/3/2022 8:15:36 AM </t>
        </r>
        <r>
          <rPr>
            <b/>
            <sz val="10"/>
            <color indexed="81"/>
            <rFont val="Tahoma"/>
            <family val="2"/>
          </rPr>
          <t xml:space="preserve">= 326137 - Normal </t>
        </r>
        <r>
          <rPr>
            <sz val="10"/>
            <color indexed="81"/>
            <rFont val="Tahoma"/>
            <family val="2"/>
          </rPr>
          <t xml:space="preserve">* Brasov Km Auto (Responses)
</t>
        </r>
      </text>
    </comment>
    <comment ref="J6" authorId="0" shapeId="0" xr:uid="{88EE5EE8-24AE-4884-A64D-C5DAF8C1208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4:00:08 PM </t>
        </r>
        <r>
          <rPr>
            <b/>
            <sz val="10"/>
            <color indexed="81"/>
            <rFont val="Tahoma"/>
            <family val="2"/>
          </rPr>
          <t xml:space="preserve">= 117761 - Referinta </t>
        </r>
        <r>
          <rPr>
            <sz val="10"/>
            <color indexed="81"/>
            <rFont val="Tahoma"/>
            <family val="2"/>
          </rPr>
          <t xml:space="preserve">* Brasov Km Auto (Responses)
   9/5/2022 7:28:09 AM </t>
        </r>
        <r>
          <rPr>
            <b/>
            <sz val="10"/>
            <color indexed="81"/>
            <rFont val="Tahoma"/>
            <family val="2"/>
          </rPr>
          <t xml:space="preserve">= 117772 - Normal </t>
        </r>
        <r>
          <rPr>
            <sz val="10"/>
            <color indexed="81"/>
            <rFont val="Tahoma"/>
            <family val="2"/>
          </rPr>
          <t xml:space="preserve">* Brasov Km Auto (Responses)
</t>
        </r>
      </text>
    </comment>
    <comment ref="O6" authorId="0" shapeId="0" xr:uid="{2908891C-E6B7-4652-8685-9947DAD59B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4:54:00 AM </t>
        </r>
        <r>
          <rPr>
            <b/>
            <sz val="10"/>
            <color indexed="81"/>
            <rFont val="Tahoma"/>
            <family val="2"/>
          </rPr>
          <t xml:space="preserve">= 118136 - Referinta </t>
        </r>
        <r>
          <rPr>
            <sz val="10"/>
            <color indexed="81"/>
            <rFont val="Tahoma"/>
            <family val="2"/>
          </rPr>
          <t xml:space="preserve">* Brasov Km Auto (Responses)
  9/12/2022 7:32:00 AM </t>
        </r>
        <r>
          <rPr>
            <b/>
            <sz val="10"/>
            <color indexed="81"/>
            <rFont val="Tahoma"/>
            <family val="2"/>
          </rPr>
          <t xml:space="preserve">= 118175 - Normal </t>
        </r>
        <r>
          <rPr>
            <sz val="10"/>
            <color indexed="81"/>
            <rFont val="Tahoma"/>
            <family val="2"/>
          </rPr>
          <t xml:space="preserve">* Brasov Km Auto (Responses)
</t>
        </r>
      </text>
    </comment>
    <comment ref="T6" authorId="0" shapeId="0" xr:uid="{CB51C8C1-060C-4F9B-80AD-D743879C62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4:51:00 AM </t>
        </r>
        <r>
          <rPr>
            <b/>
            <sz val="10"/>
            <color indexed="81"/>
            <rFont val="Tahoma"/>
            <family val="2"/>
          </rPr>
          <t xml:space="preserve">= 118526 - Referinta </t>
        </r>
        <r>
          <rPr>
            <sz val="10"/>
            <color indexed="81"/>
            <rFont val="Tahoma"/>
            <family val="2"/>
          </rPr>
          <t xml:space="preserve">* Brasov Km Auto (Responses)
  9/19/2022 7:32:00 AM </t>
        </r>
        <r>
          <rPr>
            <b/>
            <sz val="10"/>
            <color indexed="81"/>
            <rFont val="Tahoma"/>
            <family val="2"/>
          </rPr>
          <t xml:space="preserve">= 119002 - Normal </t>
        </r>
        <r>
          <rPr>
            <sz val="10"/>
            <color indexed="81"/>
            <rFont val="Tahoma"/>
            <family val="2"/>
          </rPr>
          <t xml:space="preserve">* Brasov Km Auto (Responses)
</t>
        </r>
      </text>
    </comment>
    <comment ref="Y6" authorId="0" shapeId="0" xr:uid="{2BE74366-DC6E-400F-898A-A92B627B0F9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Referinta a fost pusa automat
__________________________________________________________________
</t>
        </r>
        <r>
          <rPr>
            <sz val="10"/>
            <color indexed="12"/>
            <rFont val="Tahoma"/>
            <family val="2"/>
          </rPr>
          <t xml:space="preserve">  </t>
        </r>
        <r>
          <rPr>
            <sz val="10"/>
            <color indexed="81"/>
            <rFont val="Tahoma"/>
            <family val="2"/>
          </rPr>
          <t xml:space="preserve">9/23/2022 7:08:00 AM </t>
        </r>
        <r>
          <rPr>
            <b/>
            <sz val="10"/>
            <color indexed="81"/>
            <rFont val="Tahoma"/>
            <family val="2"/>
          </rPr>
          <t xml:space="preserve">= 119331 - Referinta </t>
        </r>
        <r>
          <rPr>
            <sz val="10"/>
            <color indexed="81"/>
            <rFont val="Tahoma"/>
            <family val="2"/>
          </rPr>
          <t xml:space="preserve">* Brasov Km Auto (Responses)
  9/26/2022 7:04:00 AM </t>
        </r>
        <r>
          <rPr>
            <b/>
            <sz val="10"/>
            <color indexed="81"/>
            <rFont val="Tahoma"/>
            <family val="2"/>
          </rPr>
          <t xml:space="preserve">= 119402 - Normal </t>
        </r>
        <r>
          <rPr>
            <sz val="10"/>
            <color indexed="81"/>
            <rFont val="Tahoma"/>
            <family val="2"/>
          </rPr>
          <t xml:space="preserve">* Brasov Km Auto (Responses)
</t>
        </r>
      </text>
    </comment>
    <comment ref="AD6" authorId="0" shapeId="0" xr:uid="{945DC99C-5A6B-4A39-A275-107A3C428E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B-202-CLT</t>
        </r>
        <r>
          <rPr>
            <b/>
            <sz val="10"/>
            <color indexed="12"/>
            <rFont val="Tahoma"/>
            <family val="2"/>
          </rPr>
          <t xml:space="preserve"> - Chiriac Cristian 
__________________________________________________________________
</t>
        </r>
        <r>
          <rPr>
            <sz val="10"/>
            <color indexed="12"/>
            <rFont val="Tahoma"/>
            <family val="2"/>
          </rPr>
          <t xml:space="preserve">  </t>
        </r>
        <r>
          <rPr>
            <sz val="10"/>
            <color indexed="81"/>
            <rFont val="Tahoma"/>
            <family val="2"/>
          </rPr>
          <t xml:space="preserve">9/30/2022 9:15:37 PM </t>
        </r>
        <r>
          <rPr>
            <b/>
            <sz val="10"/>
            <color indexed="81"/>
            <rFont val="Tahoma"/>
            <family val="2"/>
          </rPr>
          <t xml:space="preserve">= 119781 - Referinta </t>
        </r>
        <r>
          <rPr>
            <sz val="10"/>
            <color indexed="81"/>
            <rFont val="Tahoma"/>
            <family val="2"/>
          </rPr>
          <t xml:space="preserve">* Brasov Km Auto (Responses)
</t>
        </r>
      </text>
    </comment>
    <comment ref="J7" authorId="0" shapeId="0" xr:uid="{E9B784B6-FD5E-4EC4-84ED-88389D1201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6:14:19 PM </t>
        </r>
        <r>
          <rPr>
            <b/>
            <sz val="10"/>
            <color indexed="81"/>
            <rFont val="Tahoma"/>
            <family val="2"/>
          </rPr>
          <t xml:space="preserve">= 79613 - Referinta </t>
        </r>
        <r>
          <rPr>
            <sz val="10"/>
            <color indexed="81"/>
            <rFont val="Tahoma"/>
            <family val="2"/>
          </rPr>
          <t xml:space="preserve">* Brasov Km Auto (Responses)
   9/5/2022 8:55:28 AM </t>
        </r>
        <r>
          <rPr>
            <b/>
            <sz val="10"/>
            <color indexed="81"/>
            <rFont val="Tahoma"/>
            <family val="2"/>
          </rPr>
          <t xml:space="preserve">= 79665 - Normal </t>
        </r>
        <r>
          <rPr>
            <sz val="10"/>
            <color indexed="81"/>
            <rFont val="Tahoma"/>
            <family val="2"/>
          </rPr>
          <t xml:space="preserve">* Brasov Km Auto (Responses)
</t>
        </r>
      </text>
    </comment>
    <comment ref="O7" authorId="0" shapeId="0" xr:uid="{D60F3A9D-74D6-4098-87F8-C418AD1DDD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9</t>
        </r>
        <r>
          <rPr>
            <sz val="10"/>
            <color indexed="81"/>
            <rFont val="Tahoma"/>
            <family val="2"/>
          </rPr>
          <t xml:space="preserve">/10/2022 11:11:02 AM </t>
        </r>
        <r>
          <rPr>
            <b/>
            <sz val="10"/>
            <color indexed="81"/>
            <rFont val="Tahoma"/>
            <family val="2"/>
          </rPr>
          <t xml:space="preserve">= 79980 - Referinta </t>
        </r>
        <r>
          <rPr>
            <sz val="10"/>
            <color indexed="81"/>
            <rFont val="Tahoma"/>
            <family val="2"/>
          </rPr>
          <t xml:space="preserve">* Brasov Km Auto (Responses)
  9/12/2022 5:00:00 AM </t>
        </r>
        <r>
          <rPr>
            <b/>
            <sz val="10"/>
            <color indexed="81"/>
            <rFont val="Tahoma"/>
            <family val="2"/>
          </rPr>
          <t xml:space="preserve">= 80000 - Normal </t>
        </r>
        <r>
          <rPr>
            <sz val="10"/>
            <color indexed="81"/>
            <rFont val="Tahoma"/>
            <family val="2"/>
          </rPr>
          <t xml:space="preserve">* Brasov Km Auto (Responses)
</t>
        </r>
      </text>
    </comment>
    <comment ref="T7" authorId="0" shapeId="0" xr:uid="{CC370ACA-D413-4D9A-8334-BA0827CC394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t>
        </r>
        <r>
          <rPr>
            <sz val="10"/>
            <color indexed="81"/>
            <rFont val="Tahoma"/>
            <family val="2"/>
          </rPr>
          <t xml:space="preserve">9/16/2022 9:11:35 PM </t>
        </r>
        <r>
          <rPr>
            <b/>
            <sz val="10"/>
            <color indexed="81"/>
            <rFont val="Tahoma"/>
            <family val="2"/>
          </rPr>
          <t xml:space="preserve">= 80162 - Referinta </t>
        </r>
        <r>
          <rPr>
            <sz val="10"/>
            <color indexed="81"/>
            <rFont val="Tahoma"/>
            <family val="2"/>
          </rPr>
          <t xml:space="preserve">* Brasov Km Auto (Responses)
  9/19/2022 9:28:23 AM </t>
        </r>
        <r>
          <rPr>
            <b/>
            <sz val="10"/>
            <color indexed="81"/>
            <rFont val="Tahoma"/>
            <family val="2"/>
          </rPr>
          <t xml:space="preserve">= 80213 - Normal </t>
        </r>
        <r>
          <rPr>
            <sz val="10"/>
            <color indexed="81"/>
            <rFont val="Tahoma"/>
            <family val="2"/>
          </rPr>
          <t xml:space="preserve">* Brasov Km Auto (Responses)
</t>
        </r>
      </text>
    </comment>
    <comment ref="Y7" authorId="0" shapeId="0" xr:uid="{078CD885-1359-47B0-8AF8-6AA100BEC14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t>
        </r>
        <r>
          <rPr>
            <sz val="10"/>
            <color indexed="81"/>
            <rFont val="Tahoma"/>
            <family val="2"/>
          </rPr>
          <t xml:space="preserve">9/23/2022 9:11:25 PM </t>
        </r>
        <r>
          <rPr>
            <b/>
            <sz val="10"/>
            <color indexed="81"/>
            <rFont val="Tahoma"/>
            <family val="2"/>
          </rPr>
          <t xml:space="preserve">= 80655 - Referinta </t>
        </r>
        <r>
          <rPr>
            <sz val="10"/>
            <color indexed="81"/>
            <rFont val="Tahoma"/>
            <family val="2"/>
          </rPr>
          <t xml:space="preserve">* Brasov Km Auto (Responses)
 9/26/2022 11:53:49 AM </t>
        </r>
        <r>
          <rPr>
            <b/>
            <sz val="10"/>
            <color indexed="81"/>
            <rFont val="Tahoma"/>
            <family val="2"/>
          </rPr>
          <t xml:space="preserve">= 81044 - Normal </t>
        </r>
        <r>
          <rPr>
            <sz val="10"/>
            <color indexed="81"/>
            <rFont val="Tahoma"/>
            <family val="2"/>
          </rPr>
          <t xml:space="preserve">* Brasov Km Auto (Responses)
</t>
        </r>
      </text>
    </comment>
    <comment ref="AD7" authorId="0" shapeId="0" xr:uid="{985576B2-40F0-4FC9-9FBB-F07B42F62B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B-196-CLT</t>
        </r>
        <r>
          <rPr>
            <b/>
            <sz val="10"/>
            <color indexed="12"/>
            <rFont val="Tahoma"/>
            <family val="2"/>
          </rPr>
          <t xml:space="preserve"> - Leonte Florin 
__________________________________________________________________
</t>
        </r>
        <r>
          <rPr>
            <sz val="10"/>
            <color indexed="12"/>
            <rFont val="Tahoma"/>
            <family val="2"/>
          </rPr>
          <t xml:space="preserve">  </t>
        </r>
        <r>
          <rPr>
            <sz val="10"/>
            <color indexed="81"/>
            <rFont val="Tahoma"/>
            <family val="2"/>
          </rPr>
          <t xml:space="preserve">9/30/2022 9:06:16 PM </t>
        </r>
        <r>
          <rPr>
            <b/>
            <sz val="10"/>
            <color indexed="81"/>
            <rFont val="Tahoma"/>
            <family val="2"/>
          </rPr>
          <t xml:space="preserve">= 81587 - Referinta </t>
        </r>
        <r>
          <rPr>
            <sz val="10"/>
            <color indexed="81"/>
            <rFont val="Tahoma"/>
            <family val="2"/>
          </rPr>
          <t xml:space="preserve">* Brasov Km Auto (Responses)
  10/3/2022 6:53:48 PM </t>
        </r>
        <r>
          <rPr>
            <b/>
            <sz val="10"/>
            <color indexed="81"/>
            <rFont val="Tahoma"/>
            <family val="2"/>
          </rPr>
          <t xml:space="preserve">= 81591 - Normal </t>
        </r>
        <r>
          <rPr>
            <sz val="10"/>
            <color indexed="81"/>
            <rFont val="Tahoma"/>
            <family val="2"/>
          </rPr>
          <t xml:space="preserve">* Brasov Km Auto (Responses)
</t>
        </r>
      </text>
    </comment>
    <comment ref="T8" authorId="0" shapeId="0" xr:uid="{F414DDB5-CB58-40A2-8769-7E4D03EF87E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9/16/2022 4:56:09 PM </t>
        </r>
        <r>
          <rPr>
            <b/>
            <sz val="10"/>
            <color indexed="81"/>
            <rFont val="Tahoma"/>
            <family val="2"/>
          </rPr>
          <t xml:space="preserve">= 33459 - Referinta </t>
        </r>
        <r>
          <rPr>
            <sz val="10"/>
            <color indexed="81"/>
            <rFont val="Tahoma"/>
            <family val="2"/>
          </rPr>
          <t xml:space="preserve">* Brasov Km Auto (Responses)
  9/19/2022 8:00:00 AM </t>
        </r>
        <r>
          <rPr>
            <b/>
            <sz val="10"/>
            <color indexed="81"/>
            <rFont val="Tahoma"/>
            <family val="2"/>
          </rPr>
          <t xml:space="preserve">= 33481 - Normal </t>
        </r>
        <r>
          <rPr>
            <sz val="10"/>
            <color indexed="81"/>
            <rFont val="Tahoma"/>
            <family val="2"/>
          </rPr>
          <t xml:space="preserve">* Brasov Km Auto (Responses)
</t>
        </r>
      </text>
    </comment>
    <comment ref="Y8" authorId="0" shapeId="0" xr:uid="{B4A2C05C-FC88-4FE8-B16F-DA4BB63E61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9/23/2022 5:00:00 AM </t>
        </r>
        <r>
          <rPr>
            <b/>
            <sz val="10"/>
            <color indexed="81"/>
            <rFont val="Tahoma"/>
            <family val="2"/>
          </rPr>
          <t xml:space="preserve">= 33881 - Referinta </t>
        </r>
        <r>
          <rPr>
            <sz val="10"/>
            <color indexed="81"/>
            <rFont val="Tahoma"/>
            <family val="2"/>
          </rPr>
          <t xml:space="preserve">* Brasov Km Auto (Responses)
  9/26/2022 8:40:00 AM </t>
        </r>
        <r>
          <rPr>
            <b/>
            <sz val="10"/>
            <color indexed="81"/>
            <rFont val="Tahoma"/>
            <family val="2"/>
          </rPr>
          <t xml:space="preserve">= 33881 - Normal </t>
        </r>
        <r>
          <rPr>
            <sz val="10"/>
            <color indexed="81"/>
            <rFont val="Tahoma"/>
            <family val="2"/>
          </rPr>
          <t xml:space="preserve">* Brasov Km Auto (Responses)
</t>
        </r>
      </text>
    </comment>
    <comment ref="AD8" authorId="0" shapeId="0" xr:uid="{74421EC4-CD42-475E-AC07-30ED9EA53F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B-216-CLT</t>
        </r>
        <r>
          <rPr>
            <b/>
            <sz val="10"/>
            <color indexed="12"/>
            <rFont val="Tahoma"/>
            <family val="2"/>
          </rPr>
          <t xml:space="preserve"> - Iulia Stefanescu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34033 - Referinta </t>
        </r>
        <r>
          <rPr>
            <sz val="10"/>
            <color indexed="81"/>
            <rFont val="Tahoma"/>
            <family val="2"/>
          </rPr>
          <t xml:space="preserve">* Brasov Km Auto (Responses)
  10/3/2022 8:00:00 AM </t>
        </r>
        <r>
          <rPr>
            <b/>
            <sz val="10"/>
            <color indexed="81"/>
            <rFont val="Tahoma"/>
            <family val="2"/>
          </rPr>
          <t xml:space="preserve">= 34033 - Normal </t>
        </r>
        <r>
          <rPr>
            <sz val="10"/>
            <color indexed="81"/>
            <rFont val="Tahoma"/>
            <family val="2"/>
          </rPr>
          <t xml:space="preserve">* Brasov Km Auto (Responses)
</t>
        </r>
      </text>
    </comment>
    <comment ref="J9" authorId="0" shapeId="0" xr:uid="{39B95B32-4BDA-42C0-9095-F064846BF7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Referinta a fost pusa automat
__________________________________________________________________
</t>
        </r>
        <r>
          <rPr>
            <sz val="10"/>
            <color indexed="12"/>
            <rFont val="Tahoma"/>
            <family val="2"/>
          </rPr>
          <t xml:space="preserve">  </t>
        </r>
        <r>
          <rPr>
            <sz val="10"/>
            <color indexed="81"/>
            <rFont val="Tahoma"/>
            <family val="2"/>
          </rPr>
          <t xml:space="preserve"> 9/2/2022 4:54:58 PM </t>
        </r>
        <r>
          <rPr>
            <b/>
            <sz val="10"/>
            <color indexed="81"/>
            <rFont val="Tahoma"/>
            <family val="2"/>
          </rPr>
          <t xml:space="preserve">= 104308 - Referinta </t>
        </r>
        <r>
          <rPr>
            <sz val="10"/>
            <color indexed="81"/>
            <rFont val="Tahoma"/>
            <family val="2"/>
          </rPr>
          <t xml:space="preserve">* Brasov Km Auto (Responses)
   9/5/2022 7:58:28 AM </t>
        </r>
        <r>
          <rPr>
            <b/>
            <sz val="10"/>
            <color indexed="81"/>
            <rFont val="Tahoma"/>
            <family val="2"/>
          </rPr>
          <t xml:space="preserve">= 104329 - Normal </t>
        </r>
        <r>
          <rPr>
            <sz val="10"/>
            <color indexed="81"/>
            <rFont val="Tahoma"/>
            <family val="2"/>
          </rPr>
          <t xml:space="preserve">* Brasov Km Auto (Responses)
</t>
        </r>
      </text>
    </comment>
    <comment ref="O9" authorId="0" shapeId="0" xr:uid="{4DB8F2D8-4868-48AB-84B4-0C0E09FEF6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Referinta a fost pusa automat
__________________________________________________________________
</t>
        </r>
        <r>
          <rPr>
            <sz val="10"/>
            <color indexed="12"/>
            <rFont val="Tahoma"/>
            <family val="2"/>
          </rPr>
          <t xml:space="preserve">  </t>
        </r>
        <r>
          <rPr>
            <sz val="10"/>
            <color indexed="81"/>
            <rFont val="Tahoma"/>
            <family val="2"/>
          </rPr>
          <t xml:space="preserve"> 9/9/2022 6:42:00 AM </t>
        </r>
        <r>
          <rPr>
            <b/>
            <sz val="10"/>
            <color indexed="81"/>
            <rFont val="Tahoma"/>
            <family val="2"/>
          </rPr>
          <t xml:space="preserve">= 104554 - Referinta </t>
        </r>
        <r>
          <rPr>
            <sz val="10"/>
            <color indexed="81"/>
            <rFont val="Tahoma"/>
            <family val="2"/>
          </rPr>
          <t xml:space="preserve">* Brasov Km Auto (Responses)
  9/12/2022 8:00:00 AM </t>
        </r>
        <r>
          <rPr>
            <b/>
            <sz val="10"/>
            <color indexed="81"/>
            <rFont val="Tahoma"/>
            <family val="2"/>
          </rPr>
          <t xml:space="preserve">= 104574 - Normal </t>
        </r>
        <r>
          <rPr>
            <sz val="10"/>
            <color indexed="81"/>
            <rFont val="Tahoma"/>
            <family val="2"/>
          </rPr>
          <t xml:space="preserve">* Brasov Km Auto (Responses)
</t>
        </r>
      </text>
    </comment>
    <comment ref="T9" authorId="0" shapeId="0" xr:uid="{99F285ED-EABA-4230-B981-42A4739957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__________________________________________________________________
</t>
        </r>
        <r>
          <rPr>
            <sz val="10"/>
            <color indexed="12"/>
            <rFont val="Tahoma"/>
            <family val="2"/>
          </rPr>
          <t xml:space="preserve">  </t>
        </r>
        <r>
          <rPr>
            <sz val="10"/>
            <color indexed="81"/>
            <rFont val="Tahoma"/>
            <family val="2"/>
          </rPr>
          <t xml:space="preserve">9/16/2022 5:17:00 AM </t>
        </r>
        <r>
          <rPr>
            <b/>
            <sz val="10"/>
            <color indexed="81"/>
            <rFont val="Tahoma"/>
            <family val="2"/>
          </rPr>
          <t xml:space="preserve">= 104558 - Referinta </t>
        </r>
        <r>
          <rPr>
            <sz val="10"/>
            <color indexed="81"/>
            <rFont val="Tahoma"/>
            <family val="2"/>
          </rPr>
          <t xml:space="preserve">* Brasov Km Auto (Responses)
  9/20/2022 7:54:00 AM </t>
        </r>
        <r>
          <rPr>
            <b/>
            <sz val="10"/>
            <color indexed="81"/>
            <rFont val="Tahoma"/>
            <family val="2"/>
          </rPr>
          <t xml:space="preserve">= 104578 - Normal </t>
        </r>
        <r>
          <rPr>
            <sz val="10"/>
            <color indexed="81"/>
            <rFont val="Tahoma"/>
            <family val="2"/>
          </rPr>
          <t xml:space="preserve">* Brasov Km Auto (Responses)
</t>
        </r>
      </text>
    </comment>
    <comment ref="Y9" authorId="0" shapeId="0" xr:uid="{D59167A2-B6E2-4860-8EF1-2EAB9C85D8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__________________________________________________________________
</t>
        </r>
        <r>
          <rPr>
            <sz val="10"/>
            <color indexed="12"/>
            <rFont val="Tahoma"/>
            <family val="2"/>
          </rPr>
          <t xml:space="preserve">  </t>
        </r>
        <r>
          <rPr>
            <sz val="10"/>
            <color indexed="81"/>
            <rFont val="Tahoma"/>
            <family val="2"/>
          </rPr>
          <t xml:space="preserve">9/23/2022 5:04:34 PM </t>
        </r>
        <r>
          <rPr>
            <b/>
            <sz val="10"/>
            <color indexed="81"/>
            <rFont val="Tahoma"/>
            <family val="2"/>
          </rPr>
          <t xml:space="preserve">= 104693 - Referinta </t>
        </r>
        <r>
          <rPr>
            <sz val="10"/>
            <color indexed="81"/>
            <rFont val="Tahoma"/>
            <family val="2"/>
          </rPr>
          <t xml:space="preserve">* Brasov Km Auto (Responses)
  9/26/2022 8:22:43 AM </t>
        </r>
        <r>
          <rPr>
            <b/>
            <sz val="10"/>
            <color indexed="81"/>
            <rFont val="Tahoma"/>
            <family val="2"/>
          </rPr>
          <t xml:space="preserve">= 104710 - Normal </t>
        </r>
        <r>
          <rPr>
            <sz val="10"/>
            <color indexed="81"/>
            <rFont val="Tahoma"/>
            <family val="2"/>
          </rPr>
          <t xml:space="preserve">* Brasov Km Auto (Responses)
</t>
        </r>
      </text>
    </comment>
    <comment ref="AD9" authorId="0" shapeId="0" xr:uid="{6716B107-B2FA-40DF-8839-2ECBA2F2363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B-192-CLT</t>
        </r>
        <r>
          <rPr>
            <b/>
            <sz val="10"/>
            <color indexed="12"/>
            <rFont val="Tahoma"/>
            <family val="2"/>
          </rPr>
          <t xml:space="preserve"> - Csaba Budai 
__________________________________________________________________
</t>
        </r>
        <r>
          <rPr>
            <sz val="10"/>
            <color indexed="12"/>
            <rFont val="Tahoma"/>
            <family val="2"/>
          </rPr>
          <t xml:space="preserve">  </t>
        </r>
        <r>
          <rPr>
            <sz val="10"/>
            <color indexed="81"/>
            <rFont val="Tahoma"/>
            <family val="2"/>
          </rPr>
          <t xml:space="preserve">9/30/2022 6:30:07 PM </t>
        </r>
        <r>
          <rPr>
            <b/>
            <sz val="10"/>
            <color indexed="81"/>
            <rFont val="Tahoma"/>
            <family val="2"/>
          </rPr>
          <t xml:space="preserve">= 104962 - Referinta </t>
        </r>
        <r>
          <rPr>
            <sz val="10"/>
            <color indexed="81"/>
            <rFont val="Tahoma"/>
            <family val="2"/>
          </rPr>
          <t xml:space="preserve">* Brasov Km Auto (Responses)
  10/3/2022 7:49:12 AM </t>
        </r>
        <r>
          <rPr>
            <b/>
            <sz val="10"/>
            <color indexed="81"/>
            <rFont val="Tahoma"/>
            <family val="2"/>
          </rPr>
          <t xml:space="preserve">= 104980 - Normal </t>
        </r>
        <r>
          <rPr>
            <sz val="10"/>
            <color indexed="81"/>
            <rFont val="Tahoma"/>
            <family val="2"/>
          </rPr>
          <t xml:space="preserve">* Brasov Km Auto (Responses)
</t>
        </r>
      </text>
    </comment>
    <comment ref="J10" authorId="0" shapeId="0" xr:uid="{CBD9DD24-D2F6-4A50-8E12-8376EF6318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Referinta a fost pusa automat
__________________________________________________________________
</t>
        </r>
        <r>
          <rPr>
            <sz val="10"/>
            <color indexed="12"/>
            <rFont val="Tahoma"/>
            <family val="2"/>
          </rPr>
          <t xml:space="preserve">  </t>
        </r>
        <r>
          <rPr>
            <sz val="10"/>
            <color indexed="81"/>
            <rFont val="Tahoma"/>
            <family val="2"/>
          </rPr>
          <t xml:space="preserve"> 9/2/2022 8:00:00 AM </t>
        </r>
        <r>
          <rPr>
            <b/>
            <sz val="10"/>
            <color indexed="81"/>
            <rFont val="Tahoma"/>
            <family val="2"/>
          </rPr>
          <t xml:space="preserve">= 132321 - Referinta </t>
        </r>
        <r>
          <rPr>
            <sz val="10"/>
            <color indexed="81"/>
            <rFont val="Tahoma"/>
            <family val="2"/>
          </rPr>
          <t xml:space="preserve">* Brasov Km Auto (Responses)
   9/6/2022 8:15:19 AM </t>
        </r>
        <r>
          <rPr>
            <b/>
            <sz val="10"/>
            <color indexed="81"/>
            <rFont val="Tahoma"/>
            <family val="2"/>
          </rPr>
          <t xml:space="preserve">= 132341 - Normal </t>
        </r>
        <r>
          <rPr>
            <sz val="10"/>
            <color indexed="81"/>
            <rFont val="Tahoma"/>
            <family val="2"/>
          </rPr>
          <t xml:space="preserve">* Brasov Km Auto (Responses)
</t>
        </r>
      </text>
    </comment>
    <comment ref="O10" authorId="0" shapeId="0" xr:uid="{8A760C08-4E12-49F0-9D6E-08BC3F34D3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 9/9/2022 4:50:34 PM </t>
        </r>
        <r>
          <rPr>
            <b/>
            <sz val="10"/>
            <color indexed="81"/>
            <rFont val="Tahoma"/>
            <family val="2"/>
          </rPr>
          <t xml:space="preserve">= 132550 - Referinta </t>
        </r>
        <r>
          <rPr>
            <sz val="10"/>
            <color indexed="81"/>
            <rFont val="Tahoma"/>
            <family val="2"/>
          </rPr>
          <t xml:space="preserve">* Brasov Km Auto (Responses)
  9/12/2022 7:13:34 AM </t>
        </r>
        <r>
          <rPr>
            <b/>
            <sz val="10"/>
            <color indexed="81"/>
            <rFont val="Tahoma"/>
            <family val="2"/>
          </rPr>
          <t xml:space="preserve">= 132573 - Normal </t>
        </r>
        <r>
          <rPr>
            <sz val="10"/>
            <color indexed="81"/>
            <rFont val="Tahoma"/>
            <family val="2"/>
          </rPr>
          <t xml:space="preserve">* Brasov Km Auto (Responses)
</t>
        </r>
      </text>
    </comment>
    <comment ref="T10" authorId="0" shapeId="0" xr:uid="{38D1432C-FFC6-4C9A-9C36-BDC473D3BF5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9/16/2022 4:26:40 PM </t>
        </r>
        <r>
          <rPr>
            <b/>
            <sz val="10"/>
            <color indexed="81"/>
            <rFont val="Tahoma"/>
            <family val="2"/>
          </rPr>
          <t xml:space="preserve">= 132995 - Referinta </t>
        </r>
        <r>
          <rPr>
            <sz val="10"/>
            <color indexed="81"/>
            <rFont val="Tahoma"/>
            <family val="2"/>
          </rPr>
          <t xml:space="preserve">* Brasov Km Auto (Responses)
  9/19/2022 7:22:14 AM </t>
        </r>
        <r>
          <rPr>
            <b/>
            <sz val="10"/>
            <color indexed="81"/>
            <rFont val="Tahoma"/>
            <family val="2"/>
          </rPr>
          <t xml:space="preserve">= 132997 - Normal </t>
        </r>
        <r>
          <rPr>
            <sz val="10"/>
            <color indexed="81"/>
            <rFont val="Tahoma"/>
            <family val="2"/>
          </rPr>
          <t xml:space="preserve">* Brasov Km Auto (Responses)
</t>
        </r>
      </text>
    </comment>
    <comment ref="Y10" authorId="0" shapeId="0" xr:uid="{B359432A-161D-4860-B23A-FDF4F13FFAB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9/23/2022 4:29:20 PM </t>
        </r>
        <r>
          <rPr>
            <b/>
            <sz val="10"/>
            <color indexed="81"/>
            <rFont val="Tahoma"/>
            <family val="2"/>
          </rPr>
          <t xml:space="preserve">= 133180 - Referinta </t>
        </r>
        <r>
          <rPr>
            <sz val="10"/>
            <color indexed="81"/>
            <rFont val="Tahoma"/>
            <family val="2"/>
          </rPr>
          <t xml:space="preserve">* Brasov Km Auto (Responses)
  9/26/2022 7:23:52 AM </t>
        </r>
        <r>
          <rPr>
            <b/>
            <sz val="10"/>
            <color indexed="81"/>
            <rFont val="Tahoma"/>
            <family val="2"/>
          </rPr>
          <t xml:space="preserve">= 133191 - Normal </t>
        </r>
        <r>
          <rPr>
            <sz val="10"/>
            <color indexed="81"/>
            <rFont val="Tahoma"/>
            <family val="2"/>
          </rPr>
          <t xml:space="preserve">* Brasov Km Auto (Responses)
</t>
        </r>
      </text>
    </comment>
    <comment ref="AD10" authorId="0" shapeId="0" xr:uid="{942603B7-F5B5-4357-A90B-BFC76AD343B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B-129-CLT</t>
        </r>
        <r>
          <rPr>
            <b/>
            <sz val="10"/>
            <color indexed="12"/>
            <rFont val="Tahoma"/>
            <family val="2"/>
          </rPr>
          <t xml:space="preserve"> - Mihai Constantin-Dan 
__________________________________________________________________
</t>
        </r>
        <r>
          <rPr>
            <sz val="10"/>
            <color indexed="12"/>
            <rFont val="Tahoma"/>
            <family val="2"/>
          </rPr>
          <t xml:space="preserve">  </t>
        </r>
        <r>
          <rPr>
            <sz val="10"/>
            <color indexed="81"/>
            <rFont val="Tahoma"/>
            <family val="2"/>
          </rPr>
          <t xml:space="preserve">9/30/2022 4:38:32 PM </t>
        </r>
        <r>
          <rPr>
            <b/>
            <sz val="10"/>
            <color indexed="81"/>
            <rFont val="Tahoma"/>
            <family val="2"/>
          </rPr>
          <t xml:space="preserve">= 133503 - Referinta </t>
        </r>
        <r>
          <rPr>
            <sz val="10"/>
            <color indexed="81"/>
            <rFont val="Tahoma"/>
            <family val="2"/>
          </rPr>
          <t xml:space="preserve">* Brasov Km Auto (Responses)
  10/3/2022 7:26:35 AM </t>
        </r>
        <r>
          <rPr>
            <b/>
            <sz val="10"/>
            <color indexed="81"/>
            <rFont val="Tahoma"/>
            <family val="2"/>
          </rPr>
          <t xml:space="preserve">= 133525 - Normal </t>
        </r>
        <r>
          <rPr>
            <sz val="10"/>
            <color indexed="81"/>
            <rFont val="Tahoma"/>
            <family val="2"/>
          </rPr>
          <t xml:space="preserve">* Brasov Km Auto (Responses)
</t>
        </r>
      </text>
    </comment>
    <comment ref="J11" authorId="0" shapeId="0" xr:uid="{32E83A6F-4099-4892-A3AA-F88C2D994E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3:29:10 PM </t>
        </r>
        <r>
          <rPr>
            <b/>
            <sz val="10"/>
            <color indexed="81"/>
            <rFont val="Tahoma"/>
            <family val="2"/>
          </rPr>
          <t xml:space="preserve">= 6829 - Referinta </t>
        </r>
        <r>
          <rPr>
            <sz val="10"/>
            <color indexed="81"/>
            <rFont val="Tahoma"/>
            <family val="2"/>
          </rPr>
          <t xml:space="preserve">* Bucuresti Km Auto Tesa (Responses)
   9/5/2022 4:42:09 PM </t>
        </r>
        <r>
          <rPr>
            <b/>
            <sz val="10"/>
            <color indexed="81"/>
            <rFont val="Tahoma"/>
            <family val="2"/>
          </rPr>
          <t xml:space="preserve">= 6829 - Normal </t>
        </r>
        <r>
          <rPr>
            <sz val="10"/>
            <color indexed="81"/>
            <rFont val="Tahoma"/>
            <family val="2"/>
          </rPr>
          <t xml:space="preserve">* Bucuresti Km Auto Tesa (Responses)
</t>
        </r>
      </text>
    </comment>
    <comment ref="O11" authorId="0" shapeId="0" xr:uid="{FF67E589-8BDC-4B76-8648-ED571E0FA3F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 9/9/2022 8:00:00 AM </t>
        </r>
        <r>
          <rPr>
            <b/>
            <sz val="10"/>
            <color indexed="81"/>
            <rFont val="Tahoma"/>
            <family val="2"/>
          </rPr>
          <t xml:space="preserve">= 6850 - Referinta </t>
        </r>
        <r>
          <rPr>
            <sz val="10"/>
            <color indexed="81"/>
            <rFont val="Tahoma"/>
            <family val="2"/>
          </rPr>
          <t xml:space="preserve">* Bucuresti Km Auto Tesa (Responses)
 9/14/2022 12:36:14 PM </t>
        </r>
        <r>
          <rPr>
            <b/>
            <sz val="10"/>
            <color indexed="81"/>
            <rFont val="Tahoma"/>
            <family val="2"/>
          </rPr>
          <t xml:space="preserve">= 6856 - Normal </t>
        </r>
        <r>
          <rPr>
            <sz val="10"/>
            <color indexed="81"/>
            <rFont val="Tahoma"/>
            <family val="2"/>
          </rPr>
          <t xml:space="preserve">* Bucuresti Km Auto Tesa (Responses)
</t>
        </r>
      </text>
    </comment>
    <comment ref="T11" authorId="0" shapeId="0" xr:uid="{A241A9B8-F9BE-4DB6-B751-06E52B9E66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9/16/2022 4:08:00 AM </t>
        </r>
        <r>
          <rPr>
            <b/>
            <sz val="10"/>
            <color indexed="81"/>
            <rFont val="Tahoma"/>
            <family val="2"/>
          </rPr>
          <t xml:space="preserve">= 6928 - Referinta </t>
        </r>
        <r>
          <rPr>
            <sz val="10"/>
            <color indexed="81"/>
            <rFont val="Tahoma"/>
            <family val="2"/>
          </rPr>
          <t xml:space="preserve">* Bucuresti Km Auto Tesa (Responses)
  9/19/2022 7:24:00 AM </t>
        </r>
        <r>
          <rPr>
            <b/>
            <sz val="10"/>
            <color indexed="81"/>
            <rFont val="Tahoma"/>
            <family val="2"/>
          </rPr>
          <t xml:space="preserve">= 7522 - Interes serviciu </t>
        </r>
        <r>
          <rPr>
            <sz val="10"/>
            <color indexed="81"/>
            <rFont val="Tahoma"/>
            <family val="2"/>
          </rPr>
          <t xml:space="preserve">* Bucuresti Km Auto Tesa (Responses)
  9/19/2022 2:23:18 PM </t>
        </r>
        <r>
          <rPr>
            <b/>
            <sz val="10"/>
            <color indexed="81"/>
            <rFont val="Tahoma"/>
            <family val="2"/>
          </rPr>
          <t xml:space="preserve">= 7522 - Interes serviciu </t>
        </r>
        <r>
          <rPr>
            <sz val="10"/>
            <color indexed="81"/>
            <rFont val="Tahoma"/>
            <family val="2"/>
          </rPr>
          <t xml:space="preserve">* Bucuresti Km Auto Tesa (Responses)
</t>
        </r>
      </text>
    </comment>
    <comment ref="Y11" authorId="0" shapeId="0" xr:uid="{99229705-E7C8-43AF-AA86-8006387878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9/23/2022 4:30:00 AM </t>
        </r>
        <r>
          <rPr>
            <b/>
            <sz val="10"/>
            <color indexed="81"/>
            <rFont val="Tahoma"/>
            <family val="2"/>
          </rPr>
          <t xml:space="preserve">= 7669 - Referinta </t>
        </r>
        <r>
          <rPr>
            <sz val="10"/>
            <color indexed="81"/>
            <rFont val="Tahoma"/>
            <family val="2"/>
          </rPr>
          <t xml:space="preserve">* Bucuresti Km Auto Tesa (Responses)
  9/26/2022 5:11:53 PM </t>
        </r>
        <r>
          <rPr>
            <b/>
            <sz val="10"/>
            <color indexed="81"/>
            <rFont val="Tahoma"/>
            <family val="2"/>
          </rPr>
          <t xml:space="preserve">= 7669 - Normal </t>
        </r>
        <r>
          <rPr>
            <sz val="10"/>
            <color indexed="81"/>
            <rFont val="Tahoma"/>
            <family val="2"/>
          </rPr>
          <t xml:space="preserve">* Bucuresti Km Auto Tesa (Responses)
</t>
        </r>
      </text>
    </comment>
    <comment ref="AD11" authorId="0" shapeId="0" xr:uid="{1B6848B5-14EB-487E-8EB9-4DD8D69613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B-925-CLT</t>
        </r>
        <r>
          <rPr>
            <b/>
            <sz val="10"/>
            <color indexed="12"/>
            <rFont val="Tahoma"/>
            <family val="2"/>
          </rPr>
          <t xml:space="preserve"> - Pirnacu Razvan 
__________________________________________________________________
</t>
        </r>
        <r>
          <rPr>
            <sz val="10"/>
            <color indexed="12"/>
            <rFont val="Tahoma"/>
            <family val="2"/>
          </rPr>
          <t xml:space="preserve">  </t>
        </r>
        <r>
          <rPr>
            <sz val="10"/>
            <color indexed="81"/>
            <rFont val="Tahoma"/>
            <family val="2"/>
          </rPr>
          <t xml:space="preserve">9/30/2022 8:18:03 PM </t>
        </r>
        <r>
          <rPr>
            <b/>
            <sz val="10"/>
            <color indexed="81"/>
            <rFont val="Tahoma"/>
            <family val="2"/>
          </rPr>
          <t xml:space="preserve">= 7687 - Referinta </t>
        </r>
        <r>
          <rPr>
            <sz val="10"/>
            <color indexed="81"/>
            <rFont val="Tahoma"/>
            <family val="2"/>
          </rPr>
          <t xml:space="preserve">* Bucuresti Km Auto Tesa (Responses)
 10/3/2022 10:21:34 AM </t>
        </r>
        <r>
          <rPr>
            <b/>
            <sz val="10"/>
            <color indexed="81"/>
            <rFont val="Tahoma"/>
            <family val="2"/>
          </rPr>
          <t xml:space="preserve">= 7687 - Normal </t>
        </r>
        <r>
          <rPr>
            <sz val="10"/>
            <color indexed="81"/>
            <rFont val="Tahoma"/>
            <family val="2"/>
          </rPr>
          <t xml:space="preserve">* Bucuresti Km Auto Tesa (Responses)
</t>
        </r>
      </text>
    </comment>
    <comment ref="O12" authorId="0" shapeId="0" xr:uid="{CCC8CABF-C31D-4671-8054-4ED5D9ED99B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B-182-CLT</t>
        </r>
        <r>
          <rPr>
            <b/>
            <sz val="10"/>
            <color indexed="12"/>
            <rFont val="Tahoma"/>
            <family val="2"/>
          </rPr>
          <t xml:space="preserve"> - Salajan Cristian 
__________________________________________________________________
</t>
        </r>
        <r>
          <rPr>
            <sz val="10"/>
            <color indexed="12"/>
            <rFont val="Tahoma"/>
            <family val="2"/>
          </rPr>
          <t xml:space="preserve">  </t>
        </r>
        <r>
          <rPr>
            <sz val="10"/>
            <color indexed="81"/>
            <rFont val="Tahoma"/>
            <family val="2"/>
          </rPr>
          <t xml:space="preserve">9/10/2022 2:17:00 AM </t>
        </r>
        <r>
          <rPr>
            <b/>
            <sz val="10"/>
            <color indexed="81"/>
            <rFont val="Tahoma"/>
            <family val="2"/>
          </rPr>
          <t xml:space="preserve">= 104278 - Referinta </t>
        </r>
        <r>
          <rPr>
            <sz val="10"/>
            <color indexed="81"/>
            <rFont val="Tahoma"/>
            <family val="2"/>
          </rPr>
          <t xml:space="preserve">* Bucuresti Km Auto Tesa (Responses)
</t>
        </r>
      </text>
    </comment>
    <comment ref="J13" authorId="0" shapeId="0" xr:uid="{AE15CB66-0C57-44D3-810A-A8EA66233A4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Referinta a fost pusa automat
__________________________________________________________________
</t>
        </r>
        <r>
          <rPr>
            <sz val="10"/>
            <color indexed="12"/>
            <rFont val="Tahoma"/>
            <family val="2"/>
          </rPr>
          <t xml:space="preserve">  </t>
        </r>
        <r>
          <rPr>
            <sz val="10"/>
            <color indexed="81"/>
            <rFont val="Tahoma"/>
            <family val="2"/>
          </rPr>
          <t xml:space="preserve">9/4/2022 11:23:16 AM </t>
        </r>
        <r>
          <rPr>
            <b/>
            <sz val="10"/>
            <color indexed="81"/>
            <rFont val="Tahoma"/>
            <family val="2"/>
          </rPr>
          <t xml:space="preserve">= 208664 - Referinta </t>
        </r>
        <r>
          <rPr>
            <sz val="10"/>
            <color indexed="81"/>
            <rFont val="Tahoma"/>
            <family val="2"/>
          </rPr>
          <t xml:space="preserve">* Bucuresti Km Auto Tesa (Responses)
   9/5/2022 6:52:33 AM </t>
        </r>
        <r>
          <rPr>
            <b/>
            <sz val="10"/>
            <color indexed="81"/>
            <rFont val="Tahoma"/>
            <family val="2"/>
          </rPr>
          <t xml:space="preserve">= 208704 - Normal </t>
        </r>
        <r>
          <rPr>
            <sz val="10"/>
            <color indexed="81"/>
            <rFont val="Tahoma"/>
            <family val="2"/>
          </rPr>
          <t xml:space="preserve">* Bucuresti Km Auto Tesa (Responses)
</t>
        </r>
      </text>
    </comment>
    <comment ref="O13" authorId="0" shapeId="0" xr:uid="{4D7E097C-D775-4D54-8912-EADCE16AE5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9</t>
        </r>
        <r>
          <rPr>
            <sz val="10"/>
            <color indexed="81"/>
            <rFont val="Tahoma"/>
            <family val="2"/>
          </rPr>
          <t xml:space="preserve">/11/2022 10:10:00 AM </t>
        </r>
        <r>
          <rPr>
            <b/>
            <sz val="10"/>
            <color indexed="81"/>
            <rFont val="Tahoma"/>
            <family val="2"/>
          </rPr>
          <t xml:space="preserve">= 209261 - Referinta </t>
        </r>
        <r>
          <rPr>
            <sz val="10"/>
            <color indexed="81"/>
            <rFont val="Tahoma"/>
            <family val="2"/>
          </rPr>
          <t xml:space="preserve">* Bucuresti Km Auto Tesa (Responses)
  9/12/2022 6:52:58 AM </t>
        </r>
        <r>
          <rPr>
            <b/>
            <sz val="10"/>
            <color indexed="81"/>
            <rFont val="Tahoma"/>
            <family val="2"/>
          </rPr>
          <t xml:space="preserve">= 209287 - Normal </t>
        </r>
        <r>
          <rPr>
            <sz val="10"/>
            <color indexed="81"/>
            <rFont val="Tahoma"/>
            <family val="2"/>
          </rPr>
          <t xml:space="preserve">* Bucuresti Km Auto Tesa (Responses)
</t>
        </r>
      </text>
    </comment>
    <comment ref="T13" authorId="0" shapeId="0" xr:uid="{8A63EC6D-7DF3-4E50-9CC5-DF7EA9D6F3A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t>
        </r>
        <r>
          <rPr>
            <sz val="10"/>
            <color indexed="81"/>
            <rFont val="Tahoma"/>
            <family val="2"/>
          </rPr>
          <t xml:space="preserve">9/17/2022 8:17:12 AM </t>
        </r>
        <r>
          <rPr>
            <b/>
            <sz val="10"/>
            <color indexed="81"/>
            <rFont val="Tahoma"/>
            <family val="2"/>
          </rPr>
          <t xml:space="preserve">= 209856 - Referinta </t>
        </r>
        <r>
          <rPr>
            <sz val="10"/>
            <color indexed="81"/>
            <rFont val="Tahoma"/>
            <family val="2"/>
          </rPr>
          <t xml:space="preserve">* Bucuresti Km Auto Tesa (Responses)
  9/19/2022 7:17:15 AM </t>
        </r>
        <r>
          <rPr>
            <b/>
            <sz val="10"/>
            <color indexed="81"/>
            <rFont val="Tahoma"/>
            <family val="2"/>
          </rPr>
          <t xml:space="preserve">= 209933 - Normal </t>
        </r>
        <r>
          <rPr>
            <sz val="10"/>
            <color indexed="81"/>
            <rFont val="Tahoma"/>
            <family val="2"/>
          </rPr>
          <t xml:space="preserve">* Bucuresti Km Auto Tesa (Responses)
</t>
        </r>
      </text>
    </comment>
    <comment ref="Y13" authorId="0" shapeId="0" xr:uid="{ECB095FF-3F64-4113-B1E2-EC15C626BB6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t>
        </r>
        <r>
          <rPr>
            <sz val="10"/>
            <color indexed="81"/>
            <rFont val="Tahoma"/>
            <family val="2"/>
          </rPr>
          <t xml:space="preserve">9/23/2022 8:00:00 AM </t>
        </r>
        <r>
          <rPr>
            <b/>
            <sz val="10"/>
            <color indexed="81"/>
            <rFont val="Tahoma"/>
            <family val="2"/>
          </rPr>
          <t xml:space="preserve">= 210500 - Referinta </t>
        </r>
        <r>
          <rPr>
            <sz val="10"/>
            <color indexed="81"/>
            <rFont val="Tahoma"/>
            <family val="2"/>
          </rPr>
          <t xml:space="preserve">* Bucuresti Km Auto Tesa (Responses)
  9/26/2022 8:00:00 AM </t>
        </r>
        <r>
          <rPr>
            <b/>
            <sz val="10"/>
            <color indexed="81"/>
            <rFont val="Tahoma"/>
            <family val="2"/>
          </rPr>
          <t xml:space="preserve">= 210590 - Normal </t>
        </r>
        <r>
          <rPr>
            <sz val="10"/>
            <color indexed="81"/>
            <rFont val="Tahoma"/>
            <family val="2"/>
          </rPr>
          <t xml:space="preserve">* Bucuresti Km Auto Tesa (Responses)
</t>
        </r>
      </text>
    </comment>
    <comment ref="AD13" authorId="0" shapeId="0" xr:uid="{745D40D1-4704-4C66-82BC-B96414E143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B-143-CLT</t>
        </r>
        <r>
          <rPr>
            <b/>
            <sz val="10"/>
            <color indexed="12"/>
            <rFont val="Tahoma"/>
            <family val="2"/>
          </rPr>
          <t xml:space="preserve"> - Ilie Petrica 
__________________________________________________________________
</t>
        </r>
        <r>
          <rPr>
            <sz val="10"/>
            <color indexed="12"/>
            <rFont val="Tahoma"/>
            <family val="2"/>
          </rPr>
          <t xml:space="preserve"> 1</t>
        </r>
        <r>
          <rPr>
            <sz val="10"/>
            <color indexed="81"/>
            <rFont val="Tahoma"/>
            <family val="2"/>
          </rPr>
          <t xml:space="preserve">0/1/2022 10:05:08 AM </t>
        </r>
        <r>
          <rPr>
            <b/>
            <sz val="10"/>
            <color indexed="81"/>
            <rFont val="Tahoma"/>
            <family val="2"/>
          </rPr>
          <t xml:space="preserve">= 211085 - Referinta </t>
        </r>
        <r>
          <rPr>
            <sz val="10"/>
            <color indexed="81"/>
            <rFont val="Tahoma"/>
            <family val="2"/>
          </rPr>
          <t xml:space="preserve">* Bucuresti Km Auto Tesa (Responses)
  10/3/2022 7:04:43 AM </t>
        </r>
        <r>
          <rPr>
            <b/>
            <sz val="10"/>
            <color indexed="81"/>
            <rFont val="Tahoma"/>
            <family val="2"/>
          </rPr>
          <t xml:space="preserve">= 211216 - Normal </t>
        </r>
        <r>
          <rPr>
            <sz val="10"/>
            <color indexed="81"/>
            <rFont val="Tahoma"/>
            <family val="2"/>
          </rPr>
          <t xml:space="preserve">* Bucuresti Km Auto Tesa (Responses)
</t>
        </r>
      </text>
    </comment>
    <comment ref="J14" authorId="0" shapeId="0" xr:uid="{3CA36FD1-CDF3-41D2-BFBF-E0DCA3173D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Referinta a fost pusa automat
__________________________________________________________________
</t>
        </r>
        <r>
          <rPr>
            <sz val="10"/>
            <color indexed="12"/>
            <rFont val="Tahoma"/>
            <family val="2"/>
          </rPr>
          <t xml:space="preserve">  </t>
        </r>
        <r>
          <rPr>
            <sz val="10"/>
            <color indexed="81"/>
            <rFont val="Tahoma"/>
            <family val="2"/>
          </rPr>
          <t xml:space="preserve"> 9/2/2022 5:56:41 PM </t>
        </r>
        <r>
          <rPr>
            <b/>
            <sz val="10"/>
            <color indexed="81"/>
            <rFont val="Tahoma"/>
            <family val="2"/>
          </rPr>
          <t xml:space="preserve">= 26282 - Referinta </t>
        </r>
        <r>
          <rPr>
            <sz val="10"/>
            <color indexed="81"/>
            <rFont val="Tahoma"/>
            <family val="2"/>
          </rPr>
          <t xml:space="preserve">* Bucuresti Km Auto Tesa (Responses)
   9/5/2022 5:02:44 PM </t>
        </r>
        <r>
          <rPr>
            <b/>
            <sz val="10"/>
            <color indexed="81"/>
            <rFont val="Tahoma"/>
            <family val="2"/>
          </rPr>
          <t xml:space="preserve">= 26282 - Normal </t>
        </r>
        <r>
          <rPr>
            <sz val="10"/>
            <color indexed="81"/>
            <rFont val="Tahoma"/>
            <family val="2"/>
          </rPr>
          <t xml:space="preserve">* Bucuresti Km Auto Tesa (Responses)
</t>
        </r>
      </text>
    </comment>
    <comment ref="O14" authorId="0" shapeId="0" xr:uid="{F376C7D7-1D5E-46B1-B41C-C54E12E571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 9/9/2022 7:03:45 PM </t>
        </r>
        <r>
          <rPr>
            <b/>
            <sz val="10"/>
            <color indexed="81"/>
            <rFont val="Tahoma"/>
            <family val="2"/>
          </rPr>
          <t xml:space="preserve">= 26525 - Referinta </t>
        </r>
        <r>
          <rPr>
            <sz val="10"/>
            <color indexed="81"/>
            <rFont val="Tahoma"/>
            <family val="2"/>
          </rPr>
          <t xml:space="preserve">* Bucuresti Km Auto Tesa (Responses)
  9/12/2022 6:57:56 AM </t>
        </r>
        <r>
          <rPr>
            <b/>
            <sz val="10"/>
            <color indexed="81"/>
            <rFont val="Tahoma"/>
            <family val="2"/>
          </rPr>
          <t xml:space="preserve">= 26525 - Normal </t>
        </r>
        <r>
          <rPr>
            <sz val="10"/>
            <color indexed="81"/>
            <rFont val="Tahoma"/>
            <family val="2"/>
          </rPr>
          <t xml:space="preserve">* Bucuresti Km Auto Tesa (Responses)
</t>
        </r>
      </text>
    </comment>
    <comment ref="T14" authorId="0" shapeId="0" xr:uid="{12E6E097-17EC-4AF6-8109-300BB54F23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9/16/2022 5:17:58 PM </t>
        </r>
        <r>
          <rPr>
            <b/>
            <sz val="10"/>
            <color indexed="81"/>
            <rFont val="Tahoma"/>
            <family val="2"/>
          </rPr>
          <t xml:space="preserve">= 26760 - Referinta </t>
        </r>
        <r>
          <rPr>
            <sz val="10"/>
            <color indexed="81"/>
            <rFont val="Tahoma"/>
            <family val="2"/>
          </rPr>
          <t xml:space="preserve">* Bucuresti Km Auto Tesa (Responses)
  9/19/2022 6:26:07 AM </t>
        </r>
        <r>
          <rPr>
            <b/>
            <sz val="10"/>
            <color indexed="81"/>
            <rFont val="Tahoma"/>
            <family val="2"/>
          </rPr>
          <t xml:space="preserve">= 26760 - Normal </t>
        </r>
        <r>
          <rPr>
            <sz val="10"/>
            <color indexed="81"/>
            <rFont val="Tahoma"/>
            <family val="2"/>
          </rPr>
          <t xml:space="preserve">* Bucuresti Km Auto Tesa (Responses)
</t>
        </r>
      </text>
    </comment>
    <comment ref="Y14" authorId="0" shapeId="0" xr:uid="{4941060E-F8F3-4DE7-9196-34B8B45878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9/23/2022 5:00:52 PM </t>
        </r>
        <r>
          <rPr>
            <b/>
            <sz val="10"/>
            <color indexed="81"/>
            <rFont val="Tahoma"/>
            <family val="2"/>
          </rPr>
          <t xml:space="preserve">= 27078 - Referinta </t>
        </r>
        <r>
          <rPr>
            <sz val="10"/>
            <color indexed="81"/>
            <rFont val="Tahoma"/>
            <family val="2"/>
          </rPr>
          <t xml:space="preserve">* Bucuresti Km Auto Tesa (Responses)
  9/26/2022 6:34:31 AM </t>
        </r>
        <r>
          <rPr>
            <b/>
            <sz val="10"/>
            <color indexed="81"/>
            <rFont val="Tahoma"/>
            <family val="2"/>
          </rPr>
          <t xml:space="preserve">= 27078 - Normal </t>
        </r>
        <r>
          <rPr>
            <sz val="10"/>
            <color indexed="81"/>
            <rFont val="Tahoma"/>
            <family val="2"/>
          </rPr>
          <t xml:space="preserve">* Bucuresti Km Auto Tesa (Responses)
</t>
        </r>
      </text>
    </comment>
    <comment ref="AD14" authorId="0" shapeId="0" xr:uid="{F092CBAC-F78E-4830-9E3F-ECC3B340779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B-904-CLT</t>
        </r>
        <r>
          <rPr>
            <b/>
            <sz val="10"/>
            <color indexed="12"/>
            <rFont val="Tahoma"/>
            <family val="2"/>
          </rPr>
          <t xml:space="preserve"> - Turcu Ionut 
__________________________________________________________________
</t>
        </r>
        <r>
          <rPr>
            <sz val="10"/>
            <color indexed="12"/>
            <rFont val="Tahoma"/>
            <family val="2"/>
          </rPr>
          <t xml:space="preserve">  </t>
        </r>
        <r>
          <rPr>
            <sz val="10"/>
            <color indexed="81"/>
            <rFont val="Tahoma"/>
            <family val="2"/>
          </rPr>
          <t xml:space="preserve">9/30/2022 5:31:34 PM </t>
        </r>
        <r>
          <rPr>
            <b/>
            <sz val="10"/>
            <color indexed="81"/>
            <rFont val="Tahoma"/>
            <family val="2"/>
          </rPr>
          <t xml:space="preserve">= 27349 - Referinta </t>
        </r>
        <r>
          <rPr>
            <sz val="10"/>
            <color indexed="81"/>
            <rFont val="Tahoma"/>
            <family val="2"/>
          </rPr>
          <t xml:space="preserve">* Bucuresti Km Auto Tesa (Responses)
  10/3/2022 6:41:24 AM </t>
        </r>
        <r>
          <rPr>
            <b/>
            <sz val="10"/>
            <color indexed="81"/>
            <rFont val="Tahoma"/>
            <family val="2"/>
          </rPr>
          <t xml:space="preserve">= 27349 - Normal </t>
        </r>
        <r>
          <rPr>
            <sz val="10"/>
            <color indexed="81"/>
            <rFont val="Tahoma"/>
            <family val="2"/>
          </rPr>
          <t xml:space="preserve">* Bucuresti Km Auto Tesa (Responses)
</t>
        </r>
      </text>
    </comment>
    <comment ref="J15" authorId="0" shapeId="0" xr:uid="{89E17467-01AA-49AE-8434-D2209FD3D9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5:29:02 PM </t>
        </r>
        <r>
          <rPr>
            <b/>
            <sz val="10"/>
            <color indexed="81"/>
            <rFont val="Tahoma"/>
            <family val="2"/>
          </rPr>
          <t xml:space="preserve">= 181118 - Referinta </t>
        </r>
        <r>
          <rPr>
            <sz val="10"/>
            <color indexed="81"/>
            <rFont val="Tahoma"/>
            <family val="2"/>
          </rPr>
          <t xml:space="preserve">* Bucuresti Km Auto Tesa (Responses)
   9/5/2022 7:28:15 AM </t>
        </r>
        <r>
          <rPr>
            <b/>
            <sz val="10"/>
            <color indexed="81"/>
            <rFont val="Tahoma"/>
            <family val="2"/>
          </rPr>
          <t xml:space="preserve">= 181143 - Normal </t>
        </r>
        <r>
          <rPr>
            <sz val="10"/>
            <color indexed="81"/>
            <rFont val="Tahoma"/>
            <family val="2"/>
          </rPr>
          <t xml:space="preserve">* Bucuresti Km Auto Tesa (Responses)
</t>
        </r>
      </text>
    </comment>
    <comment ref="O15" authorId="0" shapeId="0" xr:uid="{ABD31ACB-26CB-426D-B78E-4CFD477145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 9/9/2022 4:55:20 PM </t>
        </r>
        <r>
          <rPr>
            <b/>
            <sz val="10"/>
            <color indexed="81"/>
            <rFont val="Tahoma"/>
            <family val="2"/>
          </rPr>
          <t xml:space="preserve">= 181344 - Referinta </t>
        </r>
        <r>
          <rPr>
            <sz val="10"/>
            <color indexed="81"/>
            <rFont val="Tahoma"/>
            <family val="2"/>
          </rPr>
          <t xml:space="preserve">* Bucuresti Km Auto Tesa (Responses)
  9/12/2022 6:42:27 AM </t>
        </r>
        <r>
          <rPr>
            <b/>
            <sz val="10"/>
            <color indexed="81"/>
            <rFont val="Tahoma"/>
            <family val="2"/>
          </rPr>
          <t xml:space="preserve">= 181344 - Normal </t>
        </r>
        <r>
          <rPr>
            <sz val="10"/>
            <color indexed="81"/>
            <rFont val="Tahoma"/>
            <family val="2"/>
          </rPr>
          <t xml:space="preserve">* Bucuresti Km Auto Tesa (Responses)
</t>
        </r>
      </text>
    </comment>
    <comment ref="T15" authorId="0" shapeId="0" xr:uid="{521C3415-503E-44D6-B86E-49E4BAFD20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9/16/2022 5:22:15 PM </t>
        </r>
        <r>
          <rPr>
            <b/>
            <sz val="10"/>
            <color indexed="81"/>
            <rFont val="Tahoma"/>
            <family val="2"/>
          </rPr>
          <t xml:space="preserve">= 181527 - Referinta </t>
        </r>
        <r>
          <rPr>
            <sz val="10"/>
            <color indexed="81"/>
            <rFont val="Tahoma"/>
            <family val="2"/>
          </rPr>
          <t xml:space="preserve">* Bucuresti Km Auto Tesa (Responses)
  9/19/2022 6:43:34 AM </t>
        </r>
        <r>
          <rPr>
            <b/>
            <sz val="10"/>
            <color indexed="81"/>
            <rFont val="Tahoma"/>
            <family val="2"/>
          </rPr>
          <t xml:space="preserve">= 181527 - Normal </t>
        </r>
        <r>
          <rPr>
            <sz val="10"/>
            <color indexed="81"/>
            <rFont val="Tahoma"/>
            <family val="2"/>
          </rPr>
          <t xml:space="preserve">* Bucuresti Km Auto Tesa (Responses)
</t>
        </r>
      </text>
    </comment>
    <comment ref="Y15" authorId="0" shapeId="0" xr:uid="{4146352C-5B8C-4A62-83A1-D8F49E3152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9/23/2022 5:32:46 PM </t>
        </r>
        <r>
          <rPr>
            <b/>
            <sz val="10"/>
            <color indexed="81"/>
            <rFont val="Tahoma"/>
            <family val="2"/>
          </rPr>
          <t xml:space="preserve">= 181753 - Referinta </t>
        </r>
        <r>
          <rPr>
            <sz val="10"/>
            <color indexed="81"/>
            <rFont val="Tahoma"/>
            <family val="2"/>
          </rPr>
          <t xml:space="preserve">* Bucuresti Km Auto Tesa (Responses)
  9/26/2022 6:49:25 AM </t>
        </r>
        <r>
          <rPr>
            <b/>
            <sz val="10"/>
            <color indexed="81"/>
            <rFont val="Tahoma"/>
            <family val="2"/>
          </rPr>
          <t xml:space="preserve">= 181753 - Normal </t>
        </r>
        <r>
          <rPr>
            <sz val="10"/>
            <color indexed="81"/>
            <rFont val="Tahoma"/>
            <family val="2"/>
          </rPr>
          <t xml:space="preserve">* Bucuresti Km Auto Tesa (Responses)
</t>
        </r>
      </text>
    </comment>
    <comment ref="AD15" authorId="0" shapeId="0" xr:uid="{1A285163-BA6A-4621-9C4F-1FA535DDF4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B-147-CLT</t>
        </r>
        <r>
          <rPr>
            <b/>
            <sz val="10"/>
            <color indexed="12"/>
            <rFont val="Tahoma"/>
            <family val="2"/>
          </rPr>
          <t xml:space="preserve"> - Duinea Razvan 
__________________________________________________________________
</t>
        </r>
        <r>
          <rPr>
            <sz val="10"/>
            <color indexed="12"/>
            <rFont val="Tahoma"/>
            <family val="2"/>
          </rPr>
          <t xml:space="preserve">  </t>
        </r>
        <r>
          <rPr>
            <sz val="10"/>
            <color indexed="81"/>
            <rFont val="Tahoma"/>
            <family val="2"/>
          </rPr>
          <t xml:space="preserve">9/30/2022 5:23:28 PM </t>
        </r>
        <r>
          <rPr>
            <b/>
            <sz val="10"/>
            <color indexed="81"/>
            <rFont val="Tahoma"/>
            <family val="2"/>
          </rPr>
          <t xml:space="preserve">= 181973 - Referinta </t>
        </r>
        <r>
          <rPr>
            <sz val="10"/>
            <color indexed="81"/>
            <rFont val="Tahoma"/>
            <family val="2"/>
          </rPr>
          <t xml:space="preserve">* Bucuresti Km Auto Tesa (Responses)
  10/3/2022 6:57:24 AM </t>
        </r>
        <r>
          <rPr>
            <b/>
            <sz val="10"/>
            <color indexed="81"/>
            <rFont val="Tahoma"/>
            <family val="2"/>
          </rPr>
          <t xml:space="preserve">= 181974 - Normal </t>
        </r>
        <r>
          <rPr>
            <sz val="10"/>
            <color indexed="81"/>
            <rFont val="Tahoma"/>
            <family val="2"/>
          </rPr>
          <t xml:space="preserve">* Bucuresti Km Auto Tesa (Responses)
</t>
        </r>
      </text>
    </comment>
    <comment ref="J16" authorId="0" shapeId="0" xr:uid="{8E7966BA-D3C9-40E9-B884-9450A8DD72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2:21:48 PM </t>
        </r>
        <r>
          <rPr>
            <b/>
            <sz val="10"/>
            <color indexed="81"/>
            <rFont val="Tahoma"/>
            <family val="2"/>
          </rPr>
          <t xml:space="preserve">= 133898 - Referinta </t>
        </r>
        <r>
          <rPr>
            <sz val="10"/>
            <color indexed="81"/>
            <rFont val="Tahoma"/>
            <family val="2"/>
          </rPr>
          <t xml:space="preserve">* Bucuresti Km Auto Tesa (Responses)
   9/5/2022 7:50:08 AM </t>
        </r>
        <r>
          <rPr>
            <b/>
            <sz val="10"/>
            <color indexed="81"/>
            <rFont val="Tahoma"/>
            <family val="2"/>
          </rPr>
          <t xml:space="preserve">= 133898 - Normal </t>
        </r>
        <r>
          <rPr>
            <sz val="10"/>
            <color indexed="81"/>
            <rFont val="Tahoma"/>
            <family val="2"/>
          </rPr>
          <t xml:space="preserve">* Bucuresti Km Auto Tesa (Responses)
</t>
        </r>
      </text>
    </comment>
    <comment ref="O16" authorId="0" shapeId="0" xr:uid="{ACA194CF-AB19-4612-8399-57B812BFE5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 9/9/2022 8:14:44 AM </t>
        </r>
        <r>
          <rPr>
            <b/>
            <sz val="10"/>
            <color indexed="81"/>
            <rFont val="Tahoma"/>
            <family val="2"/>
          </rPr>
          <t xml:space="preserve">= 133932 - Referinta </t>
        </r>
        <r>
          <rPr>
            <sz val="10"/>
            <color indexed="81"/>
            <rFont val="Tahoma"/>
            <family val="2"/>
          </rPr>
          <t xml:space="preserve">* Bucuresti Km Auto Tesa (Responses)
  9/12/2022 7:52:50 AM </t>
        </r>
        <r>
          <rPr>
            <b/>
            <sz val="10"/>
            <color indexed="81"/>
            <rFont val="Tahoma"/>
            <family val="2"/>
          </rPr>
          <t xml:space="preserve">= 133932 - Normal </t>
        </r>
        <r>
          <rPr>
            <sz val="10"/>
            <color indexed="81"/>
            <rFont val="Tahoma"/>
            <family val="2"/>
          </rPr>
          <t xml:space="preserve">* Bucuresti Km Auto Tesa (Responses)
</t>
        </r>
      </text>
    </comment>
    <comment ref="T16" authorId="0" shapeId="0" xr:uid="{AFBB9A99-C324-48A1-9250-D326A15F88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9/16/2022 3:00:01 PM </t>
        </r>
        <r>
          <rPr>
            <b/>
            <sz val="10"/>
            <color indexed="81"/>
            <rFont val="Tahoma"/>
            <family val="2"/>
          </rPr>
          <t xml:space="preserve">= 134009 - Referinta </t>
        </r>
        <r>
          <rPr>
            <sz val="10"/>
            <color indexed="81"/>
            <rFont val="Tahoma"/>
            <family val="2"/>
          </rPr>
          <t xml:space="preserve">* Bucuresti Km Auto Tesa (Responses)
  9/19/2022 7:42:39 AM </t>
        </r>
        <r>
          <rPr>
            <b/>
            <sz val="10"/>
            <color indexed="81"/>
            <rFont val="Tahoma"/>
            <family val="2"/>
          </rPr>
          <t xml:space="preserve">= 134009 - Normal </t>
        </r>
        <r>
          <rPr>
            <sz val="10"/>
            <color indexed="81"/>
            <rFont val="Tahoma"/>
            <family val="2"/>
          </rPr>
          <t xml:space="preserve">* Bucuresti Km Auto Tesa (Responses)
</t>
        </r>
      </text>
    </comment>
    <comment ref="Y16" authorId="0" shapeId="0" xr:uid="{66588292-471E-4AF8-B045-2200DF9001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9/23/2022 5:44:10 PM </t>
        </r>
        <r>
          <rPr>
            <b/>
            <sz val="10"/>
            <color indexed="81"/>
            <rFont val="Tahoma"/>
            <family val="2"/>
          </rPr>
          <t xml:space="preserve">= 134058 - Referinta </t>
        </r>
        <r>
          <rPr>
            <sz val="10"/>
            <color indexed="81"/>
            <rFont val="Tahoma"/>
            <family val="2"/>
          </rPr>
          <t xml:space="preserve">* Bucuresti Km Auto Tesa (Responses)
  9/26/2022 8:32:24 AM </t>
        </r>
        <r>
          <rPr>
            <b/>
            <sz val="10"/>
            <color indexed="81"/>
            <rFont val="Tahoma"/>
            <family val="2"/>
          </rPr>
          <t xml:space="preserve">= 134058 - Normal </t>
        </r>
        <r>
          <rPr>
            <sz val="10"/>
            <color indexed="81"/>
            <rFont val="Tahoma"/>
            <family val="2"/>
          </rPr>
          <t xml:space="preserve">* Bucuresti Km Auto Tesa (Responses)
</t>
        </r>
      </text>
    </comment>
    <comment ref="AD16" authorId="0" shapeId="0" xr:uid="{8B2F014E-B4E7-46F2-A390-DBE52ED6D05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B-146-CLT</t>
        </r>
        <r>
          <rPr>
            <b/>
            <sz val="10"/>
            <color indexed="12"/>
            <rFont val="Tahoma"/>
            <family val="2"/>
          </rPr>
          <t xml:space="preserve"> - Ciurar Marian 
__________________________________________________________________
</t>
        </r>
        <r>
          <rPr>
            <sz val="10"/>
            <color indexed="12"/>
            <rFont val="Tahoma"/>
            <family val="2"/>
          </rPr>
          <t xml:space="preserve">  </t>
        </r>
        <r>
          <rPr>
            <sz val="10"/>
            <color indexed="81"/>
            <rFont val="Tahoma"/>
            <family val="2"/>
          </rPr>
          <t xml:space="preserve">9/30/2022 2:04:36 PM </t>
        </r>
        <r>
          <rPr>
            <b/>
            <sz val="10"/>
            <color indexed="81"/>
            <rFont val="Tahoma"/>
            <family val="2"/>
          </rPr>
          <t xml:space="preserve">= 134116 - Referinta </t>
        </r>
        <r>
          <rPr>
            <sz val="10"/>
            <color indexed="81"/>
            <rFont val="Tahoma"/>
            <family val="2"/>
          </rPr>
          <t xml:space="preserve">* Bucuresti Km Auto Tesa (Responses)
  10/3/2022 8:00:40 AM </t>
        </r>
        <r>
          <rPr>
            <b/>
            <sz val="10"/>
            <color indexed="81"/>
            <rFont val="Tahoma"/>
            <family val="2"/>
          </rPr>
          <t xml:space="preserve">= 134116 - Normal </t>
        </r>
        <r>
          <rPr>
            <sz val="10"/>
            <color indexed="81"/>
            <rFont val="Tahoma"/>
            <family val="2"/>
          </rPr>
          <t xml:space="preserve">* Bucuresti Km Auto Tesa (Responses)
</t>
        </r>
      </text>
    </comment>
    <comment ref="O17" authorId="0" shapeId="0" xr:uid="{45548C27-3F68-44B8-970C-F872A6A3C44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__________________________________________________________________
</t>
        </r>
        <r>
          <rPr>
            <sz val="10"/>
            <color indexed="12"/>
            <rFont val="Tahoma"/>
            <family val="2"/>
          </rPr>
          <t xml:space="preserve">  </t>
        </r>
        <r>
          <rPr>
            <sz val="10"/>
            <color indexed="81"/>
            <rFont val="Tahoma"/>
            <family val="2"/>
          </rPr>
          <t xml:space="preserve"> 9/9/2022 4:37:17 PM </t>
        </r>
        <r>
          <rPr>
            <b/>
            <sz val="10"/>
            <color indexed="81"/>
            <rFont val="Tahoma"/>
            <family val="2"/>
          </rPr>
          <t xml:space="preserve">= 19416 - Referinta </t>
        </r>
        <r>
          <rPr>
            <sz val="10"/>
            <color indexed="81"/>
            <rFont val="Tahoma"/>
            <family val="2"/>
          </rPr>
          <t xml:space="preserve">* Bucuresti Km Auto Vanzari (Responses)
  9/13/2022 7:49:18 AM </t>
        </r>
        <r>
          <rPr>
            <b/>
            <sz val="10"/>
            <color indexed="81"/>
            <rFont val="Tahoma"/>
            <family val="2"/>
          </rPr>
          <t xml:space="preserve">= 19416 - Normal </t>
        </r>
        <r>
          <rPr>
            <sz val="10"/>
            <color indexed="81"/>
            <rFont val="Tahoma"/>
            <family val="2"/>
          </rPr>
          <t xml:space="preserve">* Bucuresti Km Auto Vanzari (Responses)
</t>
        </r>
      </text>
    </comment>
    <comment ref="T17" authorId="0" shapeId="0" xr:uid="{21B0AD7D-3875-4463-A241-A2AF471A49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__________________________________________________________________
</t>
        </r>
        <r>
          <rPr>
            <sz val="10"/>
            <color indexed="12"/>
            <rFont val="Tahoma"/>
            <family val="2"/>
          </rPr>
          <t xml:space="preserve">  </t>
        </r>
        <r>
          <rPr>
            <sz val="10"/>
            <color indexed="81"/>
            <rFont val="Tahoma"/>
            <family val="2"/>
          </rPr>
          <t xml:space="preserve">9/16/2022 4:04:56 PM </t>
        </r>
        <r>
          <rPr>
            <b/>
            <sz val="10"/>
            <color indexed="81"/>
            <rFont val="Tahoma"/>
            <family val="2"/>
          </rPr>
          <t xml:space="preserve">= 20329 - Referinta </t>
        </r>
        <r>
          <rPr>
            <sz val="10"/>
            <color indexed="81"/>
            <rFont val="Tahoma"/>
            <family val="2"/>
          </rPr>
          <t xml:space="preserve">* Bucuresti Km Auto Vanzari (Responses)
  9/19/2022 7:28:39 AM </t>
        </r>
        <r>
          <rPr>
            <b/>
            <sz val="10"/>
            <color indexed="81"/>
            <rFont val="Tahoma"/>
            <family val="2"/>
          </rPr>
          <t xml:space="preserve">= 20329 - Normal </t>
        </r>
        <r>
          <rPr>
            <sz val="10"/>
            <color indexed="81"/>
            <rFont val="Tahoma"/>
            <family val="2"/>
          </rPr>
          <t xml:space="preserve">* Bucuresti Km Auto Vanzari (Responses)
</t>
        </r>
      </text>
    </comment>
    <comment ref="AD17" authorId="0" shapeId="0" xr:uid="{0A1AE42B-3923-46B6-80A0-47D4040C3C3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B-905-CLT</t>
        </r>
        <r>
          <rPr>
            <b/>
            <sz val="10"/>
            <color indexed="12"/>
            <rFont val="Tahoma"/>
            <family val="2"/>
          </rPr>
          <t xml:space="preserve"> - Flavius Oltean 
__________________________________________________________________
</t>
        </r>
        <r>
          <rPr>
            <sz val="10"/>
            <color indexed="12"/>
            <rFont val="Tahoma"/>
            <family val="2"/>
          </rPr>
          <t xml:space="preserve">  </t>
        </r>
        <r>
          <rPr>
            <sz val="10"/>
            <color indexed="81"/>
            <rFont val="Tahoma"/>
            <family val="2"/>
          </rPr>
          <t xml:space="preserve">10/2/2022 2:58:00 AM </t>
        </r>
        <r>
          <rPr>
            <b/>
            <sz val="10"/>
            <color indexed="81"/>
            <rFont val="Tahoma"/>
            <family val="2"/>
          </rPr>
          <t xml:space="preserve">= 21182 - Referinta </t>
        </r>
        <r>
          <rPr>
            <sz val="10"/>
            <color indexed="81"/>
            <rFont val="Tahoma"/>
            <family val="2"/>
          </rPr>
          <t xml:space="preserve">* Bucuresti Km Auto Vanzari (Responses)
  10/3/2022 7:26:59 AM </t>
        </r>
        <r>
          <rPr>
            <b/>
            <sz val="10"/>
            <color indexed="81"/>
            <rFont val="Tahoma"/>
            <family val="2"/>
          </rPr>
          <t xml:space="preserve">= 21182 - Normal </t>
        </r>
        <r>
          <rPr>
            <sz val="10"/>
            <color indexed="81"/>
            <rFont val="Tahoma"/>
            <family val="2"/>
          </rPr>
          <t xml:space="preserve">* Bucuresti Km Auto Vanzari (Responses)
</t>
        </r>
      </text>
    </comment>
    <comment ref="J18" authorId="0" shapeId="0" xr:uid="{10C648C7-3E33-49E2-9105-1BD00E9E486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3:28:16 PM </t>
        </r>
        <r>
          <rPr>
            <b/>
            <sz val="10"/>
            <color indexed="81"/>
            <rFont val="Tahoma"/>
            <family val="2"/>
          </rPr>
          <t xml:space="preserve">= 3894 - Referinta </t>
        </r>
        <r>
          <rPr>
            <sz val="10"/>
            <color indexed="81"/>
            <rFont val="Tahoma"/>
            <family val="2"/>
          </rPr>
          <t xml:space="preserve">* Bucuresti Marfa Km Auto (Responses)
   9/5/2022 7:36:42 AM </t>
        </r>
        <r>
          <rPr>
            <b/>
            <sz val="10"/>
            <color indexed="81"/>
            <rFont val="Tahoma"/>
            <family val="2"/>
          </rPr>
          <t xml:space="preserve">= 3894 - Normal </t>
        </r>
        <r>
          <rPr>
            <sz val="10"/>
            <color indexed="81"/>
            <rFont val="Tahoma"/>
            <family val="2"/>
          </rPr>
          <t xml:space="preserve">* Bucuresti Marfa Km Auto (Responses)
</t>
        </r>
      </text>
    </comment>
    <comment ref="O18" authorId="0" shapeId="0" xr:uid="{F4AC6AC4-DCE7-44D9-B675-E2B816BC5C9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4:17:35 PM </t>
        </r>
        <r>
          <rPr>
            <b/>
            <sz val="10"/>
            <color indexed="81"/>
            <rFont val="Tahoma"/>
            <family val="2"/>
          </rPr>
          <t xml:space="preserve">= 4449 - Referinta </t>
        </r>
        <r>
          <rPr>
            <sz val="10"/>
            <color indexed="81"/>
            <rFont val="Tahoma"/>
            <family val="2"/>
          </rPr>
          <t xml:space="preserve">* Bucuresti Marfa Km Auto (Responses)
  9/12/2022 7:28:01 AM </t>
        </r>
        <r>
          <rPr>
            <b/>
            <sz val="10"/>
            <color indexed="81"/>
            <rFont val="Tahoma"/>
            <family val="2"/>
          </rPr>
          <t xml:space="preserve">= 4449 - Normal </t>
        </r>
        <r>
          <rPr>
            <sz val="10"/>
            <color indexed="81"/>
            <rFont val="Tahoma"/>
            <family val="2"/>
          </rPr>
          <t xml:space="preserve">* Bucuresti Marfa Km Auto (Responses)
</t>
        </r>
      </text>
    </comment>
    <comment ref="T18" authorId="0" shapeId="0" xr:uid="{EB6BEF8C-32CF-45B5-A6EA-6978173317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4:41:58 PM </t>
        </r>
        <r>
          <rPr>
            <b/>
            <sz val="10"/>
            <color indexed="81"/>
            <rFont val="Tahoma"/>
            <family val="2"/>
          </rPr>
          <t xml:space="preserve">= 4658 - Referinta </t>
        </r>
        <r>
          <rPr>
            <sz val="10"/>
            <color indexed="81"/>
            <rFont val="Tahoma"/>
            <family val="2"/>
          </rPr>
          <t xml:space="preserve">* Bucuresti Marfa Km Auto (Responses)
 9/19/2022 11:06:20 AM </t>
        </r>
        <r>
          <rPr>
            <b/>
            <sz val="10"/>
            <color indexed="81"/>
            <rFont val="Tahoma"/>
            <family val="2"/>
          </rPr>
          <t xml:space="preserve">= 4658 - Normal </t>
        </r>
        <r>
          <rPr>
            <sz val="10"/>
            <color indexed="81"/>
            <rFont val="Tahoma"/>
            <family val="2"/>
          </rPr>
          <t xml:space="preserve">* Bucuresti Marfa Km Auto (Responses)
</t>
        </r>
      </text>
    </comment>
    <comment ref="Y18" authorId="0" shapeId="0" xr:uid="{E7D45DC5-C425-4531-91E5-C6BCC6B0A11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__________________________________________________________________
</t>
        </r>
        <r>
          <rPr>
            <sz val="10"/>
            <color indexed="12"/>
            <rFont val="Tahoma"/>
            <family val="2"/>
          </rPr>
          <t xml:space="preserve">  </t>
        </r>
        <r>
          <rPr>
            <sz val="10"/>
            <color indexed="81"/>
            <rFont val="Tahoma"/>
            <family val="2"/>
          </rPr>
          <t xml:space="preserve">9/23/2022 4:21:34 PM </t>
        </r>
        <r>
          <rPr>
            <b/>
            <sz val="10"/>
            <color indexed="81"/>
            <rFont val="Tahoma"/>
            <family val="2"/>
          </rPr>
          <t xml:space="preserve">= 4940 - Referinta </t>
        </r>
        <r>
          <rPr>
            <sz val="10"/>
            <color indexed="81"/>
            <rFont val="Tahoma"/>
            <family val="2"/>
          </rPr>
          <t xml:space="preserve">* Bucuresti Marfa Km Auto (Responses)
  9/26/2022 7:33:01 AM </t>
        </r>
        <r>
          <rPr>
            <b/>
            <sz val="10"/>
            <color indexed="81"/>
            <rFont val="Tahoma"/>
            <family val="2"/>
          </rPr>
          <t xml:space="preserve">= 4940 - Normal </t>
        </r>
        <r>
          <rPr>
            <sz val="10"/>
            <color indexed="81"/>
            <rFont val="Tahoma"/>
            <family val="2"/>
          </rPr>
          <t xml:space="preserve">* Bucuresti Marfa Km Auto (Responses)
</t>
        </r>
      </text>
    </comment>
    <comment ref="AD18" authorId="0" shapeId="0" xr:uid="{D3618689-045D-4059-879D-FF95B97F3E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B-158-CLT</t>
        </r>
        <r>
          <rPr>
            <b/>
            <sz val="10"/>
            <color indexed="12"/>
            <rFont val="Tahoma"/>
            <family val="2"/>
          </rPr>
          <t xml:space="preserve"> - Ionescu Florin Referinta a fost pusa automat
__________________________________________________________________
</t>
        </r>
        <r>
          <rPr>
            <sz val="10"/>
            <color indexed="12"/>
            <rFont val="Tahoma"/>
            <family val="2"/>
          </rPr>
          <t xml:space="preserve">  </t>
        </r>
        <r>
          <rPr>
            <sz val="10"/>
            <color indexed="81"/>
            <rFont val="Tahoma"/>
            <family val="2"/>
          </rPr>
          <t xml:space="preserve">9/30/2022 3:38:57 PM </t>
        </r>
        <r>
          <rPr>
            <b/>
            <sz val="10"/>
            <color indexed="81"/>
            <rFont val="Tahoma"/>
            <family val="2"/>
          </rPr>
          <t xml:space="preserve">= 5277 - Referinta </t>
        </r>
        <r>
          <rPr>
            <sz val="10"/>
            <color indexed="81"/>
            <rFont val="Tahoma"/>
            <family val="2"/>
          </rPr>
          <t xml:space="preserve">* Bucuresti Marfa Km Auto (Responses)
  10/3/2022 7:35:15 AM </t>
        </r>
        <r>
          <rPr>
            <b/>
            <sz val="10"/>
            <color indexed="81"/>
            <rFont val="Tahoma"/>
            <family val="2"/>
          </rPr>
          <t xml:space="preserve">= 5277 - Normal </t>
        </r>
        <r>
          <rPr>
            <sz val="10"/>
            <color indexed="81"/>
            <rFont val="Tahoma"/>
            <family val="2"/>
          </rPr>
          <t xml:space="preserve">* Bucuresti Marfa Km Auto (Responses)
</t>
        </r>
      </text>
    </comment>
    <comment ref="J19" authorId="0" shapeId="0" xr:uid="{AC41074C-97CB-49FE-8CF9-75ADF0F4A3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4:08:54 PM </t>
        </r>
        <r>
          <rPr>
            <b/>
            <sz val="10"/>
            <color indexed="81"/>
            <rFont val="Tahoma"/>
            <family val="2"/>
          </rPr>
          <t xml:space="preserve">= 3892 - Referinta </t>
        </r>
        <r>
          <rPr>
            <sz val="10"/>
            <color indexed="81"/>
            <rFont val="Tahoma"/>
            <family val="2"/>
          </rPr>
          <t xml:space="preserve">* Bucuresti Marfa Km Auto (Responses)
   9/5/2022 7:06:50 AM </t>
        </r>
        <r>
          <rPr>
            <b/>
            <sz val="10"/>
            <color indexed="81"/>
            <rFont val="Tahoma"/>
            <family val="2"/>
          </rPr>
          <t xml:space="preserve">= 3895 - Interes Serviciu </t>
        </r>
        <r>
          <rPr>
            <sz val="10"/>
            <color indexed="81"/>
            <rFont val="Tahoma"/>
            <family val="2"/>
          </rPr>
          <t xml:space="preserve">* Bucuresti Marfa Km Auto (Responses)
</t>
        </r>
      </text>
    </comment>
    <comment ref="O19" authorId="0" shapeId="0" xr:uid="{5F046756-7FDC-49D2-B9F2-CA34BAB0CA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4:20:48 PM </t>
        </r>
        <r>
          <rPr>
            <b/>
            <sz val="10"/>
            <color indexed="81"/>
            <rFont val="Tahoma"/>
            <family val="2"/>
          </rPr>
          <t xml:space="preserve">= 4223 - Referinta </t>
        </r>
        <r>
          <rPr>
            <sz val="10"/>
            <color indexed="81"/>
            <rFont val="Tahoma"/>
            <family val="2"/>
          </rPr>
          <t xml:space="preserve">* Bucuresti Marfa Km Auto (Responses)
  9/12/2022 6:57:59 AM </t>
        </r>
        <r>
          <rPr>
            <b/>
            <sz val="10"/>
            <color indexed="81"/>
            <rFont val="Tahoma"/>
            <family val="2"/>
          </rPr>
          <t xml:space="preserve">= 4223 - Interes serviciu </t>
        </r>
        <r>
          <rPr>
            <sz val="10"/>
            <color indexed="81"/>
            <rFont val="Tahoma"/>
            <family val="2"/>
          </rPr>
          <t xml:space="preserve">* Bucuresti Marfa Km Auto (Responses)
</t>
        </r>
      </text>
    </comment>
    <comment ref="T19" authorId="0" shapeId="0" xr:uid="{D30DE211-32EE-4D11-A4F3-8D09F95EBDB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__________________________________________________________________
</t>
        </r>
        <r>
          <rPr>
            <sz val="10"/>
            <color indexed="12"/>
            <rFont val="Tahoma"/>
            <family val="2"/>
          </rPr>
          <t xml:space="preserve">  </t>
        </r>
        <r>
          <rPr>
            <sz val="10"/>
            <color indexed="81"/>
            <rFont val="Tahoma"/>
            <family val="2"/>
          </rPr>
          <t xml:space="preserve">9/16/2022 3:55:32 PM </t>
        </r>
        <r>
          <rPr>
            <b/>
            <sz val="10"/>
            <color indexed="81"/>
            <rFont val="Tahoma"/>
            <family val="2"/>
          </rPr>
          <t xml:space="preserve">= 4581 - Referinta </t>
        </r>
        <r>
          <rPr>
            <sz val="10"/>
            <color indexed="81"/>
            <rFont val="Tahoma"/>
            <family val="2"/>
          </rPr>
          <t xml:space="preserve">* Bucuresti Marfa Km Auto (Responses)
  9/19/2022 7:05:29 AM </t>
        </r>
        <r>
          <rPr>
            <b/>
            <sz val="10"/>
            <color indexed="81"/>
            <rFont val="Tahoma"/>
            <family val="2"/>
          </rPr>
          <t xml:space="preserve">= 4581 - Normal </t>
        </r>
        <r>
          <rPr>
            <sz val="10"/>
            <color indexed="81"/>
            <rFont val="Tahoma"/>
            <family val="2"/>
          </rPr>
          <t xml:space="preserve">* Bucuresti Marfa Km Auto (Responses)
</t>
        </r>
      </text>
    </comment>
    <comment ref="Y19" authorId="0" shapeId="0" xr:uid="{290E8444-EBBF-4D93-A418-87ACD275BDD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__________________________________________________________________
</t>
        </r>
        <r>
          <rPr>
            <sz val="10"/>
            <color indexed="12"/>
            <rFont val="Tahoma"/>
            <family val="2"/>
          </rPr>
          <t xml:space="preserve">  </t>
        </r>
        <r>
          <rPr>
            <sz val="10"/>
            <color indexed="81"/>
            <rFont val="Tahoma"/>
            <family val="2"/>
          </rPr>
          <t xml:space="preserve">9/23/2022 4:26:09 PM </t>
        </r>
        <r>
          <rPr>
            <b/>
            <sz val="10"/>
            <color indexed="81"/>
            <rFont val="Tahoma"/>
            <family val="2"/>
          </rPr>
          <t xml:space="preserve">= 4931 - Referinta </t>
        </r>
        <r>
          <rPr>
            <sz val="10"/>
            <color indexed="81"/>
            <rFont val="Tahoma"/>
            <family val="2"/>
          </rPr>
          <t xml:space="preserve">* Bucuresti Marfa Km Auto (Responses)
  9/26/2022 7:11:03 AM </t>
        </r>
        <r>
          <rPr>
            <b/>
            <sz val="10"/>
            <color indexed="81"/>
            <rFont val="Tahoma"/>
            <family val="2"/>
          </rPr>
          <t xml:space="preserve">= 4931 - Normal </t>
        </r>
        <r>
          <rPr>
            <sz val="10"/>
            <color indexed="81"/>
            <rFont val="Tahoma"/>
            <family val="2"/>
          </rPr>
          <t xml:space="preserve">* Bucuresti Marfa Km Auto (Responses)
</t>
        </r>
      </text>
    </comment>
    <comment ref="AD19" authorId="0" shapeId="0" xr:uid="{D97DFFEB-B19F-48D0-9AF7-A704619A96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B-157-CLT</t>
        </r>
        <r>
          <rPr>
            <b/>
            <sz val="10"/>
            <color indexed="12"/>
            <rFont val="Tahoma"/>
            <family val="2"/>
          </rPr>
          <t xml:space="preserve"> - Danete Cristian 
__________________________________________________________________
</t>
        </r>
        <r>
          <rPr>
            <sz val="10"/>
            <color indexed="12"/>
            <rFont val="Tahoma"/>
            <family val="2"/>
          </rPr>
          <t xml:space="preserve">  </t>
        </r>
        <r>
          <rPr>
            <sz val="10"/>
            <color indexed="81"/>
            <rFont val="Tahoma"/>
            <family val="2"/>
          </rPr>
          <t xml:space="preserve">9/30/2022 4:35:20 PM </t>
        </r>
        <r>
          <rPr>
            <b/>
            <sz val="10"/>
            <color indexed="81"/>
            <rFont val="Tahoma"/>
            <family val="2"/>
          </rPr>
          <t xml:space="preserve">= 5217 - Referinta </t>
        </r>
        <r>
          <rPr>
            <sz val="10"/>
            <color indexed="81"/>
            <rFont val="Tahoma"/>
            <family val="2"/>
          </rPr>
          <t xml:space="preserve">* Bucuresti Marfa Km Auto (Responses)
  10/3/2022 8:23:31 AM </t>
        </r>
        <r>
          <rPr>
            <b/>
            <sz val="10"/>
            <color indexed="81"/>
            <rFont val="Tahoma"/>
            <family val="2"/>
          </rPr>
          <t xml:space="preserve">= 5217 - Normal </t>
        </r>
        <r>
          <rPr>
            <sz val="10"/>
            <color indexed="81"/>
            <rFont val="Tahoma"/>
            <family val="2"/>
          </rPr>
          <t xml:space="preserve">* Bucuresti Marfa Km Auto (Responses)
</t>
        </r>
      </text>
    </comment>
    <comment ref="J20" authorId="0" shapeId="0" xr:uid="{E61965C2-9B76-4316-A405-15939C39EEB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Referinta a fost pusa automat
__________________________________________________________________
</t>
        </r>
        <r>
          <rPr>
            <sz val="10"/>
            <color indexed="12"/>
            <rFont val="Tahoma"/>
            <family val="2"/>
          </rPr>
          <t xml:space="preserve">  </t>
        </r>
        <r>
          <rPr>
            <sz val="10"/>
            <color indexed="81"/>
            <rFont val="Tahoma"/>
            <family val="2"/>
          </rPr>
          <t xml:space="preserve"> 9/2/2022 6:17:46 PM </t>
        </r>
        <r>
          <rPr>
            <b/>
            <sz val="10"/>
            <color indexed="81"/>
            <rFont val="Tahoma"/>
            <family val="2"/>
          </rPr>
          <t xml:space="preserve">= 5105 - Referinta </t>
        </r>
        <r>
          <rPr>
            <sz val="10"/>
            <color indexed="81"/>
            <rFont val="Tahoma"/>
            <family val="2"/>
          </rPr>
          <t xml:space="preserve">* Bucuresti Marfa Km Auto (Responses)
   9/5/2022 8:42:26 AM </t>
        </r>
        <r>
          <rPr>
            <b/>
            <sz val="10"/>
            <color indexed="81"/>
            <rFont val="Tahoma"/>
            <family val="2"/>
          </rPr>
          <t xml:space="preserve">= 5105 - Normal </t>
        </r>
        <r>
          <rPr>
            <sz val="10"/>
            <color indexed="81"/>
            <rFont val="Tahoma"/>
            <family val="2"/>
          </rPr>
          <t xml:space="preserve">* Bucuresti Marfa Km Auto (Responses)
</t>
        </r>
      </text>
    </comment>
    <comment ref="T20" authorId="0" shapeId="0" xr:uid="{669FBD04-8B89-4094-87E6-939DF92253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__________________________________________________________________
</t>
        </r>
        <r>
          <rPr>
            <sz val="10"/>
            <color indexed="12"/>
            <rFont val="Tahoma"/>
            <family val="2"/>
          </rPr>
          <t xml:space="preserve">  </t>
        </r>
        <r>
          <rPr>
            <sz val="10"/>
            <color indexed="81"/>
            <rFont val="Tahoma"/>
            <family val="2"/>
          </rPr>
          <t xml:space="preserve">9/16/2022 5:21:53 PM </t>
        </r>
        <r>
          <rPr>
            <b/>
            <sz val="10"/>
            <color indexed="81"/>
            <rFont val="Tahoma"/>
            <family val="2"/>
          </rPr>
          <t xml:space="preserve">= 6098 - Referinta </t>
        </r>
        <r>
          <rPr>
            <sz val="10"/>
            <color indexed="81"/>
            <rFont val="Tahoma"/>
            <family val="2"/>
          </rPr>
          <t xml:space="preserve">* Bucuresti Marfa Km Auto (Responses)
  9/19/2022 8:38:21 AM </t>
        </r>
        <r>
          <rPr>
            <b/>
            <sz val="10"/>
            <color indexed="81"/>
            <rFont val="Tahoma"/>
            <family val="2"/>
          </rPr>
          <t xml:space="preserve">= 6098 - Normal </t>
        </r>
        <r>
          <rPr>
            <sz val="10"/>
            <color indexed="81"/>
            <rFont val="Tahoma"/>
            <family val="2"/>
          </rPr>
          <t xml:space="preserve">* Bucuresti Marfa Km Auto (Responses)
 9/19/2022 11:33:04 AM </t>
        </r>
        <r>
          <rPr>
            <b/>
            <sz val="10"/>
            <color indexed="81"/>
            <rFont val="Tahoma"/>
            <family val="2"/>
          </rPr>
          <t xml:space="preserve">= 6120 - Normal </t>
        </r>
        <r>
          <rPr>
            <sz val="10"/>
            <color indexed="81"/>
            <rFont val="Tahoma"/>
            <family val="2"/>
          </rPr>
          <t xml:space="preserve">* Bucuresti Marfa Km Auto (Responses)
</t>
        </r>
      </text>
    </comment>
    <comment ref="Y20" authorId="0" shapeId="0" xr:uid="{605E54E7-7BCF-4DD5-AB5A-E5EC11DF755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__________________________________________________________________
</t>
        </r>
        <r>
          <rPr>
            <sz val="10"/>
            <color indexed="12"/>
            <rFont val="Tahoma"/>
            <family val="2"/>
          </rPr>
          <t xml:space="preserve">  </t>
        </r>
        <r>
          <rPr>
            <sz val="10"/>
            <color indexed="81"/>
            <rFont val="Tahoma"/>
            <family val="2"/>
          </rPr>
          <t xml:space="preserve">9/23/2022 7:33:08 PM </t>
        </r>
        <r>
          <rPr>
            <b/>
            <sz val="10"/>
            <color indexed="81"/>
            <rFont val="Tahoma"/>
            <family val="2"/>
          </rPr>
          <t xml:space="preserve">= 6627 - Referinta </t>
        </r>
        <r>
          <rPr>
            <sz val="10"/>
            <color indexed="81"/>
            <rFont val="Tahoma"/>
            <family val="2"/>
          </rPr>
          <t xml:space="preserve">* Bucuresti Marfa Km Auto (Responses)
  9/26/2022 8:42:17 AM </t>
        </r>
        <r>
          <rPr>
            <b/>
            <sz val="10"/>
            <color indexed="81"/>
            <rFont val="Tahoma"/>
            <family val="2"/>
          </rPr>
          <t xml:space="preserve">= 6627 - Normal </t>
        </r>
        <r>
          <rPr>
            <sz val="10"/>
            <color indexed="81"/>
            <rFont val="Tahoma"/>
            <family val="2"/>
          </rPr>
          <t xml:space="preserve">* Bucuresti Marfa Km Auto (Responses)
</t>
        </r>
      </text>
    </comment>
    <comment ref="AD20" authorId="0" shapeId="0" xr:uid="{05CF3B78-8257-45E2-8F45-7A0C477A9A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Dinita Marius 
__________________________________________________________________
</t>
        </r>
        <r>
          <rPr>
            <sz val="10"/>
            <color indexed="12"/>
            <rFont val="Tahoma"/>
            <family val="2"/>
          </rPr>
          <t xml:space="preserve">  </t>
        </r>
        <r>
          <rPr>
            <sz val="10"/>
            <color indexed="81"/>
            <rFont val="Tahoma"/>
            <family val="2"/>
          </rPr>
          <t xml:space="preserve">9/30/2022 5:36:07 PM </t>
        </r>
        <r>
          <rPr>
            <b/>
            <sz val="10"/>
            <color indexed="81"/>
            <rFont val="Tahoma"/>
            <family val="2"/>
          </rPr>
          <t xml:space="preserve">= 6979 - Referinta </t>
        </r>
        <r>
          <rPr>
            <sz val="10"/>
            <color indexed="81"/>
            <rFont val="Tahoma"/>
            <family val="2"/>
          </rPr>
          <t xml:space="preserve">* Bucuresti Marfa Km Auto (Responses)
  10/3/2022 8:49:17 AM </t>
        </r>
        <r>
          <rPr>
            <b/>
            <sz val="10"/>
            <color indexed="81"/>
            <rFont val="Tahoma"/>
            <family val="2"/>
          </rPr>
          <t xml:space="preserve">= 6979 - Normal </t>
        </r>
        <r>
          <rPr>
            <sz val="10"/>
            <color indexed="81"/>
            <rFont val="Tahoma"/>
            <family val="2"/>
          </rPr>
          <t xml:space="preserve">* Bucuresti Marfa Km Auto (Responses)
</t>
        </r>
      </text>
    </comment>
    <comment ref="O21" authorId="0" shapeId="0" xr:uid="{C4C4A86F-0459-4532-B702-D272EA0CA59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B-159-CLT</t>
        </r>
        <r>
          <rPr>
            <b/>
            <sz val="10"/>
            <color indexed="12"/>
            <rFont val="Tahoma"/>
            <family val="2"/>
          </rPr>
          <t xml:space="preserve"> - Radu Paul Referinta a fost pusa automat
__________________________________________________________________
</t>
        </r>
        <r>
          <rPr>
            <sz val="10"/>
            <color indexed="12"/>
            <rFont val="Tahoma"/>
            <family val="2"/>
          </rPr>
          <t xml:space="preserve">  </t>
        </r>
        <r>
          <rPr>
            <sz val="10"/>
            <color indexed="81"/>
            <rFont val="Tahoma"/>
            <family val="2"/>
          </rPr>
          <t xml:space="preserve"> 9/9/2022 5:38:46 PM </t>
        </r>
        <r>
          <rPr>
            <b/>
            <sz val="10"/>
            <color indexed="81"/>
            <rFont val="Tahoma"/>
            <family val="2"/>
          </rPr>
          <t xml:space="preserve">= 5683 - Referinta </t>
        </r>
        <r>
          <rPr>
            <sz val="10"/>
            <color indexed="81"/>
            <rFont val="Tahoma"/>
            <family val="2"/>
          </rPr>
          <t xml:space="preserve">* Bucuresti Marfa Km Auto (Responses)
  9/12/2022 9:37:13 AM </t>
        </r>
        <r>
          <rPr>
            <b/>
            <sz val="10"/>
            <color indexed="81"/>
            <rFont val="Tahoma"/>
            <family val="2"/>
          </rPr>
          <t xml:space="preserve">= 5720 - Normal </t>
        </r>
        <r>
          <rPr>
            <sz val="10"/>
            <color indexed="81"/>
            <rFont val="Tahoma"/>
            <family val="2"/>
          </rPr>
          <t xml:space="preserve">* Bucuresti Marfa Km Auto (Responses)
</t>
        </r>
      </text>
    </comment>
    <comment ref="J22" authorId="0" shapeId="0" xr:uid="{81222AFE-1183-425A-8955-C37CFD5E21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Referinta a fost pusa automat
__________________________________________________________________
</t>
        </r>
        <r>
          <rPr>
            <sz val="10"/>
            <color indexed="12"/>
            <rFont val="Tahoma"/>
            <family val="2"/>
          </rPr>
          <t xml:space="preserve">  </t>
        </r>
        <r>
          <rPr>
            <sz val="10"/>
            <color indexed="81"/>
            <rFont val="Tahoma"/>
            <family val="2"/>
          </rPr>
          <t xml:space="preserve"> 9/5/2022 8:56:30 AM </t>
        </r>
        <r>
          <rPr>
            <b/>
            <sz val="10"/>
            <color indexed="81"/>
            <rFont val="Tahoma"/>
            <family val="2"/>
          </rPr>
          <t xml:space="preserve">= 107939 - Referinta </t>
        </r>
        <r>
          <rPr>
            <sz val="10"/>
            <color indexed="81"/>
            <rFont val="Tahoma"/>
            <family val="2"/>
          </rPr>
          <t xml:space="preserve">* Bucuresti Km Auto Vanzari (Responses)
   9/5/2022 8:57:24 AM </t>
        </r>
        <r>
          <rPr>
            <b/>
            <sz val="10"/>
            <color indexed="81"/>
            <rFont val="Tahoma"/>
            <family val="2"/>
          </rPr>
          <t xml:space="preserve">= 108024 - Normal </t>
        </r>
        <r>
          <rPr>
            <sz val="10"/>
            <color indexed="81"/>
            <rFont val="Tahoma"/>
            <family val="2"/>
          </rPr>
          <t xml:space="preserve">* Bucuresti Km Auto Vanzari (Responses)
</t>
        </r>
      </text>
    </comment>
    <comment ref="O22" authorId="0" shapeId="0" xr:uid="{DCA2AB05-0849-40B4-ACE1-4848C32B6B5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__________________________________________________________________
</t>
        </r>
        <r>
          <rPr>
            <sz val="10"/>
            <color indexed="12"/>
            <rFont val="Tahoma"/>
            <family val="2"/>
          </rPr>
          <t xml:space="preserve">  </t>
        </r>
        <r>
          <rPr>
            <sz val="10"/>
            <color indexed="81"/>
            <rFont val="Tahoma"/>
            <family val="2"/>
          </rPr>
          <t xml:space="preserve"> 9/9/2022 3:30:00 AM </t>
        </r>
        <r>
          <rPr>
            <b/>
            <sz val="10"/>
            <color indexed="81"/>
            <rFont val="Tahoma"/>
            <family val="2"/>
          </rPr>
          <t xml:space="preserve">= 108180 - Referinta </t>
        </r>
        <r>
          <rPr>
            <sz val="10"/>
            <color indexed="81"/>
            <rFont val="Tahoma"/>
            <family val="2"/>
          </rPr>
          <t xml:space="preserve">* Bucuresti Km Auto Vanzari (Responses)
  9/12/2022 8:00:00 AM </t>
        </r>
        <r>
          <rPr>
            <b/>
            <sz val="10"/>
            <color indexed="81"/>
            <rFont val="Tahoma"/>
            <family val="2"/>
          </rPr>
          <t xml:space="preserve">= 108239 - Normal </t>
        </r>
        <r>
          <rPr>
            <sz val="10"/>
            <color indexed="81"/>
            <rFont val="Tahoma"/>
            <family val="2"/>
          </rPr>
          <t xml:space="preserve">* Bucuresti Km Auto Vanzari (Responses)
</t>
        </r>
      </text>
    </comment>
    <comment ref="T22" authorId="0" shapeId="0" xr:uid="{785D1DB3-67BF-423E-857F-E78659C9C6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__________________________________________________________________
</t>
        </r>
        <r>
          <rPr>
            <sz val="10"/>
            <color indexed="12"/>
            <rFont val="Tahoma"/>
            <family val="2"/>
          </rPr>
          <t xml:space="preserve"> 9</t>
        </r>
        <r>
          <rPr>
            <sz val="10"/>
            <color indexed="81"/>
            <rFont val="Tahoma"/>
            <family val="2"/>
          </rPr>
          <t xml:space="preserve">/17/2022 11:00:00 AM </t>
        </r>
        <r>
          <rPr>
            <b/>
            <sz val="10"/>
            <color indexed="81"/>
            <rFont val="Tahoma"/>
            <family val="2"/>
          </rPr>
          <t xml:space="preserve">= 108394 - Referinta </t>
        </r>
        <r>
          <rPr>
            <sz val="10"/>
            <color indexed="81"/>
            <rFont val="Tahoma"/>
            <family val="2"/>
          </rPr>
          <t xml:space="preserve">* Bucuresti Km Auto Vanzari (Responses)
  9/19/2022 8:05:00 AM </t>
        </r>
        <r>
          <rPr>
            <b/>
            <sz val="10"/>
            <color indexed="81"/>
            <rFont val="Tahoma"/>
            <family val="2"/>
          </rPr>
          <t xml:space="preserve">= 108411 - Normal </t>
        </r>
        <r>
          <rPr>
            <sz val="10"/>
            <color indexed="81"/>
            <rFont val="Tahoma"/>
            <family val="2"/>
          </rPr>
          <t xml:space="preserve">* Bucuresti Km Auto Vanzari (Responses)
</t>
        </r>
      </text>
    </comment>
    <comment ref="Y22" authorId="0" shapeId="0" xr:uid="{BBCC2023-3BA0-4710-B6E5-C176D4A767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__________________________________________________________________
</t>
        </r>
        <r>
          <rPr>
            <sz val="10"/>
            <color indexed="12"/>
            <rFont val="Tahoma"/>
            <family val="2"/>
          </rPr>
          <t xml:space="preserve">  </t>
        </r>
        <r>
          <rPr>
            <sz val="10"/>
            <color indexed="81"/>
            <rFont val="Tahoma"/>
            <family val="2"/>
          </rPr>
          <t xml:space="preserve">9/23/2022 7:00:00 AM </t>
        </r>
        <r>
          <rPr>
            <b/>
            <sz val="10"/>
            <color indexed="81"/>
            <rFont val="Tahoma"/>
            <family val="2"/>
          </rPr>
          <t xml:space="preserve">= 108600 - Referinta </t>
        </r>
        <r>
          <rPr>
            <sz val="10"/>
            <color indexed="81"/>
            <rFont val="Tahoma"/>
            <family val="2"/>
          </rPr>
          <t xml:space="preserve">* Bucuresti Km Auto Vanzari (Responses)
 9/26/2022 10:00:00 AM </t>
        </r>
        <r>
          <rPr>
            <b/>
            <sz val="10"/>
            <color indexed="81"/>
            <rFont val="Tahoma"/>
            <family val="2"/>
          </rPr>
          <t xml:space="preserve">= 108617 - Normal </t>
        </r>
        <r>
          <rPr>
            <sz val="10"/>
            <color indexed="81"/>
            <rFont val="Tahoma"/>
            <family val="2"/>
          </rPr>
          <t xml:space="preserve">* Bucuresti Km Auto Vanzari (Responses)
</t>
        </r>
      </text>
    </comment>
    <comment ref="AD22" authorId="0" shapeId="0" xr:uid="{04873DFD-93B2-4E63-9DA9-77D17DC1C2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B-145-CLT</t>
        </r>
        <r>
          <rPr>
            <b/>
            <sz val="10"/>
            <color indexed="12"/>
            <rFont val="Tahoma"/>
            <family val="2"/>
          </rPr>
          <t xml:space="preserve"> - Catalin Velcescu Referinta a fost pusa automat
__________________________________________________________________
</t>
        </r>
        <r>
          <rPr>
            <sz val="10"/>
            <color indexed="12"/>
            <rFont val="Tahoma"/>
            <family val="2"/>
          </rPr>
          <t xml:space="preserve">  </t>
        </r>
        <r>
          <rPr>
            <sz val="10"/>
            <color indexed="81"/>
            <rFont val="Tahoma"/>
            <family val="2"/>
          </rPr>
          <t xml:space="preserve">10/3/2022 9:00:00 AM </t>
        </r>
        <r>
          <rPr>
            <b/>
            <sz val="10"/>
            <color indexed="81"/>
            <rFont val="Tahoma"/>
            <family val="2"/>
          </rPr>
          <t xml:space="preserve">= 108848 - Referinta </t>
        </r>
        <r>
          <rPr>
            <sz val="10"/>
            <color indexed="81"/>
            <rFont val="Tahoma"/>
            <family val="2"/>
          </rPr>
          <t xml:space="preserve">* Bucuresti Km Auto Vanzari (Responses)
</t>
        </r>
      </text>
    </comment>
    <comment ref="J23" authorId="0" shapeId="0" xr:uid="{D80CFD84-908F-4629-8447-958BD42F540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 9/6/2022 8:11:48 AM </t>
        </r>
        <r>
          <rPr>
            <b/>
            <sz val="10"/>
            <color indexed="81"/>
            <rFont val="Tahoma"/>
            <family val="2"/>
          </rPr>
          <t xml:space="preserve">= 30135 - Referinta </t>
        </r>
        <r>
          <rPr>
            <sz val="10"/>
            <color indexed="81"/>
            <rFont val="Tahoma"/>
            <family val="2"/>
          </rPr>
          <t xml:space="preserve">* Bucuresti Marfa Km Auto (Responses)
</t>
        </r>
      </text>
    </comment>
    <comment ref="O23" authorId="0" shapeId="0" xr:uid="{5C3E4B0F-A6D7-4FE8-8742-C03E5F16189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8:49:38 PM </t>
        </r>
        <r>
          <rPr>
            <b/>
            <sz val="10"/>
            <color indexed="81"/>
            <rFont val="Tahoma"/>
            <family val="2"/>
          </rPr>
          <t xml:space="preserve">= 30676 - Referinta </t>
        </r>
        <r>
          <rPr>
            <sz val="10"/>
            <color indexed="81"/>
            <rFont val="Tahoma"/>
            <family val="2"/>
          </rPr>
          <t xml:space="preserve">* Bucuresti Marfa Km Auto (Responses)
  9/12/2022 7:44:56 AM </t>
        </r>
        <r>
          <rPr>
            <b/>
            <sz val="10"/>
            <color indexed="81"/>
            <rFont val="Tahoma"/>
            <family val="2"/>
          </rPr>
          <t xml:space="preserve">= 30676 - Normal </t>
        </r>
        <r>
          <rPr>
            <sz val="10"/>
            <color indexed="81"/>
            <rFont val="Tahoma"/>
            <family val="2"/>
          </rPr>
          <t xml:space="preserve">* Bucuresti Marfa Km Auto (Responses)
</t>
        </r>
      </text>
    </comment>
    <comment ref="T23" authorId="0" shapeId="0" xr:uid="{B0C04758-E396-432D-BF34-C119299DA06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9/19/2022 7:43:37 AM </t>
        </r>
        <r>
          <rPr>
            <b/>
            <sz val="10"/>
            <color indexed="81"/>
            <rFont val="Tahoma"/>
            <family val="2"/>
          </rPr>
          <t xml:space="preserve">= 30922 - Referinta </t>
        </r>
        <r>
          <rPr>
            <sz val="10"/>
            <color indexed="81"/>
            <rFont val="Tahoma"/>
            <family val="2"/>
          </rPr>
          <t xml:space="preserve">* Bucuresti Marfa Km Auto (Responses)
</t>
        </r>
      </text>
    </comment>
    <comment ref="Y23" authorId="0" shapeId="0" xr:uid="{98C562DF-FE12-4D0C-BCAA-F6B8DFDFA7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Referinta a fost pusa automat
__________________________________________________________________
</t>
        </r>
        <r>
          <rPr>
            <sz val="10"/>
            <color indexed="12"/>
            <rFont val="Tahoma"/>
            <family val="2"/>
          </rPr>
          <t xml:space="preserve">  </t>
        </r>
        <r>
          <rPr>
            <sz val="10"/>
            <color indexed="81"/>
            <rFont val="Tahoma"/>
            <family val="2"/>
          </rPr>
          <t xml:space="preserve">9/26/2022 8:30:55 AM </t>
        </r>
        <r>
          <rPr>
            <b/>
            <sz val="10"/>
            <color indexed="81"/>
            <rFont val="Tahoma"/>
            <family val="2"/>
          </rPr>
          <t xml:space="preserve">= 31513 - Referinta </t>
        </r>
        <r>
          <rPr>
            <sz val="10"/>
            <color indexed="81"/>
            <rFont val="Tahoma"/>
            <family val="2"/>
          </rPr>
          <t xml:space="preserve">* Bucuresti Marfa Km Auto (Responses)
  9/26/2022 8:35:00 AM </t>
        </r>
        <r>
          <rPr>
            <b/>
            <sz val="10"/>
            <color indexed="81"/>
            <rFont val="Tahoma"/>
            <family val="2"/>
          </rPr>
          <t xml:space="preserve">= 31513 - Normal </t>
        </r>
        <r>
          <rPr>
            <sz val="10"/>
            <color indexed="81"/>
            <rFont val="Tahoma"/>
            <family val="2"/>
          </rPr>
          <t xml:space="preserve">* Bucuresti Marfa Km Auto (Responses)
</t>
        </r>
      </text>
    </comment>
    <comment ref="AD23" authorId="0" shapeId="0" xr:uid="{18FB5C7D-3393-4788-9AB9-D426165EDE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B-155-CLT</t>
        </r>
        <r>
          <rPr>
            <b/>
            <sz val="10"/>
            <color indexed="12"/>
            <rFont val="Tahoma"/>
            <family val="2"/>
          </rPr>
          <t xml:space="preserve"> - Nitu Iulian 
__________________________________________________________________
</t>
        </r>
        <r>
          <rPr>
            <sz val="10"/>
            <color indexed="12"/>
            <rFont val="Tahoma"/>
            <family val="2"/>
          </rPr>
          <t xml:space="preserve">  </t>
        </r>
        <r>
          <rPr>
            <sz val="10"/>
            <color indexed="81"/>
            <rFont val="Tahoma"/>
            <family val="2"/>
          </rPr>
          <t xml:space="preserve">10/1/2022 3:57:05 PM </t>
        </r>
        <r>
          <rPr>
            <b/>
            <sz val="10"/>
            <color indexed="81"/>
            <rFont val="Tahoma"/>
            <family val="2"/>
          </rPr>
          <t xml:space="preserve">= 32485 - Referinta </t>
        </r>
        <r>
          <rPr>
            <sz val="10"/>
            <color indexed="81"/>
            <rFont val="Tahoma"/>
            <family val="2"/>
          </rPr>
          <t xml:space="preserve">* Bucuresti Marfa Km Auto (Responses)
  10/3/2022 7:51:23 AM </t>
        </r>
        <r>
          <rPr>
            <b/>
            <sz val="10"/>
            <color indexed="81"/>
            <rFont val="Tahoma"/>
            <family val="2"/>
          </rPr>
          <t xml:space="preserve">= 32485 - Normal </t>
        </r>
        <r>
          <rPr>
            <sz val="10"/>
            <color indexed="81"/>
            <rFont val="Tahoma"/>
            <family val="2"/>
          </rPr>
          <t xml:space="preserve">* Bucuresti Marfa Km Auto (Responses)
</t>
        </r>
      </text>
    </comment>
    <comment ref="O24" authorId="0" shapeId="0" xr:uid="{C1990084-7930-4418-846D-1CEABD3966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__________________________________________________________________
</t>
        </r>
        <r>
          <rPr>
            <sz val="10"/>
            <color indexed="12"/>
            <rFont val="Tahoma"/>
            <family val="2"/>
          </rPr>
          <t xml:space="preserve">  </t>
        </r>
        <r>
          <rPr>
            <sz val="10"/>
            <color indexed="81"/>
            <rFont val="Tahoma"/>
            <family val="2"/>
          </rPr>
          <t xml:space="preserve"> 9/9/2022 3:30:00 AM </t>
        </r>
        <r>
          <rPr>
            <b/>
            <sz val="10"/>
            <color indexed="81"/>
            <rFont val="Tahoma"/>
            <family val="2"/>
          </rPr>
          <t xml:space="preserve">= 129037 - Referinta </t>
        </r>
        <r>
          <rPr>
            <sz val="10"/>
            <color indexed="81"/>
            <rFont val="Tahoma"/>
            <family val="2"/>
          </rPr>
          <t xml:space="preserve">* Bucuresti Marfa Km Auto (Responses)
  9/12/2022 7:50:00 AM </t>
        </r>
        <r>
          <rPr>
            <b/>
            <sz val="10"/>
            <color indexed="81"/>
            <rFont val="Tahoma"/>
            <family val="2"/>
          </rPr>
          <t xml:space="preserve">= 129037 - Normal </t>
        </r>
        <r>
          <rPr>
            <sz val="10"/>
            <color indexed="81"/>
            <rFont val="Tahoma"/>
            <family val="2"/>
          </rPr>
          <t xml:space="preserve">* Bucuresti Marfa Km Auto (Responses)
</t>
        </r>
      </text>
    </comment>
    <comment ref="T24" authorId="0" shapeId="0" xr:uid="{B9C6F49C-562D-45F9-93AA-B434AA1D164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__________________________________________________________________
</t>
        </r>
        <r>
          <rPr>
            <sz val="10"/>
            <color indexed="12"/>
            <rFont val="Tahoma"/>
            <family val="2"/>
          </rPr>
          <t xml:space="preserve">  </t>
        </r>
        <r>
          <rPr>
            <sz val="10"/>
            <color indexed="81"/>
            <rFont val="Tahoma"/>
            <family val="2"/>
          </rPr>
          <t xml:space="preserve">9/17/2022 8:53:24 PM </t>
        </r>
        <r>
          <rPr>
            <b/>
            <sz val="10"/>
            <color indexed="81"/>
            <rFont val="Tahoma"/>
            <family val="2"/>
          </rPr>
          <t xml:space="preserve">= 129270 - Referinta </t>
        </r>
        <r>
          <rPr>
            <sz val="10"/>
            <color indexed="81"/>
            <rFont val="Tahoma"/>
            <family val="2"/>
          </rPr>
          <t xml:space="preserve">* Bucuresti Marfa Km Auto (Responses)
</t>
        </r>
      </text>
    </comment>
    <comment ref="Y24" authorId="0" shapeId="0" xr:uid="{333E198F-B39F-42AC-8CD3-3598DB7632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Referinta a fost pusa automat
__________________________________________________________________
</t>
        </r>
        <r>
          <rPr>
            <sz val="10"/>
            <color indexed="12"/>
            <rFont val="Tahoma"/>
            <family val="2"/>
          </rPr>
          <t xml:space="preserve">  </t>
        </r>
        <r>
          <rPr>
            <sz val="10"/>
            <color indexed="81"/>
            <rFont val="Tahoma"/>
            <family val="2"/>
          </rPr>
          <t xml:space="preserve">9/23/2022 4:00:00 AM </t>
        </r>
        <r>
          <rPr>
            <b/>
            <sz val="10"/>
            <color indexed="81"/>
            <rFont val="Tahoma"/>
            <family val="2"/>
          </rPr>
          <t xml:space="preserve">= 129535 - Referinta </t>
        </r>
        <r>
          <rPr>
            <sz val="10"/>
            <color indexed="81"/>
            <rFont val="Tahoma"/>
            <family val="2"/>
          </rPr>
          <t xml:space="preserve">* Bucuresti Marfa Km Auto (Responses)
  9/26/2022 8:00:00 AM </t>
        </r>
        <r>
          <rPr>
            <b/>
            <sz val="10"/>
            <color indexed="81"/>
            <rFont val="Tahoma"/>
            <family val="2"/>
          </rPr>
          <t xml:space="preserve">= 129535 - Normal </t>
        </r>
        <r>
          <rPr>
            <sz val="10"/>
            <color indexed="81"/>
            <rFont val="Tahoma"/>
            <family val="2"/>
          </rPr>
          <t xml:space="preserve">* Bucuresti Marfa Km Auto (Responses)
</t>
        </r>
      </text>
    </comment>
    <comment ref="AD24" authorId="0" shapeId="0" xr:uid="{24F0888F-8019-47D3-B78D-B933F154B2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B-28-CLT</t>
        </r>
        <r>
          <rPr>
            <b/>
            <sz val="10"/>
            <color indexed="12"/>
            <rFont val="Tahoma"/>
            <family val="2"/>
          </rPr>
          <t xml:space="preserve"> - Popa Dumitru Referinta a fost pusa automat
__________________________________________________________________
</t>
        </r>
        <r>
          <rPr>
            <sz val="10"/>
            <color indexed="12"/>
            <rFont val="Tahoma"/>
            <family val="2"/>
          </rPr>
          <t xml:space="preserve">  </t>
        </r>
        <r>
          <rPr>
            <sz val="10"/>
            <color indexed="81"/>
            <rFont val="Tahoma"/>
            <family val="2"/>
          </rPr>
          <t xml:space="preserve">10/3/2022 7:46:24 AM </t>
        </r>
        <r>
          <rPr>
            <b/>
            <sz val="10"/>
            <color indexed="81"/>
            <rFont val="Tahoma"/>
            <family val="2"/>
          </rPr>
          <t xml:space="preserve">= 129750 - Referinta </t>
        </r>
        <r>
          <rPr>
            <sz val="10"/>
            <color indexed="81"/>
            <rFont val="Tahoma"/>
            <family val="2"/>
          </rPr>
          <t xml:space="preserve">* Bucuresti Marfa Km Auto (Responses)
</t>
        </r>
      </text>
    </comment>
    <comment ref="J25" authorId="0" shapeId="0" xr:uid="{D0130372-F55C-4FEC-8496-426E232A91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Referinta a fost pusa automat
__________________________________________________________________
</t>
        </r>
        <r>
          <rPr>
            <sz val="10"/>
            <color indexed="12"/>
            <rFont val="Tahoma"/>
            <family val="2"/>
          </rPr>
          <t xml:space="preserve">  </t>
        </r>
        <r>
          <rPr>
            <sz val="10"/>
            <color indexed="81"/>
            <rFont val="Tahoma"/>
            <family val="2"/>
          </rPr>
          <t xml:space="preserve"> 9/2/2022 3:38:31 PM </t>
        </r>
        <r>
          <rPr>
            <b/>
            <sz val="10"/>
            <color indexed="81"/>
            <rFont val="Tahoma"/>
            <family val="2"/>
          </rPr>
          <t xml:space="preserve">= 60485 - Referinta </t>
        </r>
        <r>
          <rPr>
            <sz val="10"/>
            <color indexed="81"/>
            <rFont val="Tahoma"/>
            <family val="2"/>
          </rPr>
          <t xml:space="preserve">* Bucuresti Km Auto Vanzari (Responses)
   9/5/2022 7:35:45 AM </t>
        </r>
        <r>
          <rPr>
            <b/>
            <sz val="10"/>
            <color indexed="81"/>
            <rFont val="Tahoma"/>
            <family val="2"/>
          </rPr>
          <t xml:space="preserve">= 60825 - Normal </t>
        </r>
        <r>
          <rPr>
            <sz val="10"/>
            <color indexed="81"/>
            <rFont val="Tahoma"/>
            <family val="2"/>
          </rPr>
          <t xml:space="preserve">* Bucuresti Km Auto Vanzari (Responses)
</t>
        </r>
      </text>
    </comment>
    <comment ref="O25" authorId="0" shapeId="0" xr:uid="{DDA733A7-A351-4F00-980F-9CE1CFC1768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Referinta a fost pusa automat
__________________________________________________________________
</t>
        </r>
        <r>
          <rPr>
            <sz val="10"/>
            <color indexed="12"/>
            <rFont val="Tahoma"/>
            <family val="2"/>
          </rPr>
          <t xml:space="preserve">  </t>
        </r>
        <r>
          <rPr>
            <sz val="10"/>
            <color indexed="81"/>
            <rFont val="Tahoma"/>
            <family val="2"/>
          </rPr>
          <t xml:space="preserve"> 9/9/2022 5:00:00 AM </t>
        </r>
        <r>
          <rPr>
            <b/>
            <sz val="10"/>
            <color indexed="81"/>
            <rFont val="Tahoma"/>
            <family val="2"/>
          </rPr>
          <t xml:space="preserve">= 61089 - Referinta </t>
        </r>
        <r>
          <rPr>
            <sz val="10"/>
            <color indexed="81"/>
            <rFont val="Tahoma"/>
            <family val="2"/>
          </rPr>
          <t xml:space="preserve">* Bucuresti Km Auto Vanzari (Responses)
  9/12/2022 7:30:00 AM </t>
        </r>
        <r>
          <rPr>
            <b/>
            <sz val="10"/>
            <color indexed="81"/>
            <rFont val="Tahoma"/>
            <family val="2"/>
          </rPr>
          <t xml:space="preserve">= 61287 - Normal </t>
        </r>
        <r>
          <rPr>
            <sz val="10"/>
            <color indexed="81"/>
            <rFont val="Tahoma"/>
            <family val="2"/>
          </rPr>
          <t xml:space="preserve">* Bucuresti Km Auto Vanzari (Responses)
</t>
        </r>
      </text>
    </comment>
    <comment ref="AD25" authorId="0" shapeId="0" xr:uid="{006C9BDA-509D-465B-9B1B-7D6DEFA280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B-888-CSN</t>
        </r>
        <r>
          <rPr>
            <b/>
            <sz val="10"/>
            <color indexed="12"/>
            <rFont val="Tahoma"/>
            <family val="2"/>
          </rPr>
          <t xml:space="preserve"> - Bogdan Butufei Referinta a fost pusa automat
__________________________________________________________________
</t>
        </r>
        <r>
          <rPr>
            <sz val="10"/>
            <color indexed="12"/>
            <rFont val="Tahoma"/>
            <family val="2"/>
          </rPr>
          <t xml:space="preserve">  </t>
        </r>
        <r>
          <rPr>
            <sz val="10"/>
            <color indexed="81"/>
            <rFont val="Tahoma"/>
            <family val="2"/>
          </rPr>
          <t xml:space="preserve">9/30/2022 3:30:00 AM </t>
        </r>
        <r>
          <rPr>
            <b/>
            <sz val="10"/>
            <color indexed="81"/>
            <rFont val="Tahoma"/>
            <family val="2"/>
          </rPr>
          <t xml:space="preserve">= 62464 - Referinta </t>
        </r>
        <r>
          <rPr>
            <sz val="10"/>
            <color indexed="81"/>
            <rFont val="Tahoma"/>
            <family val="2"/>
          </rPr>
          <t xml:space="preserve">* Bucuresti Km Auto Vanzari (Responses)
  10/3/2022 7:35:00 AM </t>
        </r>
        <r>
          <rPr>
            <b/>
            <sz val="10"/>
            <color indexed="81"/>
            <rFont val="Tahoma"/>
            <family val="2"/>
          </rPr>
          <t xml:space="preserve">= 62791 - Normal </t>
        </r>
        <r>
          <rPr>
            <sz val="10"/>
            <color indexed="81"/>
            <rFont val="Tahoma"/>
            <family val="2"/>
          </rPr>
          <t xml:space="preserve">* Bucuresti Km Auto Vanzari (Responses)
</t>
        </r>
      </text>
    </comment>
    <comment ref="J26" authorId="0" shapeId="0" xr:uid="{3C05F26A-F339-42CB-9DE3-7F4B1E6FD74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5:07:49 PM </t>
        </r>
        <r>
          <rPr>
            <b/>
            <sz val="10"/>
            <color indexed="81"/>
            <rFont val="Tahoma"/>
            <family val="2"/>
          </rPr>
          <t xml:space="preserve">= 22165 - Referinta </t>
        </r>
        <r>
          <rPr>
            <sz val="10"/>
            <color indexed="81"/>
            <rFont val="Tahoma"/>
            <family val="2"/>
          </rPr>
          <t xml:space="preserve">* Bucuresti Marfa Km Auto (Responses)
  9/5/2022 10:51:02 AM </t>
        </r>
        <r>
          <rPr>
            <b/>
            <sz val="10"/>
            <color indexed="81"/>
            <rFont val="Tahoma"/>
            <family val="2"/>
          </rPr>
          <t xml:space="preserve">= 22165 - Normal </t>
        </r>
        <r>
          <rPr>
            <sz val="10"/>
            <color indexed="81"/>
            <rFont val="Tahoma"/>
            <family val="2"/>
          </rPr>
          <t xml:space="preserve">* Bucuresti Marfa Km Auto (Responses)
</t>
        </r>
      </text>
    </comment>
    <comment ref="O26" authorId="0" shapeId="0" xr:uid="{0EFB71AB-C9A6-43ED-81E4-F776AFA926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2:42:47 PM </t>
        </r>
        <r>
          <rPr>
            <b/>
            <sz val="10"/>
            <color indexed="81"/>
            <rFont val="Tahoma"/>
            <family val="2"/>
          </rPr>
          <t xml:space="preserve">= 22476 - Referinta </t>
        </r>
        <r>
          <rPr>
            <sz val="10"/>
            <color indexed="81"/>
            <rFont val="Tahoma"/>
            <family val="2"/>
          </rPr>
          <t xml:space="preserve">* Bucuresti Marfa Km Auto (Responses)
  9/12/2022 8:24:02 AM </t>
        </r>
        <r>
          <rPr>
            <b/>
            <sz val="10"/>
            <color indexed="81"/>
            <rFont val="Tahoma"/>
            <family val="2"/>
          </rPr>
          <t xml:space="preserve">= 22476 - Normal </t>
        </r>
        <r>
          <rPr>
            <sz val="10"/>
            <color indexed="81"/>
            <rFont val="Tahoma"/>
            <family val="2"/>
          </rPr>
          <t xml:space="preserve">* Bucuresti Marfa Km Auto (Responses)
</t>
        </r>
      </text>
    </comment>
    <comment ref="T26" authorId="0" shapeId="0" xr:uid="{D5E9A4E1-0539-4EBF-A680-A115F67DBE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3:30:00 AM </t>
        </r>
        <r>
          <rPr>
            <b/>
            <sz val="10"/>
            <color indexed="81"/>
            <rFont val="Tahoma"/>
            <family val="2"/>
          </rPr>
          <t xml:space="preserve">= 23209 - Referinta </t>
        </r>
        <r>
          <rPr>
            <sz val="10"/>
            <color indexed="81"/>
            <rFont val="Tahoma"/>
            <family val="2"/>
          </rPr>
          <t xml:space="preserve">* Bucuresti Marfa Km Auto (Responses)
  9/19/2022 9:18:47 AM </t>
        </r>
        <r>
          <rPr>
            <b/>
            <sz val="10"/>
            <color indexed="81"/>
            <rFont val="Tahoma"/>
            <family val="2"/>
          </rPr>
          <t xml:space="preserve">= 23209 - Normal </t>
        </r>
        <r>
          <rPr>
            <sz val="10"/>
            <color indexed="81"/>
            <rFont val="Tahoma"/>
            <family val="2"/>
          </rPr>
          <t xml:space="preserve">* Bucuresti Marfa Km Auto (Responses)
</t>
        </r>
      </text>
    </comment>
    <comment ref="Y26" authorId="0" shapeId="0" xr:uid="{C7063D2A-21FB-4B8E-A953-5D0DC90EAF0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B-16-CLT</t>
        </r>
        <r>
          <rPr>
            <b/>
            <sz val="10"/>
            <color indexed="12"/>
            <rFont val="Tahoma"/>
            <family val="2"/>
          </rPr>
          <t xml:space="preserve"> - Ghimis Marian 
__________________________________________________________________
</t>
        </r>
        <r>
          <rPr>
            <sz val="10"/>
            <color indexed="12"/>
            <rFont val="Tahoma"/>
            <family val="2"/>
          </rPr>
          <t xml:space="preserve">  </t>
        </r>
        <r>
          <rPr>
            <sz val="10"/>
            <color indexed="81"/>
            <rFont val="Tahoma"/>
            <family val="2"/>
          </rPr>
          <t xml:space="preserve">9/23/2022 3:30:00 AM </t>
        </r>
        <r>
          <rPr>
            <b/>
            <sz val="10"/>
            <color indexed="81"/>
            <rFont val="Tahoma"/>
            <family val="2"/>
          </rPr>
          <t xml:space="preserve">= 23765 - Referinta </t>
        </r>
        <r>
          <rPr>
            <sz val="10"/>
            <color indexed="81"/>
            <rFont val="Tahoma"/>
            <family val="2"/>
          </rPr>
          <t xml:space="preserve">* Bucuresti Marfa Km Auto (Responses)
  9/26/2022 9:30:00 AM </t>
        </r>
        <r>
          <rPr>
            <b/>
            <sz val="10"/>
            <color indexed="81"/>
            <rFont val="Tahoma"/>
            <family val="2"/>
          </rPr>
          <t xml:space="preserve">= 23765 - Normal </t>
        </r>
        <r>
          <rPr>
            <sz val="10"/>
            <color indexed="81"/>
            <rFont val="Tahoma"/>
            <family val="2"/>
          </rPr>
          <t xml:space="preserve">* Bucuresti Marfa Km Auto (Responses)
</t>
        </r>
      </text>
    </comment>
    <comment ref="AD27" authorId="0" shapeId="0" xr:uid="{768053F1-918F-4B61-82E2-5497ADA183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Barascu Marius Referinta a fost pusa automat
__________________________________________________________________
</t>
        </r>
        <r>
          <rPr>
            <sz val="10"/>
            <color indexed="12"/>
            <rFont val="Tahoma"/>
            <family val="2"/>
          </rPr>
          <t xml:space="preserve">  </t>
        </r>
        <r>
          <rPr>
            <sz val="10"/>
            <color indexed="81"/>
            <rFont val="Tahoma"/>
            <family val="2"/>
          </rPr>
          <t xml:space="preserve">9/30/2022 8:25:00 AM </t>
        </r>
        <r>
          <rPr>
            <b/>
            <sz val="10"/>
            <color indexed="81"/>
            <rFont val="Tahoma"/>
            <family val="2"/>
          </rPr>
          <t xml:space="preserve">= 46045 - Referinta </t>
        </r>
        <r>
          <rPr>
            <sz val="10"/>
            <color indexed="81"/>
            <rFont val="Tahoma"/>
            <family val="2"/>
          </rPr>
          <t xml:space="preserve">* Bucuresti Marfa Km Auto (Responses)
</t>
        </r>
      </text>
    </comment>
    <comment ref="T28" authorId="0" shapeId="0" xr:uid="{80B9F362-5374-4921-A8C7-8DD2FC5E9A2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B-777-CLT</t>
        </r>
        <r>
          <rPr>
            <b/>
            <sz val="10"/>
            <color indexed="12"/>
            <rFont val="Tahoma"/>
            <family val="2"/>
          </rPr>
          <t xml:space="preserve"> - Radu Paul 
__________________________________________________________________
</t>
        </r>
        <r>
          <rPr>
            <sz val="10"/>
            <color indexed="12"/>
            <rFont val="Tahoma"/>
            <family val="2"/>
          </rPr>
          <t xml:space="preserve">  </t>
        </r>
        <r>
          <rPr>
            <sz val="10"/>
            <color indexed="81"/>
            <rFont val="Tahoma"/>
            <family val="2"/>
          </rPr>
          <t xml:space="preserve">9/16/2022 4:42:52 PM </t>
        </r>
        <r>
          <rPr>
            <b/>
            <sz val="10"/>
            <color indexed="81"/>
            <rFont val="Tahoma"/>
            <family val="2"/>
          </rPr>
          <t xml:space="preserve">= 45569 - Referinta </t>
        </r>
        <r>
          <rPr>
            <sz val="10"/>
            <color indexed="81"/>
            <rFont val="Tahoma"/>
            <family val="2"/>
          </rPr>
          <t xml:space="preserve">* Bucuresti Marfa Km Auto (Responses)
  9/19/2022 9:02:42 AM </t>
        </r>
        <r>
          <rPr>
            <b/>
            <sz val="10"/>
            <color indexed="81"/>
            <rFont val="Tahoma"/>
            <family val="2"/>
          </rPr>
          <t xml:space="preserve">= 45593 - Normal </t>
        </r>
        <r>
          <rPr>
            <sz val="10"/>
            <color indexed="81"/>
            <rFont val="Tahoma"/>
            <family val="2"/>
          </rPr>
          <t xml:space="preserve">* Bucuresti Marfa Km Auto (Responses)
</t>
        </r>
      </text>
    </comment>
    <comment ref="J29" authorId="0" shapeId="0" xr:uid="{F9C3CE6C-10E6-4F63-985B-20E07300E7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Referinta a fost pusa automat
__________________________________________________________________
</t>
        </r>
        <r>
          <rPr>
            <sz val="10"/>
            <color indexed="12"/>
            <rFont val="Tahoma"/>
            <family val="2"/>
          </rPr>
          <t xml:space="preserve">  </t>
        </r>
        <r>
          <rPr>
            <sz val="10"/>
            <color indexed="81"/>
            <rFont val="Tahoma"/>
            <family val="2"/>
          </rPr>
          <t xml:space="preserve"> 9/2/2022 3:07:59 PM </t>
        </r>
        <r>
          <rPr>
            <b/>
            <sz val="10"/>
            <color indexed="81"/>
            <rFont val="Tahoma"/>
            <family val="2"/>
          </rPr>
          <t xml:space="preserve">= 20859 - Referinta </t>
        </r>
        <r>
          <rPr>
            <sz val="10"/>
            <color indexed="81"/>
            <rFont val="Tahoma"/>
            <family val="2"/>
          </rPr>
          <t xml:space="preserve">* Bucuresti Marfa Km Auto (Responses)
   9/5/2022 6:53:22 AM </t>
        </r>
        <r>
          <rPr>
            <b/>
            <sz val="10"/>
            <color indexed="81"/>
            <rFont val="Tahoma"/>
            <family val="2"/>
          </rPr>
          <t xml:space="preserve">= 20859 - Normal </t>
        </r>
        <r>
          <rPr>
            <sz val="10"/>
            <color indexed="81"/>
            <rFont val="Tahoma"/>
            <family val="2"/>
          </rPr>
          <t xml:space="preserve">* Bucuresti Marfa Km Auto (Responses)
</t>
        </r>
      </text>
    </comment>
    <comment ref="O29" authorId="0" shapeId="0" xr:uid="{85347A4F-8F3E-4B7A-85AA-8E1BD26B6EC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Referinta a fost pusa automat
__________________________________________________________________
</t>
        </r>
        <r>
          <rPr>
            <sz val="10"/>
            <color indexed="12"/>
            <rFont val="Tahoma"/>
            <family val="2"/>
          </rPr>
          <t xml:space="preserve">  </t>
        </r>
        <r>
          <rPr>
            <sz val="10"/>
            <color indexed="81"/>
            <rFont val="Tahoma"/>
            <family val="2"/>
          </rPr>
          <t xml:space="preserve"> 9/9/2022 3:00:00 AM </t>
        </r>
        <r>
          <rPr>
            <b/>
            <sz val="10"/>
            <color indexed="81"/>
            <rFont val="Tahoma"/>
            <family val="2"/>
          </rPr>
          <t xml:space="preserve">= 21149 - Referinta </t>
        </r>
        <r>
          <rPr>
            <sz val="10"/>
            <color indexed="81"/>
            <rFont val="Tahoma"/>
            <family val="2"/>
          </rPr>
          <t xml:space="preserve">* Bucuresti Marfa Km Auto (Responses)
  9/12/2022 7:51:00 AM </t>
        </r>
        <r>
          <rPr>
            <b/>
            <sz val="10"/>
            <color indexed="81"/>
            <rFont val="Tahoma"/>
            <family val="2"/>
          </rPr>
          <t xml:space="preserve">= 21149 - Normal </t>
        </r>
        <r>
          <rPr>
            <sz val="10"/>
            <color indexed="81"/>
            <rFont val="Tahoma"/>
            <family val="2"/>
          </rPr>
          <t xml:space="preserve">* Bucuresti Marfa Km Auto (Responses)
</t>
        </r>
      </text>
    </comment>
    <comment ref="T29" authorId="0" shapeId="0" xr:uid="{1A9F5FE6-1A47-4ED6-80D7-3D3BF25D568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__________________________________________________________________
</t>
        </r>
        <r>
          <rPr>
            <sz val="10"/>
            <color indexed="12"/>
            <rFont val="Tahoma"/>
            <family val="2"/>
          </rPr>
          <t xml:space="preserve">  </t>
        </r>
        <r>
          <rPr>
            <sz val="10"/>
            <color indexed="81"/>
            <rFont val="Tahoma"/>
            <family val="2"/>
          </rPr>
          <t xml:space="preserve">9/16/2022 3:10:00 AM </t>
        </r>
        <r>
          <rPr>
            <b/>
            <sz val="10"/>
            <color indexed="81"/>
            <rFont val="Tahoma"/>
            <family val="2"/>
          </rPr>
          <t xml:space="preserve">= 21485 - Referinta </t>
        </r>
        <r>
          <rPr>
            <sz val="10"/>
            <color indexed="81"/>
            <rFont val="Tahoma"/>
            <family val="2"/>
          </rPr>
          <t xml:space="preserve">* Bucuresti Marfa Km Auto (Responses)
  9/19/2022 7:00:00 AM </t>
        </r>
        <r>
          <rPr>
            <b/>
            <sz val="10"/>
            <color indexed="81"/>
            <rFont val="Tahoma"/>
            <family val="2"/>
          </rPr>
          <t xml:space="preserve">= 21485 - Normal </t>
        </r>
        <r>
          <rPr>
            <sz val="10"/>
            <color indexed="81"/>
            <rFont val="Tahoma"/>
            <family val="2"/>
          </rPr>
          <t xml:space="preserve">* Bucuresti Marfa Km Auto (Responses)
</t>
        </r>
      </text>
    </comment>
    <comment ref="AD29" authorId="0" shapeId="0" xr:uid="{36B34D9B-10B4-4CC1-BC7A-95F751CE7DE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B-144-CLT</t>
        </r>
        <r>
          <rPr>
            <b/>
            <sz val="10"/>
            <color indexed="12"/>
            <rFont val="Tahoma"/>
            <family val="2"/>
          </rPr>
          <t xml:space="preserve"> - Andrei Rus 
__________________________________________________________________
</t>
        </r>
        <r>
          <rPr>
            <sz val="10"/>
            <color indexed="12"/>
            <rFont val="Tahoma"/>
            <family val="2"/>
          </rPr>
          <t xml:space="preserve">  </t>
        </r>
        <r>
          <rPr>
            <sz val="10"/>
            <color indexed="81"/>
            <rFont val="Tahoma"/>
            <family val="2"/>
          </rPr>
          <t xml:space="preserve">9/30/2022 3:10:54 PM </t>
        </r>
        <r>
          <rPr>
            <b/>
            <sz val="10"/>
            <color indexed="81"/>
            <rFont val="Tahoma"/>
            <family val="2"/>
          </rPr>
          <t xml:space="preserve">= 21818 - Referinta </t>
        </r>
        <r>
          <rPr>
            <sz val="10"/>
            <color indexed="81"/>
            <rFont val="Tahoma"/>
            <family val="2"/>
          </rPr>
          <t xml:space="preserve">* Bucuresti Marfa Km Auto (Responses)
  10/3/2022 6:59:57 AM </t>
        </r>
        <r>
          <rPr>
            <b/>
            <sz val="10"/>
            <color indexed="81"/>
            <rFont val="Tahoma"/>
            <family val="2"/>
          </rPr>
          <t xml:space="preserve">= 21818 - Normal </t>
        </r>
        <r>
          <rPr>
            <sz val="10"/>
            <color indexed="81"/>
            <rFont val="Tahoma"/>
            <family val="2"/>
          </rPr>
          <t xml:space="preserve">* Bucuresti Marfa Km Auto (Responses)
</t>
        </r>
      </text>
    </comment>
    <comment ref="T30" authorId="0" shapeId="0" xr:uid="{C4139E32-CF5A-4BDD-93A7-49182844E5B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5:17:26 PM </t>
        </r>
        <r>
          <rPr>
            <b/>
            <sz val="10"/>
            <color indexed="81"/>
            <rFont val="Tahoma"/>
            <family val="2"/>
          </rPr>
          <t xml:space="preserve">= 18512 - Referinta </t>
        </r>
        <r>
          <rPr>
            <sz val="10"/>
            <color indexed="81"/>
            <rFont val="Tahoma"/>
            <family val="2"/>
          </rPr>
          <t xml:space="preserve">* Bucuresti Marfa Km Auto (Responses)
</t>
        </r>
      </text>
    </comment>
    <comment ref="Y30" authorId="0" shapeId="0" xr:uid="{62B47D5C-9700-4948-9066-F9330C7BCD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__________________________________________________________________
</t>
        </r>
        <r>
          <rPr>
            <sz val="10"/>
            <color indexed="12"/>
            <rFont val="Tahoma"/>
            <family val="2"/>
          </rPr>
          <t xml:space="preserve">  </t>
        </r>
        <r>
          <rPr>
            <sz val="10"/>
            <color indexed="81"/>
            <rFont val="Tahoma"/>
            <family val="2"/>
          </rPr>
          <t xml:space="preserve">9/23/2022 6:19:52 PM </t>
        </r>
        <r>
          <rPr>
            <b/>
            <sz val="10"/>
            <color indexed="81"/>
            <rFont val="Tahoma"/>
            <family val="2"/>
          </rPr>
          <t xml:space="preserve">= 18931 - Referinta </t>
        </r>
        <r>
          <rPr>
            <sz val="10"/>
            <color indexed="81"/>
            <rFont val="Tahoma"/>
            <family val="2"/>
          </rPr>
          <t xml:space="preserve">* Bucuresti Marfa Km Auto (Responses)
  9/26/2022 8:55:28 AM </t>
        </r>
        <r>
          <rPr>
            <b/>
            <sz val="10"/>
            <color indexed="81"/>
            <rFont val="Tahoma"/>
            <family val="2"/>
          </rPr>
          <t xml:space="preserve">= 18931 - Normal </t>
        </r>
        <r>
          <rPr>
            <sz val="10"/>
            <color indexed="81"/>
            <rFont val="Tahoma"/>
            <family val="2"/>
          </rPr>
          <t xml:space="preserve">* Bucuresti Marfa Km Auto (Responses)
</t>
        </r>
      </text>
    </comment>
    <comment ref="AD30" authorId="0" shapeId="0" xr:uid="{25BCCA46-E15C-40E8-80AA-1F3B0D6A32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B-601-CLT</t>
        </r>
        <r>
          <rPr>
            <b/>
            <sz val="10"/>
            <color indexed="12"/>
            <rFont val="Tahoma"/>
            <family val="2"/>
          </rPr>
          <t xml:space="preserve"> - Andrei Marian Referinta a fost pusa automat
__________________________________________________________________
</t>
        </r>
        <r>
          <rPr>
            <sz val="10"/>
            <color indexed="12"/>
            <rFont val="Tahoma"/>
            <family val="2"/>
          </rPr>
          <t xml:space="preserve">  </t>
        </r>
        <r>
          <rPr>
            <sz val="10"/>
            <color indexed="81"/>
            <rFont val="Tahoma"/>
            <family val="2"/>
          </rPr>
          <t xml:space="preserve">10/3/2022 9:08:05 AM </t>
        </r>
        <r>
          <rPr>
            <b/>
            <sz val="10"/>
            <color indexed="81"/>
            <rFont val="Tahoma"/>
            <family val="2"/>
          </rPr>
          <t xml:space="preserve">= 19269 - Referinta </t>
        </r>
        <r>
          <rPr>
            <sz val="10"/>
            <color indexed="81"/>
            <rFont val="Tahoma"/>
            <family val="2"/>
          </rPr>
          <t xml:space="preserve">* Bucuresti Marfa Km Auto (Responses)
</t>
        </r>
      </text>
    </comment>
    <comment ref="Y31" authorId="0" shapeId="0" xr:uid="{340B5287-608D-4400-8B0F-E2F3761E71A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Andrei Rus 
__________________________________________________________________
</t>
        </r>
        <r>
          <rPr>
            <sz val="10"/>
            <color indexed="12"/>
            <rFont val="Tahoma"/>
            <family val="2"/>
          </rPr>
          <t xml:space="preserve">  </t>
        </r>
        <r>
          <rPr>
            <sz val="10"/>
            <color indexed="81"/>
            <rFont val="Tahoma"/>
            <family val="2"/>
          </rPr>
          <t xml:space="preserve">9/23/2022 5:20:00 AM </t>
        </r>
        <r>
          <rPr>
            <b/>
            <sz val="10"/>
            <color indexed="81"/>
            <rFont val="Tahoma"/>
            <family val="2"/>
          </rPr>
          <t xml:space="preserve">= 23194 - Referinta </t>
        </r>
        <r>
          <rPr>
            <sz val="10"/>
            <color indexed="81"/>
            <rFont val="Tahoma"/>
            <family val="2"/>
          </rPr>
          <t xml:space="preserve">* Bucuresti Marfa Km Auto (Responses)
  9/26/2022 8:02:10 AM </t>
        </r>
        <r>
          <rPr>
            <b/>
            <sz val="10"/>
            <color indexed="81"/>
            <rFont val="Tahoma"/>
            <family val="2"/>
          </rPr>
          <t xml:space="preserve">= 23194 - Normal </t>
        </r>
        <r>
          <rPr>
            <sz val="10"/>
            <color indexed="81"/>
            <rFont val="Tahoma"/>
            <family val="2"/>
          </rPr>
          <t xml:space="preserve">* Bucuresti Marfa Km Auto (Responses)
</t>
        </r>
      </text>
    </comment>
    <comment ref="J32" authorId="0" shapeId="0" xr:uid="{720641C0-0F7B-4F57-87AB-DA37332E7E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4:33:13 PM </t>
        </r>
        <r>
          <rPr>
            <b/>
            <sz val="10"/>
            <color indexed="81"/>
            <rFont val="Tahoma"/>
            <family val="2"/>
          </rPr>
          <t xml:space="preserve">= 22013 - Referinta </t>
        </r>
        <r>
          <rPr>
            <sz val="10"/>
            <color indexed="81"/>
            <rFont val="Tahoma"/>
            <family val="2"/>
          </rPr>
          <t xml:space="preserve">* Bucuresti Marfa Km Auto (Responses)
   9/5/2022 9:16:23 AM </t>
        </r>
        <r>
          <rPr>
            <b/>
            <sz val="10"/>
            <color indexed="81"/>
            <rFont val="Tahoma"/>
            <family val="2"/>
          </rPr>
          <t xml:space="preserve">= 22013 - Normal </t>
        </r>
        <r>
          <rPr>
            <sz val="10"/>
            <color indexed="81"/>
            <rFont val="Tahoma"/>
            <family val="2"/>
          </rPr>
          <t xml:space="preserve">* Bucuresti Marfa Km Auto (Responses)
</t>
        </r>
      </text>
    </comment>
    <comment ref="O32" authorId="0" shapeId="0" xr:uid="{BE4AC368-B9BD-4667-93DF-6E51382B4E1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B-156-CLT</t>
        </r>
        <r>
          <rPr>
            <b/>
            <sz val="10"/>
            <color indexed="12"/>
            <rFont val="Tahoma"/>
            <family val="2"/>
          </rPr>
          <t xml:space="preserve"> - Paun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9/9/2022 4:45:00 AM </t>
        </r>
        <r>
          <rPr>
            <b/>
            <sz val="10"/>
            <color indexed="81"/>
            <rFont val="Tahoma"/>
            <family val="2"/>
          </rPr>
          <t xml:space="preserve">= 22532 - Referinta </t>
        </r>
        <r>
          <rPr>
            <sz val="10"/>
            <color indexed="81"/>
            <rFont val="Tahoma"/>
            <family val="2"/>
          </rPr>
          <t xml:space="preserve">* Bucuresti Marfa Km Auto (Responses)
  9/12/2022 7:50:00 AM </t>
        </r>
        <r>
          <rPr>
            <b/>
            <sz val="10"/>
            <color indexed="81"/>
            <rFont val="Tahoma"/>
            <family val="2"/>
          </rPr>
          <t xml:space="preserve">= 22532 - Normal </t>
        </r>
        <r>
          <rPr>
            <sz val="10"/>
            <color indexed="81"/>
            <rFont val="Tahoma"/>
            <family val="2"/>
          </rPr>
          <t xml:space="preserve">* Bucuresti Marfa Km Auto (Responses)
  9/15/2022 9:30:00 AM </t>
        </r>
        <r>
          <rPr>
            <b/>
            <sz val="10"/>
            <color indexed="81"/>
            <rFont val="Tahoma"/>
            <family val="2"/>
          </rPr>
          <t xml:space="preserve">= 22839 - Concediu </t>
        </r>
        <r>
          <rPr>
            <sz val="10"/>
            <color indexed="81"/>
            <rFont val="Tahoma"/>
            <family val="2"/>
          </rPr>
          <t xml:space="preserve">* Bucuresti Marfa Km Auto (Responses)
</t>
        </r>
      </text>
    </comment>
    <comment ref="J33" authorId="0" shapeId="0" xr:uid="{792DEA37-B02F-4D97-BAF5-FC6B6F2B90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3:16:30 PM </t>
        </r>
        <r>
          <rPr>
            <b/>
            <sz val="10"/>
            <color indexed="81"/>
            <rFont val="Tahoma"/>
            <family val="2"/>
          </rPr>
          <t xml:space="preserve">= 215633 - Referinta </t>
        </r>
        <r>
          <rPr>
            <sz val="10"/>
            <color indexed="81"/>
            <rFont val="Tahoma"/>
            <family val="2"/>
          </rPr>
          <t xml:space="preserve">* Sibiu Km Auto (Responses)
   9/2/2022 3:17:19 PM </t>
        </r>
        <r>
          <rPr>
            <b/>
            <sz val="10"/>
            <color indexed="81"/>
            <rFont val="Tahoma"/>
            <family val="2"/>
          </rPr>
          <t xml:space="preserve">= 215633 - Normal </t>
        </r>
        <r>
          <rPr>
            <sz val="10"/>
            <color indexed="81"/>
            <rFont val="Tahoma"/>
            <family val="2"/>
          </rPr>
          <t xml:space="preserve">* Sibiu Km Auto (Responses)
  9/6/2022 11:42:02 AM </t>
        </r>
        <r>
          <rPr>
            <b/>
            <sz val="10"/>
            <color indexed="81"/>
            <rFont val="Tahoma"/>
            <family val="2"/>
          </rPr>
          <t xml:space="preserve">= 215767 - Normal </t>
        </r>
        <r>
          <rPr>
            <sz val="10"/>
            <color indexed="81"/>
            <rFont val="Tahoma"/>
            <family val="2"/>
          </rPr>
          <t xml:space="preserve">* Sibiu Km Auto (Responses)
  9/6/2022 11:42:31 AM </t>
        </r>
        <r>
          <rPr>
            <b/>
            <sz val="10"/>
            <color indexed="81"/>
            <rFont val="Tahoma"/>
            <family val="2"/>
          </rPr>
          <t xml:space="preserve">= 215767 - Normal </t>
        </r>
        <r>
          <rPr>
            <sz val="10"/>
            <color indexed="81"/>
            <rFont val="Tahoma"/>
            <family val="2"/>
          </rPr>
          <t xml:space="preserve">* Sibiu Km Auto (Responses)
</t>
        </r>
      </text>
    </comment>
    <comment ref="O33" authorId="0" shapeId="0" xr:uid="{CE116850-3845-46BA-B7CA-1708D6BBF1C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B-884-CLT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216055 - Referinta </t>
        </r>
        <r>
          <rPr>
            <sz val="10"/>
            <color indexed="81"/>
            <rFont val="Tahoma"/>
            <family val="2"/>
          </rPr>
          <t xml:space="preserve">* Sibiu Km Auto (Responses)
  9/12/2022 9:21:35 AM </t>
        </r>
        <r>
          <rPr>
            <b/>
            <sz val="10"/>
            <color indexed="81"/>
            <rFont val="Tahoma"/>
            <family val="2"/>
          </rPr>
          <t xml:space="preserve">= 216055 - Normal </t>
        </r>
        <r>
          <rPr>
            <sz val="10"/>
            <color indexed="81"/>
            <rFont val="Tahoma"/>
            <family val="2"/>
          </rPr>
          <t xml:space="preserve">* Sibiu Km Auto (Responses)
</t>
        </r>
      </text>
    </comment>
    <comment ref="J34" authorId="0" shapeId="0" xr:uid="{F6793AF0-89C5-467B-9A2A-3D4E093173B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Referinta a fost pusa automat
__________________________________________________________________
</t>
        </r>
        <r>
          <rPr>
            <sz val="10"/>
            <color indexed="12"/>
            <rFont val="Tahoma"/>
            <family val="2"/>
          </rPr>
          <t xml:space="preserve">  </t>
        </r>
        <r>
          <rPr>
            <sz val="10"/>
            <color indexed="81"/>
            <rFont val="Tahoma"/>
            <family val="2"/>
          </rPr>
          <t xml:space="preserve"> 9/5/2022 7:50:58 AM </t>
        </r>
        <r>
          <rPr>
            <b/>
            <sz val="10"/>
            <color indexed="81"/>
            <rFont val="Tahoma"/>
            <family val="2"/>
          </rPr>
          <t xml:space="preserve">= 34145 - Referinta </t>
        </r>
        <r>
          <rPr>
            <sz val="10"/>
            <color indexed="81"/>
            <rFont val="Tahoma"/>
            <family val="2"/>
          </rPr>
          <t xml:space="preserve">* Bucuresti Marfa Km Auto (Responses)
</t>
        </r>
      </text>
    </comment>
    <comment ref="O34" authorId="0" shapeId="0" xr:uid="{D9E221C4-F393-4235-970D-038A2326683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Referinta a fost pusa automat
__________________________________________________________________
</t>
        </r>
        <r>
          <rPr>
            <sz val="10"/>
            <color indexed="12"/>
            <rFont val="Tahoma"/>
            <family val="2"/>
          </rPr>
          <t xml:space="preserve">  </t>
        </r>
        <r>
          <rPr>
            <sz val="10"/>
            <color indexed="81"/>
            <rFont val="Tahoma"/>
            <family val="2"/>
          </rPr>
          <t xml:space="preserve">9/12/2022 8:39:47 AM </t>
        </r>
        <r>
          <rPr>
            <b/>
            <sz val="10"/>
            <color indexed="81"/>
            <rFont val="Tahoma"/>
            <family val="2"/>
          </rPr>
          <t xml:space="preserve">= 34755 - Referinta </t>
        </r>
        <r>
          <rPr>
            <sz val="10"/>
            <color indexed="81"/>
            <rFont val="Tahoma"/>
            <family val="2"/>
          </rPr>
          <t xml:space="preserve">* Bucuresti Marfa Km Auto (Responses)
</t>
        </r>
      </text>
    </comment>
    <comment ref="AD34" authorId="0" shapeId="0" xr:uid="{1CC5E070-3856-4839-BEFE-87F184169B1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B-24-CLT</t>
        </r>
        <r>
          <rPr>
            <b/>
            <sz val="10"/>
            <color indexed="12"/>
            <rFont val="Tahoma"/>
            <family val="2"/>
          </rPr>
          <t xml:space="preserve"> - Tanase Nicolae 
__________________________________________________________________
</t>
        </r>
        <r>
          <rPr>
            <sz val="10"/>
            <color indexed="12"/>
            <rFont val="Tahoma"/>
            <family val="2"/>
          </rPr>
          <t xml:space="preserve">  </t>
        </r>
        <r>
          <rPr>
            <sz val="10"/>
            <color indexed="81"/>
            <rFont val="Tahoma"/>
            <family val="2"/>
          </rPr>
          <t xml:space="preserve">9/30/2022 3:16:00 AM </t>
        </r>
        <r>
          <rPr>
            <b/>
            <sz val="10"/>
            <color indexed="81"/>
            <rFont val="Tahoma"/>
            <family val="2"/>
          </rPr>
          <t xml:space="preserve">= 35820 - Referinta </t>
        </r>
        <r>
          <rPr>
            <sz val="10"/>
            <color indexed="81"/>
            <rFont val="Tahoma"/>
            <family val="2"/>
          </rPr>
          <t xml:space="preserve">* Bucuresti Marfa Km Auto (Responses)
  10/3/2022 8:30:00 AM </t>
        </r>
        <r>
          <rPr>
            <b/>
            <sz val="10"/>
            <color indexed="81"/>
            <rFont val="Tahoma"/>
            <family val="2"/>
          </rPr>
          <t xml:space="preserve">= 35820 - Normal </t>
        </r>
        <r>
          <rPr>
            <sz val="10"/>
            <color indexed="81"/>
            <rFont val="Tahoma"/>
            <family val="2"/>
          </rPr>
          <t xml:space="preserve">* Bucuresti Marfa Km Auto (Responses)
</t>
        </r>
      </text>
    </comment>
    <comment ref="J35" authorId="0" shapeId="0" xr:uid="{A6F424E3-6700-4A40-94E9-82643E496DF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9/5/2022 4:57:43 PM </t>
        </r>
        <r>
          <rPr>
            <b/>
            <sz val="10"/>
            <color indexed="81"/>
            <rFont val="Tahoma"/>
            <family val="2"/>
          </rPr>
          <t xml:space="preserve">= 17272 - Referinta </t>
        </r>
        <r>
          <rPr>
            <sz val="10"/>
            <color indexed="81"/>
            <rFont val="Tahoma"/>
            <family val="2"/>
          </rPr>
          <t xml:space="preserve">* Bucuresti Km Auto Vanzari (Responses)
</t>
        </r>
      </text>
    </comment>
    <comment ref="O35" authorId="0" shapeId="0" xr:uid="{780B7F67-6ABA-43EB-8BD5-368C6FB0F0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__________________________________________________________________
</t>
        </r>
        <r>
          <rPr>
            <sz val="10"/>
            <color indexed="12"/>
            <rFont val="Tahoma"/>
            <family val="2"/>
          </rPr>
          <t xml:space="preserve">  </t>
        </r>
        <r>
          <rPr>
            <sz val="10"/>
            <color indexed="81"/>
            <rFont val="Tahoma"/>
            <family val="2"/>
          </rPr>
          <t xml:space="preserve"> 9/9/2022 7:50:31 PM </t>
        </r>
        <r>
          <rPr>
            <b/>
            <sz val="10"/>
            <color indexed="81"/>
            <rFont val="Tahoma"/>
            <family val="2"/>
          </rPr>
          <t xml:space="preserve">= 17548 - Referinta </t>
        </r>
        <r>
          <rPr>
            <sz val="10"/>
            <color indexed="81"/>
            <rFont val="Tahoma"/>
            <family val="2"/>
          </rPr>
          <t xml:space="preserve">* Bucuresti Km Auto Vanzari (Responses)
  9/12/2022 8:28:00 AM </t>
        </r>
        <r>
          <rPr>
            <b/>
            <sz val="10"/>
            <color indexed="81"/>
            <rFont val="Tahoma"/>
            <family val="2"/>
          </rPr>
          <t xml:space="preserve">= 17629 - Normal </t>
        </r>
        <r>
          <rPr>
            <sz val="10"/>
            <color indexed="81"/>
            <rFont val="Tahoma"/>
            <family val="2"/>
          </rPr>
          <t xml:space="preserve">* Bucuresti Km Auto Vanzari (Responses)
  9/14/2022 8:05:00 AM </t>
        </r>
        <r>
          <rPr>
            <b/>
            <sz val="10"/>
            <color indexed="81"/>
            <rFont val="Tahoma"/>
            <family val="2"/>
          </rPr>
          <t xml:space="preserve">= 17653 - Concediu </t>
        </r>
        <r>
          <rPr>
            <sz val="10"/>
            <color indexed="81"/>
            <rFont val="Tahoma"/>
            <family val="2"/>
          </rPr>
          <t xml:space="preserve">* Bucuresti Km Auto Vanzari (Responses)
</t>
        </r>
      </text>
    </comment>
    <comment ref="T35" authorId="0" shapeId="0" xr:uid="{0D5F2943-C372-45AB-B587-B6B85BF9DC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Referinta a fost pusa automat
__________________________________________________________________
</t>
        </r>
        <r>
          <rPr>
            <sz val="10"/>
            <color indexed="12"/>
            <rFont val="Tahoma"/>
            <family val="2"/>
          </rPr>
          <t xml:space="preserve">  </t>
        </r>
        <r>
          <rPr>
            <sz val="10"/>
            <color indexed="81"/>
            <rFont val="Tahoma"/>
            <family val="2"/>
          </rPr>
          <t xml:space="preserve">9/19/2022 8:12:00 AM </t>
        </r>
        <r>
          <rPr>
            <b/>
            <sz val="10"/>
            <color indexed="81"/>
            <rFont val="Tahoma"/>
            <family val="2"/>
          </rPr>
          <t xml:space="preserve">= 17662 - Referinta </t>
        </r>
        <r>
          <rPr>
            <sz val="10"/>
            <color indexed="81"/>
            <rFont val="Tahoma"/>
            <family val="2"/>
          </rPr>
          <t xml:space="preserve">* Bucuresti Km Auto Vanzari (Responses)
</t>
        </r>
      </text>
    </comment>
    <comment ref="Y35" authorId="0" shapeId="0" xr:uid="{53ECE208-DF9F-46F4-97ED-4A3D164AE4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__________________________________________________________________
</t>
        </r>
        <r>
          <rPr>
            <sz val="10"/>
            <color indexed="12"/>
            <rFont val="Tahoma"/>
            <family val="2"/>
          </rPr>
          <t xml:space="preserve">  </t>
        </r>
        <r>
          <rPr>
            <sz val="10"/>
            <color indexed="81"/>
            <rFont val="Tahoma"/>
            <family val="2"/>
          </rPr>
          <t xml:space="preserve">9/23/2022 4:12:00 AM </t>
        </r>
        <r>
          <rPr>
            <b/>
            <sz val="10"/>
            <color indexed="81"/>
            <rFont val="Tahoma"/>
            <family val="2"/>
          </rPr>
          <t xml:space="preserve">= 17806 - Referinta </t>
        </r>
        <r>
          <rPr>
            <sz val="10"/>
            <color indexed="81"/>
            <rFont val="Tahoma"/>
            <family val="2"/>
          </rPr>
          <t xml:space="preserve">* Bucuresti Km Auto Vanzari (Responses)
  9/26/2022 8:00:00 AM </t>
        </r>
        <r>
          <rPr>
            <b/>
            <sz val="10"/>
            <color indexed="81"/>
            <rFont val="Tahoma"/>
            <family val="2"/>
          </rPr>
          <t xml:space="preserve">= 17815 - Normal </t>
        </r>
        <r>
          <rPr>
            <sz val="10"/>
            <color indexed="81"/>
            <rFont val="Tahoma"/>
            <family val="2"/>
          </rPr>
          <t xml:space="preserve">* Bucuresti Km Auto Vanzari (Responses)
</t>
        </r>
      </text>
    </comment>
    <comment ref="AD35" authorId="0" shapeId="0" xr:uid="{4DBFC9B9-94E9-4366-A844-B785D12E82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B-224-CLT</t>
        </r>
        <r>
          <rPr>
            <b/>
            <sz val="10"/>
            <color indexed="12"/>
            <rFont val="Tahoma"/>
            <family val="2"/>
          </rPr>
          <t xml:space="preserve"> - Bogdan Gheorghe 
__________________________________________________________________
</t>
        </r>
        <r>
          <rPr>
            <sz val="10"/>
            <color indexed="12"/>
            <rFont val="Tahoma"/>
            <family val="2"/>
          </rPr>
          <t xml:space="preserve">  </t>
        </r>
        <r>
          <rPr>
            <sz val="10"/>
            <color indexed="81"/>
            <rFont val="Tahoma"/>
            <family val="2"/>
          </rPr>
          <t xml:space="preserve">9/30/2022 5:48:00 AM </t>
        </r>
        <r>
          <rPr>
            <b/>
            <sz val="10"/>
            <color indexed="81"/>
            <rFont val="Tahoma"/>
            <family val="2"/>
          </rPr>
          <t xml:space="preserve">= 17971 - Referinta </t>
        </r>
        <r>
          <rPr>
            <sz val="10"/>
            <color indexed="81"/>
            <rFont val="Tahoma"/>
            <family val="2"/>
          </rPr>
          <t xml:space="preserve">* Bucuresti Km Auto Vanzari (Responses)
  10/3/2022 8:27:00 AM </t>
        </r>
        <r>
          <rPr>
            <b/>
            <sz val="10"/>
            <color indexed="81"/>
            <rFont val="Tahoma"/>
            <family val="2"/>
          </rPr>
          <t xml:space="preserve">= 17980 - Normal </t>
        </r>
        <r>
          <rPr>
            <sz val="10"/>
            <color indexed="81"/>
            <rFont val="Tahoma"/>
            <family val="2"/>
          </rPr>
          <t xml:space="preserve">* Bucuresti Km Auto Vanzari (Responses)
</t>
        </r>
      </text>
    </comment>
    <comment ref="J36" authorId="0" shapeId="0" xr:uid="{86118106-07B7-4945-AD5A-01AF185C39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Referinta a fost pusa automat
__________________________________________________________________
</t>
        </r>
        <r>
          <rPr>
            <sz val="10"/>
            <color indexed="12"/>
            <rFont val="Tahoma"/>
            <family val="2"/>
          </rPr>
          <t xml:space="preserve">  </t>
        </r>
        <r>
          <rPr>
            <sz val="10"/>
            <color indexed="81"/>
            <rFont val="Tahoma"/>
            <family val="2"/>
          </rPr>
          <t xml:space="preserve"> 9/2/2022 4:01:26 PM </t>
        </r>
        <r>
          <rPr>
            <b/>
            <sz val="10"/>
            <color indexed="81"/>
            <rFont val="Tahoma"/>
            <family val="2"/>
          </rPr>
          <t xml:space="preserve">= 144035 - Referinta </t>
        </r>
        <r>
          <rPr>
            <sz val="10"/>
            <color indexed="81"/>
            <rFont val="Tahoma"/>
            <family val="2"/>
          </rPr>
          <t xml:space="preserve">* Bucuresti Km Auto Vanzari (Responses)
   9/5/2022 5:42:45 PM </t>
        </r>
        <r>
          <rPr>
            <b/>
            <sz val="10"/>
            <color indexed="81"/>
            <rFont val="Tahoma"/>
            <family val="2"/>
          </rPr>
          <t xml:space="preserve">= 144095 - Normal </t>
        </r>
        <r>
          <rPr>
            <sz val="10"/>
            <color indexed="81"/>
            <rFont val="Tahoma"/>
            <family val="2"/>
          </rPr>
          <t xml:space="preserve">* Bucuresti Km Auto Vanzari (Responses)
</t>
        </r>
      </text>
    </comment>
    <comment ref="O36" authorId="0" shapeId="0" xr:uid="{6CD3AB2C-8CB7-4976-957B-2E5528BCFE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Referinta a fost pusa automat
__________________________________________________________________
</t>
        </r>
        <r>
          <rPr>
            <sz val="10"/>
            <color indexed="12"/>
            <rFont val="Tahoma"/>
            <family val="2"/>
          </rPr>
          <t xml:space="preserve">  </t>
        </r>
        <r>
          <rPr>
            <sz val="10"/>
            <color indexed="81"/>
            <rFont val="Tahoma"/>
            <family val="2"/>
          </rPr>
          <t xml:space="preserve"> 9/9/2022 3:47:00 AM </t>
        </r>
        <r>
          <rPr>
            <b/>
            <sz val="10"/>
            <color indexed="81"/>
            <rFont val="Tahoma"/>
            <family val="2"/>
          </rPr>
          <t xml:space="preserve">= 144179 - Referinta </t>
        </r>
        <r>
          <rPr>
            <sz val="10"/>
            <color indexed="81"/>
            <rFont val="Tahoma"/>
            <family val="2"/>
          </rPr>
          <t xml:space="preserve">* Bucuresti Km Auto Vanzari (Responses)
  9/12/2022 8:04:00 AM </t>
        </r>
        <r>
          <rPr>
            <b/>
            <sz val="10"/>
            <color indexed="81"/>
            <rFont val="Tahoma"/>
            <family val="2"/>
          </rPr>
          <t xml:space="preserve">= 144297 - Normal </t>
        </r>
        <r>
          <rPr>
            <sz val="10"/>
            <color indexed="81"/>
            <rFont val="Tahoma"/>
            <family val="2"/>
          </rPr>
          <t xml:space="preserve">* Bucuresti Km Auto Vanzari (Responses)
</t>
        </r>
      </text>
    </comment>
    <comment ref="T36" authorId="0" shapeId="0" xr:uid="{6A7D95AE-414D-42B2-AC31-1DE4DF14A69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B-141-CLT</t>
        </r>
        <r>
          <rPr>
            <b/>
            <sz val="10"/>
            <color indexed="12"/>
            <rFont val="Tahoma"/>
            <family val="2"/>
          </rPr>
          <t xml:space="preserve"> - KPO Computers SRL Referinta a fost pusa automat
__________________________________________________________________
</t>
        </r>
        <r>
          <rPr>
            <sz val="10"/>
            <color indexed="12"/>
            <rFont val="Tahoma"/>
            <family val="2"/>
          </rPr>
          <t xml:space="preserve">  </t>
        </r>
        <r>
          <rPr>
            <sz val="10"/>
            <color indexed="81"/>
            <rFont val="Tahoma"/>
            <family val="2"/>
          </rPr>
          <t xml:space="preserve">9/16/2022 4:14:00 AM </t>
        </r>
        <r>
          <rPr>
            <b/>
            <sz val="10"/>
            <color indexed="81"/>
            <rFont val="Tahoma"/>
            <family val="2"/>
          </rPr>
          <t xml:space="preserve">= 144387 - Referinta </t>
        </r>
        <r>
          <rPr>
            <sz val="10"/>
            <color indexed="81"/>
            <rFont val="Tahoma"/>
            <family val="2"/>
          </rPr>
          <t xml:space="preserve">* Bucuresti Km Auto Vanzari (Responses)
  9/19/2022 7:28:00 AM </t>
        </r>
        <r>
          <rPr>
            <b/>
            <sz val="10"/>
            <color indexed="81"/>
            <rFont val="Tahoma"/>
            <family val="2"/>
          </rPr>
          <t xml:space="preserve">= 144462 - Normal </t>
        </r>
        <r>
          <rPr>
            <sz val="10"/>
            <color indexed="81"/>
            <rFont val="Tahoma"/>
            <family val="2"/>
          </rPr>
          <t xml:space="preserve">* Bucuresti Km Auto Vanzari (Responses)
</t>
        </r>
      </text>
    </comment>
    <comment ref="J37" authorId="0" shapeId="0" xr:uid="{E7B0EC89-3161-41C1-B2D2-E92FC87B65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Referinta a fost pusa automat
__________________________________________________________________
</t>
        </r>
        <r>
          <rPr>
            <sz val="10"/>
            <color indexed="12"/>
            <rFont val="Tahoma"/>
            <family val="2"/>
          </rPr>
          <t xml:space="preserve">  </t>
        </r>
        <r>
          <rPr>
            <sz val="10"/>
            <color indexed="81"/>
            <rFont val="Tahoma"/>
            <family val="2"/>
          </rPr>
          <t xml:space="preserve"> 9/2/2022 3:52:19 PM </t>
        </r>
        <r>
          <rPr>
            <b/>
            <sz val="10"/>
            <color indexed="81"/>
            <rFont val="Tahoma"/>
            <family val="2"/>
          </rPr>
          <t xml:space="preserve">= 14007 - Referinta </t>
        </r>
        <r>
          <rPr>
            <sz val="10"/>
            <color indexed="81"/>
            <rFont val="Tahoma"/>
            <family val="2"/>
          </rPr>
          <t xml:space="preserve">* Bucuresti Km Auto Vanzari (Responses)
   9/5/2022 7:24:37 AM </t>
        </r>
        <r>
          <rPr>
            <b/>
            <sz val="10"/>
            <color indexed="81"/>
            <rFont val="Tahoma"/>
            <family val="2"/>
          </rPr>
          <t xml:space="preserve">= 14024 - Interes Serviciu </t>
        </r>
        <r>
          <rPr>
            <sz val="10"/>
            <color indexed="81"/>
            <rFont val="Tahoma"/>
            <family val="2"/>
          </rPr>
          <t xml:space="preserve">* Bucuresti Km Auto Vanzari (Responses)
</t>
        </r>
      </text>
    </comment>
    <comment ref="O37" authorId="0" shapeId="0" xr:uid="{09690B87-A9AC-49F8-8E57-D605CD4CED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 9/9/2022 3:50:02 PM </t>
        </r>
        <r>
          <rPr>
            <b/>
            <sz val="10"/>
            <color indexed="81"/>
            <rFont val="Tahoma"/>
            <family val="2"/>
          </rPr>
          <t xml:space="preserve">= 14259 - Referinta </t>
        </r>
        <r>
          <rPr>
            <sz val="10"/>
            <color indexed="81"/>
            <rFont val="Tahoma"/>
            <family val="2"/>
          </rPr>
          <t xml:space="preserve">* Bucuresti Km Auto Vanzari (Responses)
  9/12/2022 7:25:21 AM </t>
        </r>
        <r>
          <rPr>
            <b/>
            <sz val="10"/>
            <color indexed="81"/>
            <rFont val="Tahoma"/>
            <family val="2"/>
          </rPr>
          <t xml:space="preserve">= 14276 - Normal </t>
        </r>
        <r>
          <rPr>
            <sz val="10"/>
            <color indexed="81"/>
            <rFont val="Tahoma"/>
            <family val="2"/>
          </rPr>
          <t xml:space="preserve">* Bucuresti Km Auto Vanzari (Responses)
</t>
        </r>
      </text>
    </comment>
    <comment ref="T37" authorId="0" shapeId="0" xr:uid="{00229223-FA47-4371-8C8D-C06318F20A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9/16/2022 6:41:22 PM </t>
        </r>
        <r>
          <rPr>
            <b/>
            <sz val="10"/>
            <color indexed="81"/>
            <rFont val="Tahoma"/>
            <family val="2"/>
          </rPr>
          <t xml:space="preserve">= 14628 - Referinta </t>
        </r>
        <r>
          <rPr>
            <sz val="10"/>
            <color indexed="81"/>
            <rFont val="Tahoma"/>
            <family val="2"/>
          </rPr>
          <t xml:space="preserve">* Bucuresti Km Auto Vanzari (Responses)
  9/19/2022 8:04:37 AM </t>
        </r>
        <r>
          <rPr>
            <b/>
            <sz val="10"/>
            <color indexed="81"/>
            <rFont val="Tahoma"/>
            <family val="2"/>
          </rPr>
          <t xml:space="preserve">= 14645 - Normal </t>
        </r>
        <r>
          <rPr>
            <sz val="10"/>
            <color indexed="81"/>
            <rFont val="Tahoma"/>
            <family val="2"/>
          </rPr>
          <t xml:space="preserve">* Bucuresti Km Auto Vanzari (Responses)
</t>
        </r>
      </text>
    </comment>
    <comment ref="Y37" authorId="0" shapeId="0" xr:uid="{E28134C6-F13B-451D-8AE7-8D9423DC8CE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9/23/2022 4:15:14 PM </t>
        </r>
        <r>
          <rPr>
            <b/>
            <sz val="10"/>
            <color indexed="81"/>
            <rFont val="Tahoma"/>
            <family val="2"/>
          </rPr>
          <t xml:space="preserve">= 15071 - Referinta </t>
        </r>
        <r>
          <rPr>
            <sz val="10"/>
            <color indexed="81"/>
            <rFont val="Tahoma"/>
            <family val="2"/>
          </rPr>
          <t xml:space="preserve">* Bucuresti Km Auto Vanzari (Responses)
  9/26/2022 7:21:02 AM </t>
        </r>
        <r>
          <rPr>
            <b/>
            <sz val="10"/>
            <color indexed="81"/>
            <rFont val="Tahoma"/>
            <family val="2"/>
          </rPr>
          <t xml:space="preserve">= 15087 - Normal </t>
        </r>
        <r>
          <rPr>
            <sz val="10"/>
            <color indexed="81"/>
            <rFont val="Tahoma"/>
            <family val="2"/>
          </rPr>
          <t xml:space="preserve">* Bucuresti Km Auto Vanzari (Responses)
</t>
        </r>
      </text>
    </comment>
    <comment ref="AD37" authorId="0" shapeId="0" xr:uid="{088F8B5F-AC41-4DE1-8188-2FB16FDA44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B-209-CLT</t>
        </r>
        <r>
          <rPr>
            <b/>
            <sz val="10"/>
            <color indexed="12"/>
            <rFont val="Tahoma"/>
            <family val="2"/>
          </rPr>
          <t xml:space="preserve"> - Florin Costescu 
__________________________________________________________________
</t>
        </r>
        <r>
          <rPr>
            <sz val="10"/>
            <color indexed="12"/>
            <rFont val="Tahoma"/>
            <family val="2"/>
          </rPr>
          <t xml:space="preserve">  </t>
        </r>
        <r>
          <rPr>
            <sz val="10"/>
            <color indexed="81"/>
            <rFont val="Tahoma"/>
            <family val="2"/>
          </rPr>
          <t xml:space="preserve">9/30/2022 4:29:37 PM </t>
        </r>
        <r>
          <rPr>
            <b/>
            <sz val="10"/>
            <color indexed="81"/>
            <rFont val="Tahoma"/>
            <family val="2"/>
          </rPr>
          <t xml:space="preserve">= 15323 - Referinta </t>
        </r>
        <r>
          <rPr>
            <sz val="10"/>
            <color indexed="81"/>
            <rFont val="Tahoma"/>
            <family val="2"/>
          </rPr>
          <t xml:space="preserve">* Bucuresti Km Auto Vanzari (Responses)
 10/3/2022 11:57:17 AM </t>
        </r>
        <r>
          <rPr>
            <b/>
            <sz val="10"/>
            <color indexed="81"/>
            <rFont val="Tahoma"/>
            <family val="2"/>
          </rPr>
          <t xml:space="preserve">= 15340 - Normal </t>
        </r>
        <r>
          <rPr>
            <sz val="10"/>
            <color indexed="81"/>
            <rFont val="Tahoma"/>
            <family val="2"/>
          </rPr>
          <t xml:space="preserve">* Bucuresti Km Auto Vanzari (Responses)
</t>
        </r>
      </text>
    </comment>
    <comment ref="J38" authorId="0" shapeId="0" xr:uid="{31DA7014-1BC1-47B8-89B1-640921AB95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 9/2/2022 3:12:46 PM </t>
        </r>
        <r>
          <rPr>
            <b/>
            <sz val="10"/>
            <color indexed="81"/>
            <rFont val="Tahoma"/>
            <family val="2"/>
          </rPr>
          <t xml:space="preserve">= 34257 - Referinta </t>
        </r>
        <r>
          <rPr>
            <sz val="10"/>
            <color indexed="81"/>
            <rFont val="Tahoma"/>
            <family val="2"/>
          </rPr>
          <t xml:space="preserve">* Bucuresti Km Auto Vanzari (Responses)
   9/6/2022 9:55:44 AM </t>
        </r>
        <r>
          <rPr>
            <b/>
            <sz val="10"/>
            <color indexed="81"/>
            <rFont val="Tahoma"/>
            <family val="2"/>
          </rPr>
          <t xml:space="preserve">= 34262 - Normal </t>
        </r>
        <r>
          <rPr>
            <sz val="10"/>
            <color indexed="81"/>
            <rFont val="Tahoma"/>
            <family val="2"/>
          </rPr>
          <t xml:space="preserve">* Bucuresti Km Auto Vanzari (Responses)
</t>
        </r>
      </text>
    </comment>
    <comment ref="O38" authorId="0" shapeId="0" xr:uid="{2320A1AD-2444-481E-A631-103A52B56E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Referinta a fost pusa automat
__________________________________________________________________
</t>
        </r>
        <r>
          <rPr>
            <sz val="10"/>
            <color indexed="12"/>
            <rFont val="Tahoma"/>
            <family val="2"/>
          </rPr>
          <t xml:space="preserve">  </t>
        </r>
        <r>
          <rPr>
            <sz val="10"/>
            <color indexed="81"/>
            <rFont val="Tahoma"/>
            <family val="2"/>
          </rPr>
          <t xml:space="preserve">9/12/2022 8:14:29 AM </t>
        </r>
        <r>
          <rPr>
            <b/>
            <sz val="10"/>
            <color indexed="81"/>
            <rFont val="Tahoma"/>
            <family val="2"/>
          </rPr>
          <t xml:space="preserve">= 34456 - Referinta </t>
        </r>
        <r>
          <rPr>
            <sz val="10"/>
            <color indexed="81"/>
            <rFont val="Tahoma"/>
            <family val="2"/>
          </rPr>
          <t xml:space="preserve">* Bucuresti Km Auto Vanzari (Responses)
</t>
        </r>
      </text>
    </comment>
    <comment ref="T38" authorId="0" shapeId="0" xr:uid="{B8B8479F-B119-4684-8635-621B5FF843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9/16/2022 4:02:44 PM </t>
        </r>
        <r>
          <rPr>
            <b/>
            <sz val="10"/>
            <color indexed="81"/>
            <rFont val="Tahoma"/>
            <family val="2"/>
          </rPr>
          <t xml:space="preserve">= 34656 - Referinta </t>
        </r>
        <r>
          <rPr>
            <sz val="10"/>
            <color indexed="81"/>
            <rFont val="Tahoma"/>
            <family val="2"/>
          </rPr>
          <t xml:space="preserve">* Bucuresti Km Auto Vanzari (Responses)
  9/19/2022 5:45:46 PM </t>
        </r>
        <r>
          <rPr>
            <b/>
            <sz val="10"/>
            <color indexed="81"/>
            <rFont val="Tahoma"/>
            <family val="2"/>
          </rPr>
          <t xml:space="preserve">= 34659 - Normal </t>
        </r>
        <r>
          <rPr>
            <sz val="10"/>
            <color indexed="81"/>
            <rFont val="Tahoma"/>
            <family val="2"/>
          </rPr>
          <t xml:space="preserve">* Bucuresti Km Auto Vanzari (Responses)
</t>
        </r>
      </text>
    </comment>
    <comment ref="Y38" authorId="0" shapeId="0" xr:uid="{CE2EA40B-403D-4EBC-864C-70270EED139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9/23/2022 4:10:02 PM </t>
        </r>
        <r>
          <rPr>
            <b/>
            <sz val="10"/>
            <color indexed="81"/>
            <rFont val="Tahoma"/>
            <family val="2"/>
          </rPr>
          <t xml:space="preserve">= 34934 - Referinta </t>
        </r>
        <r>
          <rPr>
            <sz val="10"/>
            <color indexed="81"/>
            <rFont val="Tahoma"/>
            <family val="2"/>
          </rPr>
          <t xml:space="preserve">* Bucuresti Km Auto Vanzari (Responses)
</t>
        </r>
      </text>
    </comment>
    <comment ref="AD38" authorId="0" shapeId="0" xr:uid="{1D500A9D-14ED-4766-9270-2B645EF960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B-138-CLT</t>
        </r>
        <r>
          <rPr>
            <b/>
            <sz val="10"/>
            <color indexed="12"/>
            <rFont val="Tahoma"/>
            <family val="2"/>
          </rPr>
          <t xml:space="preserve"> - Stefanescu Catalin 
__________________________________________________________________
</t>
        </r>
        <r>
          <rPr>
            <sz val="10"/>
            <color indexed="12"/>
            <rFont val="Tahoma"/>
            <family val="2"/>
          </rPr>
          <t xml:space="preserve">  </t>
        </r>
        <r>
          <rPr>
            <sz val="10"/>
            <color indexed="81"/>
            <rFont val="Tahoma"/>
            <family val="2"/>
          </rPr>
          <t xml:space="preserve">9/30/2022 6:25:22 PM </t>
        </r>
        <r>
          <rPr>
            <b/>
            <sz val="10"/>
            <color indexed="81"/>
            <rFont val="Tahoma"/>
            <family val="2"/>
          </rPr>
          <t xml:space="preserve">= 35191 - Referinta </t>
        </r>
        <r>
          <rPr>
            <sz val="10"/>
            <color indexed="81"/>
            <rFont val="Tahoma"/>
            <family val="2"/>
          </rPr>
          <t xml:space="preserve">* Bucuresti Km Auto Vanzari (Responses)
  10/3/2022 8:38:40 AM </t>
        </r>
        <r>
          <rPr>
            <b/>
            <sz val="10"/>
            <color indexed="81"/>
            <rFont val="Tahoma"/>
            <family val="2"/>
          </rPr>
          <t xml:space="preserve">= 35194 - Normal </t>
        </r>
        <r>
          <rPr>
            <sz val="10"/>
            <color indexed="81"/>
            <rFont val="Tahoma"/>
            <family val="2"/>
          </rPr>
          <t xml:space="preserve">* Bucuresti Km Auto Vanzari (Responses)
</t>
        </r>
      </text>
    </comment>
    <comment ref="J39" authorId="0" shapeId="0" xr:uid="{1313BB32-CF84-47AD-BE68-8A77E167A0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Referinta a fost pusa automat
__________________________________________________________________
</t>
        </r>
        <r>
          <rPr>
            <sz val="10"/>
            <color indexed="12"/>
            <rFont val="Tahoma"/>
            <family val="2"/>
          </rPr>
          <t xml:space="preserve">  </t>
        </r>
        <r>
          <rPr>
            <sz val="10"/>
            <color indexed="81"/>
            <rFont val="Tahoma"/>
            <family val="2"/>
          </rPr>
          <t xml:space="preserve"> 9/5/2022 5:07:14 PM </t>
        </r>
        <r>
          <rPr>
            <b/>
            <sz val="10"/>
            <color indexed="81"/>
            <rFont val="Tahoma"/>
            <family val="2"/>
          </rPr>
          <t xml:space="preserve">= 18328 - Referinta </t>
        </r>
        <r>
          <rPr>
            <sz val="10"/>
            <color indexed="81"/>
            <rFont val="Tahoma"/>
            <family val="2"/>
          </rPr>
          <t xml:space="preserve">* Bucuresti Km Auto Vanzari (Responses)
</t>
        </r>
      </text>
    </comment>
    <comment ref="O39" authorId="0" shapeId="0" xr:uid="{DEF28D81-958E-4746-9981-A4318C0D1A5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 9/9/2022 3:39:41 PM </t>
        </r>
        <r>
          <rPr>
            <b/>
            <sz val="10"/>
            <color indexed="81"/>
            <rFont val="Tahoma"/>
            <family val="2"/>
          </rPr>
          <t xml:space="preserve">= 18465 - Referinta </t>
        </r>
        <r>
          <rPr>
            <sz val="10"/>
            <color indexed="81"/>
            <rFont val="Tahoma"/>
            <family val="2"/>
          </rPr>
          <t xml:space="preserve">* Bucuresti Km Auto Vanzari (Responses)
  9/12/2022 8:19:00 AM </t>
        </r>
        <r>
          <rPr>
            <b/>
            <sz val="10"/>
            <color indexed="81"/>
            <rFont val="Tahoma"/>
            <family val="2"/>
          </rPr>
          <t xml:space="preserve">= 18473 - Normal </t>
        </r>
        <r>
          <rPr>
            <sz val="10"/>
            <color indexed="81"/>
            <rFont val="Tahoma"/>
            <family val="2"/>
          </rPr>
          <t xml:space="preserve">* Bucuresti Km Auto Vanzari (Responses)
</t>
        </r>
      </text>
    </comment>
    <comment ref="T39" authorId="0" shapeId="0" xr:uid="{1CB43FD5-854B-47D3-B908-DE4826A1A1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9/16/2022 4:17:02 PM </t>
        </r>
        <r>
          <rPr>
            <b/>
            <sz val="10"/>
            <color indexed="81"/>
            <rFont val="Tahoma"/>
            <family val="2"/>
          </rPr>
          <t xml:space="preserve">= 18586 - Referinta </t>
        </r>
        <r>
          <rPr>
            <sz val="10"/>
            <color indexed="81"/>
            <rFont val="Tahoma"/>
            <family val="2"/>
          </rPr>
          <t xml:space="preserve">* Bucuresti Km Auto Vanzari (Responses)
  9/19/2022 8:10:00 AM </t>
        </r>
        <r>
          <rPr>
            <b/>
            <sz val="10"/>
            <color indexed="81"/>
            <rFont val="Tahoma"/>
            <family val="2"/>
          </rPr>
          <t xml:space="preserve">= 18601 - Normal </t>
        </r>
        <r>
          <rPr>
            <sz val="10"/>
            <color indexed="81"/>
            <rFont val="Tahoma"/>
            <family val="2"/>
          </rPr>
          <t xml:space="preserve">* Bucuresti Km Auto Vanzari (Responses)
</t>
        </r>
      </text>
    </comment>
    <comment ref="Y39" authorId="0" shapeId="0" xr:uid="{DBC672B8-C1F6-4B4E-90C2-05B4D83410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9/23/2022 3:30:00 AM </t>
        </r>
        <r>
          <rPr>
            <b/>
            <sz val="10"/>
            <color indexed="81"/>
            <rFont val="Tahoma"/>
            <family val="2"/>
          </rPr>
          <t xml:space="preserve">= 18727 - Referinta </t>
        </r>
        <r>
          <rPr>
            <sz val="10"/>
            <color indexed="81"/>
            <rFont val="Tahoma"/>
            <family val="2"/>
          </rPr>
          <t xml:space="preserve">* Bucuresti Km Auto Vanzari (Responses)
  9/26/2022 8:00:00 AM </t>
        </r>
        <r>
          <rPr>
            <b/>
            <sz val="10"/>
            <color indexed="81"/>
            <rFont val="Tahoma"/>
            <family val="2"/>
          </rPr>
          <t xml:space="preserve">= 19139 - Normal </t>
        </r>
        <r>
          <rPr>
            <sz val="10"/>
            <color indexed="81"/>
            <rFont val="Tahoma"/>
            <family val="2"/>
          </rPr>
          <t xml:space="preserve">* Bucuresti Km Auto Vanzari (Responses)
</t>
        </r>
      </text>
    </comment>
    <comment ref="AD39" authorId="0" shapeId="0" xr:uid="{86ED2134-9CE7-44E4-BA16-A2C300C373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B-225-CLT</t>
        </r>
        <r>
          <rPr>
            <b/>
            <sz val="10"/>
            <color indexed="12"/>
            <rFont val="Tahoma"/>
            <family val="2"/>
          </rPr>
          <t xml:space="preserve"> - Catalin Bursuc 
__________________________________________________________________
</t>
        </r>
        <r>
          <rPr>
            <sz val="10"/>
            <color indexed="12"/>
            <rFont val="Tahoma"/>
            <family val="2"/>
          </rPr>
          <t xml:space="preserve">  </t>
        </r>
        <r>
          <rPr>
            <sz val="10"/>
            <color indexed="81"/>
            <rFont val="Tahoma"/>
            <family val="2"/>
          </rPr>
          <t xml:space="preserve">9/30/2022 3:30:00 AM </t>
        </r>
        <r>
          <rPr>
            <b/>
            <sz val="10"/>
            <color indexed="81"/>
            <rFont val="Tahoma"/>
            <family val="2"/>
          </rPr>
          <t xml:space="preserve">= 19298 - Referinta </t>
        </r>
        <r>
          <rPr>
            <sz val="10"/>
            <color indexed="81"/>
            <rFont val="Tahoma"/>
            <family val="2"/>
          </rPr>
          <t xml:space="preserve">* Bucuresti Km Auto Vanzari (Responses)
  10/3/2022 8:00:00 AM </t>
        </r>
        <r>
          <rPr>
            <b/>
            <sz val="10"/>
            <color indexed="81"/>
            <rFont val="Tahoma"/>
            <family val="2"/>
          </rPr>
          <t xml:space="preserve">= 19362 - Normal </t>
        </r>
        <r>
          <rPr>
            <sz val="10"/>
            <color indexed="81"/>
            <rFont val="Tahoma"/>
            <family val="2"/>
          </rPr>
          <t xml:space="preserve">* Bucuresti Km Auto Vanzari (Responses)
</t>
        </r>
      </text>
    </comment>
    <comment ref="J40" authorId="0" shapeId="0" xr:uid="{1B186CA6-C34D-4E2C-83E5-F0A3B74E0FB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 9/2/2022 7:06:56 PM </t>
        </r>
        <r>
          <rPr>
            <b/>
            <sz val="10"/>
            <color indexed="81"/>
            <rFont val="Tahoma"/>
            <family val="2"/>
          </rPr>
          <t xml:space="preserve">= 130864 - Referinta </t>
        </r>
        <r>
          <rPr>
            <sz val="10"/>
            <color indexed="81"/>
            <rFont val="Tahoma"/>
            <family val="2"/>
          </rPr>
          <t xml:space="preserve">* Bucuresti Km Auto Vanzari (Responses)
   9/5/2022 7:49:13 AM </t>
        </r>
        <r>
          <rPr>
            <b/>
            <sz val="10"/>
            <color indexed="81"/>
            <rFont val="Tahoma"/>
            <family val="2"/>
          </rPr>
          <t xml:space="preserve">= 130881 - Normal </t>
        </r>
        <r>
          <rPr>
            <sz val="10"/>
            <color indexed="81"/>
            <rFont val="Tahoma"/>
            <family val="2"/>
          </rPr>
          <t xml:space="preserve">* Bucuresti Km Auto Vanzari (Responses)
</t>
        </r>
      </text>
    </comment>
    <comment ref="O40" authorId="0" shapeId="0" xr:uid="{1F77818A-FBDC-4ACE-AEF1-974E488143F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9/9/2022 10:27:10 PM </t>
        </r>
        <r>
          <rPr>
            <b/>
            <sz val="10"/>
            <color indexed="81"/>
            <rFont val="Tahoma"/>
            <family val="2"/>
          </rPr>
          <t xml:space="preserve">= 131078 - Referinta </t>
        </r>
        <r>
          <rPr>
            <sz val="10"/>
            <color indexed="81"/>
            <rFont val="Tahoma"/>
            <family val="2"/>
          </rPr>
          <t xml:space="preserve">* Bucuresti Km Auto Vanzari (Responses)
  9/12/2022 8:02:59 AM </t>
        </r>
        <r>
          <rPr>
            <b/>
            <sz val="10"/>
            <color indexed="81"/>
            <rFont val="Tahoma"/>
            <family val="2"/>
          </rPr>
          <t xml:space="preserve">= 131574 - Normal </t>
        </r>
        <r>
          <rPr>
            <sz val="10"/>
            <color indexed="81"/>
            <rFont val="Tahoma"/>
            <family val="2"/>
          </rPr>
          <t xml:space="preserve">* Bucuresti Km Auto Vanzari (Responses)
</t>
        </r>
      </text>
    </comment>
    <comment ref="T40" authorId="0" shapeId="0" xr:uid="{4B3354B7-6D5B-4BEA-A247-37027A9F67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9/16/2022 6:16:34 PM </t>
        </r>
        <r>
          <rPr>
            <b/>
            <sz val="10"/>
            <color indexed="81"/>
            <rFont val="Tahoma"/>
            <family val="2"/>
          </rPr>
          <t xml:space="preserve">= 131826 - Referinta </t>
        </r>
        <r>
          <rPr>
            <sz val="10"/>
            <color indexed="81"/>
            <rFont val="Tahoma"/>
            <family val="2"/>
          </rPr>
          <t xml:space="preserve">* Bucuresti Km Auto Vanzari (Responses)
  9/19/2022 7:52:45 AM </t>
        </r>
        <r>
          <rPr>
            <b/>
            <sz val="10"/>
            <color indexed="81"/>
            <rFont val="Tahoma"/>
            <family val="2"/>
          </rPr>
          <t xml:space="preserve">= 132123 - Normal </t>
        </r>
        <r>
          <rPr>
            <sz val="10"/>
            <color indexed="81"/>
            <rFont val="Tahoma"/>
            <family val="2"/>
          </rPr>
          <t xml:space="preserve">* Bucuresti Km Auto Vanzari (Responses)
</t>
        </r>
      </text>
    </comment>
    <comment ref="Y40" authorId="0" shapeId="0" xr:uid="{BFBA67D2-7BD6-493B-8360-D4A9E3CA5F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9/23/2022 5:49:24 PM </t>
        </r>
        <r>
          <rPr>
            <b/>
            <sz val="10"/>
            <color indexed="81"/>
            <rFont val="Tahoma"/>
            <family val="2"/>
          </rPr>
          <t xml:space="preserve">= 132208 - Referinta </t>
        </r>
        <r>
          <rPr>
            <sz val="10"/>
            <color indexed="81"/>
            <rFont val="Tahoma"/>
            <family val="2"/>
          </rPr>
          <t xml:space="preserve">* Bucuresti Km Auto Vanzari (Responses)
 9/26/2022 12:38:51 PM </t>
        </r>
        <r>
          <rPr>
            <b/>
            <sz val="10"/>
            <color indexed="81"/>
            <rFont val="Tahoma"/>
            <family val="2"/>
          </rPr>
          <t xml:space="preserve">= 132226 - Normal </t>
        </r>
        <r>
          <rPr>
            <sz val="10"/>
            <color indexed="81"/>
            <rFont val="Tahoma"/>
            <family val="2"/>
          </rPr>
          <t xml:space="preserve">* Bucuresti Km Auto Vanzari (Responses)
</t>
        </r>
      </text>
    </comment>
    <comment ref="AD40" authorId="0" shapeId="0" xr:uid="{37BA5AAC-C7E6-4199-A44F-21E8823DDD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B-122-CLT</t>
        </r>
        <r>
          <rPr>
            <b/>
            <sz val="10"/>
            <color indexed="12"/>
            <rFont val="Tahoma"/>
            <family val="2"/>
          </rPr>
          <t xml:space="preserve"> - Valentin Baja Referinta a fost pusa automat
__________________________________________________________________
</t>
        </r>
        <r>
          <rPr>
            <sz val="10"/>
            <color indexed="12"/>
            <rFont val="Tahoma"/>
            <family val="2"/>
          </rPr>
          <t xml:space="preserve">  </t>
        </r>
        <r>
          <rPr>
            <sz val="10"/>
            <color indexed="81"/>
            <rFont val="Tahoma"/>
            <family val="2"/>
          </rPr>
          <t xml:space="preserve">9/30/2022 8:08:07 PM </t>
        </r>
        <r>
          <rPr>
            <b/>
            <sz val="10"/>
            <color indexed="81"/>
            <rFont val="Tahoma"/>
            <family val="2"/>
          </rPr>
          <t xml:space="preserve">= 132332 - Referinta </t>
        </r>
        <r>
          <rPr>
            <sz val="10"/>
            <color indexed="81"/>
            <rFont val="Tahoma"/>
            <family val="2"/>
          </rPr>
          <t xml:space="preserve">* Bucuresti Km Auto Vanzari (Responses)
  10/3/2022 7:31:09 AM </t>
        </r>
        <r>
          <rPr>
            <b/>
            <sz val="10"/>
            <color indexed="81"/>
            <rFont val="Tahoma"/>
            <family val="2"/>
          </rPr>
          <t xml:space="preserve">= 132378 - Normal </t>
        </r>
        <r>
          <rPr>
            <sz val="10"/>
            <color indexed="81"/>
            <rFont val="Tahoma"/>
            <family val="2"/>
          </rPr>
          <t xml:space="preserve">* Bucuresti Km Auto Vanzari (Responses)
</t>
        </r>
      </text>
    </comment>
    <comment ref="T41" authorId="0" shapeId="0" xr:uid="{9DB4F8A8-FD87-469F-B116-4967B75CDE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Referinta a fost pusa automat
__________________________________________________________________
</t>
        </r>
        <r>
          <rPr>
            <sz val="10"/>
            <color indexed="12"/>
            <rFont val="Tahoma"/>
            <family val="2"/>
          </rPr>
          <t xml:space="preserve"> 9</t>
        </r>
        <r>
          <rPr>
            <sz val="10"/>
            <color indexed="81"/>
            <rFont val="Tahoma"/>
            <family val="2"/>
          </rPr>
          <t xml:space="preserve">/16/2022 11:58:00 AM </t>
        </r>
        <r>
          <rPr>
            <b/>
            <sz val="10"/>
            <color indexed="81"/>
            <rFont val="Tahoma"/>
            <family val="2"/>
          </rPr>
          <t xml:space="preserve">= 93398 - Referinta </t>
        </r>
        <r>
          <rPr>
            <sz val="10"/>
            <color indexed="81"/>
            <rFont val="Tahoma"/>
            <family val="2"/>
          </rPr>
          <t xml:space="preserve">* Bucuresti Km Auto Vanzari (Responses)
  9/19/2022 7:18:00 AM </t>
        </r>
        <r>
          <rPr>
            <b/>
            <sz val="10"/>
            <color indexed="81"/>
            <rFont val="Tahoma"/>
            <family val="2"/>
          </rPr>
          <t xml:space="preserve">= 93400 - Normal </t>
        </r>
        <r>
          <rPr>
            <sz val="10"/>
            <color indexed="81"/>
            <rFont val="Tahoma"/>
            <family val="2"/>
          </rPr>
          <t xml:space="preserve">* Bucuresti Km Auto Vanzari (Responses)
</t>
        </r>
      </text>
    </comment>
    <comment ref="Y41" authorId="0" shapeId="0" xr:uid="{F782A430-0B4F-4891-948E-0E7BC81908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Referinta a fost pusa automat
__________________________________________________________________
</t>
        </r>
        <r>
          <rPr>
            <sz val="10"/>
            <color indexed="12"/>
            <rFont val="Tahoma"/>
            <family val="2"/>
          </rPr>
          <t xml:space="preserve">  </t>
        </r>
        <r>
          <rPr>
            <sz val="10"/>
            <color indexed="81"/>
            <rFont val="Tahoma"/>
            <family val="2"/>
          </rPr>
          <t xml:space="preserve">9/23/2022 7:05:00 AM </t>
        </r>
        <r>
          <rPr>
            <b/>
            <sz val="10"/>
            <color indexed="81"/>
            <rFont val="Tahoma"/>
            <family val="2"/>
          </rPr>
          <t xml:space="preserve">= 93609 - Referinta </t>
        </r>
        <r>
          <rPr>
            <sz val="10"/>
            <color indexed="81"/>
            <rFont val="Tahoma"/>
            <family val="2"/>
          </rPr>
          <t xml:space="preserve">* Bucuresti Km Auto Vanzari (Responses)
  9/26/2022 8:26:00 AM </t>
        </r>
        <r>
          <rPr>
            <b/>
            <sz val="10"/>
            <color indexed="81"/>
            <rFont val="Tahoma"/>
            <family val="2"/>
          </rPr>
          <t xml:space="preserve">= 93672 - Normal </t>
        </r>
        <r>
          <rPr>
            <sz val="10"/>
            <color indexed="81"/>
            <rFont val="Tahoma"/>
            <family val="2"/>
          </rPr>
          <t xml:space="preserve">* Bucuresti Km Auto Vanzari (Responses)
</t>
        </r>
      </text>
    </comment>
    <comment ref="AD41" authorId="0" shapeId="0" xr:uid="{CCEE3042-7D0F-48E7-86AF-8D1EE7E5E8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B-183-CLT</t>
        </r>
        <r>
          <rPr>
            <b/>
            <sz val="10"/>
            <color indexed="12"/>
            <rFont val="Tahoma"/>
            <family val="2"/>
          </rPr>
          <t xml:space="preserve"> - Alexandru Streza Referinta a fost pusa automat
__________________________________________________________________
</t>
        </r>
        <r>
          <rPr>
            <sz val="10"/>
            <color indexed="12"/>
            <rFont val="Tahoma"/>
            <family val="2"/>
          </rPr>
          <t xml:space="preserve">  </t>
        </r>
        <r>
          <rPr>
            <sz val="10"/>
            <color indexed="81"/>
            <rFont val="Tahoma"/>
            <family val="2"/>
          </rPr>
          <t xml:space="preserve">9/30/2022 6:05:00 AM </t>
        </r>
        <r>
          <rPr>
            <b/>
            <sz val="10"/>
            <color indexed="81"/>
            <rFont val="Tahoma"/>
            <family val="2"/>
          </rPr>
          <t xml:space="preserve">= 94072 - Referinta </t>
        </r>
        <r>
          <rPr>
            <sz val="10"/>
            <color indexed="81"/>
            <rFont val="Tahoma"/>
            <family val="2"/>
          </rPr>
          <t xml:space="preserve">* Bucuresti Km Auto Vanzari (Responses)
  10/3/2022 7:26:00 AM </t>
        </r>
        <r>
          <rPr>
            <b/>
            <sz val="10"/>
            <color indexed="81"/>
            <rFont val="Tahoma"/>
            <family val="2"/>
          </rPr>
          <t xml:space="preserve">= 94162 - Normal </t>
        </r>
        <r>
          <rPr>
            <sz val="10"/>
            <color indexed="81"/>
            <rFont val="Tahoma"/>
            <family val="2"/>
          </rPr>
          <t xml:space="preserve">* Bucuresti Km Auto Vanzari (Responses)
</t>
        </r>
      </text>
    </comment>
    <comment ref="O42" authorId="0" shapeId="0" xr:uid="{608DFCE6-F0F9-4106-B7A7-9BB8190198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Referinta a fost pusa automat
__________________________________________________________________
</t>
        </r>
        <r>
          <rPr>
            <sz val="10"/>
            <color indexed="12"/>
            <rFont val="Tahoma"/>
            <family val="2"/>
          </rPr>
          <t xml:space="preserve">  </t>
        </r>
        <r>
          <rPr>
            <sz val="10"/>
            <color indexed="81"/>
            <rFont val="Tahoma"/>
            <family val="2"/>
          </rPr>
          <t xml:space="preserve">9/10/2022 1:24:00 AM </t>
        </r>
        <r>
          <rPr>
            <b/>
            <sz val="10"/>
            <color indexed="81"/>
            <rFont val="Tahoma"/>
            <family val="2"/>
          </rPr>
          <t xml:space="preserve">= 30385 - Referinta </t>
        </r>
        <r>
          <rPr>
            <sz val="10"/>
            <color indexed="81"/>
            <rFont val="Tahoma"/>
            <family val="2"/>
          </rPr>
          <t xml:space="preserve">* Bucuresti Km Auto Tesa (Responses)
  9/11/2022 4:57:00 AM </t>
        </r>
        <r>
          <rPr>
            <b/>
            <sz val="10"/>
            <color indexed="81"/>
            <rFont val="Tahoma"/>
            <family val="2"/>
          </rPr>
          <t xml:space="preserve">= 30385 - Normal </t>
        </r>
        <r>
          <rPr>
            <sz val="10"/>
            <color indexed="81"/>
            <rFont val="Tahoma"/>
            <family val="2"/>
          </rPr>
          <t xml:space="preserve">* Bucuresti Km Auto Tesa (Responses)
</t>
        </r>
      </text>
    </comment>
    <comment ref="T42" authorId="0" shapeId="0" xr:uid="{80961962-ED65-4A5B-A4CC-00F1E79A2F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__________________________________________________________________
</t>
        </r>
        <r>
          <rPr>
            <sz val="10"/>
            <color indexed="12"/>
            <rFont val="Tahoma"/>
            <family val="2"/>
          </rPr>
          <t xml:space="preserve">  </t>
        </r>
        <r>
          <rPr>
            <sz val="10"/>
            <color indexed="81"/>
            <rFont val="Tahoma"/>
            <family val="2"/>
          </rPr>
          <t xml:space="preserve">9/17/2022 2:20:00 AM </t>
        </r>
        <r>
          <rPr>
            <b/>
            <sz val="10"/>
            <color indexed="81"/>
            <rFont val="Tahoma"/>
            <family val="2"/>
          </rPr>
          <t xml:space="preserve">= 30933 - Referinta </t>
        </r>
        <r>
          <rPr>
            <sz val="10"/>
            <color indexed="81"/>
            <rFont val="Tahoma"/>
            <family val="2"/>
          </rPr>
          <t xml:space="preserve">* Bucuresti Km Auto Tesa (Responses)
  9/18/2022 5:07:00 AM </t>
        </r>
        <r>
          <rPr>
            <b/>
            <sz val="10"/>
            <color indexed="81"/>
            <rFont val="Tahoma"/>
            <family val="2"/>
          </rPr>
          <t xml:space="preserve">= 30947 - Normal </t>
        </r>
        <r>
          <rPr>
            <sz val="10"/>
            <color indexed="81"/>
            <rFont val="Tahoma"/>
            <family val="2"/>
          </rPr>
          <t xml:space="preserve">* Bucuresti Km Auto Tesa (Responses)
</t>
        </r>
      </text>
    </comment>
    <comment ref="Y42" authorId="0" shapeId="0" xr:uid="{38D131F9-56A0-4FD6-BD02-E395BA3DF4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__________________________________________________________________
</t>
        </r>
        <r>
          <rPr>
            <sz val="10"/>
            <color indexed="12"/>
            <rFont val="Tahoma"/>
            <family val="2"/>
          </rPr>
          <t xml:space="preserve">  </t>
        </r>
        <r>
          <rPr>
            <sz val="10"/>
            <color indexed="81"/>
            <rFont val="Tahoma"/>
            <family val="2"/>
          </rPr>
          <t xml:space="preserve">9/23/2022 7:52:00 AM </t>
        </r>
        <r>
          <rPr>
            <b/>
            <sz val="10"/>
            <color indexed="81"/>
            <rFont val="Tahoma"/>
            <family val="2"/>
          </rPr>
          <t xml:space="preserve">= 31407 - Referinta </t>
        </r>
        <r>
          <rPr>
            <sz val="10"/>
            <color indexed="81"/>
            <rFont val="Tahoma"/>
            <family val="2"/>
          </rPr>
          <t xml:space="preserve">* Bucuresti Km Auto Tesa (Responses)
  9/25/2022 4:51:00 AM </t>
        </r>
        <r>
          <rPr>
            <b/>
            <sz val="10"/>
            <color indexed="81"/>
            <rFont val="Tahoma"/>
            <family val="2"/>
          </rPr>
          <t xml:space="preserve">= 31414 - Normal </t>
        </r>
        <r>
          <rPr>
            <sz val="10"/>
            <color indexed="81"/>
            <rFont val="Tahoma"/>
            <family val="2"/>
          </rPr>
          <t xml:space="preserve">* Bucuresti Km Auto Tesa (Responses)
</t>
        </r>
      </text>
    </comment>
    <comment ref="AD42" authorId="0" shapeId="0" xr:uid="{6C09C7FE-3A2C-45FA-AAC7-28BCFD36A88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B-907-CLT</t>
        </r>
        <r>
          <rPr>
            <b/>
            <sz val="10"/>
            <color indexed="12"/>
            <rFont val="Tahoma"/>
            <family val="2"/>
          </rPr>
          <t xml:space="preserve"> - Marghidan Mihai 
__________________________________________________________________
</t>
        </r>
        <r>
          <rPr>
            <sz val="10"/>
            <color indexed="12"/>
            <rFont val="Tahoma"/>
            <family val="2"/>
          </rPr>
          <t xml:space="preserve"> 1</t>
        </r>
        <r>
          <rPr>
            <sz val="10"/>
            <color indexed="81"/>
            <rFont val="Tahoma"/>
            <family val="2"/>
          </rPr>
          <t xml:space="preserve">0/1/2022 12:22:00 PM </t>
        </r>
        <r>
          <rPr>
            <b/>
            <sz val="10"/>
            <color indexed="81"/>
            <rFont val="Tahoma"/>
            <family val="2"/>
          </rPr>
          <t xml:space="preserve">= 31747 - Referinta </t>
        </r>
        <r>
          <rPr>
            <sz val="10"/>
            <color indexed="81"/>
            <rFont val="Tahoma"/>
            <family val="2"/>
          </rPr>
          <t xml:space="preserve">* Bucuresti Km Auto Tesa (Responses)
  10/2/2022 1:51:00 AM </t>
        </r>
        <r>
          <rPr>
            <b/>
            <sz val="10"/>
            <color indexed="81"/>
            <rFont val="Tahoma"/>
            <family val="2"/>
          </rPr>
          <t xml:space="preserve">= 31783 - Normal </t>
        </r>
        <r>
          <rPr>
            <sz val="10"/>
            <color indexed="81"/>
            <rFont val="Tahoma"/>
            <family val="2"/>
          </rPr>
          <t xml:space="preserve">* Bucuresti Km Auto Tesa (Responses)
</t>
        </r>
      </text>
    </comment>
    <comment ref="J43" authorId="0" shapeId="0" xr:uid="{4B797FD1-CEFE-43BF-B4FE-226BB03A8C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Referinta a fost pusa automat
__________________________________________________________________
</t>
        </r>
        <r>
          <rPr>
            <sz val="10"/>
            <color indexed="12"/>
            <rFont val="Tahoma"/>
            <family val="2"/>
          </rPr>
          <t xml:space="preserve">  </t>
        </r>
        <r>
          <rPr>
            <sz val="10"/>
            <color indexed="81"/>
            <rFont val="Tahoma"/>
            <family val="2"/>
          </rPr>
          <t xml:space="preserve"> 9/2/2022 9:48:23 PM </t>
        </r>
        <r>
          <rPr>
            <b/>
            <sz val="10"/>
            <color indexed="81"/>
            <rFont val="Tahoma"/>
            <family val="2"/>
          </rPr>
          <t xml:space="preserve">= 2822 - Referinta </t>
        </r>
        <r>
          <rPr>
            <sz val="10"/>
            <color indexed="81"/>
            <rFont val="Tahoma"/>
            <family val="2"/>
          </rPr>
          <t xml:space="preserve">* Bucuresti Km Auto Tesa (Responses)
   9/5/2022 8:03:18 AM </t>
        </r>
        <r>
          <rPr>
            <b/>
            <sz val="10"/>
            <color indexed="81"/>
            <rFont val="Tahoma"/>
            <family val="2"/>
          </rPr>
          <t xml:space="preserve">= 2842 - Normal </t>
        </r>
        <r>
          <rPr>
            <sz val="10"/>
            <color indexed="81"/>
            <rFont val="Tahoma"/>
            <family val="2"/>
          </rPr>
          <t xml:space="preserve">* Bucuresti Km Auto Tesa (Responses)
</t>
        </r>
      </text>
    </comment>
    <comment ref="O43" authorId="0" shapeId="0" xr:uid="{64DB31E8-8A26-449F-8F89-51740933BF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t>
        </r>
        <r>
          <rPr>
            <sz val="10"/>
            <color indexed="81"/>
            <rFont val="Tahoma"/>
            <family val="2"/>
          </rPr>
          <t xml:space="preserve">9/9/2022 11:20:09 PM </t>
        </r>
        <r>
          <rPr>
            <b/>
            <sz val="10"/>
            <color indexed="81"/>
            <rFont val="Tahoma"/>
            <family val="2"/>
          </rPr>
          <t xml:space="preserve">= 3066 - Referinta </t>
        </r>
        <r>
          <rPr>
            <sz val="10"/>
            <color indexed="81"/>
            <rFont val="Tahoma"/>
            <family val="2"/>
          </rPr>
          <t xml:space="preserve">* Bucuresti Km Auto Tesa (Responses)
  9/12/2022 8:42:43 AM </t>
        </r>
        <r>
          <rPr>
            <b/>
            <sz val="10"/>
            <color indexed="81"/>
            <rFont val="Tahoma"/>
            <family val="2"/>
          </rPr>
          <t xml:space="preserve">= 3084 - Normal </t>
        </r>
        <r>
          <rPr>
            <sz val="10"/>
            <color indexed="81"/>
            <rFont val="Tahoma"/>
            <family val="2"/>
          </rPr>
          <t xml:space="preserve">* Bucuresti Km Auto Tesa (Responses)
</t>
        </r>
      </text>
    </comment>
    <comment ref="T43" authorId="0" shapeId="0" xr:uid="{83119C59-6B23-4BEB-931F-D0094CA51BD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9</t>
        </r>
        <r>
          <rPr>
            <sz val="10"/>
            <color indexed="81"/>
            <rFont val="Tahoma"/>
            <family val="2"/>
          </rPr>
          <t xml:space="preserve">/16/2022 10:16:00 PM </t>
        </r>
        <r>
          <rPr>
            <b/>
            <sz val="10"/>
            <color indexed="81"/>
            <rFont val="Tahoma"/>
            <family val="2"/>
          </rPr>
          <t xml:space="preserve">= 3328 - Referinta </t>
        </r>
        <r>
          <rPr>
            <sz val="10"/>
            <color indexed="81"/>
            <rFont val="Tahoma"/>
            <family val="2"/>
          </rPr>
          <t xml:space="preserve">* Bucuresti Km Auto Tesa (Responses)
  9/19/2022 8:32:51 AM </t>
        </r>
        <r>
          <rPr>
            <b/>
            <sz val="10"/>
            <color indexed="81"/>
            <rFont val="Tahoma"/>
            <family val="2"/>
          </rPr>
          <t xml:space="preserve">= 3344 - Normal </t>
        </r>
        <r>
          <rPr>
            <sz val="10"/>
            <color indexed="81"/>
            <rFont val="Tahoma"/>
            <family val="2"/>
          </rPr>
          <t xml:space="preserve">* Bucuresti Km Auto Tesa (Responses)
</t>
        </r>
      </text>
    </comment>
    <comment ref="Y43" authorId="0" shapeId="0" xr:uid="{53001F95-E8E0-49E2-A24F-1F987979AE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9</t>
        </r>
        <r>
          <rPr>
            <sz val="10"/>
            <color indexed="81"/>
            <rFont val="Tahoma"/>
            <family val="2"/>
          </rPr>
          <t xml:space="preserve">/23/2022 11:09:25 PM </t>
        </r>
        <r>
          <rPr>
            <b/>
            <sz val="10"/>
            <color indexed="81"/>
            <rFont val="Tahoma"/>
            <family val="2"/>
          </rPr>
          <t xml:space="preserve">= 3697 - Referinta </t>
        </r>
        <r>
          <rPr>
            <sz val="10"/>
            <color indexed="81"/>
            <rFont val="Tahoma"/>
            <family val="2"/>
          </rPr>
          <t xml:space="preserve">* Bucuresti Km Auto Tesa (Responses)
  9/26/2022 9:21:53 AM </t>
        </r>
        <r>
          <rPr>
            <b/>
            <sz val="10"/>
            <color indexed="81"/>
            <rFont val="Tahoma"/>
            <family val="2"/>
          </rPr>
          <t xml:space="preserve">= 3714 - Normal </t>
        </r>
        <r>
          <rPr>
            <sz val="10"/>
            <color indexed="81"/>
            <rFont val="Tahoma"/>
            <family val="2"/>
          </rPr>
          <t xml:space="preserve">* Bucuresti Km Auto Tesa (Responses)
</t>
        </r>
      </text>
    </comment>
    <comment ref="AD43" authorId="0" shapeId="0" xr:uid="{94DF7776-9D63-4545-B28E-2DA12EA0FEF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B-913-CLT</t>
        </r>
        <r>
          <rPr>
            <b/>
            <sz val="10"/>
            <color indexed="12"/>
            <rFont val="Tahoma"/>
            <family val="2"/>
          </rPr>
          <t xml:space="preserve"> - Gabriel Sasu 
__________________________________________________________________
</t>
        </r>
        <r>
          <rPr>
            <sz val="10"/>
            <color indexed="12"/>
            <rFont val="Tahoma"/>
            <family val="2"/>
          </rPr>
          <t xml:space="preserve">  </t>
        </r>
        <r>
          <rPr>
            <sz val="10"/>
            <color indexed="81"/>
            <rFont val="Tahoma"/>
            <family val="2"/>
          </rPr>
          <t xml:space="preserve">9/30/2022 9:02:54 PM </t>
        </r>
        <r>
          <rPr>
            <b/>
            <sz val="10"/>
            <color indexed="81"/>
            <rFont val="Tahoma"/>
            <family val="2"/>
          </rPr>
          <t xml:space="preserve">= 4129 - Referinta </t>
        </r>
        <r>
          <rPr>
            <sz val="10"/>
            <color indexed="81"/>
            <rFont val="Tahoma"/>
            <family val="2"/>
          </rPr>
          <t xml:space="preserve">* Bucuresti Km Auto Tesa (Responses)
  10/3/2022 8:17:20 PM </t>
        </r>
        <r>
          <rPr>
            <b/>
            <sz val="10"/>
            <color indexed="81"/>
            <rFont val="Tahoma"/>
            <family val="2"/>
          </rPr>
          <t xml:space="preserve">= 4147 - Normal </t>
        </r>
        <r>
          <rPr>
            <sz val="10"/>
            <color indexed="81"/>
            <rFont val="Tahoma"/>
            <family val="2"/>
          </rPr>
          <t xml:space="preserve">* Bucuresti Km Auto Tesa (Responses)
</t>
        </r>
      </text>
    </comment>
    <comment ref="J44" authorId="0" shapeId="0" xr:uid="{1251DF54-4074-4D8F-9AC5-988E0C7D0C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 9/3/2022 1:55:28 PM </t>
        </r>
        <r>
          <rPr>
            <b/>
            <sz val="10"/>
            <color indexed="81"/>
            <rFont val="Tahoma"/>
            <family val="2"/>
          </rPr>
          <t xml:space="preserve">= 50322 - Referinta </t>
        </r>
        <r>
          <rPr>
            <sz val="10"/>
            <color indexed="81"/>
            <rFont val="Tahoma"/>
            <family val="2"/>
          </rPr>
          <t xml:space="preserve">* Cluj &amp; Oradea Km Auto (Responses)
   9/5/2022 6:16:35 AM </t>
        </r>
        <r>
          <rPr>
            <b/>
            <sz val="10"/>
            <color indexed="81"/>
            <rFont val="Tahoma"/>
            <family val="2"/>
          </rPr>
          <t xml:space="preserve">= 50398 - Normal </t>
        </r>
        <r>
          <rPr>
            <sz val="10"/>
            <color indexed="81"/>
            <rFont val="Tahoma"/>
            <family val="2"/>
          </rPr>
          <t xml:space="preserve">* Cluj &amp; Oradea Km Auto (Responses)
</t>
        </r>
      </text>
    </comment>
    <comment ref="O44" authorId="0" shapeId="0" xr:uid="{A94445B4-995A-41BD-B40D-636A89C295C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 9/9/2022 6:42:41 PM </t>
        </r>
        <r>
          <rPr>
            <b/>
            <sz val="10"/>
            <color indexed="81"/>
            <rFont val="Tahoma"/>
            <family val="2"/>
          </rPr>
          <t xml:space="preserve">= 50808 - Referinta </t>
        </r>
        <r>
          <rPr>
            <sz val="10"/>
            <color indexed="81"/>
            <rFont val="Tahoma"/>
            <family val="2"/>
          </rPr>
          <t xml:space="preserve">* Cluj &amp; Oradea Km Auto (Responses)
  9/12/2022 7:08:27 AM </t>
        </r>
        <r>
          <rPr>
            <b/>
            <sz val="10"/>
            <color indexed="81"/>
            <rFont val="Tahoma"/>
            <family val="2"/>
          </rPr>
          <t xml:space="preserve">= 51120 - Normal </t>
        </r>
        <r>
          <rPr>
            <sz val="10"/>
            <color indexed="81"/>
            <rFont val="Tahoma"/>
            <family val="2"/>
          </rPr>
          <t xml:space="preserve">* Cluj &amp; Oradea Km Auto (Responses)
</t>
        </r>
      </text>
    </comment>
    <comment ref="T44" authorId="0" shapeId="0" xr:uid="{4286C115-E631-458F-B0BE-DCA06FEA18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9/17/2022 2:23:45 PM </t>
        </r>
        <r>
          <rPr>
            <b/>
            <sz val="10"/>
            <color indexed="81"/>
            <rFont val="Tahoma"/>
            <family val="2"/>
          </rPr>
          <t xml:space="preserve">= 51452 - Referinta </t>
        </r>
        <r>
          <rPr>
            <sz val="10"/>
            <color indexed="81"/>
            <rFont val="Tahoma"/>
            <family val="2"/>
          </rPr>
          <t xml:space="preserve">* Cluj &amp; Oradea Km Auto (Responses)
  9/19/2022 6:18:29 AM </t>
        </r>
        <r>
          <rPr>
            <b/>
            <sz val="10"/>
            <color indexed="81"/>
            <rFont val="Tahoma"/>
            <family val="2"/>
          </rPr>
          <t xml:space="preserve">= 51498 - Normal </t>
        </r>
        <r>
          <rPr>
            <sz val="10"/>
            <color indexed="81"/>
            <rFont val="Tahoma"/>
            <family val="2"/>
          </rPr>
          <t xml:space="preserve">* Cluj &amp; Oradea Km Auto (Responses)
</t>
        </r>
      </text>
    </comment>
    <comment ref="Y44" authorId="0" shapeId="0" xr:uid="{4778A6CD-32BD-49B7-8548-7A5981C9A81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t>
        </r>
        <r>
          <rPr>
            <sz val="10"/>
            <color indexed="81"/>
            <rFont val="Tahoma"/>
            <family val="2"/>
          </rPr>
          <t xml:space="preserve">9/24/2022 2:37:27 AM </t>
        </r>
        <r>
          <rPr>
            <b/>
            <sz val="10"/>
            <color indexed="81"/>
            <rFont val="Tahoma"/>
            <family val="2"/>
          </rPr>
          <t xml:space="preserve">= 51857 - Referinta </t>
        </r>
        <r>
          <rPr>
            <sz val="10"/>
            <color indexed="81"/>
            <rFont val="Tahoma"/>
            <family val="2"/>
          </rPr>
          <t xml:space="preserve">* Cluj &amp; Oradea Km Auto (Responses)
  9/26/2022 8:00:00 AM </t>
        </r>
        <r>
          <rPr>
            <b/>
            <sz val="10"/>
            <color indexed="81"/>
            <rFont val="Tahoma"/>
            <family val="2"/>
          </rPr>
          <t xml:space="preserve">= 51957 - Normal </t>
        </r>
        <r>
          <rPr>
            <sz val="10"/>
            <color indexed="81"/>
            <rFont val="Tahoma"/>
            <family val="2"/>
          </rPr>
          <t xml:space="preserve">* Cluj &amp; Oradea Km Auto (Responses)
</t>
        </r>
      </text>
    </comment>
    <comment ref="AD44" authorId="0" shapeId="0" xr:uid="{CF84DF12-4D5E-4853-A03C-11720D2D21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B-223-CLT</t>
        </r>
        <r>
          <rPr>
            <b/>
            <sz val="10"/>
            <color indexed="12"/>
            <rFont val="Tahoma"/>
            <family val="2"/>
          </rPr>
          <t xml:space="preserve"> - Marius Neaga 
__________________________________________________________________
</t>
        </r>
        <r>
          <rPr>
            <sz val="10"/>
            <color indexed="12"/>
            <rFont val="Tahoma"/>
            <family val="2"/>
          </rPr>
          <t xml:space="preserve"> 1</t>
        </r>
        <r>
          <rPr>
            <sz val="10"/>
            <color indexed="81"/>
            <rFont val="Tahoma"/>
            <family val="2"/>
          </rPr>
          <t xml:space="preserve">0/1/2022 12:48:52 PM </t>
        </r>
        <r>
          <rPr>
            <b/>
            <sz val="10"/>
            <color indexed="81"/>
            <rFont val="Tahoma"/>
            <family val="2"/>
          </rPr>
          <t xml:space="preserve">= 52299 - Referinta </t>
        </r>
        <r>
          <rPr>
            <sz val="10"/>
            <color indexed="81"/>
            <rFont val="Tahoma"/>
            <family val="2"/>
          </rPr>
          <t xml:space="preserve">* Cluj &amp; Oradea Km Auto (Responses)
  10/3/2022 6:45:35 AM </t>
        </r>
        <r>
          <rPr>
            <b/>
            <sz val="10"/>
            <color indexed="81"/>
            <rFont val="Tahoma"/>
            <family val="2"/>
          </rPr>
          <t xml:space="preserve">= 52388 - Normal </t>
        </r>
        <r>
          <rPr>
            <sz val="10"/>
            <color indexed="81"/>
            <rFont val="Tahoma"/>
            <family val="2"/>
          </rPr>
          <t xml:space="preserve">* Cluj &amp; Oradea Km Auto (Responses)
</t>
        </r>
      </text>
    </comment>
    <comment ref="J45" authorId="0" shapeId="0" xr:uid="{673F0A36-F705-40DA-97AD-268E9D3C31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 9/5/2022 8:14:29 AM </t>
        </r>
        <r>
          <rPr>
            <b/>
            <sz val="10"/>
            <color indexed="81"/>
            <rFont val="Tahoma"/>
            <family val="2"/>
          </rPr>
          <t xml:space="preserve">= 35453 - Referinta </t>
        </r>
        <r>
          <rPr>
            <sz val="10"/>
            <color indexed="81"/>
            <rFont val="Tahoma"/>
            <family val="2"/>
          </rPr>
          <t xml:space="preserve">* Cluj &amp; Oradea Km Auto (Responses)
   9/5/2022 8:15:21 AM </t>
        </r>
        <r>
          <rPr>
            <b/>
            <sz val="10"/>
            <color indexed="81"/>
            <rFont val="Tahoma"/>
            <family val="2"/>
          </rPr>
          <t xml:space="preserve">= 35474 - Normal </t>
        </r>
        <r>
          <rPr>
            <sz val="10"/>
            <color indexed="81"/>
            <rFont val="Tahoma"/>
            <family val="2"/>
          </rPr>
          <t xml:space="preserve">* Cluj &amp; Oradea Km Auto (Responses)
</t>
        </r>
      </text>
    </comment>
    <comment ref="O45" authorId="0" shapeId="0" xr:uid="{F79F5D87-4436-42BE-BF51-114D1F41E6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__________________________________________________________________
</t>
        </r>
        <r>
          <rPr>
            <sz val="10"/>
            <color indexed="12"/>
            <rFont val="Tahoma"/>
            <family val="2"/>
          </rPr>
          <t xml:space="preserve">  </t>
        </r>
        <r>
          <rPr>
            <sz val="10"/>
            <color indexed="81"/>
            <rFont val="Tahoma"/>
            <family val="2"/>
          </rPr>
          <t xml:space="preserve"> 9/9/2022 5:10:00 AM </t>
        </r>
        <r>
          <rPr>
            <b/>
            <sz val="10"/>
            <color indexed="81"/>
            <rFont val="Tahoma"/>
            <family val="2"/>
          </rPr>
          <t xml:space="preserve">= 35730 - Referinta </t>
        </r>
        <r>
          <rPr>
            <sz val="10"/>
            <color indexed="81"/>
            <rFont val="Tahoma"/>
            <family val="2"/>
          </rPr>
          <t xml:space="preserve">* Cluj &amp; Oradea Km Auto (Responses)
  9/12/2022 7:55:15 AM </t>
        </r>
        <r>
          <rPr>
            <b/>
            <sz val="10"/>
            <color indexed="81"/>
            <rFont val="Tahoma"/>
            <family val="2"/>
          </rPr>
          <t xml:space="preserve">= 35787 - Normal </t>
        </r>
        <r>
          <rPr>
            <sz val="10"/>
            <color indexed="81"/>
            <rFont val="Tahoma"/>
            <family val="2"/>
          </rPr>
          <t xml:space="preserve">* Cluj &amp; Oradea Km Auto (Responses)
</t>
        </r>
      </text>
    </comment>
    <comment ref="T45" authorId="0" shapeId="0" xr:uid="{3950D960-2F5C-4E03-A1C3-BC7F34C073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7:51:53 PM </t>
        </r>
        <r>
          <rPr>
            <b/>
            <sz val="10"/>
            <color indexed="81"/>
            <rFont val="Tahoma"/>
            <family val="2"/>
          </rPr>
          <t xml:space="preserve">= 35896 - Referinta </t>
        </r>
        <r>
          <rPr>
            <sz val="10"/>
            <color indexed="81"/>
            <rFont val="Tahoma"/>
            <family val="2"/>
          </rPr>
          <t xml:space="preserve">* Cluj &amp; Oradea Km Auto (Responses)
  9/19/2022 7:37:15 AM </t>
        </r>
        <r>
          <rPr>
            <b/>
            <sz val="10"/>
            <color indexed="81"/>
            <rFont val="Tahoma"/>
            <family val="2"/>
          </rPr>
          <t xml:space="preserve">= 35918 - Normal </t>
        </r>
        <r>
          <rPr>
            <sz val="10"/>
            <color indexed="81"/>
            <rFont val="Tahoma"/>
            <family val="2"/>
          </rPr>
          <t xml:space="preserve">* Cluj &amp; Oradea Km Auto (Responses)
</t>
        </r>
      </text>
    </comment>
    <comment ref="Y45" authorId="0" shapeId="0" xr:uid="{6BD3BA62-CBF0-4593-97FC-444BBADB2E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9/23/2022 6:03:34 PM </t>
        </r>
        <r>
          <rPr>
            <b/>
            <sz val="10"/>
            <color indexed="81"/>
            <rFont val="Tahoma"/>
            <family val="2"/>
          </rPr>
          <t xml:space="preserve">= 36149 - Referinta </t>
        </r>
        <r>
          <rPr>
            <sz val="10"/>
            <color indexed="81"/>
            <rFont val="Tahoma"/>
            <family val="2"/>
          </rPr>
          <t xml:space="preserve">* Cluj &amp; Oradea Km Auto (Responses)
  9/26/2022 7:39:11 AM </t>
        </r>
        <r>
          <rPr>
            <b/>
            <sz val="10"/>
            <color indexed="81"/>
            <rFont val="Tahoma"/>
            <family val="2"/>
          </rPr>
          <t xml:space="preserve">= 36173 - Normal </t>
        </r>
        <r>
          <rPr>
            <sz val="10"/>
            <color indexed="81"/>
            <rFont val="Tahoma"/>
            <family val="2"/>
          </rPr>
          <t xml:space="preserve">* Cluj &amp; Oradea Km Auto (Responses)
</t>
        </r>
      </text>
    </comment>
    <comment ref="AD45" authorId="0" shapeId="0" xr:uid="{ADCA8C4D-853E-4E8F-875F-6AC4811904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B-303-CLT</t>
        </r>
        <r>
          <rPr>
            <b/>
            <sz val="10"/>
            <color indexed="12"/>
            <rFont val="Tahoma"/>
            <family val="2"/>
          </rPr>
          <t xml:space="preserve"> - Muntean Cristian Referinta a fost pusa automat
__________________________________________________________________
</t>
        </r>
        <r>
          <rPr>
            <sz val="10"/>
            <color indexed="12"/>
            <rFont val="Tahoma"/>
            <family val="2"/>
          </rPr>
          <t xml:space="preserve">  </t>
        </r>
        <r>
          <rPr>
            <sz val="10"/>
            <color indexed="81"/>
            <rFont val="Tahoma"/>
            <family val="2"/>
          </rPr>
          <t xml:space="preserve">9/30/2022 7:01:40 PM </t>
        </r>
        <r>
          <rPr>
            <b/>
            <sz val="10"/>
            <color indexed="81"/>
            <rFont val="Tahoma"/>
            <family val="2"/>
          </rPr>
          <t xml:space="preserve">= 36310 - Referinta </t>
        </r>
        <r>
          <rPr>
            <sz val="10"/>
            <color indexed="81"/>
            <rFont val="Tahoma"/>
            <family val="2"/>
          </rPr>
          <t xml:space="preserve">* Cluj &amp; Oradea Km Auto (Responses)
 10/3/2022 10:19:06 AM </t>
        </r>
        <r>
          <rPr>
            <b/>
            <sz val="10"/>
            <color indexed="81"/>
            <rFont val="Tahoma"/>
            <family val="2"/>
          </rPr>
          <t xml:space="preserve">= 36338 - Normal </t>
        </r>
        <r>
          <rPr>
            <sz val="10"/>
            <color indexed="81"/>
            <rFont val="Tahoma"/>
            <family val="2"/>
          </rPr>
          <t xml:space="preserve">* Cluj &amp; Oradea Km Auto (Responses)
</t>
        </r>
      </text>
    </comment>
    <comment ref="T46" authorId="0" shapeId="0" xr:uid="{5A48F58E-02F8-410F-A387-5EDA3723EE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9/16/2022 4:30:52 PM </t>
        </r>
        <r>
          <rPr>
            <b/>
            <sz val="10"/>
            <color indexed="81"/>
            <rFont val="Tahoma"/>
            <family val="2"/>
          </rPr>
          <t xml:space="preserve">= 40412 - Referinta </t>
        </r>
        <r>
          <rPr>
            <sz val="10"/>
            <color indexed="81"/>
            <rFont val="Tahoma"/>
            <family val="2"/>
          </rPr>
          <t xml:space="preserve">* Cluj &amp; Oradea Km Auto (Responses)
  9/19/2022 7:35:29 AM </t>
        </r>
        <r>
          <rPr>
            <b/>
            <sz val="10"/>
            <color indexed="81"/>
            <rFont val="Tahoma"/>
            <family val="2"/>
          </rPr>
          <t xml:space="preserve">= 40442 - Normal </t>
        </r>
        <r>
          <rPr>
            <sz val="10"/>
            <color indexed="81"/>
            <rFont val="Tahoma"/>
            <family val="2"/>
          </rPr>
          <t xml:space="preserve">* Cluj &amp; Oradea Km Auto (Responses)
</t>
        </r>
      </text>
    </comment>
    <comment ref="Y46" authorId="0" shapeId="0" xr:uid="{C6B2020A-0838-4ECD-A856-C22720053D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9/23/2022 4:57:40 PM </t>
        </r>
        <r>
          <rPr>
            <b/>
            <sz val="10"/>
            <color indexed="81"/>
            <rFont val="Tahoma"/>
            <family val="2"/>
          </rPr>
          <t xml:space="preserve">= 41047 - Referinta </t>
        </r>
        <r>
          <rPr>
            <sz val="10"/>
            <color indexed="81"/>
            <rFont val="Tahoma"/>
            <family val="2"/>
          </rPr>
          <t xml:space="preserve">* Cluj &amp; Oradea Km Auto (Responses)
  9/26/2022 7:37:21 AM </t>
        </r>
        <r>
          <rPr>
            <b/>
            <sz val="10"/>
            <color indexed="81"/>
            <rFont val="Tahoma"/>
            <family val="2"/>
          </rPr>
          <t xml:space="preserve">= 41185 - Normal </t>
        </r>
        <r>
          <rPr>
            <sz val="10"/>
            <color indexed="81"/>
            <rFont val="Tahoma"/>
            <family val="2"/>
          </rPr>
          <t xml:space="preserve">* Cluj &amp; Oradea Km Auto (Responses)
</t>
        </r>
      </text>
    </comment>
    <comment ref="AD46" authorId="0" shapeId="0" xr:uid="{0AF1970F-D767-4EB4-A8C8-941CECE30AC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B-250-CLT</t>
        </r>
        <r>
          <rPr>
            <b/>
            <sz val="10"/>
            <color indexed="12"/>
            <rFont val="Tahoma"/>
            <family val="2"/>
          </rPr>
          <t xml:space="preserve"> - Graur Vasile 
__________________________________________________________________
</t>
        </r>
        <r>
          <rPr>
            <sz val="10"/>
            <color indexed="12"/>
            <rFont val="Tahoma"/>
            <family val="2"/>
          </rPr>
          <t xml:space="preserve">  </t>
        </r>
        <r>
          <rPr>
            <sz val="10"/>
            <color indexed="81"/>
            <rFont val="Tahoma"/>
            <family val="2"/>
          </rPr>
          <t xml:space="preserve">9/30/2022 4:37:23 PM </t>
        </r>
        <r>
          <rPr>
            <b/>
            <sz val="10"/>
            <color indexed="81"/>
            <rFont val="Tahoma"/>
            <family val="2"/>
          </rPr>
          <t xml:space="preserve">= 42511 - Referinta </t>
        </r>
        <r>
          <rPr>
            <sz val="10"/>
            <color indexed="81"/>
            <rFont val="Tahoma"/>
            <family val="2"/>
          </rPr>
          <t xml:space="preserve">* Cluj &amp; Oradea Km Auto (Responses)
  10/3/2022 7:30:00 AM </t>
        </r>
        <r>
          <rPr>
            <b/>
            <sz val="10"/>
            <color indexed="81"/>
            <rFont val="Tahoma"/>
            <family val="2"/>
          </rPr>
          <t xml:space="preserve">= 42511 - Normal </t>
        </r>
        <r>
          <rPr>
            <sz val="10"/>
            <color indexed="81"/>
            <rFont val="Tahoma"/>
            <family val="2"/>
          </rPr>
          <t xml:space="preserve">* Cluj &amp; Oradea Km Auto (Responses)
</t>
        </r>
      </text>
    </comment>
    <comment ref="J47" authorId="0" shapeId="0" xr:uid="{30352630-C2D1-4475-A1EA-691E618DEFB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 9/2/2022 4:03:07 PM </t>
        </r>
        <r>
          <rPr>
            <b/>
            <sz val="10"/>
            <color indexed="81"/>
            <rFont val="Tahoma"/>
            <family val="2"/>
          </rPr>
          <t xml:space="preserve">= 61147 - Referinta </t>
        </r>
        <r>
          <rPr>
            <sz val="10"/>
            <color indexed="81"/>
            <rFont val="Tahoma"/>
            <family val="2"/>
          </rPr>
          <t xml:space="preserve">* Cluj &amp; Oradea Km Auto (Responses)
   9/5/2022 8:44:09 AM </t>
        </r>
        <r>
          <rPr>
            <b/>
            <sz val="10"/>
            <color indexed="81"/>
            <rFont val="Tahoma"/>
            <family val="2"/>
          </rPr>
          <t xml:space="preserve">= 61147 - Normal </t>
        </r>
        <r>
          <rPr>
            <sz val="10"/>
            <color indexed="81"/>
            <rFont val="Tahoma"/>
            <family val="2"/>
          </rPr>
          <t xml:space="preserve">* Cluj &amp; Oradea Km Auto (Responses)
</t>
        </r>
      </text>
    </comment>
    <comment ref="O47" authorId="0" shapeId="0" xr:uid="{9EA4F61A-A7FF-4ADB-BE7D-41E0EBBCCA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 9/9/2022 8:07:36 PM </t>
        </r>
        <r>
          <rPr>
            <b/>
            <sz val="10"/>
            <color indexed="81"/>
            <rFont val="Tahoma"/>
            <family val="2"/>
          </rPr>
          <t xml:space="preserve">= 61544 - Referinta </t>
        </r>
        <r>
          <rPr>
            <sz val="10"/>
            <color indexed="81"/>
            <rFont val="Tahoma"/>
            <family val="2"/>
          </rPr>
          <t xml:space="preserve">* Cluj &amp; Oradea Km Auto (Responses)
  9/12/2022 8:22:49 AM </t>
        </r>
        <r>
          <rPr>
            <b/>
            <sz val="10"/>
            <color indexed="81"/>
            <rFont val="Tahoma"/>
            <family val="2"/>
          </rPr>
          <t xml:space="preserve">= 61567 - Normal </t>
        </r>
        <r>
          <rPr>
            <sz val="10"/>
            <color indexed="81"/>
            <rFont val="Tahoma"/>
            <family val="2"/>
          </rPr>
          <t xml:space="preserve">* Cluj &amp; Oradea Km Auto (Responses)
</t>
        </r>
      </text>
    </comment>
    <comment ref="T47" authorId="0" shapeId="0" xr:uid="{B602E55E-54E1-40FE-A8D7-5A0264ED2C9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9/16/2022 4:20:20 PM </t>
        </r>
        <r>
          <rPr>
            <b/>
            <sz val="10"/>
            <color indexed="81"/>
            <rFont val="Tahoma"/>
            <family val="2"/>
          </rPr>
          <t xml:space="preserve">= 61742 - Referinta </t>
        </r>
        <r>
          <rPr>
            <sz val="10"/>
            <color indexed="81"/>
            <rFont val="Tahoma"/>
            <family val="2"/>
          </rPr>
          <t xml:space="preserve">* Cluj &amp; Oradea Km Auto (Responses)
  9/19/2022 8:27:56 AM </t>
        </r>
        <r>
          <rPr>
            <b/>
            <sz val="10"/>
            <color indexed="81"/>
            <rFont val="Tahoma"/>
            <family val="2"/>
          </rPr>
          <t xml:space="preserve">= 61747 - Normal </t>
        </r>
        <r>
          <rPr>
            <sz val="10"/>
            <color indexed="81"/>
            <rFont val="Tahoma"/>
            <family val="2"/>
          </rPr>
          <t xml:space="preserve">* Cluj &amp; Oradea Km Auto (Responses)
</t>
        </r>
      </text>
    </comment>
    <comment ref="Y47" authorId="0" shapeId="0" xr:uid="{23FE7BB9-7160-4420-BFC6-25A094B834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9/23/2022 3:38:38 PM </t>
        </r>
        <r>
          <rPr>
            <b/>
            <sz val="10"/>
            <color indexed="81"/>
            <rFont val="Tahoma"/>
            <family val="2"/>
          </rPr>
          <t xml:space="preserve">= 61864 - Referinta </t>
        </r>
        <r>
          <rPr>
            <sz val="10"/>
            <color indexed="81"/>
            <rFont val="Tahoma"/>
            <family val="2"/>
          </rPr>
          <t xml:space="preserve">* Cluj &amp; Oradea Km Auto (Responses)
  9/26/2022 8:31:13 AM </t>
        </r>
        <r>
          <rPr>
            <b/>
            <sz val="10"/>
            <color indexed="81"/>
            <rFont val="Tahoma"/>
            <family val="2"/>
          </rPr>
          <t xml:space="preserve">= 61879 - Normal </t>
        </r>
        <r>
          <rPr>
            <sz val="10"/>
            <color indexed="81"/>
            <rFont val="Tahoma"/>
            <family val="2"/>
          </rPr>
          <t xml:space="preserve">* Cluj &amp; Oradea Km Auto (Responses)
</t>
        </r>
      </text>
    </comment>
    <comment ref="AD47" authorId="0" shapeId="0" xr:uid="{7C7930FD-B984-4B98-AD3F-E037B161FB7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B-199-CLT</t>
        </r>
        <r>
          <rPr>
            <b/>
            <sz val="10"/>
            <color indexed="12"/>
            <rFont val="Tahoma"/>
            <family val="2"/>
          </rPr>
          <t xml:space="preserve"> - Szabo Francisc Szolt Referinta a fost pusa automat
__________________________________________________________________
</t>
        </r>
        <r>
          <rPr>
            <sz val="10"/>
            <color indexed="12"/>
            <rFont val="Tahoma"/>
            <family val="2"/>
          </rPr>
          <t xml:space="preserve">  </t>
        </r>
        <r>
          <rPr>
            <sz val="10"/>
            <color indexed="81"/>
            <rFont val="Tahoma"/>
            <family val="2"/>
          </rPr>
          <t xml:space="preserve">9/30/2022 4:08:51 PM </t>
        </r>
        <r>
          <rPr>
            <b/>
            <sz val="10"/>
            <color indexed="81"/>
            <rFont val="Tahoma"/>
            <family val="2"/>
          </rPr>
          <t xml:space="preserve">= 62053 - Referinta </t>
        </r>
        <r>
          <rPr>
            <sz val="10"/>
            <color indexed="81"/>
            <rFont val="Tahoma"/>
            <family val="2"/>
          </rPr>
          <t xml:space="preserve">* Cluj &amp; Oradea Km Auto (Responses)
  10/3/2022 8:15:13 AM </t>
        </r>
        <r>
          <rPr>
            <b/>
            <sz val="10"/>
            <color indexed="81"/>
            <rFont val="Tahoma"/>
            <family val="2"/>
          </rPr>
          <t xml:space="preserve">= 62053 - Normal </t>
        </r>
        <r>
          <rPr>
            <sz val="10"/>
            <color indexed="81"/>
            <rFont val="Tahoma"/>
            <family val="2"/>
          </rPr>
          <t xml:space="preserve">* Cluj &amp; Oradea Km Auto (Responses)
  10/6/2022 6:56:18 PM </t>
        </r>
        <r>
          <rPr>
            <b/>
            <sz val="10"/>
            <color indexed="81"/>
            <rFont val="Tahoma"/>
            <family val="2"/>
          </rPr>
          <t xml:space="preserve">= 62089 - Referinta </t>
        </r>
        <r>
          <rPr>
            <sz val="10"/>
            <color indexed="81"/>
            <rFont val="Tahoma"/>
            <family val="2"/>
          </rPr>
          <t xml:space="preserve">* Cluj &amp; Oradea Km Auto (Responses)
</t>
        </r>
      </text>
    </comment>
    <comment ref="J48" authorId="0" shapeId="0" xr:uid="{3008FE23-58E6-4886-82A6-9F513E80D6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4:53:17 PM </t>
        </r>
        <r>
          <rPr>
            <b/>
            <sz val="10"/>
            <color indexed="81"/>
            <rFont val="Tahoma"/>
            <family val="2"/>
          </rPr>
          <t xml:space="preserve">= 96562 - Referinta </t>
        </r>
        <r>
          <rPr>
            <sz val="10"/>
            <color indexed="81"/>
            <rFont val="Tahoma"/>
            <family val="2"/>
          </rPr>
          <t xml:space="preserve">* Cluj &amp; Oradea Km Auto (Responses)
   9/5/2022 7:11:12 AM </t>
        </r>
        <r>
          <rPr>
            <b/>
            <sz val="10"/>
            <color indexed="81"/>
            <rFont val="Tahoma"/>
            <family val="2"/>
          </rPr>
          <t xml:space="preserve">= 96605 - Normal </t>
        </r>
        <r>
          <rPr>
            <sz val="10"/>
            <color indexed="81"/>
            <rFont val="Tahoma"/>
            <family val="2"/>
          </rPr>
          <t xml:space="preserve">* Cluj &amp; Oradea Km Auto (Responses)
</t>
        </r>
      </text>
    </comment>
    <comment ref="O48" authorId="0" shapeId="0" xr:uid="{6AB92DB2-9041-4849-B99F-C3C6316953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 9/9/2022 6:27:03 PM </t>
        </r>
        <r>
          <rPr>
            <b/>
            <sz val="10"/>
            <color indexed="81"/>
            <rFont val="Tahoma"/>
            <family val="2"/>
          </rPr>
          <t xml:space="preserve">= 97067 - Referinta </t>
        </r>
        <r>
          <rPr>
            <sz val="10"/>
            <color indexed="81"/>
            <rFont val="Tahoma"/>
            <family val="2"/>
          </rPr>
          <t xml:space="preserve">* Cluj &amp; Oradea Km Auto (Responses)
  9/12/2022 7:01:23 AM </t>
        </r>
        <r>
          <rPr>
            <b/>
            <sz val="10"/>
            <color indexed="81"/>
            <rFont val="Tahoma"/>
            <family val="2"/>
          </rPr>
          <t xml:space="preserve">= 97270 - Normal </t>
        </r>
        <r>
          <rPr>
            <sz val="10"/>
            <color indexed="81"/>
            <rFont val="Tahoma"/>
            <family val="2"/>
          </rPr>
          <t xml:space="preserve">* Cluj &amp; Oradea Km Auto (Responses)
</t>
        </r>
      </text>
    </comment>
    <comment ref="T48" authorId="0" shapeId="0" xr:uid="{47344097-F877-4D15-B81A-28A5DB1372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9/16/2022 4:56:17 PM </t>
        </r>
        <r>
          <rPr>
            <b/>
            <sz val="10"/>
            <color indexed="81"/>
            <rFont val="Tahoma"/>
            <family val="2"/>
          </rPr>
          <t xml:space="preserve">= 97629 - Referinta </t>
        </r>
        <r>
          <rPr>
            <sz val="10"/>
            <color indexed="81"/>
            <rFont val="Tahoma"/>
            <family val="2"/>
          </rPr>
          <t xml:space="preserve">* Cluj &amp; Oradea Km Auto (Responses)
  9/19/2022 7:14:34 AM </t>
        </r>
        <r>
          <rPr>
            <b/>
            <sz val="10"/>
            <color indexed="81"/>
            <rFont val="Tahoma"/>
            <family val="2"/>
          </rPr>
          <t xml:space="preserve">= 97932 - Normal </t>
        </r>
        <r>
          <rPr>
            <sz val="10"/>
            <color indexed="81"/>
            <rFont val="Tahoma"/>
            <family val="2"/>
          </rPr>
          <t xml:space="preserve">* Cluj &amp; Oradea Km Auto (Responses)
</t>
        </r>
      </text>
    </comment>
    <comment ref="Y48" authorId="0" shapeId="0" xr:uid="{EB191E7F-E825-4817-BF13-CCC21E5CA6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9/23/2022 5:59:14 PM </t>
        </r>
        <r>
          <rPr>
            <b/>
            <sz val="10"/>
            <color indexed="81"/>
            <rFont val="Tahoma"/>
            <family val="2"/>
          </rPr>
          <t xml:space="preserve">= 98480 - Referinta </t>
        </r>
        <r>
          <rPr>
            <sz val="10"/>
            <color indexed="81"/>
            <rFont val="Tahoma"/>
            <family val="2"/>
          </rPr>
          <t xml:space="preserve">* Cluj &amp; Oradea Km Auto (Responses)
  9/26/2022 7:15:31 AM </t>
        </r>
        <r>
          <rPr>
            <b/>
            <sz val="10"/>
            <color indexed="81"/>
            <rFont val="Tahoma"/>
            <family val="2"/>
          </rPr>
          <t xml:space="preserve">= 98482 - Normal </t>
        </r>
        <r>
          <rPr>
            <sz val="10"/>
            <color indexed="81"/>
            <rFont val="Tahoma"/>
            <family val="2"/>
          </rPr>
          <t xml:space="preserve">* Cluj &amp; Oradea Km Auto (Responses)
</t>
        </r>
      </text>
    </comment>
    <comment ref="AD48" authorId="0" shapeId="0" xr:uid="{785EC9DA-9595-41C7-B65F-4AA4A1BB6B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IF-18-CLT</t>
        </r>
        <r>
          <rPr>
            <b/>
            <sz val="10"/>
            <color indexed="12"/>
            <rFont val="Tahoma"/>
            <family val="2"/>
          </rPr>
          <t xml:space="preserve"> - Popeiu Andrei-Ioan 
__________________________________________________________________
</t>
        </r>
        <r>
          <rPr>
            <sz val="10"/>
            <color indexed="12"/>
            <rFont val="Tahoma"/>
            <family val="2"/>
          </rPr>
          <t xml:space="preserve">  </t>
        </r>
        <r>
          <rPr>
            <sz val="10"/>
            <color indexed="81"/>
            <rFont val="Tahoma"/>
            <family val="2"/>
          </rPr>
          <t xml:space="preserve">9/30/2022 4:59:38 PM </t>
        </r>
        <r>
          <rPr>
            <b/>
            <sz val="10"/>
            <color indexed="81"/>
            <rFont val="Tahoma"/>
            <family val="2"/>
          </rPr>
          <t xml:space="preserve">= 98775 - Referinta </t>
        </r>
        <r>
          <rPr>
            <sz val="10"/>
            <color indexed="81"/>
            <rFont val="Tahoma"/>
            <family val="2"/>
          </rPr>
          <t xml:space="preserve">* Cluj &amp; Oradea Km Auto (Responses)
  10/3/2022 7:12:42 AM </t>
        </r>
        <r>
          <rPr>
            <b/>
            <sz val="10"/>
            <color indexed="81"/>
            <rFont val="Tahoma"/>
            <family val="2"/>
          </rPr>
          <t xml:space="preserve">= 98985 - Normal </t>
        </r>
        <r>
          <rPr>
            <sz val="10"/>
            <color indexed="81"/>
            <rFont val="Tahoma"/>
            <family val="2"/>
          </rPr>
          <t xml:space="preserve">* Cluj &amp; Oradea Km Auto (Responses)
</t>
        </r>
      </text>
    </comment>
    <comment ref="J49" authorId="0" shapeId="0" xr:uid="{FB1D4F8B-F917-45CA-B3AF-03CF94DBB9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3:32:03 PM </t>
        </r>
        <r>
          <rPr>
            <b/>
            <sz val="10"/>
            <color indexed="81"/>
            <rFont val="Tahoma"/>
            <family val="2"/>
          </rPr>
          <t xml:space="preserve">= 98529 - Referinta </t>
        </r>
        <r>
          <rPr>
            <sz val="10"/>
            <color indexed="81"/>
            <rFont val="Tahoma"/>
            <family val="2"/>
          </rPr>
          <t xml:space="preserve">* Cluj &amp; Oradea Km Auto (Responses)
   9/5/2022 8:53:36 AM </t>
        </r>
        <r>
          <rPr>
            <b/>
            <sz val="10"/>
            <color indexed="81"/>
            <rFont val="Tahoma"/>
            <family val="2"/>
          </rPr>
          <t xml:space="preserve">= 98529 - Normal </t>
        </r>
        <r>
          <rPr>
            <sz val="10"/>
            <color indexed="81"/>
            <rFont val="Tahoma"/>
            <family val="2"/>
          </rPr>
          <t xml:space="preserve">* Cluj &amp; Oradea Km Auto (Responses)
</t>
        </r>
      </text>
    </comment>
    <comment ref="O49" authorId="0" shapeId="0" xr:uid="{96F012B6-F2DC-493C-B603-AA28E522CC6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Referinta a fost pusa automat
__________________________________________________________________
</t>
        </r>
        <r>
          <rPr>
            <sz val="10"/>
            <color indexed="12"/>
            <rFont val="Tahoma"/>
            <family val="2"/>
          </rPr>
          <t xml:space="preserve">  </t>
        </r>
        <r>
          <rPr>
            <sz val="10"/>
            <color indexed="81"/>
            <rFont val="Tahoma"/>
            <family val="2"/>
          </rPr>
          <t xml:space="preserve">9/10/2022 4:16:43 PM </t>
        </r>
        <r>
          <rPr>
            <b/>
            <sz val="10"/>
            <color indexed="81"/>
            <rFont val="Tahoma"/>
            <family val="2"/>
          </rPr>
          <t xml:space="preserve">= 99370 - Referinta </t>
        </r>
        <r>
          <rPr>
            <sz val="10"/>
            <color indexed="81"/>
            <rFont val="Tahoma"/>
            <family val="2"/>
          </rPr>
          <t xml:space="preserve">* Cluj &amp; Oradea Km Auto (Responses)
  9/12/2022 8:11:32 AM </t>
        </r>
        <r>
          <rPr>
            <b/>
            <sz val="10"/>
            <color indexed="81"/>
            <rFont val="Tahoma"/>
            <family val="2"/>
          </rPr>
          <t xml:space="preserve">= 99371 - Normal </t>
        </r>
        <r>
          <rPr>
            <sz val="10"/>
            <color indexed="81"/>
            <rFont val="Tahoma"/>
            <family val="2"/>
          </rPr>
          <t xml:space="preserve">* Cluj &amp; Oradea Km Auto (Responses)
</t>
        </r>
      </text>
    </comment>
    <comment ref="T49" authorId="0" shapeId="0" xr:uid="{EBB72E53-C567-4289-9548-AF8A5FFCE6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3:48:38 PM </t>
        </r>
        <r>
          <rPr>
            <b/>
            <sz val="10"/>
            <color indexed="81"/>
            <rFont val="Tahoma"/>
            <family val="2"/>
          </rPr>
          <t xml:space="preserve">= 100422 - Referinta </t>
        </r>
        <r>
          <rPr>
            <sz val="10"/>
            <color indexed="81"/>
            <rFont val="Tahoma"/>
            <family val="2"/>
          </rPr>
          <t xml:space="preserve">* Cluj &amp; Oradea Km Auto (Responses)
  9/19/2022 8:30:16 AM </t>
        </r>
        <r>
          <rPr>
            <b/>
            <sz val="10"/>
            <color indexed="81"/>
            <rFont val="Tahoma"/>
            <family val="2"/>
          </rPr>
          <t xml:space="preserve">= 100422 - Normal </t>
        </r>
        <r>
          <rPr>
            <sz val="10"/>
            <color indexed="81"/>
            <rFont val="Tahoma"/>
            <family val="2"/>
          </rPr>
          <t xml:space="preserve">* Cluj &amp; Oradea Km Auto (Responses)
</t>
        </r>
      </text>
    </comment>
    <comment ref="Y49" authorId="0" shapeId="0" xr:uid="{3737B5B5-32A5-46D3-A23C-6843BB2B6D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__________________________________________________________________
</t>
        </r>
        <r>
          <rPr>
            <sz val="10"/>
            <color indexed="12"/>
            <rFont val="Tahoma"/>
            <family val="2"/>
          </rPr>
          <t xml:space="preserve">  </t>
        </r>
        <r>
          <rPr>
            <sz val="10"/>
            <color indexed="81"/>
            <rFont val="Tahoma"/>
            <family val="2"/>
          </rPr>
          <t xml:space="preserve">9/23/2022 3:20:37 PM </t>
        </r>
        <r>
          <rPr>
            <b/>
            <sz val="10"/>
            <color indexed="81"/>
            <rFont val="Tahoma"/>
            <family val="2"/>
          </rPr>
          <t xml:space="preserve">= 101159 - Referinta </t>
        </r>
        <r>
          <rPr>
            <sz val="10"/>
            <color indexed="81"/>
            <rFont val="Tahoma"/>
            <family val="2"/>
          </rPr>
          <t xml:space="preserve">* Cluj &amp; Oradea Km Auto (Responses)
</t>
        </r>
      </text>
    </comment>
    <comment ref="AD49" authorId="0" shapeId="0" xr:uid="{995A1C53-15DF-4AE4-9C25-9E6D96CE1A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B-553-CLT</t>
        </r>
        <r>
          <rPr>
            <b/>
            <sz val="10"/>
            <color indexed="12"/>
            <rFont val="Tahoma"/>
            <family val="2"/>
          </rPr>
          <t xml:space="preserve"> - Anicai Adrian 
__________________________________________________________________
</t>
        </r>
        <r>
          <rPr>
            <sz val="10"/>
            <color indexed="12"/>
            <rFont val="Tahoma"/>
            <family val="2"/>
          </rPr>
          <t xml:space="preserve">  </t>
        </r>
        <r>
          <rPr>
            <sz val="10"/>
            <color indexed="81"/>
            <rFont val="Tahoma"/>
            <family val="2"/>
          </rPr>
          <t xml:space="preserve">9/30/2022 8:34:39 PM </t>
        </r>
        <r>
          <rPr>
            <b/>
            <sz val="10"/>
            <color indexed="81"/>
            <rFont val="Tahoma"/>
            <family val="2"/>
          </rPr>
          <t xml:space="preserve">= 102170 - Referinta </t>
        </r>
        <r>
          <rPr>
            <sz val="10"/>
            <color indexed="81"/>
            <rFont val="Tahoma"/>
            <family val="2"/>
          </rPr>
          <t xml:space="preserve">* Cluj &amp; Oradea Km Auto (Responses)
  10/3/2022 1:04:47 PM </t>
        </r>
        <r>
          <rPr>
            <b/>
            <sz val="10"/>
            <color indexed="81"/>
            <rFont val="Tahoma"/>
            <family val="2"/>
          </rPr>
          <t xml:space="preserve">= 102170 - Normal </t>
        </r>
        <r>
          <rPr>
            <sz val="10"/>
            <color indexed="81"/>
            <rFont val="Tahoma"/>
            <family val="2"/>
          </rPr>
          <t xml:space="preserve">* Cluj &amp; Oradea Km Auto (Responses)
  10/3/2022 1:06:09 PM </t>
        </r>
        <r>
          <rPr>
            <b/>
            <sz val="10"/>
            <color indexed="81"/>
            <rFont val="Tahoma"/>
            <family val="2"/>
          </rPr>
          <t xml:space="preserve">= 102170 - Normal </t>
        </r>
        <r>
          <rPr>
            <sz val="10"/>
            <color indexed="81"/>
            <rFont val="Tahoma"/>
            <family val="2"/>
          </rPr>
          <t xml:space="preserve">* Cluj &amp; Oradea Km Auto (Responses)
</t>
        </r>
      </text>
    </comment>
    <comment ref="J50" authorId="0" shapeId="0" xr:uid="{C198800C-4BEA-461F-958F-406222DD5BB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 9/2/2022 4:50:55 PM </t>
        </r>
        <r>
          <rPr>
            <b/>
            <sz val="10"/>
            <color indexed="81"/>
            <rFont val="Tahoma"/>
            <family val="2"/>
          </rPr>
          <t xml:space="preserve">= 19919 - Referinta </t>
        </r>
        <r>
          <rPr>
            <sz val="10"/>
            <color indexed="81"/>
            <rFont val="Tahoma"/>
            <family val="2"/>
          </rPr>
          <t xml:space="preserve">* Cluj &amp; Oradea Km Auto (Responses)
   9/5/2022 7:05:41 AM </t>
        </r>
        <r>
          <rPr>
            <b/>
            <sz val="10"/>
            <color indexed="81"/>
            <rFont val="Tahoma"/>
            <family val="2"/>
          </rPr>
          <t xml:space="preserve">= 19919 - Normal </t>
        </r>
        <r>
          <rPr>
            <sz val="10"/>
            <color indexed="81"/>
            <rFont val="Tahoma"/>
            <family val="2"/>
          </rPr>
          <t xml:space="preserve">* Cluj &amp; Oradea Km Auto (Responses)
</t>
        </r>
      </text>
    </comment>
    <comment ref="O50" authorId="0" shapeId="0" xr:uid="{DEB558A5-B80B-45B9-8C58-D695199662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B-924-CLT</t>
        </r>
        <r>
          <rPr>
            <b/>
            <sz val="10"/>
            <color indexed="12"/>
            <rFont val="Tahoma"/>
            <family val="2"/>
          </rPr>
          <t xml:space="preserve"> - Graur Vasile Referinta a fost pusa automat
__________________________________________________________________
</t>
        </r>
        <r>
          <rPr>
            <sz val="10"/>
            <color indexed="12"/>
            <rFont val="Tahoma"/>
            <family val="2"/>
          </rPr>
          <t xml:space="preserve">  </t>
        </r>
        <r>
          <rPr>
            <sz val="10"/>
            <color indexed="81"/>
            <rFont val="Tahoma"/>
            <family val="2"/>
          </rPr>
          <t xml:space="preserve"> 9/9/2022 6:17:03 PM </t>
        </r>
        <r>
          <rPr>
            <b/>
            <sz val="10"/>
            <color indexed="81"/>
            <rFont val="Tahoma"/>
            <family val="2"/>
          </rPr>
          <t xml:space="preserve">= 20729 - Referinta </t>
        </r>
        <r>
          <rPr>
            <sz val="10"/>
            <color indexed="81"/>
            <rFont val="Tahoma"/>
            <family val="2"/>
          </rPr>
          <t xml:space="preserve">* Cluj &amp; Oradea Km Auto (Responses)
  9/12/2022 7:50:37 AM </t>
        </r>
        <r>
          <rPr>
            <b/>
            <sz val="10"/>
            <color indexed="81"/>
            <rFont val="Tahoma"/>
            <family val="2"/>
          </rPr>
          <t xml:space="preserve">= 20729 - Normal </t>
        </r>
        <r>
          <rPr>
            <sz val="10"/>
            <color indexed="81"/>
            <rFont val="Tahoma"/>
            <family val="2"/>
          </rPr>
          <t xml:space="preserve">* Cluj &amp; Oradea Km Auto (Responses)
</t>
        </r>
      </text>
    </comment>
    <comment ref="J51" authorId="0" shapeId="0" xr:uid="{5D6BBC08-11A0-492A-9A12-5EB7FBADCBE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Referinta a fost pusa automat
__________________________________________________________________
</t>
        </r>
        <r>
          <rPr>
            <sz val="10"/>
            <color indexed="12"/>
            <rFont val="Tahoma"/>
            <family val="2"/>
          </rPr>
          <t xml:space="preserve">  </t>
        </r>
        <r>
          <rPr>
            <sz val="10"/>
            <color indexed="81"/>
            <rFont val="Tahoma"/>
            <family val="2"/>
          </rPr>
          <t xml:space="preserve"> 9/2/2022 3:39:04 PM </t>
        </r>
        <r>
          <rPr>
            <b/>
            <sz val="10"/>
            <color indexed="81"/>
            <rFont val="Tahoma"/>
            <family val="2"/>
          </rPr>
          <t xml:space="preserve">= 198675 - Referinta </t>
        </r>
        <r>
          <rPr>
            <sz val="10"/>
            <color indexed="81"/>
            <rFont val="Tahoma"/>
            <family val="2"/>
          </rPr>
          <t xml:space="preserve">* Cluj &amp; Oradea Km Auto (Responses)
   9/5/2022 8:33:23 AM </t>
        </r>
        <r>
          <rPr>
            <b/>
            <sz val="10"/>
            <color indexed="81"/>
            <rFont val="Tahoma"/>
            <family val="2"/>
          </rPr>
          <t xml:space="preserve">= 198675 - Concediu </t>
        </r>
        <r>
          <rPr>
            <sz val="10"/>
            <color indexed="81"/>
            <rFont val="Tahoma"/>
            <family val="2"/>
          </rPr>
          <t xml:space="preserve">* Cluj &amp; Oradea Km Auto (Responses)
</t>
        </r>
      </text>
    </comment>
    <comment ref="O51" authorId="0" shapeId="0" xr:uid="{DFAF060F-875E-4A6C-BE08-0C464CEB1D0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Referinta a fost pusa automat
__________________________________________________________________
</t>
        </r>
        <r>
          <rPr>
            <sz val="10"/>
            <color indexed="12"/>
            <rFont val="Tahoma"/>
            <family val="2"/>
          </rPr>
          <t xml:space="preserve">  </t>
        </r>
        <r>
          <rPr>
            <sz val="10"/>
            <color indexed="81"/>
            <rFont val="Tahoma"/>
            <family val="2"/>
          </rPr>
          <t xml:space="preserve">9/12/2022 8:15:03 AM </t>
        </r>
        <r>
          <rPr>
            <b/>
            <sz val="10"/>
            <color indexed="81"/>
            <rFont val="Tahoma"/>
            <family val="2"/>
          </rPr>
          <t xml:space="preserve">= 199311 - Referinta </t>
        </r>
        <r>
          <rPr>
            <sz val="10"/>
            <color indexed="81"/>
            <rFont val="Tahoma"/>
            <family val="2"/>
          </rPr>
          <t xml:space="preserve">* Cluj &amp; Oradea Km Auto (Responses)
</t>
        </r>
      </text>
    </comment>
    <comment ref="T51" authorId="0" shapeId="0" xr:uid="{5BA0AF4D-FCD8-477E-B213-4DBE646423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__________________________________________________________________
</t>
        </r>
        <r>
          <rPr>
            <sz val="10"/>
            <color indexed="12"/>
            <rFont val="Tahoma"/>
            <family val="2"/>
          </rPr>
          <t xml:space="preserve">  </t>
        </r>
        <r>
          <rPr>
            <sz val="10"/>
            <color indexed="81"/>
            <rFont val="Tahoma"/>
            <family val="2"/>
          </rPr>
          <t xml:space="preserve">9/16/2022 6:19:10 PM </t>
        </r>
        <r>
          <rPr>
            <b/>
            <sz val="10"/>
            <color indexed="81"/>
            <rFont val="Tahoma"/>
            <family val="2"/>
          </rPr>
          <t xml:space="preserve">= 199992 - Referinta </t>
        </r>
        <r>
          <rPr>
            <sz val="10"/>
            <color indexed="81"/>
            <rFont val="Tahoma"/>
            <family val="2"/>
          </rPr>
          <t xml:space="preserve">* Cluj &amp; Oradea Km Auto (Responses)
  9/19/2022 7:25:54 AM </t>
        </r>
        <r>
          <rPr>
            <b/>
            <sz val="10"/>
            <color indexed="81"/>
            <rFont val="Tahoma"/>
            <family val="2"/>
          </rPr>
          <t xml:space="preserve">= 199992 - Normal </t>
        </r>
        <r>
          <rPr>
            <sz val="10"/>
            <color indexed="81"/>
            <rFont val="Tahoma"/>
            <family val="2"/>
          </rPr>
          <t xml:space="preserve">* Cluj &amp; Oradea Km Auto (Responses)
</t>
        </r>
      </text>
    </comment>
    <comment ref="Y51" authorId="0" shapeId="0" xr:uid="{19E077D6-3343-4997-8DB4-E16C614A804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__________________________________________________________________
</t>
        </r>
        <r>
          <rPr>
            <sz val="10"/>
            <color indexed="12"/>
            <rFont val="Tahoma"/>
            <family val="2"/>
          </rPr>
          <t xml:space="preserve">  </t>
        </r>
        <r>
          <rPr>
            <sz val="10"/>
            <color indexed="81"/>
            <rFont val="Tahoma"/>
            <family val="2"/>
          </rPr>
          <t xml:space="preserve">9/23/2022 7:57:21 PM </t>
        </r>
        <r>
          <rPr>
            <b/>
            <sz val="10"/>
            <color indexed="81"/>
            <rFont val="Tahoma"/>
            <family val="2"/>
          </rPr>
          <t xml:space="preserve">= 201618 - Referinta </t>
        </r>
        <r>
          <rPr>
            <sz val="10"/>
            <color indexed="81"/>
            <rFont val="Tahoma"/>
            <family val="2"/>
          </rPr>
          <t xml:space="preserve">* Cluj &amp; Oradea Km Auto (Responses)
  9/26/2022 6:34:45 AM </t>
        </r>
        <r>
          <rPr>
            <b/>
            <sz val="10"/>
            <color indexed="81"/>
            <rFont val="Tahoma"/>
            <family val="2"/>
          </rPr>
          <t xml:space="preserve">= 201647 - Normal </t>
        </r>
        <r>
          <rPr>
            <sz val="10"/>
            <color indexed="81"/>
            <rFont val="Tahoma"/>
            <family val="2"/>
          </rPr>
          <t xml:space="preserve">* Cluj &amp; Oradea Km Auto (Responses)
</t>
        </r>
      </text>
    </comment>
    <comment ref="AD51" authorId="0" shapeId="0" xr:uid="{524B70CC-107A-48C8-8B74-CC19DBD4235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B-444-CLT</t>
        </r>
        <r>
          <rPr>
            <b/>
            <sz val="10"/>
            <color indexed="12"/>
            <rFont val="Tahoma"/>
            <family val="2"/>
          </rPr>
          <t xml:space="preserve"> - Abrudan Liviu 
__________________________________________________________________
</t>
        </r>
        <r>
          <rPr>
            <sz val="10"/>
            <color indexed="12"/>
            <rFont val="Tahoma"/>
            <family val="2"/>
          </rPr>
          <t xml:space="preserve">  </t>
        </r>
        <r>
          <rPr>
            <sz val="10"/>
            <color indexed="81"/>
            <rFont val="Tahoma"/>
            <family val="2"/>
          </rPr>
          <t xml:space="preserve">9/30/2022 6:37:31 PM </t>
        </r>
        <r>
          <rPr>
            <b/>
            <sz val="10"/>
            <color indexed="81"/>
            <rFont val="Tahoma"/>
            <family val="2"/>
          </rPr>
          <t xml:space="preserve">= 202651 - Referinta </t>
        </r>
        <r>
          <rPr>
            <sz val="10"/>
            <color indexed="81"/>
            <rFont val="Tahoma"/>
            <family val="2"/>
          </rPr>
          <t xml:space="preserve">* Cluj &amp; Oradea Km Auto (Responses)
  10/3/2022 6:29:05 AM </t>
        </r>
        <r>
          <rPr>
            <b/>
            <sz val="10"/>
            <color indexed="81"/>
            <rFont val="Tahoma"/>
            <family val="2"/>
          </rPr>
          <t xml:space="preserve">= 202661 - Normal </t>
        </r>
        <r>
          <rPr>
            <sz val="10"/>
            <color indexed="81"/>
            <rFont val="Tahoma"/>
            <family val="2"/>
          </rPr>
          <t xml:space="preserve">* Cluj &amp; Oradea Km Auto (Responses)
</t>
        </r>
      </text>
    </comment>
    <comment ref="O52" authorId="0" shapeId="0" xr:uid="{E2FF7220-86A9-4377-BF69-163C5B3BF9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B-187-CLT</t>
        </r>
        <r>
          <rPr>
            <b/>
            <sz val="10"/>
            <color indexed="12"/>
            <rFont val="Tahoma"/>
            <family val="2"/>
          </rPr>
          <t xml:space="preserve"> - Marius Neaga Referinta a fost pusa automat
__________________________________________________________________
</t>
        </r>
        <r>
          <rPr>
            <sz val="10"/>
            <color indexed="12"/>
            <rFont val="Tahoma"/>
            <family val="2"/>
          </rPr>
          <t xml:space="preserve">  </t>
        </r>
        <r>
          <rPr>
            <sz val="10"/>
            <color indexed="81"/>
            <rFont val="Tahoma"/>
            <family val="2"/>
          </rPr>
          <t xml:space="preserve"> 9/9/2022 6:44:04 PM </t>
        </r>
        <r>
          <rPr>
            <b/>
            <sz val="10"/>
            <color indexed="81"/>
            <rFont val="Tahoma"/>
            <family val="2"/>
          </rPr>
          <t xml:space="preserve">= 88909 - Referinta </t>
        </r>
        <r>
          <rPr>
            <sz val="10"/>
            <color indexed="81"/>
            <rFont val="Tahoma"/>
            <family val="2"/>
          </rPr>
          <t xml:space="preserve">* Cluj &amp; Oradea Km Auto (Responses)
  9/12/2022 7:07:11 AM </t>
        </r>
        <r>
          <rPr>
            <b/>
            <sz val="10"/>
            <color indexed="81"/>
            <rFont val="Tahoma"/>
            <family val="2"/>
          </rPr>
          <t xml:space="preserve">= 89018 - Normal </t>
        </r>
        <r>
          <rPr>
            <sz val="10"/>
            <color indexed="81"/>
            <rFont val="Tahoma"/>
            <family val="2"/>
          </rPr>
          <t xml:space="preserve">* Cluj &amp; Oradea Km Auto (Responses)
</t>
        </r>
      </text>
    </comment>
    <comment ref="J53" authorId="0" shapeId="0" xr:uid="{61A519B2-9355-442A-B9BF-EED6DACA11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Referinta a fost pusa automat
__________________________________________________________________
</t>
        </r>
        <r>
          <rPr>
            <sz val="10"/>
            <color indexed="12"/>
            <rFont val="Tahoma"/>
            <family val="2"/>
          </rPr>
          <t xml:space="preserve">  </t>
        </r>
        <r>
          <rPr>
            <sz val="10"/>
            <color indexed="81"/>
            <rFont val="Tahoma"/>
            <family val="2"/>
          </rPr>
          <t xml:space="preserve"> 9/2/2022 7:48:57 PM </t>
        </r>
        <r>
          <rPr>
            <b/>
            <sz val="10"/>
            <color indexed="81"/>
            <rFont val="Tahoma"/>
            <family val="2"/>
          </rPr>
          <t xml:space="preserve">= 32531 - Referinta </t>
        </r>
        <r>
          <rPr>
            <sz val="10"/>
            <color indexed="81"/>
            <rFont val="Tahoma"/>
            <family val="2"/>
          </rPr>
          <t xml:space="preserve">* Cluj &amp; Oradea Km Auto (Responses)
   9/5/2022 7:32:22 AM </t>
        </r>
        <r>
          <rPr>
            <b/>
            <sz val="10"/>
            <color indexed="81"/>
            <rFont val="Tahoma"/>
            <family val="2"/>
          </rPr>
          <t xml:space="preserve">= 32531 - Normal </t>
        </r>
        <r>
          <rPr>
            <sz val="10"/>
            <color indexed="81"/>
            <rFont val="Tahoma"/>
            <family val="2"/>
          </rPr>
          <t xml:space="preserve">* Cluj &amp; Oradea Km Auto (Responses)
</t>
        </r>
      </text>
    </comment>
    <comment ref="O53" authorId="0" shapeId="0" xr:uid="{42884737-900B-4C72-B320-111F9F31DF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9/9/2022 10:02:43 PM </t>
        </r>
        <r>
          <rPr>
            <b/>
            <sz val="10"/>
            <color indexed="81"/>
            <rFont val="Tahoma"/>
            <family val="2"/>
          </rPr>
          <t xml:space="preserve">= 33169 - Referinta </t>
        </r>
        <r>
          <rPr>
            <sz val="10"/>
            <color indexed="81"/>
            <rFont val="Tahoma"/>
            <family val="2"/>
          </rPr>
          <t xml:space="preserve">* Cluj &amp; Oradea Km Auto (Responses)
  9/12/2022 6:49:00 AM </t>
        </r>
        <r>
          <rPr>
            <b/>
            <sz val="10"/>
            <color indexed="81"/>
            <rFont val="Tahoma"/>
            <family val="2"/>
          </rPr>
          <t xml:space="preserve">= 33169 - Interes serviciu </t>
        </r>
        <r>
          <rPr>
            <sz val="10"/>
            <color indexed="81"/>
            <rFont val="Tahoma"/>
            <family val="2"/>
          </rPr>
          <t xml:space="preserve">* Cluj &amp; Oradea Km Auto (Responses)
</t>
        </r>
      </text>
    </comment>
    <comment ref="T53" authorId="0" shapeId="0" xr:uid="{086FE721-B45F-4325-9946-72938E8F55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9/16/2022 9:35:00 AM </t>
        </r>
        <r>
          <rPr>
            <b/>
            <sz val="10"/>
            <color indexed="81"/>
            <rFont val="Tahoma"/>
            <family val="2"/>
          </rPr>
          <t xml:space="preserve">= 33444 - Referinta </t>
        </r>
        <r>
          <rPr>
            <sz val="10"/>
            <color indexed="81"/>
            <rFont val="Tahoma"/>
            <family val="2"/>
          </rPr>
          <t xml:space="preserve">* Cluj &amp; Oradea Km Auto (Responses)
  9/19/2022 7:15:00 AM </t>
        </r>
        <r>
          <rPr>
            <b/>
            <sz val="10"/>
            <color indexed="81"/>
            <rFont val="Tahoma"/>
            <family val="2"/>
          </rPr>
          <t xml:space="preserve">= 33484 - Normal </t>
        </r>
        <r>
          <rPr>
            <sz val="10"/>
            <color indexed="81"/>
            <rFont val="Tahoma"/>
            <family val="2"/>
          </rPr>
          <t xml:space="preserve">* Cluj &amp; Oradea Km Auto (Responses)
</t>
        </r>
      </text>
    </comment>
    <comment ref="Y53" authorId="0" shapeId="0" xr:uid="{6EEE7F62-F120-4B47-A3B1-20FE37598A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9/23/2022 9:55:00 AM </t>
        </r>
        <r>
          <rPr>
            <b/>
            <sz val="10"/>
            <color indexed="81"/>
            <rFont val="Tahoma"/>
            <family val="2"/>
          </rPr>
          <t xml:space="preserve">= 34735 - Referinta </t>
        </r>
        <r>
          <rPr>
            <sz val="10"/>
            <color indexed="81"/>
            <rFont val="Tahoma"/>
            <family val="2"/>
          </rPr>
          <t xml:space="preserve">* Cluj &amp; Oradea Km Auto (Responses)
 9/26/2022 10:20:00 AM </t>
        </r>
        <r>
          <rPr>
            <b/>
            <sz val="10"/>
            <color indexed="81"/>
            <rFont val="Tahoma"/>
            <family val="2"/>
          </rPr>
          <t xml:space="preserve">= 34740 - Normal </t>
        </r>
        <r>
          <rPr>
            <sz val="10"/>
            <color indexed="81"/>
            <rFont val="Tahoma"/>
            <family val="2"/>
          </rPr>
          <t xml:space="preserve">* Cluj &amp; Oradea Km Auto (Responses)
</t>
        </r>
      </text>
    </comment>
    <comment ref="AD53" authorId="0" shapeId="0" xr:uid="{5E749EEA-3BF7-4912-8F6F-D348CC7643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B-188-CLT</t>
        </r>
        <r>
          <rPr>
            <b/>
            <sz val="10"/>
            <color indexed="12"/>
            <rFont val="Tahoma"/>
            <family val="2"/>
          </rPr>
          <t xml:space="preserve"> - Francisc Albert 
__________________________________________________________________
</t>
        </r>
        <r>
          <rPr>
            <sz val="10"/>
            <color indexed="12"/>
            <rFont val="Tahoma"/>
            <family val="2"/>
          </rPr>
          <t xml:space="preserve">  </t>
        </r>
        <r>
          <rPr>
            <sz val="10"/>
            <color indexed="81"/>
            <rFont val="Tahoma"/>
            <family val="2"/>
          </rPr>
          <t xml:space="preserve">9/30/2022 9:28:00 AM </t>
        </r>
        <r>
          <rPr>
            <b/>
            <sz val="10"/>
            <color indexed="81"/>
            <rFont val="Tahoma"/>
            <family val="2"/>
          </rPr>
          <t xml:space="preserve">= 35942 - Referinta </t>
        </r>
        <r>
          <rPr>
            <sz val="10"/>
            <color indexed="81"/>
            <rFont val="Tahoma"/>
            <family val="2"/>
          </rPr>
          <t xml:space="preserve">* Cluj &amp; Oradea Km Auto (Responses)
  10/3/2022 7:00:00 AM </t>
        </r>
        <r>
          <rPr>
            <b/>
            <sz val="10"/>
            <color indexed="81"/>
            <rFont val="Tahoma"/>
            <family val="2"/>
          </rPr>
          <t xml:space="preserve">= 35964 - Normal </t>
        </r>
        <r>
          <rPr>
            <sz val="10"/>
            <color indexed="81"/>
            <rFont val="Tahoma"/>
            <family val="2"/>
          </rPr>
          <t xml:space="preserve">* Cluj &amp; Oradea Km Auto (Responses)
</t>
        </r>
      </text>
    </comment>
    <comment ref="AD54" authorId="0" shapeId="0" xr:uid="{826469BB-C9C9-4F5C-B51F-F5EC8A8873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Adrian Caba Referinta a fost pusa automat
__________________________________________________________________
</t>
        </r>
        <r>
          <rPr>
            <sz val="10"/>
            <color indexed="12"/>
            <rFont val="Tahoma"/>
            <family val="2"/>
          </rPr>
          <t xml:space="preserve"> 1</t>
        </r>
        <r>
          <rPr>
            <sz val="10"/>
            <color indexed="81"/>
            <rFont val="Tahoma"/>
            <family val="2"/>
          </rPr>
          <t xml:space="preserve">0/4/2022 11:20:19 AM </t>
        </r>
        <r>
          <rPr>
            <b/>
            <sz val="10"/>
            <color indexed="81"/>
            <rFont val="Tahoma"/>
            <family val="2"/>
          </rPr>
          <t xml:space="preserve">= 32565 - Referinta </t>
        </r>
        <r>
          <rPr>
            <sz val="10"/>
            <color indexed="81"/>
            <rFont val="Tahoma"/>
            <family val="2"/>
          </rPr>
          <t xml:space="preserve">* Cluj &amp; Oradea Km Auto (Responses)
</t>
        </r>
      </text>
    </comment>
    <comment ref="J55" authorId="0" shapeId="0" xr:uid="{87530E6C-9A6B-4947-BB7C-08FAA2D8AC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Referinta a fost pusa automat
__________________________________________________________________
</t>
        </r>
        <r>
          <rPr>
            <sz val="10"/>
            <color indexed="12"/>
            <rFont val="Tahoma"/>
            <family val="2"/>
          </rPr>
          <t xml:space="preserve">  </t>
        </r>
        <r>
          <rPr>
            <sz val="10"/>
            <color indexed="81"/>
            <rFont val="Tahoma"/>
            <family val="2"/>
          </rPr>
          <t xml:space="preserve"> 9/2/2022 7:51:58 PM </t>
        </r>
        <r>
          <rPr>
            <b/>
            <sz val="10"/>
            <color indexed="81"/>
            <rFont val="Tahoma"/>
            <family val="2"/>
          </rPr>
          <t xml:space="preserve">= 30943 - Referinta </t>
        </r>
        <r>
          <rPr>
            <sz val="10"/>
            <color indexed="81"/>
            <rFont val="Tahoma"/>
            <family val="2"/>
          </rPr>
          <t xml:space="preserve">* Cluj &amp; Oradea Km Auto (Responses)
   9/5/2022 9:38:10 AM </t>
        </r>
        <r>
          <rPr>
            <b/>
            <sz val="10"/>
            <color indexed="81"/>
            <rFont val="Tahoma"/>
            <family val="2"/>
          </rPr>
          <t xml:space="preserve">= 30947 - Normal </t>
        </r>
        <r>
          <rPr>
            <sz val="10"/>
            <color indexed="81"/>
            <rFont val="Tahoma"/>
            <family val="2"/>
          </rPr>
          <t xml:space="preserve">* Cluj &amp; Oradea Km Auto (Responses)
</t>
        </r>
      </text>
    </comment>
    <comment ref="O55" authorId="0" shapeId="0" xr:uid="{8AF7F202-10C8-44D9-92DC-C2975AB41D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Referinta a fost pusa automat
__________________________________________________________________
</t>
        </r>
        <r>
          <rPr>
            <sz val="10"/>
            <color indexed="12"/>
            <rFont val="Tahoma"/>
            <family val="2"/>
          </rPr>
          <t xml:space="preserve">  </t>
        </r>
        <r>
          <rPr>
            <sz val="10"/>
            <color indexed="81"/>
            <rFont val="Tahoma"/>
            <family val="2"/>
          </rPr>
          <t xml:space="preserve">9/9/2022 11:59:38 PM </t>
        </r>
        <r>
          <rPr>
            <b/>
            <sz val="10"/>
            <color indexed="81"/>
            <rFont val="Tahoma"/>
            <family val="2"/>
          </rPr>
          <t xml:space="preserve">= 31241 - Referinta </t>
        </r>
        <r>
          <rPr>
            <sz val="10"/>
            <color indexed="81"/>
            <rFont val="Tahoma"/>
            <family val="2"/>
          </rPr>
          <t xml:space="preserve">* Cluj &amp; Oradea Km Auto (Responses)
  9/12/2022 9:55:24 AM </t>
        </r>
        <r>
          <rPr>
            <b/>
            <sz val="10"/>
            <color indexed="81"/>
            <rFont val="Tahoma"/>
            <family val="2"/>
          </rPr>
          <t xml:space="preserve">= 31253 - Normal </t>
        </r>
        <r>
          <rPr>
            <sz val="10"/>
            <color indexed="81"/>
            <rFont val="Tahoma"/>
            <family val="2"/>
          </rPr>
          <t xml:space="preserve">* Cluj &amp; Oradea Km Auto (Responses)
</t>
        </r>
      </text>
    </comment>
    <comment ref="T55" authorId="0" shapeId="0" xr:uid="{38632B05-6DBB-46FB-8032-0CCF688156E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__________________________________________________________________
</t>
        </r>
        <r>
          <rPr>
            <sz val="10"/>
            <color indexed="12"/>
            <rFont val="Tahoma"/>
            <family val="2"/>
          </rPr>
          <t xml:space="preserve">  </t>
        </r>
        <r>
          <rPr>
            <sz val="10"/>
            <color indexed="81"/>
            <rFont val="Tahoma"/>
            <family val="2"/>
          </rPr>
          <t xml:space="preserve">9/16/2022 7:42:13 PM </t>
        </r>
        <r>
          <rPr>
            <b/>
            <sz val="10"/>
            <color indexed="81"/>
            <rFont val="Tahoma"/>
            <family val="2"/>
          </rPr>
          <t xml:space="preserve">= 31461 - Referinta </t>
        </r>
        <r>
          <rPr>
            <sz val="10"/>
            <color indexed="81"/>
            <rFont val="Tahoma"/>
            <family val="2"/>
          </rPr>
          <t xml:space="preserve">* Cluj &amp; Oradea Km Auto (Responses)
  9/19/2022 9:11:53 AM </t>
        </r>
        <r>
          <rPr>
            <b/>
            <sz val="10"/>
            <color indexed="81"/>
            <rFont val="Tahoma"/>
            <family val="2"/>
          </rPr>
          <t xml:space="preserve">= 31466 - Normal </t>
        </r>
        <r>
          <rPr>
            <sz val="10"/>
            <color indexed="81"/>
            <rFont val="Tahoma"/>
            <family val="2"/>
          </rPr>
          <t xml:space="preserve">* Cluj &amp; Oradea Km Auto (Responses)
</t>
        </r>
      </text>
    </comment>
    <comment ref="Y55" authorId="0" shapeId="0" xr:uid="{EFF8BC40-5954-4A82-9476-BDAA7B57CC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__________________________________________________________________
</t>
        </r>
        <r>
          <rPr>
            <sz val="10"/>
            <color indexed="12"/>
            <rFont val="Tahoma"/>
            <family val="2"/>
          </rPr>
          <t xml:space="preserve">  </t>
        </r>
        <r>
          <rPr>
            <sz val="10"/>
            <color indexed="81"/>
            <rFont val="Tahoma"/>
            <family val="2"/>
          </rPr>
          <t xml:space="preserve">9/23/2022 8:21:46 PM </t>
        </r>
        <r>
          <rPr>
            <b/>
            <sz val="10"/>
            <color indexed="81"/>
            <rFont val="Tahoma"/>
            <family val="2"/>
          </rPr>
          <t xml:space="preserve">= 32033 - Referinta </t>
        </r>
        <r>
          <rPr>
            <sz val="10"/>
            <color indexed="81"/>
            <rFont val="Tahoma"/>
            <family val="2"/>
          </rPr>
          <t xml:space="preserve">* Cluj &amp; Oradea Km Auto (Responses)
 9/27/2022 12:40:57 PM </t>
        </r>
        <r>
          <rPr>
            <b/>
            <sz val="10"/>
            <color indexed="81"/>
            <rFont val="Tahoma"/>
            <family val="2"/>
          </rPr>
          <t xml:space="preserve">= 32445 - Concediu </t>
        </r>
        <r>
          <rPr>
            <sz val="10"/>
            <color indexed="81"/>
            <rFont val="Tahoma"/>
            <family val="2"/>
          </rPr>
          <t xml:space="preserve">* Cluj &amp; Oradea Km Auto (Responses)
</t>
        </r>
      </text>
    </comment>
    <comment ref="AD55" authorId="0" shapeId="0" xr:uid="{52C840FF-B2B3-4B21-BECB-458BD81E444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B-802-CLT</t>
        </r>
        <r>
          <rPr>
            <b/>
            <sz val="10"/>
            <color indexed="12"/>
            <rFont val="Tahoma"/>
            <family val="2"/>
          </rPr>
          <t xml:space="preserve"> - Crisan Marius Referinta a fost pusa automat
__________________________________________________________________
</t>
        </r>
        <r>
          <rPr>
            <sz val="10"/>
            <color indexed="12"/>
            <rFont val="Tahoma"/>
            <family val="2"/>
          </rPr>
          <t xml:space="preserve">  </t>
        </r>
        <r>
          <rPr>
            <sz val="10"/>
            <color indexed="81"/>
            <rFont val="Tahoma"/>
            <family val="2"/>
          </rPr>
          <t xml:space="preserve">9/30/2022 1:37:25 PM </t>
        </r>
        <r>
          <rPr>
            <b/>
            <sz val="10"/>
            <color indexed="81"/>
            <rFont val="Tahoma"/>
            <family val="2"/>
          </rPr>
          <t xml:space="preserve">= 32445 - Referinta </t>
        </r>
        <r>
          <rPr>
            <sz val="10"/>
            <color indexed="81"/>
            <rFont val="Tahoma"/>
            <family val="2"/>
          </rPr>
          <t xml:space="preserve">* Cluj &amp; Oradea Km Auto (Responses)
  9/30/2022 2:55:56 PM </t>
        </r>
        <r>
          <rPr>
            <b/>
            <sz val="10"/>
            <color indexed="81"/>
            <rFont val="Tahoma"/>
            <family val="2"/>
          </rPr>
          <t xml:space="preserve">= 32565 - Normal </t>
        </r>
        <r>
          <rPr>
            <sz val="10"/>
            <color indexed="81"/>
            <rFont val="Tahoma"/>
            <family val="2"/>
          </rPr>
          <t xml:space="preserve">* Cluj &amp; Oradea Km Auto (Responses)
</t>
        </r>
      </text>
    </comment>
    <comment ref="J56" authorId="0" shapeId="0" xr:uid="{6B36EFF6-9463-40C2-8536-8FB13B5628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Referinta a fost pusa automat
__________________________________________________________________
</t>
        </r>
        <r>
          <rPr>
            <sz val="10"/>
            <color indexed="12"/>
            <rFont val="Tahoma"/>
            <family val="2"/>
          </rPr>
          <t xml:space="preserve">  </t>
        </r>
        <r>
          <rPr>
            <sz val="10"/>
            <color indexed="81"/>
            <rFont val="Tahoma"/>
            <family val="2"/>
          </rPr>
          <t xml:space="preserve">9/3/2022 10:36:50 AM </t>
        </r>
        <r>
          <rPr>
            <b/>
            <sz val="10"/>
            <color indexed="81"/>
            <rFont val="Tahoma"/>
            <family val="2"/>
          </rPr>
          <t xml:space="preserve">= 113279 - Referinta </t>
        </r>
        <r>
          <rPr>
            <sz val="10"/>
            <color indexed="81"/>
            <rFont val="Tahoma"/>
            <family val="2"/>
          </rPr>
          <t xml:space="preserve">* Cluj &amp; Oradea Km Auto (Responses)
   9/5/2022 7:32:49 AM </t>
        </r>
        <r>
          <rPr>
            <b/>
            <sz val="10"/>
            <color indexed="81"/>
            <rFont val="Tahoma"/>
            <family val="2"/>
          </rPr>
          <t xml:space="preserve">= 113393 - Normal </t>
        </r>
        <r>
          <rPr>
            <sz val="10"/>
            <color indexed="81"/>
            <rFont val="Tahoma"/>
            <family val="2"/>
          </rPr>
          <t xml:space="preserve">* Cluj &amp; Oradea Km Auto (Responses)
</t>
        </r>
      </text>
    </comment>
    <comment ref="O56" authorId="0" shapeId="0" xr:uid="{9CF6644E-9C52-47FD-AE5D-C2D8CB1B00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Referinta a fost pusa automat
__________________________________________________________________
</t>
        </r>
        <r>
          <rPr>
            <sz val="10"/>
            <color indexed="12"/>
            <rFont val="Tahoma"/>
            <family val="2"/>
          </rPr>
          <t xml:space="preserve"> 9</t>
        </r>
        <r>
          <rPr>
            <sz val="10"/>
            <color indexed="81"/>
            <rFont val="Tahoma"/>
            <family val="2"/>
          </rPr>
          <t xml:space="preserve">/10/2022 10:52:46 AM </t>
        </r>
        <r>
          <rPr>
            <b/>
            <sz val="10"/>
            <color indexed="81"/>
            <rFont val="Tahoma"/>
            <family val="2"/>
          </rPr>
          <t xml:space="preserve">= 113778 - Referinta </t>
        </r>
        <r>
          <rPr>
            <sz val="10"/>
            <color indexed="81"/>
            <rFont val="Tahoma"/>
            <family val="2"/>
          </rPr>
          <t xml:space="preserve">* Cluj &amp; Oradea Km Auto (Responses)
  9/12/2022 6:41:00 AM </t>
        </r>
        <r>
          <rPr>
            <b/>
            <sz val="10"/>
            <color indexed="81"/>
            <rFont val="Tahoma"/>
            <family val="2"/>
          </rPr>
          <t xml:space="preserve">= 113849 - Normal </t>
        </r>
        <r>
          <rPr>
            <sz val="10"/>
            <color indexed="81"/>
            <rFont val="Tahoma"/>
            <family val="2"/>
          </rPr>
          <t xml:space="preserve">* Cluj &amp; Oradea Km Auto (Responses)
</t>
        </r>
      </text>
    </comment>
    <comment ref="T56" authorId="0" shapeId="0" xr:uid="{BF92D85C-70FB-446B-91CB-9273A99E61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__________________________________________________________________
</t>
        </r>
        <r>
          <rPr>
            <sz val="10"/>
            <color indexed="12"/>
            <rFont val="Tahoma"/>
            <family val="2"/>
          </rPr>
          <t xml:space="preserve">  </t>
        </r>
        <r>
          <rPr>
            <sz val="10"/>
            <color indexed="81"/>
            <rFont val="Tahoma"/>
            <family val="2"/>
          </rPr>
          <t xml:space="preserve">9/16/2022 4:20:00 AM </t>
        </r>
        <r>
          <rPr>
            <b/>
            <sz val="10"/>
            <color indexed="81"/>
            <rFont val="Tahoma"/>
            <family val="2"/>
          </rPr>
          <t xml:space="preserve">= 114193 - Referinta </t>
        </r>
        <r>
          <rPr>
            <sz val="10"/>
            <color indexed="81"/>
            <rFont val="Tahoma"/>
            <family val="2"/>
          </rPr>
          <t xml:space="preserve">* Cluj &amp; Oradea Km Auto (Responses)
  9/19/2022 7:22:00 AM </t>
        </r>
        <r>
          <rPr>
            <b/>
            <sz val="10"/>
            <color indexed="81"/>
            <rFont val="Tahoma"/>
            <family val="2"/>
          </rPr>
          <t xml:space="preserve">= 114193 - Normal </t>
        </r>
        <r>
          <rPr>
            <sz val="10"/>
            <color indexed="81"/>
            <rFont val="Tahoma"/>
            <family val="2"/>
          </rPr>
          <t xml:space="preserve">* Cluj &amp; Oradea Km Auto (Responses)
</t>
        </r>
      </text>
    </comment>
    <comment ref="Y56" authorId="0" shapeId="0" xr:uid="{790BE2D1-5726-43F3-BCDE-04C215636D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__________________________________________________________________
</t>
        </r>
        <r>
          <rPr>
            <sz val="10"/>
            <color indexed="12"/>
            <rFont val="Tahoma"/>
            <family val="2"/>
          </rPr>
          <t xml:space="preserve">  </t>
        </r>
        <r>
          <rPr>
            <sz val="10"/>
            <color indexed="81"/>
            <rFont val="Tahoma"/>
            <family val="2"/>
          </rPr>
          <t xml:space="preserve">9/23/2022 8:18:00 AM </t>
        </r>
        <r>
          <rPr>
            <b/>
            <sz val="10"/>
            <color indexed="81"/>
            <rFont val="Tahoma"/>
            <family val="2"/>
          </rPr>
          <t xml:space="preserve">= 114725 - Referinta </t>
        </r>
        <r>
          <rPr>
            <sz val="10"/>
            <color indexed="81"/>
            <rFont val="Tahoma"/>
            <family val="2"/>
          </rPr>
          <t xml:space="preserve">* Cluj &amp; Oradea Km Auto (Responses)
  9/26/2022 7:31:00 AM </t>
        </r>
        <r>
          <rPr>
            <b/>
            <sz val="10"/>
            <color indexed="81"/>
            <rFont val="Tahoma"/>
            <family val="2"/>
          </rPr>
          <t xml:space="preserve">= 114875 - Normal </t>
        </r>
        <r>
          <rPr>
            <sz val="10"/>
            <color indexed="81"/>
            <rFont val="Tahoma"/>
            <family val="2"/>
          </rPr>
          <t xml:space="preserve">* Cluj &amp; Oradea Km Auto (Responses)
</t>
        </r>
      </text>
    </comment>
    <comment ref="AD56" authorId="0" shapeId="0" xr:uid="{45E80B15-0C5D-45E4-ADD3-8CDE1F21D8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B-181-CLT</t>
        </r>
        <r>
          <rPr>
            <b/>
            <sz val="10"/>
            <color indexed="12"/>
            <rFont val="Tahoma"/>
            <family val="2"/>
          </rPr>
          <t xml:space="preserve"> - Robert Gall 
__________________________________________________________________
</t>
        </r>
        <r>
          <rPr>
            <sz val="10"/>
            <color indexed="12"/>
            <rFont val="Tahoma"/>
            <family val="2"/>
          </rPr>
          <t xml:space="preserve">  </t>
        </r>
        <r>
          <rPr>
            <sz val="10"/>
            <color indexed="81"/>
            <rFont val="Tahoma"/>
            <family val="2"/>
          </rPr>
          <t xml:space="preserve">9/30/2022 8:24:00 AM </t>
        </r>
        <r>
          <rPr>
            <b/>
            <sz val="10"/>
            <color indexed="81"/>
            <rFont val="Tahoma"/>
            <family val="2"/>
          </rPr>
          <t xml:space="preserve">= 115250 - Referinta </t>
        </r>
        <r>
          <rPr>
            <sz val="10"/>
            <color indexed="81"/>
            <rFont val="Tahoma"/>
            <family val="2"/>
          </rPr>
          <t xml:space="preserve">* Cluj &amp; Oradea Km Auto (Responses)
  10/3/2022 7:16:00 AM </t>
        </r>
        <r>
          <rPr>
            <b/>
            <sz val="10"/>
            <color indexed="81"/>
            <rFont val="Tahoma"/>
            <family val="2"/>
          </rPr>
          <t xml:space="preserve">= 115344 - Normal </t>
        </r>
        <r>
          <rPr>
            <sz val="10"/>
            <color indexed="81"/>
            <rFont val="Tahoma"/>
            <family val="2"/>
          </rPr>
          <t xml:space="preserve">* Cluj &amp; Oradea Km Auto (Responses)
</t>
        </r>
      </text>
    </comment>
    <comment ref="J57" authorId="0" shapeId="0" xr:uid="{4DB2C4B4-DE2A-4CF0-B5BE-C2D96C3034A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Referinta a fost pusa automat
__________________________________________________________________
</t>
        </r>
        <r>
          <rPr>
            <sz val="10"/>
            <color indexed="12"/>
            <rFont val="Tahoma"/>
            <family val="2"/>
          </rPr>
          <t xml:space="preserve">  </t>
        </r>
        <r>
          <rPr>
            <sz val="10"/>
            <color indexed="81"/>
            <rFont val="Tahoma"/>
            <family val="2"/>
          </rPr>
          <t xml:space="preserve"> 9/2/2022 8:55:23 PM </t>
        </r>
        <r>
          <rPr>
            <b/>
            <sz val="10"/>
            <color indexed="81"/>
            <rFont val="Tahoma"/>
            <family val="2"/>
          </rPr>
          <t xml:space="preserve">= 47745 - Referinta </t>
        </r>
        <r>
          <rPr>
            <sz val="10"/>
            <color indexed="81"/>
            <rFont val="Tahoma"/>
            <family val="2"/>
          </rPr>
          <t xml:space="preserve">* Cluj &amp; Oradea Km Auto (Responses)
   9/5/2022 8:28:17 AM </t>
        </r>
        <r>
          <rPr>
            <b/>
            <sz val="10"/>
            <color indexed="81"/>
            <rFont val="Tahoma"/>
            <family val="2"/>
          </rPr>
          <t xml:space="preserve">= 47759 - Normal </t>
        </r>
        <r>
          <rPr>
            <sz val="10"/>
            <color indexed="81"/>
            <rFont val="Tahoma"/>
            <family val="2"/>
          </rPr>
          <t xml:space="preserve">* Cluj &amp; Oradea Km Auto (Responses)
</t>
        </r>
      </text>
    </comment>
    <comment ref="O57" authorId="0" shapeId="0" xr:uid="{E630B25D-439F-4A32-BE20-01C67F69D3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 9/9/2022 8:58:41 PM </t>
        </r>
        <r>
          <rPr>
            <b/>
            <sz val="10"/>
            <color indexed="81"/>
            <rFont val="Tahoma"/>
            <family val="2"/>
          </rPr>
          <t xml:space="preserve">= 48347 - Referinta </t>
        </r>
        <r>
          <rPr>
            <sz val="10"/>
            <color indexed="81"/>
            <rFont val="Tahoma"/>
            <family val="2"/>
          </rPr>
          <t xml:space="preserve">* Cluj &amp; Oradea Km Auto (Responses)
  9/12/2022 6:51:42 AM </t>
        </r>
        <r>
          <rPr>
            <b/>
            <sz val="10"/>
            <color indexed="81"/>
            <rFont val="Tahoma"/>
            <family val="2"/>
          </rPr>
          <t xml:space="preserve">= 48347 - Normal </t>
        </r>
        <r>
          <rPr>
            <sz val="10"/>
            <color indexed="81"/>
            <rFont val="Tahoma"/>
            <family val="2"/>
          </rPr>
          <t xml:space="preserve">* Cluj &amp; Oradea Km Auto (Responses)
</t>
        </r>
      </text>
    </comment>
    <comment ref="T57" authorId="0" shapeId="0" xr:uid="{1380CA4E-A0C5-4229-94AB-1F005079DAD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9/16/2022 6:22:36 PM </t>
        </r>
        <r>
          <rPr>
            <b/>
            <sz val="10"/>
            <color indexed="81"/>
            <rFont val="Tahoma"/>
            <family val="2"/>
          </rPr>
          <t xml:space="preserve">= 49225 - Referinta </t>
        </r>
        <r>
          <rPr>
            <sz val="10"/>
            <color indexed="81"/>
            <rFont val="Tahoma"/>
            <family val="2"/>
          </rPr>
          <t xml:space="preserve">* Cluj &amp; Oradea Km Auto (Responses)
  9/19/2022 7:21:42 AM </t>
        </r>
        <r>
          <rPr>
            <b/>
            <sz val="10"/>
            <color indexed="81"/>
            <rFont val="Tahoma"/>
            <family val="2"/>
          </rPr>
          <t xml:space="preserve">= 49225 - Normal </t>
        </r>
        <r>
          <rPr>
            <sz val="10"/>
            <color indexed="81"/>
            <rFont val="Tahoma"/>
            <family val="2"/>
          </rPr>
          <t xml:space="preserve">* Cluj &amp; Oradea Km Auto (Responses)
</t>
        </r>
      </text>
    </comment>
    <comment ref="Y57" authorId="0" shapeId="0" xr:uid="{E00305F4-0F5B-440E-BC97-07D6F234AB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9/23/2022 6:54:33 PM </t>
        </r>
        <r>
          <rPr>
            <b/>
            <sz val="10"/>
            <color indexed="81"/>
            <rFont val="Tahoma"/>
            <family val="2"/>
          </rPr>
          <t xml:space="preserve">= 49701 - Referinta </t>
        </r>
        <r>
          <rPr>
            <sz val="10"/>
            <color indexed="81"/>
            <rFont val="Tahoma"/>
            <family val="2"/>
          </rPr>
          <t xml:space="preserve">* Cluj &amp; Oradea Km Auto (Responses)
  9/26/2022 7:24:15 AM </t>
        </r>
        <r>
          <rPr>
            <b/>
            <sz val="10"/>
            <color indexed="81"/>
            <rFont val="Tahoma"/>
            <family val="2"/>
          </rPr>
          <t xml:space="preserve">= 49701 - Normal </t>
        </r>
        <r>
          <rPr>
            <sz val="10"/>
            <color indexed="81"/>
            <rFont val="Tahoma"/>
            <family val="2"/>
          </rPr>
          <t xml:space="preserve">* Cluj &amp; Oradea Km Auto (Responses)
</t>
        </r>
      </text>
    </comment>
    <comment ref="AD57" authorId="0" shapeId="0" xr:uid="{4A5B88E9-7833-4840-9748-B73394E814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B-806-CLT</t>
        </r>
        <r>
          <rPr>
            <b/>
            <sz val="10"/>
            <color indexed="12"/>
            <rFont val="Tahoma"/>
            <family val="2"/>
          </rPr>
          <t xml:space="preserve"> - Adrian Caba 
__________________________________________________________________
</t>
        </r>
        <r>
          <rPr>
            <sz val="10"/>
            <color indexed="12"/>
            <rFont val="Tahoma"/>
            <family val="2"/>
          </rPr>
          <t xml:space="preserve">  </t>
        </r>
        <r>
          <rPr>
            <sz val="10"/>
            <color indexed="81"/>
            <rFont val="Tahoma"/>
            <family val="2"/>
          </rPr>
          <t xml:space="preserve">9/30/2022 7:09:27 PM </t>
        </r>
        <r>
          <rPr>
            <b/>
            <sz val="10"/>
            <color indexed="81"/>
            <rFont val="Tahoma"/>
            <family val="2"/>
          </rPr>
          <t xml:space="preserve">= 50076 - Referinta </t>
        </r>
        <r>
          <rPr>
            <sz val="10"/>
            <color indexed="81"/>
            <rFont val="Tahoma"/>
            <family val="2"/>
          </rPr>
          <t xml:space="preserve">* Cluj &amp; Oradea Km Auto (Responses)
  10/3/2022 7:23:43 AM </t>
        </r>
        <r>
          <rPr>
            <b/>
            <sz val="10"/>
            <color indexed="81"/>
            <rFont val="Tahoma"/>
            <family val="2"/>
          </rPr>
          <t xml:space="preserve">= 50076 - Normal </t>
        </r>
        <r>
          <rPr>
            <sz val="10"/>
            <color indexed="81"/>
            <rFont val="Tahoma"/>
            <family val="2"/>
          </rPr>
          <t xml:space="preserve">* Cluj &amp; Oradea Km Auto (Responses)
</t>
        </r>
      </text>
    </comment>
    <comment ref="J58" authorId="0" shapeId="0" xr:uid="{66CA0DC3-8522-4733-B580-4D931CB369E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5:40:13 PM </t>
        </r>
        <r>
          <rPr>
            <b/>
            <sz val="10"/>
            <color indexed="81"/>
            <rFont val="Tahoma"/>
            <family val="2"/>
          </rPr>
          <t xml:space="preserve">= 5579 - Referinta </t>
        </r>
        <r>
          <rPr>
            <sz val="10"/>
            <color indexed="81"/>
            <rFont val="Tahoma"/>
            <family val="2"/>
          </rPr>
          <t xml:space="preserve">* Constanta Km Auto (Responses)
   9/5/2022 7:57:54 AM </t>
        </r>
        <r>
          <rPr>
            <b/>
            <sz val="10"/>
            <color indexed="81"/>
            <rFont val="Tahoma"/>
            <family val="2"/>
          </rPr>
          <t xml:space="preserve">= 5609 - Normal </t>
        </r>
        <r>
          <rPr>
            <sz val="10"/>
            <color indexed="81"/>
            <rFont val="Tahoma"/>
            <family val="2"/>
          </rPr>
          <t xml:space="preserve">* Constanta Km Auto (Responses)
</t>
        </r>
      </text>
    </comment>
    <comment ref="O58" authorId="0" shapeId="0" xr:uid="{2F9F3565-A03E-4087-9CCF-C76CF05BFD7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 9/9/2022 4:19:02 PM </t>
        </r>
        <r>
          <rPr>
            <b/>
            <sz val="10"/>
            <color indexed="81"/>
            <rFont val="Tahoma"/>
            <family val="2"/>
          </rPr>
          <t xml:space="preserve">= 5713 - Referinta </t>
        </r>
        <r>
          <rPr>
            <sz val="10"/>
            <color indexed="81"/>
            <rFont val="Tahoma"/>
            <family val="2"/>
          </rPr>
          <t xml:space="preserve">* Constanta Km Auto (Responses)
  9/12/2022 8:09:12 AM </t>
        </r>
        <r>
          <rPr>
            <b/>
            <sz val="10"/>
            <color indexed="81"/>
            <rFont val="Tahoma"/>
            <family val="2"/>
          </rPr>
          <t xml:space="preserve">= 5761 - Normal </t>
        </r>
        <r>
          <rPr>
            <sz val="10"/>
            <color indexed="81"/>
            <rFont val="Tahoma"/>
            <family val="2"/>
          </rPr>
          <t xml:space="preserve">* Constanta Km Auto (Responses)
</t>
        </r>
      </text>
    </comment>
    <comment ref="T58" authorId="0" shapeId="0" xr:uid="{C6D44DDF-6B2D-4FBA-A2BB-4F8E5079F5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9/16/2022 4:09:23 PM </t>
        </r>
        <r>
          <rPr>
            <b/>
            <sz val="10"/>
            <color indexed="81"/>
            <rFont val="Tahoma"/>
            <family val="2"/>
          </rPr>
          <t xml:space="preserve">= 5821 - Referinta </t>
        </r>
        <r>
          <rPr>
            <sz val="10"/>
            <color indexed="81"/>
            <rFont val="Tahoma"/>
            <family val="2"/>
          </rPr>
          <t xml:space="preserve">* Constanta Km Auto (Responses)
  9/19/2022 8:00:27 AM </t>
        </r>
        <r>
          <rPr>
            <b/>
            <sz val="10"/>
            <color indexed="81"/>
            <rFont val="Tahoma"/>
            <family val="2"/>
          </rPr>
          <t xml:space="preserve">= 5861 - Normal </t>
        </r>
        <r>
          <rPr>
            <sz val="10"/>
            <color indexed="81"/>
            <rFont val="Tahoma"/>
            <family val="2"/>
          </rPr>
          <t xml:space="preserve">* Constanta Km Auto (Responses)
</t>
        </r>
      </text>
    </comment>
    <comment ref="Y58" authorId="0" shapeId="0" xr:uid="{07920DDF-94B7-4341-A926-8544E3BA9D7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9/23/2022 4:12:32 PM </t>
        </r>
        <r>
          <rPr>
            <b/>
            <sz val="10"/>
            <color indexed="81"/>
            <rFont val="Tahoma"/>
            <family val="2"/>
          </rPr>
          <t xml:space="preserve">= 5905 - Referinta </t>
        </r>
        <r>
          <rPr>
            <sz val="10"/>
            <color indexed="81"/>
            <rFont val="Tahoma"/>
            <family val="2"/>
          </rPr>
          <t xml:space="preserve">* Constanta Km Auto (Responses)
  9/26/2022 8:01:57 AM </t>
        </r>
        <r>
          <rPr>
            <b/>
            <sz val="10"/>
            <color indexed="81"/>
            <rFont val="Tahoma"/>
            <family val="2"/>
          </rPr>
          <t xml:space="preserve">= 6419 - Normal </t>
        </r>
        <r>
          <rPr>
            <sz val="10"/>
            <color indexed="81"/>
            <rFont val="Tahoma"/>
            <family val="2"/>
          </rPr>
          <t xml:space="preserve">* Constanta Km Auto (Responses)
</t>
        </r>
      </text>
    </comment>
    <comment ref="AD58" authorId="0" shapeId="0" xr:uid="{209E5548-5A33-4862-B775-94D1545D1B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B-920-CLT</t>
        </r>
        <r>
          <rPr>
            <b/>
            <sz val="10"/>
            <color indexed="12"/>
            <rFont val="Tahoma"/>
            <family val="2"/>
          </rPr>
          <t xml:space="preserve"> - Mavrodin Bogdan 
__________________________________________________________________
</t>
        </r>
        <r>
          <rPr>
            <sz val="10"/>
            <color indexed="12"/>
            <rFont val="Tahoma"/>
            <family val="2"/>
          </rPr>
          <t xml:space="preserve">  </t>
        </r>
        <r>
          <rPr>
            <sz val="10"/>
            <color indexed="81"/>
            <rFont val="Tahoma"/>
            <family val="2"/>
          </rPr>
          <t xml:space="preserve">9/30/2022 4:11:54 PM </t>
        </r>
        <r>
          <rPr>
            <b/>
            <sz val="10"/>
            <color indexed="81"/>
            <rFont val="Tahoma"/>
            <family val="2"/>
          </rPr>
          <t xml:space="preserve">= 6512 - Referinta </t>
        </r>
        <r>
          <rPr>
            <sz val="10"/>
            <color indexed="81"/>
            <rFont val="Tahoma"/>
            <family val="2"/>
          </rPr>
          <t xml:space="preserve">* Constanta Km Auto (Responses)
  10/3/2022 8:03:13 AM </t>
        </r>
        <r>
          <rPr>
            <b/>
            <sz val="10"/>
            <color indexed="81"/>
            <rFont val="Tahoma"/>
            <family val="2"/>
          </rPr>
          <t xml:space="preserve">= 6551 - Normal </t>
        </r>
        <r>
          <rPr>
            <sz val="10"/>
            <color indexed="81"/>
            <rFont val="Tahoma"/>
            <family val="2"/>
          </rPr>
          <t xml:space="preserve">* Constanta Km Auto (Responses)
</t>
        </r>
      </text>
    </comment>
    <comment ref="J59" authorId="0" shapeId="0" xr:uid="{DFD01158-B3CF-4E81-8B26-A9924DB75F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Referinta a fost pusa automat
__________________________________________________________________
</t>
        </r>
        <r>
          <rPr>
            <sz val="10"/>
            <color indexed="12"/>
            <rFont val="Tahoma"/>
            <family val="2"/>
          </rPr>
          <t xml:space="preserve">  </t>
        </r>
        <r>
          <rPr>
            <sz val="10"/>
            <color indexed="81"/>
            <rFont val="Tahoma"/>
            <family val="2"/>
          </rPr>
          <t xml:space="preserve"> 9/5/2022 7:35:29 AM </t>
        </r>
        <r>
          <rPr>
            <b/>
            <sz val="10"/>
            <color indexed="81"/>
            <rFont val="Tahoma"/>
            <family val="2"/>
          </rPr>
          <t xml:space="preserve">= 17439 - Referinta </t>
        </r>
        <r>
          <rPr>
            <sz val="10"/>
            <color indexed="81"/>
            <rFont val="Tahoma"/>
            <family val="2"/>
          </rPr>
          <t xml:space="preserve">* Constanta Km Auto (Responses)
   9/5/2022 7:45:40 AM </t>
        </r>
        <r>
          <rPr>
            <b/>
            <sz val="10"/>
            <color indexed="81"/>
            <rFont val="Tahoma"/>
            <family val="2"/>
          </rPr>
          <t xml:space="preserve">= 17446 - Normal </t>
        </r>
        <r>
          <rPr>
            <sz val="10"/>
            <color indexed="81"/>
            <rFont val="Tahoma"/>
            <family val="2"/>
          </rPr>
          <t xml:space="preserve">* Constanta Km Auto (Responses)
   9/7/2022 7:06:59 AM </t>
        </r>
        <r>
          <rPr>
            <b/>
            <sz val="10"/>
            <color indexed="81"/>
            <rFont val="Tahoma"/>
            <family val="2"/>
          </rPr>
          <t xml:space="preserve">= 17765 - Referinta </t>
        </r>
        <r>
          <rPr>
            <sz val="10"/>
            <color indexed="81"/>
            <rFont val="Tahoma"/>
            <family val="2"/>
          </rPr>
          <t xml:space="preserve">* Constanta Km Auto (Responses)
</t>
        </r>
      </text>
    </comment>
    <comment ref="O59" authorId="0" shapeId="0" xr:uid="{6BE48397-EDFD-40E0-AF8C-F7D71DF3F20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__________________________________________________________________
</t>
        </r>
        <r>
          <rPr>
            <sz val="10"/>
            <color indexed="12"/>
            <rFont val="Tahoma"/>
            <family val="2"/>
          </rPr>
          <t xml:space="preserve">  </t>
        </r>
        <r>
          <rPr>
            <sz val="10"/>
            <color indexed="81"/>
            <rFont val="Tahoma"/>
            <family val="2"/>
          </rPr>
          <t xml:space="preserve"> 9/9/2022 7:06:59 AM </t>
        </r>
        <r>
          <rPr>
            <b/>
            <sz val="10"/>
            <color indexed="81"/>
            <rFont val="Tahoma"/>
            <family val="2"/>
          </rPr>
          <t xml:space="preserve">= 17765 - Referinta </t>
        </r>
        <r>
          <rPr>
            <sz val="10"/>
            <color indexed="81"/>
            <rFont val="Tahoma"/>
            <family val="2"/>
          </rPr>
          <t xml:space="preserve">* Constanta Km Auto (Responses)
  9/12/2022 7:22:23 AM </t>
        </r>
        <r>
          <rPr>
            <b/>
            <sz val="10"/>
            <color indexed="81"/>
            <rFont val="Tahoma"/>
            <family val="2"/>
          </rPr>
          <t xml:space="preserve">= 17981 - Normal </t>
        </r>
        <r>
          <rPr>
            <sz val="10"/>
            <color indexed="81"/>
            <rFont val="Tahoma"/>
            <family val="2"/>
          </rPr>
          <t xml:space="preserve">* Constanta Km Auto (Responses)
</t>
        </r>
      </text>
    </comment>
    <comment ref="T59" authorId="0" shapeId="0" xr:uid="{2A999E06-EBA0-4D8B-89F2-513D84D46D7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Referinta a fost pusa automat
__________________________________________________________________
</t>
        </r>
        <r>
          <rPr>
            <sz val="10"/>
            <color indexed="12"/>
            <rFont val="Tahoma"/>
            <family val="2"/>
          </rPr>
          <t xml:space="preserve">  </t>
        </r>
        <r>
          <rPr>
            <sz val="10"/>
            <color indexed="81"/>
            <rFont val="Tahoma"/>
            <family val="2"/>
          </rPr>
          <t xml:space="preserve">9/16/2022 5:22:00 AM </t>
        </r>
        <r>
          <rPr>
            <b/>
            <sz val="10"/>
            <color indexed="81"/>
            <rFont val="Tahoma"/>
            <family val="2"/>
          </rPr>
          <t xml:space="preserve">= 18621 - Referinta </t>
        </r>
        <r>
          <rPr>
            <sz val="10"/>
            <color indexed="81"/>
            <rFont val="Tahoma"/>
            <family val="2"/>
          </rPr>
          <t xml:space="preserve">* Constanta Km Auto (Responses)
  9/19/2022 7:11:00 AM </t>
        </r>
        <r>
          <rPr>
            <b/>
            <sz val="10"/>
            <color indexed="81"/>
            <rFont val="Tahoma"/>
            <family val="2"/>
          </rPr>
          <t xml:space="preserve">= 18693 - Normal </t>
        </r>
        <r>
          <rPr>
            <sz val="10"/>
            <color indexed="81"/>
            <rFont val="Tahoma"/>
            <family val="2"/>
          </rPr>
          <t xml:space="preserve">* Constanta Km Auto (Responses)
</t>
        </r>
      </text>
    </comment>
    <comment ref="Y59" authorId="0" shapeId="0" xr:uid="{144F74F8-49FC-4CF5-90D8-9D6F8801DD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Referinta a fost pusa automat
__________________________________________________________________
</t>
        </r>
        <r>
          <rPr>
            <sz val="10"/>
            <color indexed="12"/>
            <rFont val="Tahoma"/>
            <family val="2"/>
          </rPr>
          <t xml:space="preserve">  </t>
        </r>
        <r>
          <rPr>
            <sz val="10"/>
            <color indexed="81"/>
            <rFont val="Tahoma"/>
            <family val="2"/>
          </rPr>
          <t xml:space="preserve">9/25/2022 9:40:39 AM </t>
        </r>
        <r>
          <rPr>
            <b/>
            <sz val="10"/>
            <color indexed="81"/>
            <rFont val="Tahoma"/>
            <family val="2"/>
          </rPr>
          <t xml:space="preserve">= 19540 - Referinta </t>
        </r>
        <r>
          <rPr>
            <sz val="10"/>
            <color indexed="81"/>
            <rFont val="Tahoma"/>
            <family val="2"/>
          </rPr>
          <t xml:space="preserve">* Constanta Km Auto (Responses)
  9/26/2022 1:43:54 PM </t>
        </r>
        <r>
          <rPr>
            <b/>
            <sz val="10"/>
            <color indexed="81"/>
            <rFont val="Tahoma"/>
            <family val="2"/>
          </rPr>
          <t xml:space="preserve">= 19701 - Normal </t>
        </r>
        <r>
          <rPr>
            <sz val="10"/>
            <color indexed="81"/>
            <rFont val="Tahoma"/>
            <family val="2"/>
          </rPr>
          <t xml:space="preserve">* Constanta Km Auto (Responses)
</t>
        </r>
      </text>
    </comment>
    <comment ref="AD59" authorId="0" shapeId="0" xr:uid="{2F8D1AD5-6BFB-45D5-8D26-03ECF0DA56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B-911-CLT</t>
        </r>
        <r>
          <rPr>
            <b/>
            <sz val="10"/>
            <color indexed="12"/>
            <rFont val="Tahoma"/>
            <family val="2"/>
          </rPr>
          <t xml:space="preserve"> - Stefanut Fratila 
__________________________________________________________________
</t>
        </r>
        <r>
          <rPr>
            <sz val="10"/>
            <color indexed="12"/>
            <rFont val="Tahoma"/>
            <family val="2"/>
          </rPr>
          <t xml:space="preserve">  </t>
        </r>
        <r>
          <rPr>
            <sz val="10"/>
            <color indexed="81"/>
            <rFont val="Tahoma"/>
            <family val="2"/>
          </rPr>
          <t xml:space="preserve">9/30/2022 5:22:00 AM </t>
        </r>
        <r>
          <rPr>
            <b/>
            <sz val="10"/>
            <color indexed="81"/>
            <rFont val="Tahoma"/>
            <family val="2"/>
          </rPr>
          <t xml:space="preserve">= 20704 - Referinta </t>
        </r>
        <r>
          <rPr>
            <sz val="10"/>
            <color indexed="81"/>
            <rFont val="Tahoma"/>
            <family val="2"/>
          </rPr>
          <t xml:space="preserve">* Constanta Km Auto (Responses)
  10/3/2022 7:16:57 AM </t>
        </r>
        <r>
          <rPr>
            <b/>
            <sz val="10"/>
            <color indexed="81"/>
            <rFont val="Tahoma"/>
            <family val="2"/>
          </rPr>
          <t xml:space="preserve">= 20866 - Normal </t>
        </r>
        <r>
          <rPr>
            <sz val="10"/>
            <color indexed="81"/>
            <rFont val="Tahoma"/>
            <family val="2"/>
          </rPr>
          <t xml:space="preserve">* Constanta Km Auto (Responses)
</t>
        </r>
      </text>
    </comment>
    <comment ref="J60" authorId="0" shapeId="0" xr:uid="{67862E30-FA4A-41A0-B4FE-9E08357E13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9/5/2022 9:16:38 AM </t>
        </r>
        <r>
          <rPr>
            <b/>
            <sz val="10"/>
            <color indexed="81"/>
            <rFont val="Tahoma"/>
            <family val="2"/>
          </rPr>
          <t xml:space="preserve">= 33626 - Referinta </t>
        </r>
        <r>
          <rPr>
            <sz val="10"/>
            <color indexed="81"/>
            <rFont val="Tahoma"/>
            <family val="2"/>
          </rPr>
          <t xml:space="preserve">* Constanta Km Auto (Responses)
   9/5/2022 9:17:20 AM </t>
        </r>
        <r>
          <rPr>
            <b/>
            <sz val="10"/>
            <color indexed="81"/>
            <rFont val="Tahoma"/>
            <family val="2"/>
          </rPr>
          <t xml:space="preserve">= 33746 - Normal </t>
        </r>
        <r>
          <rPr>
            <sz val="10"/>
            <color indexed="81"/>
            <rFont val="Tahoma"/>
            <family val="2"/>
          </rPr>
          <t xml:space="preserve">* Constanta Km Auto (Responses)
</t>
        </r>
      </text>
    </comment>
    <comment ref="O60" authorId="0" shapeId="0" xr:uid="{24386E4D-343C-42FA-B057-3DE627ADB6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33900 - Referinta </t>
        </r>
        <r>
          <rPr>
            <sz val="10"/>
            <color indexed="81"/>
            <rFont val="Tahoma"/>
            <family val="2"/>
          </rPr>
          <t xml:space="preserve">* Constanta Km Auto (Responses)
  9/12/2022 8:00:00 AM </t>
        </r>
        <r>
          <rPr>
            <b/>
            <sz val="10"/>
            <color indexed="81"/>
            <rFont val="Tahoma"/>
            <family val="2"/>
          </rPr>
          <t xml:space="preserve">= 33941 - Normal </t>
        </r>
        <r>
          <rPr>
            <sz val="10"/>
            <color indexed="81"/>
            <rFont val="Tahoma"/>
            <family val="2"/>
          </rPr>
          <t xml:space="preserve">* Constanta Km Auto (Responses)
</t>
        </r>
      </text>
    </comment>
    <comment ref="T60" authorId="0" shapeId="0" xr:uid="{E2295976-BC13-44D3-B64F-676FB18B6B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9/16/2022 4:30:00 AM </t>
        </r>
        <r>
          <rPr>
            <b/>
            <sz val="10"/>
            <color indexed="81"/>
            <rFont val="Tahoma"/>
            <family val="2"/>
          </rPr>
          <t xml:space="preserve">= 34373 - Referinta </t>
        </r>
        <r>
          <rPr>
            <sz val="10"/>
            <color indexed="81"/>
            <rFont val="Tahoma"/>
            <family val="2"/>
          </rPr>
          <t xml:space="preserve">* Constanta Km Auto (Responses)
  9/19/2022 8:00:00 AM </t>
        </r>
        <r>
          <rPr>
            <b/>
            <sz val="10"/>
            <color indexed="81"/>
            <rFont val="Tahoma"/>
            <family val="2"/>
          </rPr>
          <t xml:space="preserve">= 34554 - Normal </t>
        </r>
        <r>
          <rPr>
            <sz val="10"/>
            <color indexed="81"/>
            <rFont val="Tahoma"/>
            <family val="2"/>
          </rPr>
          <t xml:space="preserve">* Constanta Km Auto (Responses)
</t>
        </r>
      </text>
    </comment>
    <comment ref="Y60" authorId="0" shapeId="0" xr:uid="{1421E903-613E-4896-AE89-A7205CF2D9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9/23/2022 4:00:00 AM </t>
        </r>
        <r>
          <rPr>
            <b/>
            <sz val="10"/>
            <color indexed="81"/>
            <rFont val="Tahoma"/>
            <family val="2"/>
          </rPr>
          <t xml:space="preserve">= 34810 - Referinta </t>
        </r>
        <r>
          <rPr>
            <sz val="10"/>
            <color indexed="81"/>
            <rFont val="Tahoma"/>
            <family val="2"/>
          </rPr>
          <t xml:space="preserve">* Constanta Km Auto (Responses)
  9/26/2022 8:00:00 AM </t>
        </r>
        <r>
          <rPr>
            <b/>
            <sz val="10"/>
            <color indexed="81"/>
            <rFont val="Tahoma"/>
            <family val="2"/>
          </rPr>
          <t xml:space="preserve">= 34878 - Normal </t>
        </r>
        <r>
          <rPr>
            <sz val="10"/>
            <color indexed="81"/>
            <rFont val="Tahoma"/>
            <family val="2"/>
          </rPr>
          <t xml:space="preserve">* Constanta Km Auto (Responses)
</t>
        </r>
      </text>
    </comment>
    <comment ref="AD60" authorId="0" shapeId="0" xr:uid="{52947204-132E-4487-B191-959D0710A4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B-116-CLT</t>
        </r>
        <r>
          <rPr>
            <b/>
            <sz val="10"/>
            <color indexed="12"/>
            <rFont val="Tahoma"/>
            <family val="2"/>
          </rPr>
          <t xml:space="preserve"> - Gabriel Gheorghe Referinta a fost pusa automat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35146 - Referinta </t>
        </r>
        <r>
          <rPr>
            <sz val="10"/>
            <color indexed="81"/>
            <rFont val="Tahoma"/>
            <family val="2"/>
          </rPr>
          <t xml:space="preserve">* Constanta Km Auto (Responses)
  10/3/2022 8:00:00 AM </t>
        </r>
        <r>
          <rPr>
            <b/>
            <sz val="10"/>
            <color indexed="81"/>
            <rFont val="Tahoma"/>
            <family val="2"/>
          </rPr>
          <t xml:space="preserve">= 35214 - Normal </t>
        </r>
        <r>
          <rPr>
            <sz val="10"/>
            <color indexed="81"/>
            <rFont val="Tahoma"/>
            <family val="2"/>
          </rPr>
          <t xml:space="preserve">* Constanta Km Auto (Responses)
</t>
        </r>
      </text>
    </comment>
    <comment ref="J61" authorId="0" shapeId="0" xr:uid="{0A9E135E-12E4-4DC5-93DD-8E65038E52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Referinta a fost pusa automat
__________________________________________________________________
</t>
        </r>
        <r>
          <rPr>
            <sz val="10"/>
            <color indexed="12"/>
            <rFont val="Tahoma"/>
            <family val="2"/>
          </rPr>
          <t xml:space="preserve">  </t>
        </r>
        <r>
          <rPr>
            <sz val="10"/>
            <color indexed="81"/>
            <rFont val="Tahoma"/>
            <family val="2"/>
          </rPr>
          <t xml:space="preserve">9/4/2022 12:00:38 PM </t>
        </r>
        <r>
          <rPr>
            <b/>
            <sz val="10"/>
            <color indexed="81"/>
            <rFont val="Tahoma"/>
            <family val="2"/>
          </rPr>
          <t xml:space="preserve">= 316786 - Referinta </t>
        </r>
        <r>
          <rPr>
            <sz val="10"/>
            <color indexed="81"/>
            <rFont val="Tahoma"/>
            <family val="2"/>
          </rPr>
          <t xml:space="preserve">* Constanta Km Auto (Responses)
   9/5/2022 7:43:15 AM </t>
        </r>
        <r>
          <rPr>
            <b/>
            <sz val="10"/>
            <color indexed="81"/>
            <rFont val="Tahoma"/>
            <family val="2"/>
          </rPr>
          <t xml:space="preserve">= 316820 - Normal </t>
        </r>
        <r>
          <rPr>
            <sz val="10"/>
            <color indexed="81"/>
            <rFont val="Tahoma"/>
            <family val="2"/>
          </rPr>
          <t xml:space="preserve">* Constanta Km Auto (Responses)
</t>
        </r>
      </text>
    </comment>
    <comment ref="O61" authorId="0" shapeId="0" xr:uid="{95B36A0D-B968-4F6E-A783-2DF15DA6A3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 9/9/2022 5:39:00 PM </t>
        </r>
        <r>
          <rPr>
            <b/>
            <sz val="10"/>
            <color indexed="81"/>
            <rFont val="Tahoma"/>
            <family val="2"/>
          </rPr>
          <t xml:space="preserve">= 317099 - Referinta </t>
        </r>
        <r>
          <rPr>
            <sz val="10"/>
            <color indexed="81"/>
            <rFont val="Tahoma"/>
            <family val="2"/>
          </rPr>
          <t xml:space="preserve">* Constanta Km Auto (Responses)
  9/12/2022 7:45:13 AM </t>
        </r>
        <r>
          <rPr>
            <b/>
            <sz val="10"/>
            <color indexed="81"/>
            <rFont val="Tahoma"/>
            <family val="2"/>
          </rPr>
          <t xml:space="preserve">= 317157 - Normal </t>
        </r>
        <r>
          <rPr>
            <sz val="10"/>
            <color indexed="81"/>
            <rFont val="Tahoma"/>
            <family val="2"/>
          </rPr>
          <t xml:space="preserve">* Constanta Km Auto (Responses)
</t>
        </r>
      </text>
    </comment>
    <comment ref="T61" authorId="0" shapeId="0" xr:uid="{9CC4E318-908E-4EAE-9347-537C959EAD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9/17/2022 3:06:20 AM </t>
        </r>
        <r>
          <rPr>
            <b/>
            <sz val="10"/>
            <color indexed="81"/>
            <rFont val="Tahoma"/>
            <family val="2"/>
          </rPr>
          <t xml:space="preserve">= 317475 - Referinta </t>
        </r>
        <r>
          <rPr>
            <sz val="10"/>
            <color indexed="81"/>
            <rFont val="Tahoma"/>
            <family val="2"/>
          </rPr>
          <t xml:space="preserve">* Constanta Km Auto (Responses)
  9/19/2022 8:25:14 AM </t>
        </r>
        <r>
          <rPr>
            <b/>
            <sz val="10"/>
            <color indexed="81"/>
            <rFont val="Tahoma"/>
            <family val="2"/>
          </rPr>
          <t xml:space="preserve">= 317478 - Normal </t>
        </r>
        <r>
          <rPr>
            <sz val="10"/>
            <color indexed="81"/>
            <rFont val="Tahoma"/>
            <family val="2"/>
          </rPr>
          <t xml:space="preserve">* Constanta Km Auto (Responses)
</t>
        </r>
      </text>
    </comment>
    <comment ref="Y61" authorId="0" shapeId="0" xr:uid="{AC8AFFC9-A19F-451A-8C9C-1399E1E949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9/23/2022 5:37:30 PM </t>
        </r>
        <r>
          <rPr>
            <b/>
            <sz val="10"/>
            <color indexed="81"/>
            <rFont val="Tahoma"/>
            <family val="2"/>
          </rPr>
          <t xml:space="preserve">= 317839 - Referinta </t>
        </r>
        <r>
          <rPr>
            <sz val="10"/>
            <color indexed="81"/>
            <rFont val="Tahoma"/>
            <family val="2"/>
          </rPr>
          <t xml:space="preserve">* Constanta Km Auto (Responses)
  9/26/2022 8:08:08 AM </t>
        </r>
        <r>
          <rPr>
            <b/>
            <sz val="10"/>
            <color indexed="81"/>
            <rFont val="Tahoma"/>
            <family val="2"/>
          </rPr>
          <t xml:space="preserve">= 317854 - Normal </t>
        </r>
        <r>
          <rPr>
            <sz val="10"/>
            <color indexed="81"/>
            <rFont val="Tahoma"/>
            <family val="2"/>
          </rPr>
          <t xml:space="preserve">* Constanta Km Auto (Responses)
</t>
        </r>
      </text>
    </comment>
    <comment ref="AD61" authorId="0" shapeId="0" xr:uid="{C22FA86C-AD92-45B2-85C6-D5CC200B06D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B-125-CLT</t>
        </r>
        <r>
          <rPr>
            <b/>
            <sz val="10"/>
            <color indexed="12"/>
            <rFont val="Tahoma"/>
            <family val="2"/>
          </rPr>
          <t xml:space="preserve"> - Marinescu Ionut 
__________________________________________________________________
</t>
        </r>
        <r>
          <rPr>
            <sz val="10"/>
            <color indexed="12"/>
            <rFont val="Tahoma"/>
            <family val="2"/>
          </rPr>
          <t xml:space="preserve">  </t>
        </r>
        <r>
          <rPr>
            <sz val="10"/>
            <color indexed="81"/>
            <rFont val="Tahoma"/>
            <family val="2"/>
          </rPr>
          <t xml:space="preserve">10/1/2022 9:02:00 AM </t>
        </r>
        <r>
          <rPr>
            <b/>
            <sz val="10"/>
            <color indexed="81"/>
            <rFont val="Tahoma"/>
            <family val="2"/>
          </rPr>
          <t xml:space="preserve">= 318073 - Referinta </t>
        </r>
        <r>
          <rPr>
            <sz val="10"/>
            <color indexed="81"/>
            <rFont val="Tahoma"/>
            <family val="2"/>
          </rPr>
          <t xml:space="preserve">* Constanta Km Auto (Responses)
  10/3/2022 7:39:53 AM </t>
        </r>
        <r>
          <rPr>
            <b/>
            <sz val="10"/>
            <color indexed="81"/>
            <rFont val="Tahoma"/>
            <family val="2"/>
          </rPr>
          <t xml:space="preserve">= 318106 - Normal </t>
        </r>
        <r>
          <rPr>
            <sz val="10"/>
            <color indexed="81"/>
            <rFont val="Tahoma"/>
            <family val="2"/>
          </rPr>
          <t xml:space="preserve">* Constanta Km Auto (Responses)
</t>
        </r>
      </text>
    </comment>
    <comment ref="J62" authorId="0" shapeId="0" xr:uid="{C0E92D49-0838-44AE-BADA-198717DAD06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 9/2/2022 4:19:56 PM </t>
        </r>
        <r>
          <rPr>
            <b/>
            <sz val="10"/>
            <color indexed="81"/>
            <rFont val="Tahoma"/>
            <family val="2"/>
          </rPr>
          <t xml:space="preserve">= 52881 - Referinta </t>
        </r>
        <r>
          <rPr>
            <sz val="10"/>
            <color indexed="81"/>
            <rFont val="Tahoma"/>
            <family val="2"/>
          </rPr>
          <t xml:space="preserve">* Constanta Km Auto (Responses)
   9/5/2022 7:42:52 AM </t>
        </r>
        <r>
          <rPr>
            <b/>
            <sz val="10"/>
            <color indexed="81"/>
            <rFont val="Tahoma"/>
            <family val="2"/>
          </rPr>
          <t xml:space="preserve">= 52911 - Normal </t>
        </r>
        <r>
          <rPr>
            <sz val="10"/>
            <color indexed="81"/>
            <rFont val="Tahoma"/>
            <family val="2"/>
          </rPr>
          <t xml:space="preserve">* Constanta Km Auto (Responses)
</t>
        </r>
      </text>
    </comment>
    <comment ref="O62" authorId="0" shapeId="0" xr:uid="{BA8F7856-4848-40DD-95F7-E3A2A0BA53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 9/9/2022 4:22:00 AM </t>
        </r>
        <r>
          <rPr>
            <b/>
            <sz val="10"/>
            <color indexed="81"/>
            <rFont val="Tahoma"/>
            <family val="2"/>
          </rPr>
          <t xml:space="preserve">= 53428 - Referinta </t>
        </r>
        <r>
          <rPr>
            <sz val="10"/>
            <color indexed="81"/>
            <rFont val="Tahoma"/>
            <family val="2"/>
          </rPr>
          <t xml:space="preserve">* Constanta Km Auto (Responses)
  9/12/2022 7:54:00 AM </t>
        </r>
        <r>
          <rPr>
            <b/>
            <sz val="10"/>
            <color indexed="81"/>
            <rFont val="Tahoma"/>
            <family val="2"/>
          </rPr>
          <t xml:space="preserve">= 53462 - Normal </t>
        </r>
        <r>
          <rPr>
            <sz val="10"/>
            <color indexed="81"/>
            <rFont val="Tahoma"/>
            <family val="2"/>
          </rPr>
          <t xml:space="preserve">* Constanta Km Auto (Responses)
  9/15/2022 4:20:00 AM </t>
        </r>
        <r>
          <rPr>
            <b/>
            <sz val="10"/>
            <color indexed="81"/>
            <rFont val="Tahoma"/>
            <family val="2"/>
          </rPr>
          <t xml:space="preserve">= 53897 - Concediu </t>
        </r>
        <r>
          <rPr>
            <sz val="10"/>
            <color indexed="81"/>
            <rFont val="Tahoma"/>
            <family val="2"/>
          </rPr>
          <t xml:space="preserve">* Constanta Km Auto (Responses)
</t>
        </r>
      </text>
    </comment>
    <comment ref="T62" authorId="0" shapeId="0" xr:uid="{5E7A2D4D-3980-4EFE-8DD4-3C596477E9A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9/19/2022 8:09:00 AM </t>
        </r>
        <r>
          <rPr>
            <b/>
            <sz val="10"/>
            <color indexed="81"/>
            <rFont val="Tahoma"/>
            <family val="2"/>
          </rPr>
          <t xml:space="preserve">= 53902 - Referinta </t>
        </r>
        <r>
          <rPr>
            <sz val="10"/>
            <color indexed="81"/>
            <rFont val="Tahoma"/>
            <family val="2"/>
          </rPr>
          <t xml:space="preserve">* Constanta Km Auto (Responses)
</t>
        </r>
      </text>
    </comment>
    <comment ref="Y62" authorId="0" shapeId="0" xr:uid="{437854C0-C81F-4A64-9051-A646D4DE00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9/23/2022 4:16:40 PM </t>
        </r>
        <r>
          <rPr>
            <b/>
            <sz val="10"/>
            <color indexed="81"/>
            <rFont val="Tahoma"/>
            <family val="2"/>
          </rPr>
          <t xml:space="preserve">= 54149 - Referinta </t>
        </r>
        <r>
          <rPr>
            <sz val="10"/>
            <color indexed="81"/>
            <rFont val="Tahoma"/>
            <family val="2"/>
          </rPr>
          <t xml:space="preserve">* Constanta Km Auto (Responses)
  9/26/2022 8:02:47 AM </t>
        </r>
        <r>
          <rPr>
            <b/>
            <sz val="10"/>
            <color indexed="81"/>
            <rFont val="Tahoma"/>
            <family val="2"/>
          </rPr>
          <t xml:space="preserve">= 54154 - Normal </t>
        </r>
        <r>
          <rPr>
            <sz val="10"/>
            <color indexed="81"/>
            <rFont val="Tahoma"/>
            <family val="2"/>
          </rPr>
          <t xml:space="preserve">* Constanta Km Auto (Responses)
  9/26/2022 8:02:49 AM </t>
        </r>
        <r>
          <rPr>
            <b/>
            <sz val="10"/>
            <color indexed="81"/>
            <rFont val="Tahoma"/>
            <family val="2"/>
          </rPr>
          <t xml:space="preserve">= 54154 - Normal </t>
        </r>
        <r>
          <rPr>
            <sz val="10"/>
            <color indexed="81"/>
            <rFont val="Tahoma"/>
            <family val="2"/>
          </rPr>
          <t xml:space="preserve">* Constanta Km Auto (Responses)
</t>
        </r>
      </text>
    </comment>
    <comment ref="AD62" authorId="0" shapeId="0" xr:uid="{0AE4AD53-A75D-4BD8-A8BD-D2AEB75904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B-134-CLT</t>
        </r>
        <r>
          <rPr>
            <b/>
            <sz val="10"/>
            <color indexed="12"/>
            <rFont val="Tahoma"/>
            <family val="2"/>
          </rPr>
          <t xml:space="preserve"> - Daniel Petrescu Referinta a fost pusa automat
__________________________________________________________________
</t>
        </r>
        <r>
          <rPr>
            <sz val="10"/>
            <color indexed="12"/>
            <rFont val="Tahoma"/>
            <family val="2"/>
          </rPr>
          <t xml:space="preserve">  </t>
        </r>
        <r>
          <rPr>
            <sz val="10"/>
            <color indexed="81"/>
            <rFont val="Tahoma"/>
            <family val="2"/>
          </rPr>
          <t xml:space="preserve">9/30/2022 4:42:21 PM </t>
        </r>
        <r>
          <rPr>
            <b/>
            <sz val="10"/>
            <color indexed="81"/>
            <rFont val="Tahoma"/>
            <family val="2"/>
          </rPr>
          <t xml:space="preserve">= 54639 - Referinta </t>
        </r>
        <r>
          <rPr>
            <sz val="10"/>
            <color indexed="81"/>
            <rFont val="Tahoma"/>
            <family val="2"/>
          </rPr>
          <t xml:space="preserve">* Constanta Km Auto (Responses)
  10/3/2022 8:04:53 AM </t>
        </r>
        <r>
          <rPr>
            <b/>
            <sz val="10"/>
            <color indexed="81"/>
            <rFont val="Tahoma"/>
            <family val="2"/>
          </rPr>
          <t xml:space="preserve">= 54644 - Normal </t>
        </r>
        <r>
          <rPr>
            <sz val="10"/>
            <color indexed="81"/>
            <rFont val="Tahoma"/>
            <family val="2"/>
          </rPr>
          <t xml:space="preserve">* Constanta Km Auto (Responses)
</t>
        </r>
      </text>
    </comment>
    <comment ref="J63" authorId="0" shapeId="0" xr:uid="{8F1899C5-D93D-4EA4-B77B-DEED9328F72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3:41:09 PM </t>
        </r>
        <r>
          <rPr>
            <b/>
            <sz val="10"/>
            <color indexed="81"/>
            <rFont val="Tahoma"/>
            <family val="2"/>
          </rPr>
          <t xml:space="preserve">= 70400 - Referinta </t>
        </r>
        <r>
          <rPr>
            <sz val="10"/>
            <color indexed="81"/>
            <rFont val="Tahoma"/>
            <family val="2"/>
          </rPr>
          <t xml:space="preserve">* Constanta Km Auto (Responses)
   9/5/2022 7:41:23 AM </t>
        </r>
        <r>
          <rPr>
            <b/>
            <sz val="10"/>
            <color indexed="81"/>
            <rFont val="Tahoma"/>
            <family val="2"/>
          </rPr>
          <t xml:space="preserve">= 70484 - Normal </t>
        </r>
        <r>
          <rPr>
            <sz val="10"/>
            <color indexed="81"/>
            <rFont val="Tahoma"/>
            <family val="2"/>
          </rPr>
          <t xml:space="preserve">* Constanta Km Auto (Responses)
</t>
        </r>
      </text>
    </comment>
    <comment ref="O63" authorId="0" shapeId="0" xr:uid="{CAF199D4-0C1B-4046-83AD-33B8CDD095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 9/9/2022 3:49:54 PM </t>
        </r>
        <r>
          <rPr>
            <b/>
            <sz val="10"/>
            <color indexed="81"/>
            <rFont val="Tahoma"/>
            <family val="2"/>
          </rPr>
          <t xml:space="preserve">= 71088 - Referinta </t>
        </r>
        <r>
          <rPr>
            <sz val="10"/>
            <color indexed="81"/>
            <rFont val="Tahoma"/>
            <family val="2"/>
          </rPr>
          <t xml:space="preserve">* Constanta Km Auto (Responses)
  9/12/2022 7:45:04 AM </t>
        </r>
        <r>
          <rPr>
            <b/>
            <sz val="10"/>
            <color indexed="81"/>
            <rFont val="Tahoma"/>
            <family val="2"/>
          </rPr>
          <t xml:space="preserve">= 71171 - Normal </t>
        </r>
        <r>
          <rPr>
            <sz val="10"/>
            <color indexed="81"/>
            <rFont val="Tahoma"/>
            <family val="2"/>
          </rPr>
          <t xml:space="preserve">* Constanta Km Auto (Responses)
</t>
        </r>
      </text>
    </comment>
    <comment ref="T63" authorId="0" shapeId="0" xr:uid="{9EEF423F-51A7-456A-81BB-88EFC4EA950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9/16/2022 3:42:37 PM </t>
        </r>
        <r>
          <rPr>
            <b/>
            <sz val="10"/>
            <color indexed="81"/>
            <rFont val="Tahoma"/>
            <family val="2"/>
          </rPr>
          <t xml:space="preserve">= 71758 - Referinta </t>
        </r>
        <r>
          <rPr>
            <sz val="10"/>
            <color indexed="81"/>
            <rFont val="Tahoma"/>
            <family val="2"/>
          </rPr>
          <t xml:space="preserve">* Constanta Km Auto (Responses)
  9/19/2022 7:35:18 AM </t>
        </r>
        <r>
          <rPr>
            <b/>
            <sz val="10"/>
            <color indexed="81"/>
            <rFont val="Tahoma"/>
            <family val="2"/>
          </rPr>
          <t xml:space="preserve">= 71841 - Normal </t>
        </r>
        <r>
          <rPr>
            <sz val="10"/>
            <color indexed="81"/>
            <rFont val="Tahoma"/>
            <family val="2"/>
          </rPr>
          <t xml:space="preserve">* Constanta Km Auto (Responses)
</t>
        </r>
      </text>
    </comment>
    <comment ref="Y63" authorId="0" shapeId="0" xr:uid="{F1B8B666-FD48-4183-9C56-BCF41E8634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Referinta a fost pusa automat
__________________________________________________________________
</t>
        </r>
        <r>
          <rPr>
            <sz val="10"/>
            <color indexed="12"/>
            <rFont val="Tahoma"/>
            <family val="2"/>
          </rPr>
          <t xml:space="preserve">  </t>
        </r>
        <r>
          <rPr>
            <sz val="10"/>
            <color indexed="81"/>
            <rFont val="Tahoma"/>
            <family val="2"/>
          </rPr>
          <t xml:space="preserve">9/23/2022 3:43:19 PM </t>
        </r>
        <r>
          <rPr>
            <b/>
            <sz val="10"/>
            <color indexed="81"/>
            <rFont val="Tahoma"/>
            <family val="2"/>
          </rPr>
          <t xml:space="preserve">= 72419 - Referinta </t>
        </r>
        <r>
          <rPr>
            <sz val="10"/>
            <color indexed="81"/>
            <rFont val="Tahoma"/>
            <family val="2"/>
          </rPr>
          <t xml:space="preserve">* Constanta Km Auto (Responses)
  9/26/2022 7:21:06 AM </t>
        </r>
        <r>
          <rPr>
            <b/>
            <sz val="10"/>
            <color indexed="81"/>
            <rFont val="Tahoma"/>
            <family val="2"/>
          </rPr>
          <t xml:space="preserve">= 72501 - Normal </t>
        </r>
        <r>
          <rPr>
            <sz val="10"/>
            <color indexed="81"/>
            <rFont val="Tahoma"/>
            <family val="2"/>
          </rPr>
          <t xml:space="preserve">* Constanta Km Auto (Responses)
</t>
        </r>
      </text>
    </comment>
    <comment ref="AD63" authorId="0" shapeId="0" xr:uid="{C1F392ED-9B17-4856-8C8C-BFE6427905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B-801-CLT</t>
        </r>
        <r>
          <rPr>
            <b/>
            <sz val="10"/>
            <color indexed="12"/>
            <rFont val="Tahoma"/>
            <family val="2"/>
          </rPr>
          <t xml:space="preserve"> - Mamaliga Ciprian 
__________________________________________________________________
</t>
        </r>
        <r>
          <rPr>
            <sz val="10"/>
            <color indexed="12"/>
            <rFont val="Tahoma"/>
            <family val="2"/>
          </rPr>
          <t xml:space="preserve">  </t>
        </r>
        <r>
          <rPr>
            <sz val="10"/>
            <color indexed="81"/>
            <rFont val="Tahoma"/>
            <family val="2"/>
          </rPr>
          <t xml:space="preserve">9/30/2022 8:39:22 AM </t>
        </r>
        <r>
          <rPr>
            <b/>
            <sz val="10"/>
            <color indexed="81"/>
            <rFont val="Tahoma"/>
            <family val="2"/>
          </rPr>
          <t xml:space="preserve">= 73128 - Referinta </t>
        </r>
        <r>
          <rPr>
            <sz val="10"/>
            <color indexed="81"/>
            <rFont val="Tahoma"/>
            <family val="2"/>
          </rPr>
          <t xml:space="preserve">* Constanta Km Auto (Responses)
  10/3/2022 7:52:05 AM </t>
        </r>
        <r>
          <rPr>
            <b/>
            <sz val="10"/>
            <color indexed="81"/>
            <rFont val="Tahoma"/>
            <family val="2"/>
          </rPr>
          <t xml:space="preserve">= 73211 - Normal </t>
        </r>
        <r>
          <rPr>
            <sz val="10"/>
            <color indexed="81"/>
            <rFont val="Tahoma"/>
            <family val="2"/>
          </rPr>
          <t xml:space="preserve">* Constanta Km Auto (Responses)
</t>
        </r>
      </text>
    </comment>
    <comment ref="J64" authorId="0" shapeId="0" xr:uid="{2A0943F8-5CF0-47CF-9C34-49299CD1A9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Referinta a fost pusa automat
__________________________________________________________________
</t>
        </r>
        <r>
          <rPr>
            <sz val="10"/>
            <color indexed="12"/>
            <rFont val="Tahoma"/>
            <family val="2"/>
          </rPr>
          <t xml:space="preserve">  </t>
        </r>
        <r>
          <rPr>
            <sz val="10"/>
            <color indexed="81"/>
            <rFont val="Tahoma"/>
            <family val="2"/>
          </rPr>
          <t xml:space="preserve"> 9/5/2022 8:15:04 AM </t>
        </r>
        <r>
          <rPr>
            <b/>
            <sz val="10"/>
            <color indexed="81"/>
            <rFont val="Tahoma"/>
            <family val="2"/>
          </rPr>
          <t xml:space="preserve">= 58673 - Referinta </t>
        </r>
        <r>
          <rPr>
            <sz val="10"/>
            <color indexed="81"/>
            <rFont val="Tahoma"/>
            <family val="2"/>
          </rPr>
          <t xml:space="preserve">* Constanta Km Auto (Responses)
</t>
        </r>
      </text>
    </comment>
    <comment ref="O64" authorId="0" shapeId="0" xr:uid="{62DB7F97-9612-4304-9811-75BCEFCAF1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 9/9/2022 4:35:01 PM </t>
        </r>
        <r>
          <rPr>
            <b/>
            <sz val="10"/>
            <color indexed="81"/>
            <rFont val="Tahoma"/>
            <family val="2"/>
          </rPr>
          <t xml:space="preserve">= 58954 - Referinta </t>
        </r>
        <r>
          <rPr>
            <sz val="10"/>
            <color indexed="81"/>
            <rFont val="Tahoma"/>
            <family val="2"/>
          </rPr>
          <t xml:space="preserve">* Constanta Km Auto (Responses)
  9/12/2022 6:39:00 AM </t>
        </r>
        <r>
          <rPr>
            <b/>
            <sz val="10"/>
            <color indexed="81"/>
            <rFont val="Tahoma"/>
            <family val="2"/>
          </rPr>
          <t xml:space="preserve">= 58954 - Normal </t>
        </r>
        <r>
          <rPr>
            <sz val="10"/>
            <color indexed="81"/>
            <rFont val="Tahoma"/>
            <family val="2"/>
          </rPr>
          <t xml:space="preserve">* Constanta Km Auto (Responses)
</t>
        </r>
      </text>
    </comment>
    <comment ref="T64" authorId="0" shapeId="0" xr:uid="{91690624-6BE4-4142-B202-EE13BC746C0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9/16/2022 5:11:00 AM </t>
        </r>
        <r>
          <rPr>
            <b/>
            <sz val="10"/>
            <color indexed="81"/>
            <rFont val="Tahoma"/>
            <family val="2"/>
          </rPr>
          <t xml:space="preserve">= 60326 - Referinta </t>
        </r>
        <r>
          <rPr>
            <sz val="10"/>
            <color indexed="81"/>
            <rFont val="Tahoma"/>
            <family val="2"/>
          </rPr>
          <t xml:space="preserve">* Constanta Km Auto (Responses)
  9/19/2022 8:09:00 AM </t>
        </r>
        <r>
          <rPr>
            <b/>
            <sz val="10"/>
            <color indexed="81"/>
            <rFont val="Tahoma"/>
            <family val="2"/>
          </rPr>
          <t xml:space="preserve">= 60326 - Normal </t>
        </r>
        <r>
          <rPr>
            <sz val="10"/>
            <color indexed="81"/>
            <rFont val="Tahoma"/>
            <family val="2"/>
          </rPr>
          <t xml:space="preserve">* Constanta Km Auto (Responses)
</t>
        </r>
      </text>
    </comment>
    <comment ref="Y64" authorId="0" shapeId="0" xr:uid="{847F19DB-B249-4B89-9C6B-7536E5C9033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9/23/2022 5:17:00 AM </t>
        </r>
        <r>
          <rPr>
            <b/>
            <sz val="10"/>
            <color indexed="81"/>
            <rFont val="Tahoma"/>
            <family val="2"/>
          </rPr>
          <t xml:space="preserve">= 60831 - Referinta </t>
        </r>
        <r>
          <rPr>
            <sz val="10"/>
            <color indexed="81"/>
            <rFont val="Tahoma"/>
            <family val="2"/>
          </rPr>
          <t xml:space="preserve">* Constanta Km Auto (Responses)
  9/26/2022 8:41:00 AM </t>
        </r>
        <r>
          <rPr>
            <b/>
            <sz val="10"/>
            <color indexed="81"/>
            <rFont val="Tahoma"/>
            <family val="2"/>
          </rPr>
          <t xml:space="preserve">= 60831 - Normal </t>
        </r>
        <r>
          <rPr>
            <sz val="10"/>
            <color indexed="81"/>
            <rFont val="Tahoma"/>
            <family val="2"/>
          </rPr>
          <t xml:space="preserve">* Constanta Km Auto (Responses)
</t>
        </r>
      </text>
    </comment>
    <comment ref="AD64" authorId="0" shapeId="0" xr:uid="{BDDBF340-E085-44D6-92D2-D241CE89346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B-228-CLT</t>
        </r>
        <r>
          <rPr>
            <b/>
            <sz val="10"/>
            <color indexed="12"/>
            <rFont val="Tahoma"/>
            <family val="2"/>
          </rPr>
          <t xml:space="preserve"> - Berchiu Liviu 
__________________________________________________________________
</t>
        </r>
        <r>
          <rPr>
            <sz val="10"/>
            <color indexed="12"/>
            <rFont val="Tahoma"/>
            <family val="2"/>
          </rPr>
          <t xml:space="preserve">  </t>
        </r>
        <r>
          <rPr>
            <sz val="10"/>
            <color indexed="81"/>
            <rFont val="Tahoma"/>
            <family val="2"/>
          </rPr>
          <t xml:space="preserve">9/30/2022 5:25:00 AM </t>
        </r>
        <r>
          <rPr>
            <b/>
            <sz val="10"/>
            <color indexed="81"/>
            <rFont val="Tahoma"/>
            <family val="2"/>
          </rPr>
          <t xml:space="preserve">= 61379 - Referinta </t>
        </r>
        <r>
          <rPr>
            <sz val="10"/>
            <color indexed="81"/>
            <rFont val="Tahoma"/>
            <family val="2"/>
          </rPr>
          <t xml:space="preserve">* Constanta Km Auto (Responses)
 10/3/2022 10:59:00 AM </t>
        </r>
        <r>
          <rPr>
            <b/>
            <sz val="10"/>
            <color indexed="81"/>
            <rFont val="Tahoma"/>
            <family val="2"/>
          </rPr>
          <t xml:space="preserve">= 61379 - Normal </t>
        </r>
        <r>
          <rPr>
            <sz val="10"/>
            <color indexed="81"/>
            <rFont val="Tahoma"/>
            <family val="2"/>
          </rPr>
          <t xml:space="preserve">* Constanta Km Auto (Responses)
</t>
        </r>
      </text>
    </comment>
    <comment ref="J65" authorId="0" shapeId="0" xr:uid="{7B58E5F2-6326-40EF-93F3-9966FBF4F02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Referinta a fost pusa automat
__________________________________________________________________
</t>
        </r>
        <r>
          <rPr>
            <sz val="10"/>
            <color indexed="12"/>
            <rFont val="Tahoma"/>
            <family val="2"/>
          </rPr>
          <t xml:space="preserve">  </t>
        </r>
        <r>
          <rPr>
            <sz val="10"/>
            <color indexed="81"/>
            <rFont val="Tahoma"/>
            <family val="2"/>
          </rPr>
          <t xml:space="preserve"> 9/2/2022 4:02:52 PM </t>
        </r>
        <r>
          <rPr>
            <b/>
            <sz val="10"/>
            <color indexed="81"/>
            <rFont val="Tahoma"/>
            <family val="2"/>
          </rPr>
          <t xml:space="preserve">= 15867 - Referinta </t>
        </r>
        <r>
          <rPr>
            <sz val="10"/>
            <color indexed="81"/>
            <rFont val="Tahoma"/>
            <family val="2"/>
          </rPr>
          <t xml:space="preserve">* Constanta Km Auto (Responses)
   9/5/2022 8:41:18 AM </t>
        </r>
        <r>
          <rPr>
            <b/>
            <sz val="10"/>
            <color indexed="81"/>
            <rFont val="Tahoma"/>
            <family val="2"/>
          </rPr>
          <t xml:space="preserve">= 15888 - Normal </t>
        </r>
        <r>
          <rPr>
            <sz val="10"/>
            <color indexed="81"/>
            <rFont val="Tahoma"/>
            <family val="2"/>
          </rPr>
          <t xml:space="preserve">* Constanta Km Auto (Responses)
   9/6/2022 6:52:18 PM </t>
        </r>
        <r>
          <rPr>
            <b/>
            <sz val="10"/>
            <color indexed="81"/>
            <rFont val="Tahoma"/>
            <family val="2"/>
          </rPr>
          <t xml:space="preserve">= 16344 - Concediu </t>
        </r>
        <r>
          <rPr>
            <sz val="10"/>
            <color indexed="81"/>
            <rFont val="Tahoma"/>
            <family val="2"/>
          </rPr>
          <t xml:space="preserve">* Constanta Km Auto (Responses)
</t>
        </r>
      </text>
    </comment>
    <comment ref="O65" authorId="0" shapeId="0" xr:uid="{ABBF3DE7-B85B-4AFF-902F-441EED2A0EB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Referinta a fost pusa automat
__________________________________________________________________
</t>
        </r>
        <r>
          <rPr>
            <sz val="10"/>
            <color indexed="12"/>
            <rFont val="Tahoma"/>
            <family val="2"/>
          </rPr>
          <t xml:space="preserve">  </t>
        </r>
        <r>
          <rPr>
            <sz val="10"/>
            <color indexed="81"/>
            <rFont val="Tahoma"/>
            <family val="2"/>
          </rPr>
          <t xml:space="preserve">9/13/2022 8:12:08 AM </t>
        </r>
        <r>
          <rPr>
            <b/>
            <sz val="10"/>
            <color indexed="81"/>
            <rFont val="Tahoma"/>
            <family val="2"/>
          </rPr>
          <t xml:space="preserve">= 16361 - Referinta </t>
        </r>
        <r>
          <rPr>
            <sz val="10"/>
            <color indexed="81"/>
            <rFont val="Tahoma"/>
            <family val="2"/>
          </rPr>
          <t xml:space="preserve">* Constanta Km Auto (Responses)
</t>
        </r>
      </text>
    </comment>
    <comment ref="T65" authorId="0" shapeId="0" xr:uid="{925278EB-6D06-409D-940D-0F96EAD6853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__________________________________________________________________
</t>
        </r>
        <r>
          <rPr>
            <sz val="10"/>
            <color indexed="12"/>
            <rFont val="Tahoma"/>
            <family val="2"/>
          </rPr>
          <t xml:space="preserve">  </t>
        </r>
        <r>
          <rPr>
            <sz val="10"/>
            <color indexed="81"/>
            <rFont val="Tahoma"/>
            <family val="2"/>
          </rPr>
          <t xml:space="preserve">9/16/2022 5:54:56 PM </t>
        </r>
        <r>
          <rPr>
            <b/>
            <sz val="10"/>
            <color indexed="81"/>
            <rFont val="Tahoma"/>
            <family val="2"/>
          </rPr>
          <t xml:space="preserve">= 16411 - Referinta </t>
        </r>
        <r>
          <rPr>
            <sz val="10"/>
            <color indexed="81"/>
            <rFont val="Tahoma"/>
            <family val="2"/>
          </rPr>
          <t xml:space="preserve">* Constanta Km Auto (Responses)
  9/19/2022 9:01:43 AM </t>
        </r>
        <r>
          <rPr>
            <b/>
            <sz val="10"/>
            <color indexed="81"/>
            <rFont val="Tahoma"/>
            <family val="2"/>
          </rPr>
          <t xml:space="preserve">= 16756 - Normal </t>
        </r>
        <r>
          <rPr>
            <sz val="10"/>
            <color indexed="81"/>
            <rFont val="Tahoma"/>
            <family val="2"/>
          </rPr>
          <t xml:space="preserve">* Constanta Km Auto (Responses)
</t>
        </r>
      </text>
    </comment>
    <comment ref="Y65" authorId="0" shapeId="0" xr:uid="{FAAB2854-E505-4AE6-B1C3-621BF961CE4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__________________________________________________________________
</t>
        </r>
        <r>
          <rPr>
            <sz val="10"/>
            <color indexed="12"/>
            <rFont val="Tahoma"/>
            <family val="2"/>
          </rPr>
          <t xml:space="preserve">  </t>
        </r>
        <r>
          <rPr>
            <sz val="10"/>
            <color indexed="81"/>
            <rFont val="Tahoma"/>
            <family val="2"/>
          </rPr>
          <t xml:space="preserve">9/23/2022 4:32:54 PM </t>
        </r>
        <r>
          <rPr>
            <b/>
            <sz val="10"/>
            <color indexed="81"/>
            <rFont val="Tahoma"/>
            <family val="2"/>
          </rPr>
          <t xml:space="preserve">= 17224 - Referinta </t>
        </r>
        <r>
          <rPr>
            <sz val="10"/>
            <color indexed="81"/>
            <rFont val="Tahoma"/>
            <family val="2"/>
          </rPr>
          <t xml:space="preserve">* Constanta Km Auto (Responses)
  9/26/2022 8:09:40 AM </t>
        </r>
        <r>
          <rPr>
            <b/>
            <sz val="10"/>
            <color indexed="81"/>
            <rFont val="Tahoma"/>
            <family val="2"/>
          </rPr>
          <t xml:space="preserve">= 17262 - Normal </t>
        </r>
        <r>
          <rPr>
            <sz val="10"/>
            <color indexed="81"/>
            <rFont val="Tahoma"/>
            <family val="2"/>
          </rPr>
          <t xml:space="preserve">* Constanta Km Auto (Responses)
</t>
        </r>
      </text>
    </comment>
    <comment ref="AD65" authorId="0" shapeId="0" xr:uid="{BCC95442-D9F6-452B-9DE0-0AE757413B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B-912-CLT</t>
        </r>
        <r>
          <rPr>
            <b/>
            <sz val="10"/>
            <color indexed="12"/>
            <rFont val="Tahoma"/>
            <family val="2"/>
          </rPr>
          <t xml:space="preserve"> - Viorel Stoica 
__________________________________________________________________
</t>
        </r>
        <r>
          <rPr>
            <sz val="10"/>
            <color indexed="12"/>
            <rFont val="Tahoma"/>
            <family val="2"/>
          </rPr>
          <t xml:space="preserve">  </t>
        </r>
        <r>
          <rPr>
            <sz val="10"/>
            <color indexed="81"/>
            <rFont val="Tahoma"/>
            <family val="2"/>
          </rPr>
          <t xml:space="preserve">9/30/2022 5:21:56 PM </t>
        </r>
        <r>
          <rPr>
            <b/>
            <sz val="10"/>
            <color indexed="81"/>
            <rFont val="Tahoma"/>
            <family val="2"/>
          </rPr>
          <t xml:space="preserve">= 17331 - Referinta </t>
        </r>
        <r>
          <rPr>
            <sz val="10"/>
            <color indexed="81"/>
            <rFont val="Tahoma"/>
            <family val="2"/>
          </rPr>
          <t xml:space="preserve">* Constanta Km Auto (Responses)
  10/3/2022 9:20:13 AM </t>
        </r>
        <r>
          <rPr>
            <b/>
            <sz val="10"/>
            <color indexed="81"/>
            <rFont val="Tahoma"/>
            <family val="2"/>
          </rPr>
          <t xml:space="preserve">= 17369 - Normal </t>
        </r>
        <r>
          <rPr>
            <sz val="10"/>
            <color indexed="81"/>
            <rFont val="Tahoma"/>
            <family val="2"/>
          </rPr>
          <t xml:space="preserve">* Constanta Km Auto (Responses)
</t>
        </r>
      </text>
    </comment>
    <comment ref="J66" authorId="0" shapeId="0" xr:uid="{3CF4BC49-F10C-41BB-8099-45CBF98EEA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 9/2/2022 4:57:24 PM </t>
        </r>
        <r>
          <rPr>
            <b/>
            <sz val="10"/>
            <color indexed="81"/>
            <rFont val="Tahoma"/>
            <family val="2"/>
          </rPr>
          <t xml:space="preserve">= 74020 - Referinta </t>
        </r>
        <r>
          <rPr>
            <sz val="10"/>
            <color indexed="81"/>
            <rFont val="Tahoma"/>
            <family val="2"/>
          </rPr>
          <t xml:space="preserve">* Constanta Km Auto (Responses)
   9/5/2022 7:28:31 AM </t>
        </r>
        <r>
          <rPr>
            <b/>
            <sz val="10"/>
            <color indexed="81"/>
            <rFont val="Tahoma"/>
            <family val="2"/>
          </rPr>
          <t xml:space="preserve">= 74025 - Normal </t>
        </r>
        <r>
          <rPr>
            <sz val="10"/>
            <color indexed="81"/>
            <rFont val="Tahoma"/>
            <family val="2"/>
          </rPr>
          <t xml:space="preserve">* Constanta Km Auto (Responses)
</t>
        </r>
      </text>
    </comment>
    <comment ref="O66" authorId="0" shapeId="0" xr:uid="{4C33A805-11DD-404D-8B98-5467270BACD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 9/9/2022 4:34:10 PM </t>
        </r>
        <r>
          <rPr>
            <b/>
            <sz val="10"/>
            <color indexed="81"/>
            <rFont val="Tahoma"/>
            <family val="2"/>
          </rPr>
          <t xml:space="preserve">= 74525 - Referinta </t>
        </r>
        <r>
          <rPr>
            <sz val="10"/>
            <color indexed="81"/>
            <rFont val="Tahoma"/>
            <family val="2"/>
          </rPr>
          <t xml:space="preserve">* Constanta Km Auto (Responses)
  9/12/2022 7:31:14 AM </t>
        </r>
        <r>
          <rPr>
            <b/>
            <sz val="10"/>
            <color indexed="81"/>
            <rFont val="Tahoma"/>
            <family val="2"/>
          </rPr>
          <t xml:space="preserve">= 74525 - Normal </t>
        </r>
        <r>
          <rPr>
            <sz val="10"/>
            <color indexed="81"/>
            <rFont val="Tahoma"/>
            <family val="2"/>
          </rPr>
          <t xml:space="preserve">* Constanta Km Auto (Responses)
</t>
        </r>
      </text>
    </comment>
    <comment ref="T66" authorId="0" shapeId="0" xr:uid="{118A8561-932B-48CC-AEA3-A1CC3E4FCA6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9/16/2022 8:52:03 PM </t>
        </r>
        <r>
          <rPr>
            <b/>
            <sz val="10"/>
            <color indexed="81"/>
            <rFont val="Tahoma"/>
            <family val="2"/>
          </rPr>
          <t xml:space="preserve">= 74661 - Referinta </t>
        </r>
        <r>
          <rPr>
            <sz val="10"/>
            <color indexed="81"/>
            <rFont val="Tahoma"/>
            <family val="2"/>
          </rPr>
          <t xml:space="preserve">* Constanta Km Auto (Responses)
  9/19/2022 7:35:38 AM </t>
        </r>
        <r>
          <rPr>
            <b/>
            <sz val="10"/>
            <color indexed="81"/>
            <rFont val="Tahoma"/>
            <family val="2"/>
          </rPr>
          <t xml:space="preserve">= 74677 - Normal </t>
        </r>
        <r>
          <rPr>
            <sz val="10"/>
            <color indexed="81"/>
            <rFont val="Tahoma"/>
            <family val="2"/>
          </rPr>
          <t xml:space="preserve">* Constanta Km Auto (Responses)
</t>
        </r>
      </text>
    </comment>
    <comment ref="Y66" authorId="0" shapeId="0" xr:uid="{E0DEC777-D06F-4D4C-B429-0C2A3D1E08F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9/23/2022 5:48:28 PM </t>
        </r>
        <r>
          <rPr>
            <b/>
            <sz val="10"/>
            <color indexed="81"/>
            <rFont val="Tahoma"/>
            <family val="2"/>
          </rPr>
          <t xml:space="preserve">= 74778 - Referinta </t>
        </r>
        <r>
          <rPr>
            <sz val="10"/>
            <color indexed="81"/>
            <rFont val="Tahoma"/>
            <family val="2"/>
          </rPr>
          <t xml:space="preserve">* Constanta Km Auto (Responses)
  9/26/2022 7:35:40 AM </t>
        </r>
        <r>
          <rPr>
            <b/>
            <sz val="10"/>
            <color indexed="81"/>
            <rFont val="Tahoma"/>
            <family val="2"/>
          </rPr>
          <t xml:space="preserve">= 74808 - Normal </t>
        </r>
        <r>
          <rPr>
            <sz val="10"/>
            <color indexed="81"/>
            <rFont val="Tahoma"/>
            <family val="2"/>
          </rPr>
          <t xml:space="preserve">* Constanta Km Auto (Responses)
</t>
        </r>
      </text>
    </comment>
    <comment ref="AD66" authorId="0" shapeId="0" xr:uid="{9CB3AAED-D85A-409A-8D79-31C1FCED53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B-207-CLT</t>
        </r>
        <r>
          <rPr>
            <b/>
            <sz val="10"/>
            <color indexed="12"/>
            <rFont val="Tahoma"/>
            <family val="2"/>
          </rPr>
          <t xml:space="preserve"> - Antonio Leca Referinta a fost pusa automat
__________________________________________________________________
</t>
        </r>
        <r>
          <rPr>
            <sz val="10"/>
            <color indexed="12"/>
            <rFont val="Tahoma"/>
            <family val="2"/>
          </rPr>
          <t xml:space="preserve">  </t>
        </r>
        <r>
          <rPr>
            <sz val="10"/>
            <color indexed="81"/>
            <rFont val="Tahoma"/>
            <family val="2"/>
          </rPr>
          <t xml:space="preserve">9/30/2022 5:16:07 PM </t>
        </r>
        <r>
          <rPr>
            <b/>
            <sz val="10"/>
            <color indexed="81"/>
            <rFont val="Tahoma"/>
            <family val="2"/>
          </rPr>
          <t xml:space="preserve">= 74981 - Referinta </t>
        </r>
        <r>
          <rPr>
            <sz val="10"/>
            <color indexed="81"/>
            <rFont val="Tahoma"/>
            <family val="2"/>
          </rPr>
          <t xml:space="preserve">* Constanta Km Auto (Responses)
  10/3/2022 7:39:43 AM </t>
        </r>
        <r>
          <rPr>
            <b/>
            <sz val="10"/>
            <color indexed="81"/>
            <rFont val="Tahoma"/>
            <family val="2"/>
          </rPr>
          <t xml:space="preserve">= 75016 - Normal </t>
        </r>
        <r>
          <rPr>
            <sz val="10"/>
            <color indexed="81"/>
            <rFont val="Tahoma"/>
            <family val="2"/>
          </rPr>
          <t xml:space="preserve">* Constanta Km Auto (Responses)
</t>
        </r>
      </text>
    </comment>
    <comment ref="J67" authorId="0" shapeId="0" xr:uid="{437A0C6B-9369-4716-B0CD-E817C00D9B0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 9/2/2022 3:39:26 PM </t>
        </r>
        <r>
          <rPr>
            <b/>
            <sz val="10"/>
            <color indexed="81"/>
            <rFont val="Tahoma"/>
            <family val="2"/>
          </rPr>
          <t xml:space="preserve">= 178670 - Referinta </t>
        </r>
        <r>
          <rPr>
            <sz val="10"/>
            <color indexed="81"/>
            <rFont val="Tahoma"/>
            <family val="2"/>
          </rPr>
          <t xml:space="preserve">* Constanta Km Auto (Responses)
   9/5/2022 7:46:19 AM </t>
        </r>
        <r>
          <rPr>
            <b/>
            <sz val="10"/>
            <color indexed="81"/>
            <rFont val="Tahoma"/>
            <family val="2"/>
          </rPr>
          <t xml:space="preserve">= 178670 - Normal </t>
        </r>
        <r>
          <rPr>
            <sz val="10"/>
            <color indexed="81"/>
            <rFont val="Tahoma"/>
            <family val="2"/>
          </rPr>
          <t xml:space="preserve">* Constanta Km Auto (Responses)
</t>
        </r>
      </text>
    </comment>
    <comment ref="O67" authorId="0" shapeId="0" xr:uid="{ED5B0A84-4324-4BDB-80D6-ADE3E8C1D0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 9/9/2022 4:05:23 PM </t>
        </r>
        <r>
          <rPr>
            <b/>
            <sz val="10"/>
            <color indexed="81"/>
            <rFont val="Tahoma"/>
            <family val="2"/>
          </rPr>
          <t xml:space="preserve">= 179735 - Referinta </t>
        </r>
        <r>
          <rPr>
            <sz val="10"/>
            <color indexed="81"/>
            <rFont val="Tahoma"/>
            <family val="2"/>
          </rPr>
          <t xml:space="preserve">* Constanta Km Auto (Responses)
  9/12/2022 7:46:14 AM </t>
        </r>
        <r>
          <rPr>
            <b/>
            <sz val="10"/>
            <color indexed="81"/>
            <rFont val="Tahoma"/>
            <family val="2"/>
          </rPr>
          <t xml:space="preserve">= 179735 - Normal </t>
        </r>
        <r>
          <rPr>
            <sz val="10"/>
            <color indexed="81"/>
            <rFont val="Tahoma"/>
            <family val="2"/>
          </rPr>
          <t xml:space="preserve">* Constanta Km Auto (Responses)
</t>
        </r>
      </text>
    </comment>
    <comment ref="T67" authorId="0" shapeId="0" xr:uid="{B3DB842D-37DA-4CF1-B2AD-F05884DD317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9/19/2022 7:42:20 AM </t>
        </r>
        <r>
          <rPr>
            <b/>
            <sz val="10"/>
            <color indexed="81"/>
            <rFont val="Tahoma"/>
            <family val="2"/>
          </rPr>
          <t xml:space="preserve">= 180732 - Referinta </t>
        </r>
        <r>
          <rPr>
            <sz val="10"/>
            <color indexed="81"/>
            <rFont val="Tahoma"/>
            <family val="2"/>
          </rPr>
          <t xml:space="preserve">* Constanta Km Auto (Responses)
</t>
        </r>
      </text>
    </comment>
    <comment ref="Y67" authorId="0" shapeId="0" xr:uid="{EE8B7BB1-33B4-44B8-8029-CDF3D119CB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9/23/2022 3:22:27 PM </t>
        </r>
        <r>
          <rPr>
            <b/>
            <sz val="10"/>
            <color indexed="81"/>
            <rFont val="Tahoma"/>
            <family val="2"/>
          </rPr>
          <t xml:space="preserve">= 181927 - Referinta </t>
        </r>
        <r>
          <rPr>
            <sz val="10"/>
            <color indexed="81"/>
            <rFont val="Tahoma"/>
            <family val="2"/>
          </rPr>
          <t xml:space="preserve">* Constanta Km Auto (Responses)
  9/26/2022 7:49:08 AM </t>
        </r>
        <r>
          <rPr>
            <b/>
            <sz val="10"/>
            <color indexed="81"/>
            <rFont val="Tahoma"/>
            <family val="2"/>
          </rPr>
          <t xml:space="preserve">= 181927 - Normal </t>
        </r>
        <r>
          <rPr>
            <sz val="10"/>
            <color indexed="81"/>
            <rFont val="Tahoma"/>
            <family val="2"/>
          </rPr>
          <t xml:space="preserve">* Constanta Km Auto (Responses)
</t>
        </r>
      </text>
    </comment>
    <comment ref="AD67" authorId="0" shapeId="0" xr:uid="{C80A127B-370F-4B8B-B346-B527ADAC759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B-770-CLT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9/30/2022 3:42:32 PM </t>
        </r>
        <r>
          <rPr>
            <b/>
            <sz val="10"/>
            <color indexed="81"/>
            <rFont val="Tahoma"/>
            <family val="2"/>
          </rPr>
          <t xml:space="preserve">= 183026 - Referinta </t>
        </r>
        <r>
          <rPr>
            <sz val="10"/>
            <color indexed="81"/>
            <rFont val="Tahoma"/>
            <family val="2"/>
          </rPr>
          <t xml:space="preserve">* Constanta Km Auto (Responses)
  10/3/2022 7:38:55 AM </t>
        </r>
        <r>
          <rPr>
            <b/>
            <sz val="10"/>
            <color indexed="81"/>
            <rFont val="Tahoma"/>
            <family val="2"/>
          </rPr>
          <t xml:space="preserve">= 183026 - Normal </t>
        </r>
        <r>
          <rPr>
            <sz val="10"/>
            <color indexed="81"/>
            <rFont val="Tahoma"/>
            <family val="2"/>
          </rPr>
          <t xml:space="preserve">* Constanta Km Auto (Responses)
</t>
        </r>
      </text>
    </comment>
    <comment ref="AD68" authorId="0" shapeId="0" xr:uid="{AFBD2C6D-CB27-48FE-A736-56C45447EBD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Hanu Mircea Referinta a fost pusa automat
__________________________________________________________________
</t>
        </r>
        <r>
          <rPr>
            <sz val="10"/>
            <color indexed="12"/>
            <rFont val="Tahoma"/>
            <family val="2"/>
          </rPr>
          <t xml:space="preserve">  </t>
        </r>
        <r>
          <rPr>
            <sz val="10"/>
            <color indexed="81"/>
            <rFont val="Tahoma"/>
            <family val="2"/>
          </rPr>
          <t xml:space="preserve">10/3/2022 8:18:51 AM </t>
        </r>
        <r>
          <rPr>
            <b/>
            <sz val="10"/>
            <color indexed="81"/>
            <rFont val="Tahoma"/>
            <family val="2"/>
          </rPr>
          <t xml:space="preserve">= 120337 - Referinta </t>
        </r>
        <r>
          <rPr>
            <sz val="10"/>
            <color indexed="81"/>
            <rFont val="Tahoma"/>
            <family val="2"/>
          </rPr>
          <t xml:space="preserve">* Constanta Km Auto (Responses)
</t>
        </r>
      </text>
    </comment>
    <comment ref="J69" authorId="0" shapeId="0" xr:uid="{DCFF51E5-C451-4E90-9A40-5A2BB4E4841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Marinescu Ionut Referinta a fost pusa automat
__________________________________________________________________
</t>
        </r>
        <r>
          <rPr>
            <sz val="10"/>
            <color indexed="12"/>
            <rFont val="Tahoma"/>
            <family val="2"/>
          </rPr>
          <t xml:space="preserve">  </t>
        </r>
        <r>
          <rPr>
            <sz val="10"/>
            <color indexed="81"/>
            <rFont val="Tahoma"/>
            <family val="2"/>
          </rPr>
          <t xml:space="preserve"> 9/4/2022 6:54:19 PM </t>
        </r>
        <r>
          <rPr>
            <b/>
            <sz val="10"/>
            <color indexed="81"/>
            <rFont val="Tahoma"/>
            <family val="2"/>
          </rPr>
          <t xml:space="preserve">= 119035 - Referinta </t>
        </r>
        <r>
          <rPr>
            <sz val="10"/>
            <color indexed="81"/>
            <rFont val="Tahoma"/>
            <family val="2"/>
          </rPr>
          <t xml:space="preserve">* Constanta Km Auto (Responses)
</t>
        </r>
      </text>
    </comment>
    <comment ref="J70" authorId="0" shapeId="0" xr:uid="{0730DCC0-F174-4F2F-85D1-5F689C46793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9/5/2022 7:40:18 AM </t>
        </r>
        <r>
          <rPr>
            <b/>
            <sz val="10"/>
            <color indexed="81"/>
            <rFont val="Tahoma"/>
            <family val="2"/>
          </rPr>
          <t xml:space="preserve">= 119035 - Referinta </t>
        </r>
        <r>
          <rPr>
            <sz val="10"/>
            <color indexed="81"/>
            <rFont val="Tahoma"/>
            <family val="2"/>
          </rPr>
          <t xml:space="preserve">* Constanta Km Auto (Responses)
</t>
        </r>
      </text>
    </comment>
    <comment ref="O70" authorId="0" shapeId="0" xr:uid="{14085C3C-B134-4B4B-A7C0-1FA8F98EDA4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119534 - Referinta </t>
        </r>
        <r>
          <rPr>
            <sz val="10"/>
            <color indexed="81"/>
            <rFont val="Tahoma"/>
            <family val="2"/>
          </rPr>
          <t xml:space="preserve">* Constanta Km Auto (Responses)
  9/12/2022 8:24:46 AM </t>
        </r>
        <r>
          <rPr>
            <b/>
            <sz val="10"/>
            <color indexed="81"/>
            <rFont val="Tahoma"/>
            <family val="2"/>
          </rPr>
          <t xml:space="preserve">= 119534 - Normal </t>
        </r>
        <r>
          <rPr>
            <sz val="10"/>
            <color indexed="81"/>
            <rFont val="Tahoma"/>
            <family val="2"/>
          </rPr>
          <t xml:space="preserve">* Constanta Km Auto (Responses)
</t>
        </r>
      </text>
    </comment>
    <comment ref="T70" authorId="0" shapeId="0" xr:uid="{EDA4B51C-B25C-435A-B4F7-CDC51101CBD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9/16/2022 3:56:40 PM </t>
        </r>
        <r>
          <rPr>
            <b/>
            <sz val="10"/>
            <color indexed="81"/>
            <rFont val="Tahoma"/>
            <family val="2"/>
          </rPr>
          <t xml:space="preserve">= 120095 - Referinta </t>
        </r>
        <r>
          <rPr>
            <sz val="10"/>
            <color indexed="81"/>
            <rFont val="Tahoma"/>
            <family val="2"/>
          </rPr>
          <t xml:space="preserve">* Constanta Km Auto (Responses)
  9/19/2022 8:48:50 AM </t>
        </r>
        <r>
          <rPr>
            <b/>
            <sz val="10"/>
            <color indexed="81"/>
            <rFont val="Tahoma"/>
            <family val="2"/>
          </rPr>
          <t xml:space="preserve">= 120095 - Normal </t>
        </r>
        <r>
          <rPr>
            <sz val="10"/>
            <color indexed="81"/>
            <rFont val="Tahoma"/>
            <family val="2"/>
          </rPr>
          <t xml:space="preserve">* Constanta Km Auto (Responses)
</t>
        </r>
      </text>
    </comment>
    <comment ref="Y70" authorId="0" shapeId="0" xr:uid="{ED564F36-59C2-403F-9F03-81C1FE096E1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9/23/2022 3:45:12 PM </t>
        </r>
        <r>
          <rPr>
            <b/>
            <sz val="10"/>
            <color indexed="81"/>
            <rFont val="Tahoma"/>
            <family val="2"/>
          </rPr>
          <t xml:space="preserve">= 120160 - Referinta </t>
        </r>
        <r>
          <rPr>
            <sz val="10"/>
            <color indexed="81"/>
            <rFont val="Tahoma"/>
            <family val="2"/>
          </rPr>
          <t xml:space="preserve">* Constanta Km Auto (Responses)
  9/26/2022 8:18:10 AM </t>
        </r>
        <r>
          <rPr>
            <b/>
            <sz val="10"/>
            <color indexed="81"/>
            <rFont val="Tahoma"/>
            <family val="2"/>
          </rPr>
          <t xml:space="preserve">= 120160 - Normal </t>
        </r>
        <r>
          <rPr>
            <sz val="10"/>
            <color indexed="81"/>
            <rFont val="Tahoma"/>
            <family val="2"/>
          </rPr>
          <t xml:space="preserve">* Constanta Km Auto (Responses)
</t>
        </r>
      </text>
    </comment>
    <comment ref="AD70" authorId="0" shapeId="0" xr:uid="{483B6E61-BA4D-4354-A6F1-4C595705198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9/30/2022 3:45:32 PM </t>
        </r>
        <r>
          <rPr>
            <b/>
            <sz val="10"/>
            <color indexed="81"/>
            <rFont val="Tahoma"/>
            <family val="2"/>
          </rPr>
          <t xml:space="preserve">= 120337 - Referinta </t>
        </r>
        <r>
          <rPr>
            <sz val="10"/>
            <color indexed="81"/>
            <rFont val="Tahoma"/>
            <family val="2"/>
          </rPr>
          <t xml:space="preserve">* Constanta Km Auto (Responses)
</t>
        </r>
      </text>
    </comment>
    <comment ref="J71" authorId="0" shapeId="0" xr:uid="{8363D4BA-A3A0-44B6-88B3-1F3AAF8D632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 9/3/2022 9:11:50 AM </t>
        </r>
        <r>
          <rPr>
            <b/>
            <sz val="10"/>
            <color indexed="81"/>
            <rFont val="Tahoma"/>
            <family val="2"/>
          </rPr>
          <t xml:space="preserve">= 54337 - Referinta </t>
        </r>
        <r>
          <rPr>
            <sz val="10"/>
            <color indexed="81"/>
            <rFont val="Tahoma"/>
            <family val="2"/>
          </rPr>
          <t xml:space="preserve">* Constanta Km Auto (Responses)
   9/5/2022 8:28:24 AM </t>
        </r>
        <r>
          <rPr>
            <b/>
            <sz val="10"/>
            <color indexed="81"/>
            <rFont val="Tahoma"/>
            <family val="2"/>
          </rPr>
          <t xml:space="preserve">= 54339 - Normal </t>
        </r>
        <r>
          <rPr>
            <sz val="10"/>
            <color indexed="81"/>
            <rFont val="Tahoma"/>
            <family val="2"/>
          </rPr>
          <t xml:space="preserve">* Constanta Km Auto (Responses)
   9/6/2022 5:24:50 PM </t>
        </r>
        <r>
          <rPr>
            <b/>
            <sz val="10"/>
            <color indexed="81"/>
            <rFont val="Tahoma"/>
            <family val="2"/>
          </rPr>
          <t xml:space="preserve">= 54582 - Concediu </t>
        </r>
        <r>
          <rPr>
            <sz val="10"/>
            <color indexed="81"/>
            <rFont val="Tahoma"/>
            <family val="2"/>
          </rPr>
          <t xml:space="preserve">* Constanta Km Auto (Responses)
</t>
        </r>
      </text>
    </comment>
    <comment ref="O71" authorId="0" shapeId="0" xr:uid="{4C1D6B9D-2D9B-4DF8-86C7-BBFBC4A273F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9/12/2022 7:46:19 AM </t>
        </r>
        <r>
          <rPr>
            <b/>
            <sz val="10"/>
            <color indexed="81"/>
            <rFont val="Tahoma"/>
            <family val="2"/>
          </rPr>
          <t xml:space="preserve">= 54588 - Referinta </t>
        </r>
        <r>
          <rPr>
            <sz val="10"/>
            <color indexed="81"/>
            <rFont val="Tahoma"/>
            <family val="2"/>
          </rPr>
          <t xml:space="preserve">* Constanta Km Auto (Responses)
</t>
        </r>
      </text>
    </comment>
    <comment ref="T71" authorId="0" shapeId="0" xr:uid="{0FD9702D-6B53-48A2-8193-5FD27D335C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9/16/2022 5:13:57 PM </t>
        </r>
        <r>
          <rPr>
            <b/>
            <sz val="10"/>
            <color indexed="81"/>
            <rFont val="Tahoma"/>
            <family val="2"/>
          </rPr>
          <t xml:space="preserve">= 55187 - Referinta </t>
        </r>
        <r>
          <rPr>
            <sz val="10"/>
            <color indexed="81"/>
            <rFont val="Tahoma"/>
            <family val="2"/>
          </rPr>
          <t xml:space="preserve">* Constanta Km Auto (Responses)
  9/19/2022 7:46:30 AM </t>
        </r>
        <r>
          <rPr>
            <b/>
            <sz val="10"/>
            <color indexed="81"/>
            <rFont val="Tahoma"/>
            <family val="2"/>
          </rPr>
          <t xml:space="preserve">= 55415 - Normal </t>
        </r>
        <r>
          <rPr>
            <sz val="10"/>
            <color indexed="81"/>
            <rFont val="Tahoma"/>
            <family val="2"/>
          </rPr>
          <t xml:space="preserve">* Constanta Km Auto (Responses)
</t>
        </r>
      </text>
    </comment>
    <comment ref="Y71" authorId="0" shapeId="0" xr:uid="{B03DB781-FCAE-44F6-AAA5-E1B2466CE6A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9/23/2022 6:53:40 AM </t>
        </r>
        <r>
          <rPr>
            <b/>
            <sz val="10"/>
            <color indexed="81"/>
            <rFont val="Tahoma"/>
            <family val="2"/>
          </rPr>
          <t xml:space="preserve">= 56067 - Referinta </t>
        </r>
        <r>
          <rPr>
            <sz val="10"/>
            <color indexed="81"/>
            <rFont val="Tahoma"/>
            <family val="2"/>
          </rPr>
          <t xml:space="preserve">* Constanta Km Auto (Responses)
  9/26/2022 7:39:25 AM </t>
        </r>
        <r>
          <rPr>
            <b/>
            <sz val="10"/>
            <color indexed="81"/>
            <rFont val="Tahoma"/>
            <family val="2"/>
          </rPr>
          <t xml:space="preserve">= 56396 - Normal </t>
        </r>
        <r>
          <rPr>
            <sz val="10"/>
            <color indexed="81"/>
            <rFont val="Tahoma"/>
            <family val="2"/>
          </rPr>
          <t xml:space="preserve">* Constanta Km Auto (Responses)
</t>
        </r>
      </text>
    </comment>
    <comment ref="AD71" authorId="0" shapeId="0" xr:uid="{DB148615-B8E7-4A26-935F-1EDBFEE6922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B-118-CLT</t>
        </r>
        <r>
          <rPr>
            <b/>
            <sz val="10"/>
            <color indexed="12"/>
            <rFont val="Tahoma"/>
            <family val="2"/>
          </rPr>
          <t xml:space="preserve"> - Vasile Dragomir Referinta a fost pusa automat
__________________________________________________________________
</t>
        </r>
        <r>
          <rPr>
            <sz val="10"/>
            <color indexed="12"/>
            <rFont val="Tahoma"/>
            <family val="2"/>
          </rPr>
          <t xml:space="preserve">  </t>
        </r>
        <r>
          <rPr>
            <sz val="10"/>
            <color indexed="81"/>
            <rFont val="Tahoma"/>
            <family val="2"/>
          </rPr>
          <t xml:space="preserve">9/30/2022 4:13:15 PM </t>
        </r>
        <r>
          <rPr>
            <b/>
            <sz val="10"/>
            <color indexed="81"/>
            <rFont val="Tahoma"/>
            <family val="2"/>
          </rPr>
          <t xml:space="preserve">= 56977 - Referinta </t>
        </r>
        <r>
          <rPr>
            <sz val="10"/>
            <color indexed="81"/>
            <rFont val="Tahoma"/>
            <family val="2"/>
          </rPr>
          <t xml:space="preserve">* Constanta Km Auto (Responses)
  10/3/2022 7:33:31 AM </t>
        </r>
        <r>
          <rPr>
            <b/>
            <sz val="10"/>
            <color indexed="81"/>
            <rFont val="Tahoma"/>
            <family val="2"/>
          </rPr>
          <t xml:space="preserve">= 57019 - Normal </t>
        </r>
        <r>
          <rPr>
            <sz val="10"/>
            <color indexed="81"/>
            <rFont val="Tahoma"/>
            <family val="2"/>
          </rPr>
          <t xml:space="preserve">* Constanta Km Auto (Responses)
</t>
        </r>
      </text>
    </comment>
    <comment ref="J72" authorId="0" shapeId="0" xr:uid="{C62AD8A5-F947-4229-874C-E65C4EF5399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 9/2/2022 7:44:01 PM </t>
        </r>
        <r>
          <rPr>
            <b/>
            <sz val="10"/>
            <color indexed="81"/>
            <rFont val="Tahoma"/>
            <family val="2"/>
          </rPr>
          <t xml:space="preserve">= 164401 - Referinta </t>
        </r>
        <r>
          <rPr>
            <sz val="10"/>
            <color indexed="81"/>
            <rFont val="Tahoma"/>
            <family val="2"/>
          </rPr>
          <t xml:space="preserve">* Constanta Km Auto (Responses)
   9/5/2022 8:03:29 AM </t>
        </r>
        <r>
          <rPr>
            <b/>
            <sz val="10"/>
            <color indexed="81"/>
            <rFont val="Tahoma"/>
            <family val="2"/>
          </rPr>
          <t xml:space="preserve">= 164436 - Normal </t>
        </r>
        <r>
          <rPr>
            <sz val="10"/>
            <color indexed="81"/>
            <rFont val="Tahoma"/>
            <family val="2"/>
          </rPr>
          <t xml:space="preserve">* Constanta Km Auto (Responses)
</t>
        </r>
      </text>
    </comment>
    <comment ref="O72" authorId="0" shapeId="0" xr:uid="{8E542642-DD94-451E-B87F-02BFA12BD6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 9/9/2022 4:12:00 AM </t>
        </r>
        <r>
          <rPr>
            <b/>
            <sz val="10"/>
            <color indexed="81"/>
            <rFont val="Tahoma"/>
            <family val="2"/>
          </rPr>
          <t xml:space="preserve">= 164992 - Referinta </t>
        </r>
        <r>
          <rPr>
            <sz val="10"/>
            <color indexed="81"/>
            <rFont val="Tahoma"/>
            <family val="2"/>
          </rPr>
          <t xml:space="preserve">* Constanta Km Auto (Responses)
  9/12/2022 8:00:00 AM </t>
        </r>
        <r>
          <rPr>
            <b/>
            <sz val="10"/>
            <color indexed="81"/>
            <rFont val="Tahoma"/>
            <family val="2"/>
          </rPr>
          <t xml:space="preserve">= 165043 - Normal </t>
        </r>
        <r>
          <rPr>
            <sz val="10"/>
            <color indexed="81"/>
            <rFont val="Tahoma"/>
            <family val="2"/>
          </rPr>
          <t xml:space="preserve">* Constanta Km Auto (Responses)
</t>
        </r>
      </text>
    </comment>
    <comment ref="T72" authorId="0" shapeId="0" xr:uid="{F2FFE41D-24B3-40FB-82FC-7DA5C7F49DC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9/16/2022 4:10:00 AM </t>
        </r>
        <r>
          <rPr>
            <b/>
            <sz val="10"/>
            <color indexed="81"/>
            <rFont val="Tahoma"/>
            <family val="2"/>
          </rPr>
          <t xml:space="preserve">= 165594 - Referinta </t>
        </r>
        <r>
          <rPr>
            <sz val="10"/>
            <color indexed="81"/>
            <rFont val="Tahoma"/>
            <family val="2"/>
          </rPr>
          <t xml:space="preserve">* Constanta Km Auto (Responses)
  9/19/2022 8:00:00 AM </t>
        </r>
        <r>
          <rPr>
            <b/>
            <sz val="10"/>
            <color indexed="81"/>
            <rFont val="Tahoma"/>
            <family val="2"/>
          </rPr>
          <t xml:space="preserve">= 165668 - Normal </t>
        </r>
        <r>
          <rPr>
            <sz val="10"/>
            <color indexed="81"/>
            <rFont val="Tahoma"/>
            <family val="2"/>
          </rPr>
          <t xml:space="preserve">* Constanta Km Auto (Responses)
</t>
        </r>
      </text>
    </comment>
    <comment ref="Y72" authorId="0" shapeId="0" xr:uid="{82A3F1E2-5049-4FF2-AC94-B67B6CF6A9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t>
        </r>
        <r>
          <rPr>
            <sz val="10"/>
            <color indexed="81"/>
            <rFont val="Tahoma"/>
            <family val="2"/>
          </rPr>
          <t xml:space="preserve">9/23/2022 4:00:00 AM </t>
        </r>
        <r>
          <rPr>
            <b/>
            <sz val="10"/>
            <color indexed="81"/>
            <rFont val="Tahoma"/>
            <family val="2"/>
          </rPr>
          <t xml:space="preserve">= 166202 - Referinta </t>
        </r>
        <r>
          <rPr>
            <sz val="10"/>
            <color indexed="81"/>
            <rFont val="Tahoma"/>
            <family val="2"/>
          </rPr>
          <t xml:space="preserve">* Constanta Km Auto (Responses)
  9/26/2022 8:00:00 AM </t>
        </r>
        <r>
          <rPr>
            <b/>
            <sz val="10"/>
            <color indexed="81"/>
            <rFont val="Tahoma"/>
            <family val="2"/>
          </rPr>
          <t xml:space="preserve">= 166236 - Normal </t>
        </r>
        <r>
          <rPr>
            <sz val="10"/>
            <color indexed="81"/>
            <rFont val="Tahoma"/>
            <family val="2"/>
          </rPr>
          <t xml:space="preserve">* Constanta Km Auto (Responses)
</t>
        </r>
      </text>
    </comment>
    <comment ref="AD72" authorId="0" shapeId="0" xr:uid="{B9B3A257-4974-4FF9-8F95-79B4BD1A5C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B-198-CLT</t>
        </r>
        <r>
          <rPr>
            <b/>
            <sz val="10"/>
            <color indexed="12"/>
            <rFont val="Tahoma"/>
            <family val="2"/>
          </rPr>
          <t xml:space="preserve"> - Filip Andrei Referinta a fost pusa automat
__________________________________________________________________
</t>
        </r>
        <r>
          <rPr>
            <sz val="10"/>
            <color indexed="12"/>
            <rFont val="Tahoma"/>
            <family val="2"/>
          </rPr>
          <t xml:space="preserve"> 1</t>
        </r>
        <r>
          <rPr>
            <sz val="10"/>
            <color indexed="81"/>
            <rFont val="Tahoma"/>
            <family val="2"/>
          </rPr>
          <t xml:space="preserve">0/1/2022 10:00:00 AM </t>
        </r>
        <r>
          <rPr>
            <b/>
            <sz val="10"/>
            <color indexed="81"/>
            <rFont val="Tahoma"/>
            <family val="2"/>
          </rPr>
          <t xml:space="preserve">= 166762 - Referinta </t>
        </r>
        <r>
          <rPr>
            <sz val="10"/>
            <color indexed="81"/>
            <rFont val="Tahoma"/>
            <family val="2"/>
          </rPr>
          <t xml:space="preserve">* Constanta Km Auto (Responses)
  10/3/2022 8:05:00 AM </t>
        </r>
        <r>
          <rPr>
            <b/>
            <sz val="10"/>
            <color indexed="81"/>
            <rFont val="Tahoma"/>
            <family val="2"/>
          </rPr>
          <t xml:space="preserve">= 166809 - Normal </t>
        </r>
        <r>
          <rPr>
            <sz val="10"/>
            <color indexed="81"/>
            <rFont val="Tahoma"/>
            <family val="2"/>
          </rPr>
          <t xml:space="preserve">* Constanta Km Auto (Responses)
</t>
        </r>
      </text>
    </comment>
    <comment ref="J73" authorId="0" shapeId="0" xr:uid="{3E75A905-C14C-4AB0-8EFE-FE1589CA06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9/2/2022 4:01:41 PM </t>
        </r>
        <r>
          <rPr>
            <b/>
            <sz val="10"/>
            <color indexed="81"/>
            <rFont val="Tahoma"/>
            <family val="2"/>
          </rPr>
          <t xml:space="preserve">= 31106 - Referinta </t>
        </r>
        <r>
          <rPr>
            <sz val="10"/>
            <color indexed="81"/>
            <rFont val="Tahoma"/>
            <family val="2"/>
          </rPr>
          <t xml:space="preserve">* Constanta Km Auto (Responses)
   9/5/2022 7:31:34 AM </t>
        </r>
        <r>
          <rPr>
            <b/>
            <sz val="10"/>
            <color indexed="81"/>
            <rFont val="Tahoma"/>
            <family val="2"/>
          </rPr>
          <t xml:space="preserve">= 31106 - Normal </t>
        </r>
        <r>
          <rPr>
            <sz val="10"/>
            <color indexed="81"/>
            <rFont val="Tahoma"/>
            <family val="2"/>
          </rPr>
          <t xml:space="preserve">* Constanta Km Auto (Responses)
</t>
        </r>
      </text>
    </comment>
    <comment ref="O73" authorId="0" shapeId="0" xr:uid="{3C84A337-2298-48A9-99C4-4612EA7A821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3:48:30 PM </t>
        </r>
        <r>
          <rPr>
            <b/>
            <sz val="10"/>
            <color indexed="81"/>
            <rFont val="Tahoma"/>
            <family val="2"/>
          </rPr>
          <t xml:space="preserve">= 31955 - Referinta </t>
        </r>
        <r>
          <rPr>
            <sz val="10"/>
            <color indexed="81"/>
            <rFont val="Tahoma"/>
            <family val="2"/>
          </rPr>
          <t xml:space="preserve">* Constanta Km Auto (Responses)
  9/12/2022 7:33:49 AM </t>
        </r>
        <r>
          <rPr>
            <b/>
            <sz val="10"/>
            <color indexed="81"/>
            <rFont val="Tahoma"/>
            <family val="2"/>
          </rPr>
          <t xml:space="preserve">= 31955 - Normal </t>
        </r>
        <r>
          <rPr>
            <sz val="10"/>
            <color indexed="81"/>
            <rFont val="Tahoma"/>
            <family val="2"/>
          </rPr>
          <t xml:space="preserve">* Constanta Km Auto (Responses)
</t>
        </r>
      </text>
    </comment>
    <comment ref="T73" authorId="0" shapeId="0" xr:uid="{109C63BE-C43E-4AF3-9F41-F0432ECDD4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9/16/2022 3:55:17 PM </t>
        </r>
        <r>
          <rPr>
            <b/>
            <sz val="10"/>
            <color indexed="81"/>
            <rFont val="Tahoma"/>
            <family val="2"/>
          </rPr>
          <t xml:space="preserve">= 32712 - Referinta </t>
        </r>
        <r>
          <rPr>
            <sz val="10"/>
            <color indexed="81"/>
            <rFont val="Tahoma"/>
            <family val="2"/>
          </rPr>
          <t xml:space="preserve">* Constanta Km Auto (Responses)
  9/19/2022 7:35:03 AM </t>
        </r>
        <r>
          <rPr>
            <b/>
            <sz val="10"/>
            <color indexed="81"/>
            <rFont val="Tahoma"/>
            <family val="2"/>
          </rPr>
          <t xml:space="preserve">= 32712 - Normal </t>
        </r>
        <r>
          <rPr>
            <sz val="10"/>
            <color indexed="81"/>
            <rFont val="Tahoma"/>
            <family val="2"/>
          </rPr>
          <t xml:space="preserve">* Constanta Km Auto (Responses)
</t>
        </r>
      </text>
    </comment>
    <comment ref="Y73" authorId="0" shapeId="0" xr:uid="{64357691-45A8-4FAB-93BB-4636CCB1387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9/23/2022 3:56:04 PM </t>
        </r>
        <r>
          <rPr>
            <b/>
            <sz val="10"/>
            <color indexed="81"/>
            <rFont val="Tahoma"/>
            <family val="2"/>
          </rPr>
          <t xml:space="preserve">= 33501 - Referinta </t>
        </r>
        <r>
          <rPr>
            <sz val="10"/>
            <color indexed="81"/>
            <rFont val="Tahoma"/>
            <family val="2"/>
          </rPr>
          <t xml:space="preserve">* Constanta Km Auto (Responses)
  9/26/2022 7:41:03 AM </t>
        </r>
        <r>
          <rPr>
            <b/>
            <sz val="10"/>
            <color indexed="81"/>
            <rFont val="Tahoma"/>
            <family val="2"/>
          </rPr>
          <t xml:space="preserve">= 33501 - Normal </t>
        </r>
        <r>
          <rPr>
            <sz val="10"/>
            <color indexed="81"/>
            <rFont val="Tahoma"/>
            <family val="2"/>
          </rPr>
          <t xml:space="preserve">* Constanta Km Auto (Responses)
</t>
        </r>
      </text>
    </comment>
    <comment ref="AD73" authorId="0" shapeId="0" xr:uid="{C217EF34-419B-462A-B0C8-10558428F4C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B-880-CLT</t>
        </r>
        <r>
          <rPr>
            <b/>
            <sz val="10"/>
            <color indexed="12"/>
            <rFont val="Tahoma"/>
            <family val="2"/>
          </rPr>
          <t xml:space="preserve"> - Stefan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9/30/2022 3:48:02 PM </t>
        </r>
        <r>
          <rPr>
            <b/>
            <sz val="10"/>
            <color indexed="81"/>
            <rFont val="Tahoma"/>
            <family val="2"/>
          </rPr>
          <t xml:space="preserve">= 34289 - Referinta </t>
        </r>
        <r>
          <rPr>
            <sz val="10"/>
            <color indexed="81"/>
            <rFont val="Tahoma"/>
            <family val="2"/>
          </rPr>
          <t xml:space="preserve">* Constanta Km Auto (Responses)
  10/3/2022 8:11:25 AM </t>
        </r>
        <r>
          <rPr>
            <b/>
            <sz val="10"/>
            <color indexed="81"/>
            <rFont val="Tahoma"/>
            <family val="2"/>
          </rPr>
          <t xml:space="preserve">= 34289 - Normal </t>
        </r>
        <r>
          <rPr>
            <sz val="10"/>
            <color indexed="81"/>
            <rFont val="Tahoma"/>
            <family val="2"/>
          </rPr>
          <t xml:space="preserve">* Constanta Km Auto (Responses)
</t>
        </r>
      </text>
    </comment>
    <comment ref="J74" authorId="0" shapeId="0" xr:uid="{9B3E5254-F1BD-4391-8C44-2DA4D3B6E61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 9/2/2022 5:47:20 PM </t>
        </r>
        <r>
          <rPr>
            <b/>
            <sz val="10"/>
            <color indexed="81"/>
            <rFont val="Tahoma"/>
            <family val="2"/>
          </rPr>
          <t xml:space="preserve">= 83326 - Referinta </t>
        </r>
        <r>
          <rPr>
            <sz val="10"/>
            <color indexed="81"/>
            <rFont val="Tahoma"/>
            <family val="2"/>
          </rPr>
          <t xml:space="preserve">* Craiova Km Auto (Responses)
   9/5/2022 4:47:56 PM </t>
        </r>
        <r>
          <rPr>
            <b/>
            <sz val="10"/>
            <color indexed="81"/>
            <rFont val="Tahoma"/>
            <family val="2"/>
          </rPr>
          <t xml:space="preserve">= 83369 - Normal </t>
        </r>
        <r>
          <rPr>
            <sz val="10"/>
            <color indexed="81"/>
            <rFont val="Tahoma"/>
            <family val="2"/>
          </rPr>
          <t xml:space="preserve">* Craiova Km Auto (Responses)
</t>
        </r>
      </text>
    </comment>
    <comment ref="O74" authorId="0" shapeId="0" xr:uid="{CBA1B2DC-B532-4E05-A4C1-D14895B9E88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 9/9/2022 7:01:11 PM </t>
        </r>
        <r>
          <rPr>
            <b/>
            <sz val="10"/>
            <color indexed="81"/>
            <rFont val="Tahoma"/>
            <family val="2"/>
          </rPr>
          <t xml:space="preserve">= 83897 - Referinta </t>
        </r>
        <r>
          <rPr>
            <sz val="10"/>
            <color indexed="81"/>
            <rFont val="Tahoma"/>
            <family val="2"/>
          </rPr>
          <t xml:space="preserve">* Craiova Km Auto (Responses)
  9/12/2022 8:38:00 AM </t>
        </r>
        <r>
          <rPr>
            <b/>
            <sz val="10"/>
            <color indexed="81"/>
            <rFont val="Tahoma"/>
            <family val="2"/>
          </rPr>
          <t xml:space="preserve">= 84063 - Normal </t>
        </r>
        <r>
          <rPr>
            <sz val="10"/>
            <color indexed="81"/>
            <rFont val="Tahoma"/>
            <family val="2"/>
          </rPr>
          <t xml:space="preserve">* Craiova Km Auto (Responses)
</t>
        </r>
      </text>
    </comment>
    <comment ref="T74" authorId="0" shapeId="0" xr:uid="{C11829FF-D272-46A2-8E45-97495EB2482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9/16/2022 8:07:04 PM </t>
        </r>
        <r>
          <rPr>
            <b/>
            <sz val="10"/>
            <color indexed="81"/>
            <rFont val="Tahoma"/>
            <family val="2"/>
          </rPr>
          <t xml:space="preserve">= 84926 - Referinta </t>
        </r>
        <r>
          <rPr>
            <sz val="10"/>
            <color indexed="81"/>
            <rFont val="Tahoma"/>
            <family val="2"/>
          </rPr>
          <t xml:space="preserve">* Craiova Km Auto (Responses)
 9/19/2022 12:12:59 PM </t>
        </r>
        <r>
          <rPr>
            <b/>
            <sz val="10"/>
            <color indexed="81"/>
            <rFont val="Tahoma"/>
            <family val="2"/>
          </rPr>
          <t xml:space="preserve">= 84968 - Normal </t>
        </r>
        <r>
          <rPr>
            <sz val="10"/>
            <color indexed="81"/>
            <rFont val="Tahoma"/>
            <family val="2"/>
          </rPr>
          <t xml:space="preserve">* Craiova Km Auto (Responses)
</t>
        </r>
      </text>
    </comment>
    <comment ref="Y74" authorId="0" shapeId="0" xr:uid="{4B09AE9D-3DF1-419B-B3D9-C6FA40E85C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B-210-CLT</t>
        </r>
        <r>
          <rPr>
            <b/>
            <sz val="10"/>
            <color indexed="12"/>
            <rFont val="Tahoma"/>
            <family val="2"/>
          </rPr>
          <t xml:space="preserve"> - Liviu Mangheru Referinta a fost pusa automat
__________________________________________________________________
</t>
        </r>
        <r>
          <rPr>
            <sz val="10"/>
            <color indexed="12"/>
            <rFont val="Tahoma"/>
            <family val="2"/>
          </rPr>
          <t xml:space="preserve">  </t>
        </r>
        <r>
          <rPr>
            <sz val="10"/>
            <color indexed="81"/>
            <rFont val="Tahoma"/>
            <family val="2"/>
          </rPr>
          <t xml:space="preserve">9/23/2022 4:43:43 PM </t>
        </r>
        <r>
          <rPr>
            <b/>
            <sz val="10"/>
            <color indexed="81"/>
            <rFont val="Tahoma"/>
            <family val="2"/>
          </rPr>
          <t xml:space="preserve">= 85407 - Referinta </t>
        </r>
        <r>
          <rPr>
            <sz val="10"/>
            <color indexed="81"/>
            <rFont val="Tahoma"/>
            <family val="2"/>
          </rPr>
          <t xml:space="preserve">* Craiova Km Auto (Responses)
 9/26/2022 10:57:17 AM </t>
        </r>
        <r>
          <rPr>
            <b/>
            <sz val="10"/>
            <color indexed="81"/>
            <rFont val="Tahoma"/>
            <family val="2"/>
          </rPr>
          <t xml:space="preserve">= 85407 - Normal </t>
        </r>
        <r>
          <rPr>
            <sz val="10"/>
            <color indexed="81"/>
            <rFont val="Tahoma"/>
            <family val="2"/>
          </rPr>
          <t xml:space="preserve">* Craiova Km Auto (Responses)
</t>
        </r>
      </text>
    </comment>
    <comment ref="J75" authorId="0" shapeId="0" xr:uid="{AD906AC4-B819-455F-A323-DEB2C657B77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 9/2/2022 4:18:13 PM </t>
        </r>
        <r>
          <rPr>
            <b/>
            <sz val="10"/>
            <color indexed="81"/>
            <rFont val="Tahoma"/>
            <family val="2"/>
          </rPr>
          <t xml:space="preserve">= 15637 - Referinta </t>
        </r>
        <r>
          <rPr>
            <sz val="10"/>
            <color indexed="81"/>
            <rFont val="Tahoma"/>
            <family val="2"/>
          </rPr>
          <t xml:space="preserve">* Craiova Km Auto (Responses)
   9/5/2022 7:54:09 AM </t>
        </r>
        <r>
          <rPr>
            <b/>
            <sz val="10"/>
            <color indexed="81"/>
            <rFont val="Tahoma"/>
            <family val="2"/>
          </rPr>
          <t xml:space="preserve">= 15652 - Normal </t>
        </r>
        <r>
          <rPr>
            <sz val="10"/>
            <color indexed="81"/>
            <rFont val="Tahoma"/>
            <family val="2"/>
          </rPr>
          <t xml:space="preserve">* Craiova Km Auto (Responses)
</t>
        </r>
      </text>
    </comment>
    <comment ref="O75" authorId="0" shapeId="0" xr:uid="{52D0367D-84D5-434F-BFA9-87C3D78586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 9/9/2022 3:42:19 PM </t>
        </r>
        <r>
          <rPr>
            <b/>
            <sz val="10"/>
            <color indexed="81"/>
            <rFont val="Tahoma"/>
            <family val="2"/>
          </rPr>
          <t xml:space="preserve">= 15962 - Referinta </t>
        </r>
        <r>
          <rPr>
            <sz val="10"/>
            <color indexed="81"/>
            <rFont val="Tahoma"/>
            <family val="2"/>
          </rPr>
          <t xml:space="preserve">* Craiova Km Auto (Responses)
  9/12/2022 9:18:23 AM </t>
        </r>
        <r>
          <rPr>
            <b/>
            <sz val="10"/>
            <color indexed="81"/>
            <rFont val="Tahoma"/>
            <family val="2"/>
          </rPr>
          <t xml:space="preserve">= 15973 - Normal </t>
        </r>
        <r>
          <rPr>
            <sz val="10"/>
            <color indexed="81"/>
            <rFont val="Tahoma"/>
            <family val="2"/>
          </rPr>
          <t xml:space="preserve">* Craiova Km Auto (Responses)
</t>
        </r>
      </text>
    </comment>
    <comment ref="T75" authorId="0" shapeId="0" xr:uid="{8FDBC64F-4D55-467C-B67E-DF512D432F3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9/16/2022 3:45:34 PM </t>
        </r>
        <r>
          <rPr>
            <b/>
            <sz val="10"/>
            <color indexed="81"/>
            <rFont val="Tahoma"/>
            <family val="2"/>
          </rPr>
          <t xml:space="preserve">= 16328 - Referinta </t>
        </r>
        <r>
          <rPr>
            <sz val="10"/>
            <color indexed="81"/>
            <rFont val="Tahoma"/>
            <family val="2"/>
          </rPr>
          <t xml:space="preserve">* Craiova Km Auto (Responses)
  9/19/2022 8:40:06 AM </t>
        </r>
        <r>
          <rPr>
            <b/>
            <sz val="10"/>
            <color indexed="81"/>
            <rFont val="Tahoma"/>
            <family val="2"/>
          </rPr>
          <t xml:space="preserve">= 16346 - Normal </t>
        </r>
        <r>
          <rPr>
            <sz val="10"/>
            <color indexed="81"/>
            <rFont val="Tahoma"/>
            <family val="2"/>
          </rPr>
          <t xml:space="preserve">* Craiova Km Auto (Responses)
</t>
        </r>
      </text>
    </comment>
    <comment ref="Y75" authorId="0" shapeId="0" xr:uid="{E38B52D0-FED9-488E-BC57-0A65D0142C6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9/23/2022 3:40:50 PM </t>
        </r>
        <r>
          <rPr>
            <b/>
            <sz val="10"/>
            <color indexed="81"/>
            <rFont val="Tahoma"/>
            <family val="2"/>
          </rPr>
          <t xml:space="preserve">= 16618 - Referinta </t>
        </r>
        <r>
          <rPr>
            <sz val="10"/>
            <color indexed="81"/>
            <rFont val="Tahoma"/>
            <family val="2"/>
          </rPr>
          <t xml:space="preserve">* Craiova Km Auto (Responses)
  9/26/2022 8:47:21 AM </t>
        </r>
        <r>
          <rPr>
            <b/>
            <sz val="10"/>
            <color indexed="81"/>
            <rFont val="Tahoma"/>
            <family val="2"/>
          </rPr>
          <t xml:space="preserve">= 16636 - Normal </t>
        </r>
        <r>
          <rPr>
            <sz val="10"/>
            <color indexed="81"/>
            <rFont val="Tahoma"/>
            <family val="2"/>
          </rPr>
          <t xml:space="preserve">* Craiova Km Auto (Responses)
</t>
        </r>
      </text>
    </comment>
    <comment ref="AD75" authorId="0" shapeId="0" xr:uid="{DB7FDFB2-5DA2-42CF-A8BA-2128DDAB7D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B-923-CLT</t>
        </r>
        <r>
          <rPr>
            <b/>
            <sz val="10"/>
            <color indexed="12"/>
            <rFont val="Tahoma"/>
            <family val="2"/>
          </rPr>
          <t xml:space="preserve"> - Tica Vicentiu Referinta a fost pusa automat
__________________________________________________________________
</t>
        </r>
        <r>
          <rPr>
            <sz val="10"/>
            <color indexed="12"/>
            <rFont val="Tahoma"/>
            <family val="2"/>
          </rPr>
          <t xml:space="preserve">  </t>
        </r>
        <r>
          <rPr>
            <sz val="10"/>
            <color indexed="81"/>
            <rFont val="Tahoma"/>
            <family val="2"/>
          </rPr>
          <t xml:space="preserve">9/30/2022 4:08:08 PM </t>
        </r>
        <r>
          <rPr>
            <b/>
            <sz val="10"/>
            <color indexed="81"/>
            <rFont val="Tahoma"/>
            <family val="2"/>
          </rPr>
          <t xml:space="preserve">= 16954 - Referinta </t>
        </r>
        <r>
          <rPr>
            <sz val="10"/>
            <color indexed="81"/>
            <rFont val="Tahoma"/>
            <family val="2"/>
          </rPr>
          <t xml:space="preserve">* Craiova Km Auto (Responses)
  10/3/2022 8:33:41 AM </t>
        </r>
        <r>
          <rPr>
            <b/>
            <sz val="10"/>
            <color indexed="81"/>
            <rFont val="Tahoma"/>
            <family val="2"/>
          </rPr>
          <t xml:space="preserve">= 16972 - Normal </t>
        </r>
        <r>
          <rPr>
            <sz val="10"/>
            <color indexed="81"/>
            <rFont val="Tahoma"/>
            <family val="2"/>
          </rPr>
          <t xml:space="preserve">* Craiova Km Auto (Responses)
</t>
        </r>
      </text>
    </comment>
    <comment ref="J76" authorId="0" shapeId="0" xr:uid="{D9FE1CE8-6A62-461F-9B37-BD41B79AFAD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Referinta a fost pusa automat
__________________________________________________________________
</t>
        </r>
        <r>
          <rPr>
            <sz val="10"/>
            <color indexed="12"/>
            <rFont val="Tahoma"/>
            <family val="2"/>
          </rPr>
          <t xml:space="preserve">  </t>
        </r>
        <r>
          <rPr>
            <sz val="10"/>
            <color indexed="81"/>
            <rFont val="Tahoma"/>
            <family val="2"/>
          </rPr>
          <t xml:space="preserve"> 9/2/2022 4:08:48 PM </t>
        </r>
        <r>
          <rPr>
            <b/>
            <sz val="10"/>
            <color indexed="81"/>
            <rFont val="Tahoma"/>
            <family val="2"/>
          </rPr>
          <t xml:space="preserve">= 46221 - Referinta </t>
        </r>
        <r>
          <rPr>
            <sz val="10"/>
            <color indexed="81"/>
            <rFont val="Tahoma"/>
            <family val="2"/>
          </rPr>
          <t xml:space="preserve">* Craiova Km Auto (Responses)
   9/5/2022 8:03:46 AM </t>
        </r>
        <r>
          <rPr>
            <b/>
            <sz val="10"/>
            <color indexed="81"/>
            <rFont val="Tahoma"/>
            <family val="2"/>
          </rPr>
          <t xml:space="preserve">= 46226 - Normal </t>
        </r>
        <r>
          <rPr>
            <sz val="10"/>
            <color indexed="81"/>
            <rFont val="Tahoma"/>
            <family val="2"/>
          </rPr>
          <t xml:space="preserve">* Craiova Km Auto (Responses)
</t>
        </r>
      </text>
    </comment>
    <comment ref="O76" authorId="0" shapeId="0" xr:uid="{3064F201-E1B8-46CF-9C7B-9189B9F27E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 9/9/2022 3:57:59 PM </t>
        </r>
        <r>
          <rPr>
            <b/>
            <sz val="10"/>
            <color indexed="81"/>
            <rFont val="Tahoma"/>
            <family val="2"/>
          </rPr>
          <t xml:space="preserve">= 46453 - Referinta </t>
        </r>
        <r>
          <rPr>
            <sz val="10"/>
            <color indexed="81"/>
            <rFont val="Tahoma"/>
            <family val="2"/>
          </rPr>
          <t xml:space="preserve">* Craiova Km Auto (Responses)
  9/12/2022 8:07:51 AM </t>
        </r>
        <r>
          <rPr>
            <b/>
            <sz val="10"/>
            <color indexed="81"/>
            <rFont val="Tahoma"/>
            <family val="2"/>
          </rPr>
          <t xml:space="preserve">= 46476 - Normal </t>
        </r>
        <r>
          <rPr>
            <sz val="10"/>
            <color indexed="81"/>
            <rFont val="Tahoma"/>
            <family val="2"/>
          </rPr>
          <t xml:space="preserve">* Craiova Km Auto (Responses)
</t>
        </r>
      </text>
    </comment>
    <comment ref="T76" authorId="0" shapeId="0" xr:uid="{725DF635-C36D-4A42-AC0E-0CB4AAB635B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9/16/2022 4:33:38 PM </t>
        </r>
        <r>
          <rPr>
            <b/>
            <sz val="10"/>
            <color indexed="81"/>
            <rFont val="Tahoma"/>
            <family val="2"/>
          </rPr>
          <t xml:space="preserve">= 46671 - Referinta </t>
        </r>
        <r>
          <rPr>
            <sz val="10"/>
            <color indexed="81"/>
            <rFont val="Tahoma"/>
            <family val="2"/>
          </rPr>
          <t xml:space="preserve">* Craiova Km Auto (Responses)
  9/19/2022 8:02:08 AM </t>
        </r>
        <r>
          <rPr>
            <b/>
            <sz val="10"/>
            <color indexed="81"/>
            <rFont val="Tahoma"/>
            <family val="2"/>
          </rPr>
          <t xml:space="preserve">= 46699 - Normal </t>
        </r>
        <r>
          <rPr>
            <sz val="10"/>
            <color indexed="81"/>
            <rFont val="Tahoma"/>
            <family val="2"/>
          </rPr>
          <t xml:space="preserve">* Craiova Km Auto (Responses)
</t>
        </r>
      </text>
    </comment>
    <comment ref="Y76" authorId="0" shapeId="0" xr:uid="{6736FF76-9A6F-4F15-8B41-A037888A78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9/23/2022 4:03:01 PM </t>
        </r>
        <r>
          <rPr>
            <b/>
            <sz val="10"/>
            <color indexed="81"/>
            <rFont val="Tahoma"/>
            <family val="2"/>
          </rPr>
          <t xml:space="preserve">= 47083 - Referinta </t>
        </r>
        <r>
          <rPr>
            <sz val="10"/>
            <color indexed="81"/>
            <rFont val="Tahoma"/>
            <family val="2"/>
          </rPr>
          <t xml:space="preserve">* Craiova Km Auto (Responses)
  9/26/2022 8:07:54 AM </t>
        </r>
        <r>
          <rPr>
            <b/>
            <sz val="10"/>
            <color indexed="81"/>
            <rFont val="Tahoma"/>
            <family val="2"/>
          </rPr>
          <t xml:space="preserve">= 47091 - Normal </t>
        </r>
        <r>
          <rPr>
            <sz val="10"/>
            <color indexed="81"/>
            <rFont val="Tahoma"/>
            <family val="2"/>
          </rPr>
          <t xml:space="preserve">* Craiova Km Auto (Responses)
</t>
        </r>
      </text>
    </comment>
    <comment ref="AD76" authorId="0" shapeId="0" xr:uid="{00166B3F-8978-4345-AFBE-D511894A321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IF-15-CLT</t>
        </r>
        <r>
          <rPr>
            <b/>
            <sz val="10"/>
            <color indexed="12"/>
            <rFont val="Tahoma"/>
            <family val="2"/>
          </rPr>
          <t xml:space="preserve"> - Dinu Cosmin 
__________________________________________________________________
</t>
        </r>
        <r>
          <rPr>
            <sz val="10"/>
            <color indexed="12"/>
            <rFont val="Tahoma"/>
            <family val="2"/>
          </rPr>
          <t xml:space="preserve">  </t>
        </r>
        <r>
          <rPr>
            <sz val="10"/>
            <color indexed="81"/>
            <rFont val="Tahoma"/>
            <family val="2"/>
          </rPr>
          <t xml:space="preserve">9/30/2022 4:12:59 PM </t>
        </r>
        <r>
          <rPr>
            <b/>
            <sz val="10"/>
            <color indexed="81"/>
            <rFont val="Tahoma"/>
            <family val="2"/>
          </rPr>
          <t xml:space="preserve">= 47249 - Referinta </t>
        </r>
        <r>
          <rPr>
            <sz val="10"/>
            <color indexed="81"/>
            <rFont val="Tahoma"/>
            <family val="2"/>
          </rPr>
          <t xml:space="preserve">* Craiova Km Auto (Responses)
  10/3/2022 8:19:33 AM </t>
        </r>
        <r>
          <rPr>
            <b/>
            <sz val="10"/>
            <color indexed="81"/>
            <rFont val="Tahoma"/>
            <family val="2"/>
          </rPr>
          <t xml:space="preserve">= 47281 - Normal </t>
        </r>
        <r>
          <rPr>
            <sz val="10"/>
            <color indexed="81"/>
            <rFont val="Tahoma"/>
            <family val="2"/>
          </rPr>
          <t xml:space="preserve">* Craiova Km Auto (Responses)
</t>
        </r>
      </text>
    </comment>
    <comment ref="J77" authorId="0" shapeId="0" xr:uid="{720FFEBA-B790-49AB-B1F9-84973DB4E7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Referinta a fost pusa automat
__________________________________________________________________
</t>
        </r>
        <r>
          <rPr>
            <sz val="10"/>
            <color indexed="12"/>
            <rFont val="Tahoma"/>
            <family val="2"/>
          </rPr>
          <t xml:space="preserve">  </t>
        </r>
        <r>
          <rPr>
            <sz val="10"/>
            <color indexed="81"/>
            <rFont val="Tahoma"/>
            <family val="2"/>
          </rPr>
          <t xml:space="preserve"> 9/2/2022 4:32:58 PM </t>
        </r>
        <r>
          <rPr>
            <b/>
            <sz val="10"/>
            <color indexed="81"/>
            <rFont val="Tahoma"/>
            <family val="2"/>
          </rPr>
          <t xml:space="preserve">= 49972 - Referinta </t>
        </r>
        <r>
          <rPr>
            <sz val="10"/>
            <color indexed="81"/>
            <rFont val="Tahoma"/>
            <family val="2"/>
          </rPr>
          <t xml:space="preserve">* Craiova Km Auto (Responses)
   9/5/2022 7:45:38 AM </t>
        </r>
        <r>
          <rPr>
            <b/>
            <sz val="10"/>
            <color indexed="81"/>
            <rFont val="Tahoma"/>
            <family val="2"/>
          </rPr>
          <t xml:space="preserve">= 50006 - Normal </t>
        </r>
        <r>
          <rPr>
            <sz val="10"/>
            <color indexed="81"/>
            <rFont val="Tahoma"/>
            <family val="2"/>
          </rPr>
          <t xml:space="preserve">* Craiova Km Auto (Responses)
</t>
        </r>
      </text>
    </comment>
    <comment ref="O77" authorId="0" shapeId="0" xr:uid="{02695879-54A5-4FC0-BAD0-29F20141B0C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__________________________________________________________________
</t>
        </r>
        <r>
          <rPr>
            <sz val="10"/>
            <color indexed="12"/>
            <rFont val="Tahoma"/>
            <family val="2"/>
          </rPr>
          <t xml:space="preserve">  </t>
        </r>
        <r>
          <rPr>
            <sz val="10"/>
            <color indexed="81"/>
            <rFont val="Tahoma"/>
            <family val="2"/>
          </rPr>
          <t xml:space="preserve"> 9/9/2022 4:00:44 PM </t>
        </r>
        <r>
          <rPr>
            <b/>
            <sz val="10"/>
            <color indexed="81"/>
            <rFont val="Tahoma"/>
            <family val="2"/>
          </rPr>
          <t xml:space="preserve">= 50457 - Referinta </t>
        </r>
        <r>
          <rPr>
            <sz val="10"/>
            <color indexed="81"/>
            <rFont val="Tahoma"/>
            <family val="2"/>
          </rPr>
          <t xml:space="preserve">* Craiova Km Auto (Responses)
  9/12/2022 7:45:50 AM </t>
        </r>
        <r>
          <rPr>
            <b/>
            <sz val="10"/>
            <color indexed="81"/>
            <rFont val="Tahoma"/>
            <family val="2"/>
          </rPr>
          <t xml:space="preserve">= 50466 - Normal </t>
        </r>
        <r>
          <rPr>
            <sz val="10"/>
            <color indexed="81"/>
            <rFont val="Tahoma"/>
            <family val="2"/>
          </rPr>
          <t xml:space="preserve">* Craiova Km Auto (Responses)
  9/13/2022 4:49:53 AM </t>
        </r>
        <r>
          <rPr>
            <b/>
            <sz val="10"/>
            <color indexed="81"/>
            <rFont val="Tahoma"/>
            <family val="2"/>
          </rPr>
          <t xml:space="preserve">= 50500 - Concediu </t>
        </r>
        <r>
          <rPr>
            <sz val="10"/>
            <color indexed="81"/>
            <rFont val="Tahoma"/>
            <family val="2"/>
          </rPr>
          <t xml:space="preserve">* Craiova Km Auto (Responses)
  9/14/2022 8:16:31 AM </t>
        </r>
        <r>
          <rPr>
            <b/>
            <sz val="10"/>
            <color indexed="81"/>
            <rFont val="Tahoma"/>
            <family val="2"/>
          </rPr>
          <t xml:space="preserve">= 50972 - Concediu </t>
        </r>
        <r>
          <rPr>
            <sz val="10"/>
            <color indexed="81"/>
            <rFont val="Tahoma"/>
            <family val="2"/>
          </rPr>
          <t xml:space="preserve">* Craiova Km Auto (Responses)
</t>
        </r>
      </text>
    </comment>
    <comment ref="T77" authorId="0" shapeId="0" xr:uid="{325460D9-976E-44A2-AAA7-83AF5A7600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B-221-CLT</t>
        </r>
        <r>
          <rPr>
            <b/>
            <sz val="10"/>
            <color indexed="12"/>
            <rFont val="Tahoma"/>
            <family val="2"/>
          </rPr>
          <t xml:space="preserve"> - Nicu Craciun 
__________________________________________________________________
</t>
        </r>
        <r>
          <rPr>
            <sz val="10"/>
            <color indexed="12"/>
            <rFont val="Tahoma"/>
            <family val="2"/>
          </rPr>
          <t xml:space="preserve">  </t>
        </r>
        <r>
          <rPr>
            <sz val="10"/>
            <color indexed="81"/>
            <rFont val="Tahoma"/>
            <family val="2"/>
          </rPr>
          <t xml:space="preserve">9/16/2022 3:50:33 PM </t>
        </r>
        <r>
          <rPr>
            <b/>
            <sz val="10"/>
            <color indexed="81"/>
            <rFont val="Tahoma"/>
            <family val="2"/>
          </rPr>
          <t xml:space="preserve">= 51084 - Referinta </t>
        </r>
        <r>
          <rPr>
            <sz val="10"/>
            <color indexed="81"/>
            <rFont val="Tahoma"/>
            <family val="2"/>
          </rPr>
          <t xml:space="preserve">* Craiova Km Auto (Responses)
</t>
        </r>
      </text>
    </comment>
    <comment ref="J78" authorId="0" shapeId="0" xr:uid="{2337A69C-A77B-4712-A28D-EDABA732AB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 9/2/2022 3:26:48 PM </t>
        </r>
        <r>
          <rPr>
            <b/>
            <sz val="10"/>
            <color indexed="81"/>
            <rFont val="Tahoma"/>
            <family val="2"/>
          </rPr>
          <t xml:space="preserve">= 95682 - Referinta </t>
        </r>
        <r>
          <rPr>
            <sz val="10"/>
            <color indexed="81"/>
            <rFont val="Tahoma"/>
            <family val="2"/>
          </rPr>
          <t xml:space="preserve">* Craiova Km Auto (Responses)
</t>
        </r>
      </text>
    </comment>
    <comment ref="O78" authorId="0" shapeId="0" xr:uid="{5E83BE88-35BC-45A4-A67A-4E1ADCA4D8E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 9/9/2022 3:57:00 AM </t>
        </r>
        <r>
          <rPr>
            <b/>
            <sz val="10"/>
            <color indexed="81"/>
            <rFont val="Tahoma"/>
            <family val="2"/>
          </rPr>
          <t xml:space="preserve">= 96533 - Referinta </t>
        </r>
        <r>
          <rPr>
            <sz val="10"/>
            <color indexed="81"/>
            <rFont val="Tahoma"/>
            <family val="2"/>
          </rPr>
          <t xml:space="preserve">* Craiova Km Auto (Responses)
</t>
        </r>
      </text>
    </comment>
    <comment ref="T78" authorId="0" shapeId="0" xr:uid="{61D465F2-AFCC-44BF-9EC9-D4ADD26183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9/16/2022 4:00:09 PM </t>
        </r>
        <r>
          <rPr>
            <b/>
            <sz val="10"/>
            <color indexed="81"/>
            <rFont val="Tahoma"/>
            <family val="2"/>
          </rPr>
          <t xml:space="preserve">= 97137 - Referinta </t>
        </r>
        <r>
          <rPr>
            <sz val="10"/>
            <color indexed="81"/>
            <rFont val="Tahoma"/>
            <family val="2"/>
          </rPr>
          <t xml:space="preserve">* Craiova Km Auto (Responses)
</t>
        </r>
      </text>
    </comment>
    <comment ref="Y78" authorId="0" shapeId="0" xr:uid="{DA33AFF1-F5DB-4249-9BB9-A465CA5B357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9/23/2022 4:57:00 AM </t>
        </r>
        <r>
          <rPr>
            <b/>
            <sz val="10"/>
            <color indexed="81"/>
            <rFont val="Tahoma"/>
            <family val="2"/>
          </rPr>
          <t xml:space="preserve">= 98069 - Referinta </t>
        </r>
        <r>
          <rPr>
            <sz val="10"/>
            <color indexed="81"/>
            <rFont val="Tahoma"/>
            <family val="2"/>
          </rPr>
          <t xml:space="preserve">* Craiova Km Auto (Responses)
</t>
        </r>
      </text>
    </comment>
    <comment ref="AD78" authorId="0" shapeId="0" xr:uid="{3628B946-5538-4162-B591-C637CCB0D72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B-552-CLT</t>
        </r>
        <r>
          <rPr>
            <b/>
            <sz val="10"/>
            <color indexed="12"/>
            <rFont val="Tahoma"/>
            <family val="2"/>
          </rPr>
          <t xml:space="preserve"> - Tica Angel Referinta a fost pusa automat
__________________________________________________________________
</t>
        </r>
        <r>
          <rPr>
            <sz val="10"/>
            <color indexed="12"/>
            <rFont val="Tahoma"/>
            <family val="2"/>
          </rPr>
          <t xml:space="preserve">  </t>
        </r>
        <r>
          <rPr>
            <sz val="10"/>
            <color indexed="81"/>
            <rFont val="Tahoma"/>
            <family val="2"/>
          </rPr>
          <t xml:space="preserve">9/30/2022 5:01:37 PM </t>
        </r>
        <r>
          <rPr>
            <b/>
            <sz val="10"/>
            <color indexed="81"/>
            <rFont val="Tahoma"/>
            <family val="2"/>
          </rPr>
          <t xml:space="preserve">= 98510 - Referinta </t>
        </r>
        <r>
          <rPr>
            <sz val="10"/>
            <color indexed="81"/>
            <rFont val="Tahoma"/>
            <family val="2"/>
          </rPr>
          <t xml:space="preserve">* Craiova Km Auto (Responses)
</t>
        </r>
      </text>
    </comment>
    <comment ref="J79" authorId="0" shapeId="0" xr:uid="{03EBE308-25DF-4384-9DD4-A956488D1AB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 9/2/2022 7:06:52 PM </t>
        </r>
        <r>
          <rPr>
            <b/>
            <sz val="10"/>
            <color indexed="81"/>
            <rFont val="Tahoma"/>
            <family val="2"/>
          </rPr>
          <t xml:space="preserve">= 33278 - Referinta </t>
        </r>
        <r>
          <rPr>
            <sz val="10"/>
            <color indexed="81"/>
            <rFont val="Tahoma"/>
            <family val="2"/>
          </rPr>
          <t xml:space="preserve">* Craiova Km Auto (Responses)
</t>
        </r>
      </text>
    </comment>
    <comment ref="O79" authorId="0" shapeId="0" xr:uid="{BA63DBCA-220F-44B1-B3C3-D88E9EA9D83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 9/9/2022 4:01:00 AM </t>
        </r>
        <r>
          <rPr>
            <b/>
            <sz val="10"/>
            <color indexed="81"/>
            <rFont val="Tahoma"/>
            <family val="2"/>
          </rPr>
          <t xml:space="preserve">= 33738 - Referinta </t>
        </r>
        <r>
          <rPr>
            <sz val="10"/>
            <color indexed="81"/>
            <rFont val="Tahoma"/>
            <family val="2"/>
          </rPr>
          <t xml:space="preserve">* Craiova Km Auto (Responses)
  9/12/2022 8:01:00 AM </t>
        </r>
        <r>
          <rPr>
            <b/>
            <sz val="10"/>
            <color indexed="81"/>
            <rFont val="Tahoma"/>
            <family val="2"/>
          </rPr>
          <t xml:space="preserve">= 34050 - Normal </t>
        </r>
        <r>
          <rPr>
            <sz val="10"/>
            <color indexed="81"/>
            <rFont val="Tahoma"/>
            <family val="2"/>
          </rPr>
          <t xml:space="preserve">* Craiova Km Auto (Responses)
</t>
        </r>
      </text>
    </comment>
    <comment ref="T79" authorId="0" shapeId="0" xr:uid="{6817265F-F4F5-4453-81B7-1661208213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9/16/2022 4:03:38 PM </t>
        </r>
        <r>
          <rPr>
            <b/>
            <sz val="10"/>
            <color indexed="81"/>
            <rFont val="Tahoma"/>
            <family val="2"/>
          </rPr>
          <t xml:space="preserve">= 34307 - Referinta </t>
        </r>
        <r>
          <rPr>
            <sz val="10"/>
            <color indexed="81"/>
            <rFont val="Tahoma"/>
            <family val="2"/>
          </rPr>
          <t xml:space="preserve">* Craiova Km Auto (Responses)
  9/19/2022 8:44:28 AM </t>
        </r>
        <r>
          <rPr>
            <b/>
            <sz val="10"/>
            <color indexed="81"/>
            <rFont val="Tahoma"/>
            <family val="2"/>
          </rPr>
          <t xml:space="preserve">= 34349 - Normal </t>
        </r>
        <r>
          <rPr>
            <sz val="10"/>
            <color indexed="81"/>
            <rFont val="Tahoma"/>
            <family val="2"/>
          </rPr>
          <t xml:space="preserve">* Craiova Km Auto (Responses)
</t>
        </r>
      </text>
    </comment>
    <comment ref="Y79" authorId="0" shapeId="0" xr:uid="{EF99BFD3-18DB-4DEF-B94F-F7C0F20A69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9/23/2022 4:43:19 PM </t>
        </r>
        <r>
          <rPr>
            <b/>
            <sz val="10"/>
            <color indexed="81"/>
            <rFont val="Tahoma"/>
            <family val="2"/>
          </rPr>
          <t xml:space="preserve">= 34741 - Referinta </t>
        </r>
        <r>
          <rPr>
            <sz val="10"/>
            <color indexed="81"/>
            <rFont val="Tahoma"/>
            <family val="2"/>
          </rPr>
          <t xml:space="preserve">* Craiova Km Auto (Responses)
  9/26/2022 8:00:38 AM </t>
        </r>
        <r>
          <rPr>
            <b/>
            <sz val="10"/>
            <color indexed="81"/>
            <rFont val="Tahoma"/>
            <family val="2"/>
          </rPr>
          <t xml:space="preserve">= 34928 - Normal </t>
        </r>
        <r>
          <rPr>
            <sz val="10"/>
            <color indexed="81"/>
            <rFont val="Tahoma"/>
            <family val="2"/>
          </rPr>
          <t xml:space="preserve">* Craiova Km Auto (Responses)
</t>
        </r>
      </text>
    </comment>
    <comment ref="AD79" authorId="0" shapeId="0" xr:uid="{7B714234-5248-4D2A-9544-6D44E31AAED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B-902-CLT</t>
        </r>
        <r>
          <rPr>
            <b/>
            <sz val="10"/>
            <color indexed="12"/>
            <rFont val="Tahoma"/>
            <family val="2"/>
          </rPr>
          <t xml:space="preserve"> - Dumitriu Stefan Referinta a fost pusa automat
__________________________________________________________________
</t>
        </r>
        <r>
          <rPr>
            <sz val="10"/>
            <color indexed="12"/>
            <rFont val="Tahoma"/>
            <family val="2"/>
          </rPr>
          <t xml:space="preserve">  </t>
        </r>
        <r>
          <rPr>
            <sz val="10"/>
            <color indexed="81"/>
            <rFont val="Tahoma"/>
            <family val="2"/>
          </rPr>
          <t xml:space="preserve">9/30/2022 8:04:42 PM </t>
        </r>
        <r>
          <rPr>
            <b/>
            <sz val="10"/>
            <color indexed="81"/>
            <rFont val="Tahoma"/>
            <family val="2"/>
          </rPr>
          <t xml:space="preserve">= 35391 - Referinta </t>
        </r>
        <r>
          <rPr>
            <sz val="10"/>
            <color indexed="81"/>
            <rFont val="Tahoma"/>
            <family val="2"/>
          </rPr>
          <t xml:space="preserve">* Craiova Km Auto (Responses)
  10/3/2022 8:26:17 AM </t>
        </r>
        <r>
          <rPr>
            <b/>
            <sz val="10"/>
            <color indexed="81"/>
            <rFont val="Tahoma"/>
            <family val="2"/>
          </rPr>
          <t xml:space="preserve">= 35644 - Normal </t>
        </r>
        <r>
          <rPr>
            <sz val="10"/>
            <color indexed="81"/>
            <rFont val="Tahoma"/>
            <family val="2"/>
          </rPr>
          <t xml:space="preserve">* Craiova Km Auto (Responses)
</t>
        </r>
      </text>
    </comment>
    <comment ref="J80" authorId="0" shapeId="0" xr:uid="{88D663A5-E39F-47BD-98EA-8F4F8079B56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 9/2/2022 7:07:52 PM </t>
        </r>
        <r>
          <rPr>
            <b/>
            <sz val="10"/>
            <color indexed="81"/>
            <rFont val="Tahoma"/>
            <family val="2"/>
          </rPr>
          <t xml:space="preserve">= 312697 - Referinta </t>
        </r>
        <r>
          <rPr>
            <sz val="10"/>
            <color indexed="81"/>
            <rFont val="Tahoma"/>
            <family val="2"/>
          </rPr>
          <t xml:space="preserve">* Craiova Km Auto (Responses)
</t>
        </r>
      </text>
    </comment>
    <comment ref="O80" authorId="0" shapeId="0" xr:uid="{876CDACE-847C-4BAE-8D2B-822F9CD6308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 9/9/2022 3:56:00 AM </t>
        </r>
        <r>
          <rPr>
            <b/>
            <sz val="10"/>
            <color indexed="81"/>
            <rFont val="Tahoma"/>
            <family val="2"/>
          </rPr>
          <t xml:space="preserve">= 312995 - Referinta </t>
        </r>
        <r>
          <rPr>
            <sz val="10"/>
            <color indexed="81"/>
            <rFont val="Tahoma"/>
            <family val="2"/>
          </rPr>
          <t xml:space="preserve">* Craiova Km Auto (Responses)
</t>
        </r>
      </text>
    </comment>
    <comment ref="T80" authorId="0" shapeId="0" xr:uid="{E738A15E-83BE-4856-B0E0-2D2D834D429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9/16/2022 5:39:50 PM </t>
        </r>
        <r>
          <rPr>
            <b/>
            <sz val="10"/>
            <color indexed="81"/>
            <rFont val="Tahoma"/>
            <family val="2"/>
          </rPr>
          <t xml:space="preserve">= 314279 - Referinta </t>
        </r>
        <r>
          <rPr>
            <sz val="10"/>
            <color indexed="81"/>
            <rFont val="Tahoma"/>
            <family val="2"/>
          </rPr>
          <t xml:space="preserve">* Craiova Km Auto (Responses)
</t>
        </r>
      </text>
    </comment>
    <comment ref="Y80" authorId="0" shapeId="0" xr:uid="{E05C8D4B-F1F2-4A49-8E7B-F15F6736BB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9/23/2022 4:39:37 PM </t>
        </r>
        <r>
          <rPr>
            <b/>
            <sz val="10"/>
            <color indexed="81"/>
            <rFont val="Tahoma"/>
            <family val="2"/>
          </rPr>
          <t xml:space="preserve">= 314690 - Referinta </t>
        </r>
        <r>
          <rPr>
            <sz val="10"/>
            <color indexed="81"/>
            <rFont val="Tahoma"/>
            <family val="2"/>
          </rPr>
          <t xml:space="preserve">* Craiova Km Auto (Responses)
</t>
        </r>
      </text>
    </comment>
    <comment ref="AD80" authorId="0" shapeId="0" xr:uid="{F9F63A48-5CBD-43F4-8E83-3C5457AD01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B-44-CLT</t>
        </r>
        <r>
          <rPr>
            <b/>
            <sz val="10"/>
            <color indexed="12"/>
            <rFont val="Tahoma"/>
            <family val="2"/>
          </rPr>
          <t xml:space="preserve"> - Radu Constantin Referinta a fost pusa automat
__________________________________________________________________
</t>
        </r>
        <r>
          <rPr>
            <sz val="10"/>
            <color indexed="12"/>
            <rFont val="Tahoma"/>
            <family val="2"/>
          </rPr>
          <t xml:space="preserve">  </t>
        </r>
        <r>
          <rPr>
            <sz val="10"/>
            <color indexed="81"/>
            <rFont val="Tahoma"/>
            <family val="2"/>
          </rPr>
          <t xml:space="preserve">9/30/2022 5:02:19 PM </t>
        </r>
        <r>
          <rPr>
            <b/>
            <sz val="10"/>
            <color indexed="81"/>
            <rFont val="Tahoma"/>
            <family val="2"/>
          </rPr>
          <t xml:space="preserve">= 315783 - Referinta </t>
        </r>
        <r>
          <rPr>
            <sz val="10"/>
            <color indexed="81"/>
            <rFont val="Tahoma"/>
            <family val="2"/>
          </rPr>
          <t xml:space="preserve">* Craiova Km Auto (Responses)
</t>
        </r>
      </text>
    </comment>
    <comment ref="J81" authorId="0" shapeId="0" xr:uid="{C5BE7534-E60C-4D54-B7F6-7B72377C01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 9/3/2022 3:23:04 PM </t>
        </r>
        <r>
          <rPr>
            <b/>
            <sz val="10"/>
            <color indexed="81"/>
            <rFont val="Tahoma"/>
            <family val="2"/>
          </rPr>
          <t xml:space="preserve">= 90079 - Referinta </t>
        </r>
        <r>
          <rPr>
            <sz val="10"/>
            <color indexed="81"/>
            <rFont val="Tahoma"/>
            <family val="2"/>
          </rPr>
          <t xml:space="preserve">* Craiova Km Auto (Responses)
   9/5/2022 7:53:50 AM </t>
        </r>
        <r>
          <rPr>
            <b/>
            <sz val="10"/>
            <color indexed="81"/>
            <rFont val="Tahoma"/>
            <family val="2"/>
          </rPr>
          <t xml:space="preserve">= 90396 - Normal </t>
        </r>
        <r>
          <rPr>
            <sz val="10"/>
            <color indexed="81"/>
            <rFont val="Tahoma"/>
            <family val="2"/>
          </rPr>
          <t xml:space="preserve">* Craiova Km Auto (Responses)
</t>
        </r>
      </text>
    </comment>
    <comment ref="O81" authorId="0" shapeId="0" xr:uid="{5A06CED8-36E9-418F-B4F6-1C0F5E8ADE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9:24:44 PM </t>
        </r>
        <r>
          <rPr>
            <b/>
            <sz val="10"/>
            <color indexed="81"/>
            <rFont val="Tahoma"/>
            <family val="2"/>
          </rPr>
          <t xml:space="preserve">= 90490 - Referinta </t>
        </r>
        <r>
          <rPr>
            <sz val="10"/>
            <color indexed="81"/>
            <rFont val="Tahoma"/>
            <family val="2"/>
          </rPr>
          <t xml:space="preserve">* Craiova Km Auto (Responses)
  9/12/2022 7:52:00 AM </t>
        </r>
        <r>
          <rPr>
            <b/>
            <sz val="10"/>
            <color indexed="81"/>
            <rFont val="Tahoma"/>
            <family val="2"/>
          </rPr>
          <t xml:space="preserve">= 90522 - Normal </t>
        </r>
        <r>
          <rPr>
            <sz val="10"/>
            <color indexed="81"/>
            <rFont val="Tahoma"/>
            <family val="2"/>
          </rPr>
          <t xml:space="preserve">* Craiova Km Auto (Responses)
</t>
        </r>
      </text>
    </comment>
    <comment ref="T81" authorId="0" shapeId="0" xr:uid="{ED4E98D2-671A-413D-832D-6E69B465AE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4:14:11 PM </t>
        </r>
        <r>
          <rPr>
            <b/>
            <sz val="10"/>
            <color indexed="81"/>
            <rFont val="Tahoma"/>
            <family val="2"/>
          </rPr>
          <t xml:space="preserve">= 90916 - Referinta </t>
        </r>
        <r>
          <rPr>
            <sz val="10"/>
            <color indexed="81"/>
            <rFont val="Tahoma"/>
            <family val="2"/>
          </rPr>
          <t xml:space="preserve">* Craiova Km Auto (Responses)
</t>
        </r>
      </text>
    </comment>
    <comment ref="Y81" authorId="0" shapeId="0" xr:uid="{062EA6BD-568B-4489-845F-891F8A362A0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9/24/2022 9:23:00 AM </t>
        </r>
        <r>
          <rPr>
            <b/>
            <sz val="10"/>
            <color indexed="81"/>
            <rFont val="Tahoma"/>
            <family val="2"/>
          </rPr>
          <t xml:space="preserve">= 91565 - Referinta </t>
        </r>
        <r>
          <rPr>
            <sz val="10"/>
            <color indexed="81"/>
            <rFont val="Tahoma"/>
            <family val="2"/>
          </rPr>
          <t xml:space="preserve">* Craiova Km Auto (Responses)
  9/27/2022 5:20:00 AM </t>
        </r>
        <r>
          <rPr>
            <b/>
            <sz val="10"/>
            <color indexed="81"/>
            <rFont val="Tahoma"/>
            <family val="2"/>
          </rPr>
          <t xml:space="preserve">= 91578 - Normal </t>
        </r>
        <r>
          <rPr>
            <sz val="10"/>
            <color indexed="81"/>
            <rFont val="Tahoma"/>
            <family val="2"/>
          </rPr>
          <t xml:space="preserve">* Craiova Km Auto (Responses)
</t>
        </r>
      </text>
    </comment>
    <comment ref="AD81" authorId="0" shapeId="0" xr:uid="{0EB8279B-AE13-46B6-91C9-EF2B899AD1A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IF-08-CLT</t>
        </r>
        <r>
          <rPr>
            <b/>
            <sz val="10"/>
            <color indexed="12"/>
            <rFont val="Tahoma"/>
            <family val="2"/>
          </rPr>
          <t xml:space="preserve"> - Tismanaru Florin Referinta a fost pusa automat
__________________________________________________________________
</t>
        </r>
        <r>
          <rPr>
            <sz val="10"/>
            <color indexed="12"/>
            <rFont val="Tahoma"/>
            <family val="2"/>
          </rPr>
          <t xml:space="preserve">  </t>
        </r>
        <r>
          <rPr>
            <sz val="10"/>
            <color indexed="81"/>
            <rFont val="Tahoma"/>
            <family val="2"/>
          </rPr>
          <t xml:space="preserve">10/3/2022 8:17:09 AM </t>
        </r>
        <r>
          <rPr>
            <b/>
            <sz val="10"/>
            <color indexed="81"/>
            <rFont val="Tahoma"/>
            <family val="2"/>
          </rPr>
          <t xml:space="preserve">= 92090 - Referinta </t>
        </r>
        <r>
          <rPr>
            <sz val="10"/>
            <color indexed="81"/>
            <rFont val="Tahoma"/>
            <family val="2"/>
          </rPr>
          <t xml:space="preserve">* Craiova Km Auto (Responses)
</t>
        </r>
      </text>
    </comment>
    <comment ref="J82" authorId="0" shapeId="0" xr:uid="{B6EB0C3C-0533-40B4-B67B-064FFF227A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Referinta a fost pusa automat
__________________________________________________________________
</t>
        </r>
        <r>
          <rPr>
            <sz val="10"/>
            <color indexed="12"/>
            <rFont val="Tahoma"/>
            <family val="2"/>
          </rPr>
          <t xml:space="preserve">  </t>
        </r>
        <r>
          <rPr>
            <sz val="10"/>
            <color indexed="81"/>
            <rFont val="Tahoma"/>
            <family val="2"/>
          </rPr>
          <t xml:space="preserve"> 9/2/2022 4:59:41 PM </t>
        </r>
        <r>
          <rPr>
            <b/>
            <sz val="10"/>
            <color indexed="81"/>
            <rFont val="Tahoma"/>
            <family val="2"/>
          </rPr>
          <t xml:space="preserve">= 29484 - Referinta </t>
        </r>
        <r>
          <rPr>
            <sz val="10"/>
            <color indexed="81"/>
            <rFont val="Tahoma"/>
            <family val="2"/>
          </rPr>
          <t xml:space="preserve">* Galati Km Auto (Responses)
   9/5/2022 9:36:36 AM </t>
        </r>
        <r>
          <rPr>
            <b/>
            <sz val="10"/>
            <color indexed="81"/>
            <rFont val="Tahoma"/>
            <family val="2"/>
          </rPr>
          <t xml:space="preserve">= 29554 - Normal </t>
        </r>
        <r>
          <rPr>
            <sz val="10"/>
            <color indexed="81"/>
            <rFont val="Tahoma"/>
            <family val="2"/>
          </rPr>
          <t xml:space="preserve">* Galati Km Auto (Responses)
</t>
        </r>
      </text>
    </comment>
    <comment ref="O82" authorId="0" shapeId="0" xr:uid="{72AE6FBA-DF83-4756-92A7-DED209013DC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29984 - Referinta </t>
        </r>
        <r>
          <rPr>
            <sz val="10"/>
            <color indexed="81"/>
            <rFont val="Tahoma"/>
            <family val="2"/>
          </rPr>
          <t xml:space="preserve">* Galati Km Auto (Responses)
  9/12/2022 8:11:47 AM </t>
        </r>
        <r>
          <rPr>
            <b/>
            <sz val="10"/>
            <color indexed="81"/>
            <rFont val="Tahoma"/>
            <family val="2"/>
          </rPr>
          <t xml:space="preserve">= 30065 - Normal </t>
        </r>
        <r>
          <rPr>
            <sz val="10"/>
            <color indexed="81"/>
            <rFont val="Tahoma"/>
            <family val="2"/>
          </rPr>
          <t xml:space="preserve">* Galati Km Auto (Responses)
</t>
        </r>
      </text>
    </comment>
    <comment ref="T82" authorId="0" shapeId="0" xr:uid="{E0779184-E64F-4AC9-898C-7A713F4A97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9/16/2022 4:30:00 AM </t>
        </r>
        <r>
          <rPr>
            <b/>
            <sz val="10"/>
            <color indexed="81"/>
            <rFont val="Tahoma"/>
            <family val="2"/>
          </rPr>
          <t xml:space="preserve">= 30326 - Referinta </t>
        </r>
        <r>
          <rPr>
            <sz val="10"/>
            <color indexed="81"/>
            <rFont val="Tahoma"/>
            <family val="2"/>
          </rPr>
          <t xml:space="preserve">* Galati Km Auto (Responses)
  9/19/2022 2:19:00 AM </t>
        </r>
        <r>
          <rPr>
            <b/>
            <sz val="10"/>
            <color indexed="81"/>
            <rFont val="Tahoma"/>
            <family val="2"/>
          </rPr>
          <t xml:space="preserve">= 30374 - Normal </t>
        </r>
        <r>
          <rPr>
            <sz val="10"/>
            <color indexed="81"/>
            <rFont val="Tahoma"/>
            <family val="2"/>
          </rPr>
          <t xml:space="preserve">* Galati Km Auto (Responses)
</t>
        </r>
      </text>
    </comment>
    <comment ref="Y82" authorId="0" shapeId="0" xr:uid="{7F4A22E5-84B0-4652-9457-518F5953152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9/23/2022 5:28:00 AM </t>
        </r>
        <r>
          <rPr>
            <b/>
            <sz val="10"/>
            <color indexed="81"/>
            <rFont val="Tahoma"/>
            <family val="2"/>
          </rPr>
          <t xml:space="preserve">= 30755 - Referinta </t>
        </r>
        <r>
          <rPr>
            <sz val="10"/>
            <color indexed="81"/>
            <rFont val="Tahoma"/>
            <family val="2"/>
          </rPr>
          <t xml:space="preserve">* Galati Km Auto (Responses)
  9/26/2022 8:00:00 AM </t>
        </r>
        <r>
          <rPr>
            <b/>
            <sz val="10"/>
            <color indexed="81"/>
            <rFont val="Tahoma"/>
            <family val="2"/>
          </rPr>
          <t xml:space="preserve">= 30769 - Normal </t>
        </r>
        <r>
          <rPr>
            <sz val="10"/>
            <color indexed="81"/>
            <rFont val="Tahoma"/>
            <family val="2"/>
          </rPr>
          <t xml:space="preserve">* Galati Km Auto (Responses)
</t>
        </r>
      </text>
    </comment>
    <comment ref="AD82" authorId="0" shapeId="0" xr:uid="{2BCEA521-363A-4AAC-B8E0-BF7395374C8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B-809-CLT</t>
        </r>
        <r>
          <rPr>
            <b/>
            <sz val="10"/>
            <color indexed="12"/>
            <rFont val="Tahoma"/>
            <family val="2"/>
          </rPr>
          <t xml:space="preserve"> - Mocanu Sebastian 
__________________________________________________________________
</t>
        </r>
        <r>
          <rPr>
            <sz val="10"/>
            <color indexed="12"/>
            <rFont val="Tahoma"/>
            <family val="2"/>
          </rPr>
          <t xml:space="preserve">  </t>
        </r>
        <r>
          <rPr>
            <sz val="10"/>
            <color indexed="81"/>
            <rFont val="Tahoma"/>
            <family val="2"/>
          </rPr>
          <t xml:space="preserve">9/30/2022 5:46:00 AM </t>
        </r>
        <r>
          <rPr>
            <b/>
            <sz val="10"/>
            <color indexed="81"/>
            <rFont val="Tahoma"/>
            <family val="2"/>
          </rPr>
          <t xml:space="preserve">= 30982 - Referinta </t>
        </r>
        <r>
          <rPr>
            <sz val="10"/>
            <color indexed="81"/>
            <rFont val="Tahoma"/>
            <family val="2"/>
          </rPr>
          <t xml:space="preserve">* Galati Km Auto (Responses)
  10/3/2022 8:30:00 AM </t>
        </r>
        <r>
          <rPr>
            <b/>
            <sz val="10"/>
            <color indexed="81"/>
            <rFont val="Tahoma"/>
            <family val="2"/>
          </rPr>
          <t xml:space="preserve">= 31220 - Normal </t>
        </r>
        <r>
          <rPr>
            <sz val="10"/>
            <color indexed="81"/>
            <rFont val="Tahoma"/>
            <family val="2"/>
          </rPr>
          <t xml:space="preserve">* Galati Km Auto (Responses)
</t>
        </r>
      </text>
    </comment>
    <comment ref="T83" authorId="0" shapeId="0" xr:uid="{7B2C8167-95E3-408E-BDD7-B14020A7CF3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9/16/2022 3:10:03 PM </t>
        </r>
        <r>
          <rPr>
            <b/>
            <sz val="10"/>
            <color indexed="81"/>
            <rFont val="Tahoma"/>
            <family val="2"/>
          </rPr>
          <t xml:space="preserve">= 105493 - Referinta </t>
        </r>
        <r>
          <rPr>
            <sz val="10"/>
            <color indexed="81"/>
            <rFont val="Tahoma"/>
            <family val="2"/>
          </rPr>
          <t xml:space="preserve">* Galati Km Auto (Responses)
  9/19/2022 9:02:50 AM </t>
        </r>
        <r>
          <rPr>
            <b/>
            <sz val="10"/>
            <color indexed="81"/>
            <rFont val="Tahoma"/>
            <family val="2"/>
          </rPr>
          <t xml:space="preserve">= 105493 - Normal </t>
        </r>
        <r>
          <rPr>
            <sz val="10"/>
            <color indexed="81"/>
            <rFont val="Tahoma"/>
            <family val="2"/>
          </rPr>
          <t xml:space="preserve">* Galati Km Auto (Responses)
</t>
        </r>
      </text>
    </comment>
    <comment ref="Y83" authorId="0" shapeId="0" xr:uid="{5DD96FF9-3499-496C-BE72-A5273DB5D0D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9/23/2022 3:38:54 PM </t>
        </r>
        <r>
          <rPr>
            <b/>
            <sz val="10"/>
            <color indexed="81"/>
            <rFont val="Tahoma"/>
            <family val="2"/>
          </rPr>
          <t xml:space="preserve">= 105558 - Referinta </t>
        </r>
        <r>
          <rPr>
            <sz val="10"/>
            <color indexed="81"/>
            <rFont val="Tahoma"/>
            <family val="2"/>
          </rPr>
          <t xml:space="preserve">* Galati Km Auto (Responses)
  9/26/2022 8:59:03 AM </t>
        </r>
        <r>
          <rPr>
            <b/>
            <sz val="10"/>
            <color indexed="81"/>
            <rFont val="Tahoma"/>
            <family val="2"/>
          </rPr>
          <t xml:space="preserve">= 105558 - Normal </t>
        </r>
        <r>
          <rPr>
            <sz val="10"/>
            <color indexed="81"/>
            <rFont val="Tahoma"/>
            <family val="2"/>
          </rPr>
          <t xml:space="preserve">* Galati Km Auto (Responses)
</t>
        </r>
      </text>
    </comment>
    <comment ref="AD83" authorId="0" shapeId="0" xr:uid="{E2411ABB-E508-479D-9DEC-B174260F709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105558 - Referinta </t>
        </r>
        <r>
          <rPr>
            <sz val="10"/>
            <color indexed="81"/>
            <rFont val="Tahoma"/>
            <family val="2"/>
          </rPr>
          <t xml:space="preserve">* Galati Km Auto (Responses)
  10/3/2022 8:16:25 AM </t>
        </r>
        <r>
          <rPr>
            <b/>
            <sz val="10"/>
            <color indexed="81"/>
            <rFont val="Tahoma"/>
            <family val="2"/>
          </rPr>
          <t xml:space="preserve">= 105558 - Normal </t>
        </r>
        <r>
          <rPr>
            <sz val="10"/>
            <color indexed="81"/>
            <rFont val="Tahoma"/>
            <family val="2"/>
          </rPr>
          <t xml:space="preserve">* Galati Km Auto (Responses)
</t>
        </r>
      </text>
    </comment>
    <comment ref="J84" authorId="0" shapeId="0" xr:uid="{35FF3BAD-AC64-4BF3-B7A3-22C4C1BBA76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Referinta a fost pusa automat
__________________________________________________________________
</t>
        </r>
        <r>
          <rPr>
            <sz val="10"/>
            <color indexed="12"/>
            <rFont val="Tahoma"/>
            <family val="2"/>
          </rPr>
          <t xml:space="preserve">  </t>
        </r>
        <r>
          <rPr>
            <sz val="10"/>
            <color indexed="81"/>
            <rFont val="Tahoma"/>
            <family val="2"/>
          </rPr>
          <t xml:space="preserve"> 9/2/2022 4:57:24 PM </t>
        </r>
        <r>
          <rPr>
            <b/>
            <sz val="10"/>
            <color indexed="81"/>
            <rFont val="Tahoma"/>
            <family val="2"/>
          </rPr>
          <t xml:space="preserve">= 105473 - Referinta </t>
        </r>
        <r>
          <rPr>
            <sz val="10"/>
            <color indexed="81"/>
            <rFont val="Tahoma"/>
            <family val="2"/>
          </rPr>
          <t xml:space="preserve">* Galati Km Auto (Responses)
   9/5/2022 9:37:16 AM </t>
        </r>
        <r>
          <rPr>
            <b/>
            <sz val="10"/>
            <color indexed="81"/>
            <rFont val="Tahoma"/>
            <family val="2"/>
          </rPr>
          <t xml:space="preserve">= 105473 - Normal </t>
        </r>
        <r>
          <rPr>
            <sz val="10"/>
            <color indexed="81"/>
            <rFont val="Tahoma"/>
            <family val="2"/>
          </rPr>
          <t xml:space="preserve">* Galati Km Auto (Responses)
</t>
        </r>
      </text>
    </comment>
    <comment ref="O84" authorId="0" shapeId="0" xr:uid="{5E504F03-1BE2-4767-8845-C176459F909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B-194-CLT</t>
        </r>
        <r>
          <rPr>
            <b/>
            <sz val="10"/>
            <color indexed="12"/>
            <rFont val="Tahoma"/>
            <family val="2"/>
          </rPr>
          <t xml:space="preserve"> - Ciprian Nedelcu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105493 - Referinta </t>
        </r>
        <r>
          <rPr>
            <sz val="10"/>
            <color indexed="81"/>
            <rFont val="Tahoma"/>
            <family val="2"/>
          </rPr>
          <t xml:space="preserve">* Galati Km Auto (Responses)
  9/12/2022 8:38:36 AM </t>
        </r>
        <r>
          <rPr>
            <b/>
            <sz val="10"/>
            <color indexed="81"/>
            <rFont val="Tahoma"/>
            <family val="2"/>
          </rPr>
          <t xml:space="preserve">= 105493 - Normal </t>
        </r>
        <r>
          <rPr>
            <sz val="10"/>
            <color indexed="81"/>
            <rFont val="Tahoma"/>
            <family val="2"/>
          </rPr>
          <t xml:space="preserve">* Galati Km Auto (Responses)
</t>
        </r>
      </text>
    </comment>
    <comment ref="J85" authorId="0" shapeId="0" xr:uid="{661F1C2C-8DCD-4830-AB8C-DD91086A9C1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Referinta a fost pusa automat
__________________________________________________________________
</t>
        </r>
        <r>
          <rPr>
            <sz val="10"/>
            <color indexed="12"/>
            <rFont val="Tahoma"/>
            <family val="2"/>
          </rPr>
          <t xml:space="preserve">  </t>
        </r>
        <r>
          <rPr>
            <sz val="10"/>
            <color indexed="81"/>
            <rFont val="Tahoma"/>
            <family val="2"/>
          </rPr>
          <t xml:space="preserve"> 9/6/2022 8:50:23 AM </t>
        </r>
        <r>
          <rPr>
            <b/>
            <sz val="10"/>
            <color indexed="81"/>
            <rFont val="Tahoma"/>
            <family val="2"/>
          </rPr>
          <t xml:space="preserve">= 49524 - Referinta </t>
        </r>
        <r>
          <rPr>
            <sz val="10"/>
            <color indexed="81"/>
            <rFont val="Tahoma"/>
            <family val="2"/>
          </rPr>
          <t xml:space="preserve">* Galati Km Auto (Responses)
   9/6/2022 8:51:11 AM </t>
        </r>
        <r>
          <rPr>
            <b/>
            <sz val="10"/>
            <color indexed="81"/>
            <rFont val="Tahoma"/>
            <family val="2"/>
          </rPr>
          <t xml:space="preserve">= 50393 - Concediu </t>
        </r>
        <r>
          <rPr>
            <sz val="10"/>
            <color indexed="81"/>
            <rFont val="Tahoma"/>
            <family val="2"/>
          </rPr>
          <t xml:space="preserve">* Galati Km Auto (Responses)
</t>
        </r>
      </text>
    </comment>
    <comment ref="O85" authorId="0" shapeId="0" xr:uid="{43898E98-A123-40A1-A6A2-822972D1A58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9/12/2022 8:34:14 AM </t>
        </r>
        <r>
          <rPr>
            <b/>
            <sz val="10"/>
            <color indexed="81"/>
            <rFont val="Tahoma"/>
            <family val="2"/>
          </rPr>
          <t xml:space="preserve">= 50534 - Referinta </t>
        </r>
        <r>
          <rPr>
            <sz val="10"/>
            <color indexed="81"/>
            <rFont val="Tahoma"/>
            <family val="2"/>
          </rPr>
          <t xml:space="preserve">* Galati Km Auto (Responses)
  9/12/2022 8:36:43 AM </t>
        </r>
        <r>
          <rPr>
            <b/>
            <sz val="10"/>
            <color indexed="81"/>
            <rFont val="Tahoma"/>
            <family val="2"/>
          </rPr>
          <t xml:space="preserve">= 50805 - Normal </t>
        </r>
        <r>
          <rPr>
            <sz val="10"/>
            <color indexed="81"/>
            <rFont val="Tahoma"/>
            <family val="2"/>
          </rPr>
          <t xml:space="preserve">* Galati Km Auto (Responses)
</t>
        </r>
      </text>
    </comment>
    <comment ref="T85" authorId="0" shapeId="0" xr:uid="{453F7A8F-1F4F-4283-98B1-752F869EAB8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9/16/2022 4:41:32 PM </t>
        </r>
        <r>
          <rPr>
            <b/>
            <sz val="10"/>
            <color indexed="81"/>
            <rFont val="Tahoma"/>
            <family val="2"/>
          </rPr>
          <t xml:space="preserve">= 50955 - Referinta </t>
        </r>
        <r>
          <rPr>
            <sz val="10"/>
            <color indexed="81"/>
            <rFont val="Tahoma"/>
            <family val="2"/>
          </rPr>
          <t xml:space="preserve">* Galati Km Auto (Responses)
  9/19/2022 8:59:31 AM </t>
        </r>
        <r>
          <rPr>
            <b/>
            <sz val="10"/>
            <color indexed="81"/>
            <rFont val="Tahoma"/>
            <family val="2"/>
          </rPr>
          <t xml:space="preserve">= 50998 - Normal </t>
        </r>
        <r>
          <rPr>
            <sz val="10"/>
            <color indexed="81"/>
            <rFont val="Tahoma"/>
            <family val="2"/>
          </rPr>
          <t xml:space="preserve">* Galati Km Auto (Responses)
</t>
        </r>
      </text>
    </comment>
    <comment ref="Y85" authorId="0" shapeId="0" xr:uid="{9A141442-47F0-4EB2-AA84-50DE0B06C04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9/26/2022 8:55:49 AM </t>
        </r>
        <r>
          <rPr>
            <b/>
            <sz val="10"/>
            <color indexed="81"/>
            <rFont val="Tahoma"/>
            <family val="2"/>
          </rPr>
          <t xml:space="preserve">= 51176 - Referinta </t>
        </r>
        <r>
          <rPr>
            <sz val="10"/>
            <color indexed="81"/>
            <rFont val="Tahoma"/>
            <family val="2"/>
          </rPr>
          <t xml:space="preserve">* Galati Km Auto (Responses)
  9/26/2022 8:57:14 AM </t>
        </r>
        <r>
          <rPr>
            <b/>
            <sz val="10"/>
            <color indexed="81"/>
            <rFont val="Tahoma"/>
            <family val="2"/>
          </rPr>
          <t xml:space="preserve">= 51412 - Normal </t>
        </r>
        <r>
          <rPr>
            <sz val="10"/>
            <color indexed="81"/>
            <rFont val="Tahoma"/>
            <family val="2"/>
          </rPr>
          <t xml:space="preserve">* Galati Km Auto (Responses)
</t>
        </r>
      </text>
    </comment>
    <comment ref="AD85" authorId="0" shapeId="0" xr:uid="{44666F88-AD21-4D22-A66E-7820771BDBE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B-208-CLT</t>
        </r>
        <r>
          <rPr>
            <b/>
            <sz val="10"/>
            <color indexed="12"/>
            <rFont val="Tahoma"/>
            <family val="2"/>
          </rPr>
          <t xml:space="preserve"> - Barbu Catalin 
__________________________________________________________________
</t>
        </r>
        <r>
          <rPr>
            <sz val="10"/>
            <color indexed="12"/>
            <rFont val="Tahoma"/>
            <family val="2"/>
          </rPr>
          <t xml:space="preserve">  </t>
        </r>
        <r>
          <rPr>
            <sz val="10"/>
            <color indexed="81"/>
            <rFont val="Tahoma"/>
            <family val="2"/>
          </rPr>
          <t xml:space="preserve">9/30/2022 5:30:00 AM </t>
        </r>
        <r>
          <rPr>
            <b/>
            <sz val="10"/>
            <color indexed="81"/>
            <rFont val="Tahoma"/>
            <family val="2"/>
          </rPr>
          <t xml:space="preserve">= 51670 - Referinta </t>
        </r>
        <r>
          <rPr>
            <sz val="10"/>
            <color indexed="81"/>
            <rFont val="Tahoma"/>
            <family val="2"/>
          </rPr>
          <t xml:space="preserve">* Galati Km Auto (Responses)
  10/3/2022 8:32:05 AM </t>
        </r>
        <r>
          <rPr>
            <b/>
            <sz val="10"/>
            <color indexed="81"/>
            <rFont val="Tahoma"/>
            <family val="2"/>
          </rPr>
          <t xml:space="preserve">= 51718 - Normal </t>
        </r>
        <r>
          <rPr>
            <sz val="10"/>
            <color indexed="81"/>
            <rFont val="Tahoma"/>
            <family val="2"/>
          </rPr>
          <t xml:space="preserve">* Galati Km Auto (Responses)
</t>
        </r>
      </text>
    </comment>
    <comment ref="J86" authorId="0" shapeId="0" xr:uid="{16AD42DE-53EA-42A5-99BD-B28F0E219B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6:11:02 PM </t>
        </r>
        <r>
          <rPr>
            <b/>
            <sz val="10"/>
            <color indexed="81"/>
            <rFont val="Tahoma"/>
            <family val="2"/>
          </rPr>
          <t xml:space="preserve">= 170740 - Referinta </t>
        </r>
        <r>
          <rPr>
            <sz val="10"/>
            <color indexed="81"/>
            <rFont val="Tahoma"/>
            <family val="2"/>
          </rPr>
          <t xml:space="preserve">* Galati Km Auto (Responses)
   9/5/2022 9:34:01 AM </t>
        </r>
        <r>
          <rPr>
            <b/>
            <sz val="10"/>
            <color indexed="81"/>
            <rFont val="Tahoma"/>
            <family val="2"/>
          </rPr>
          <t xml:space="preserve">= 170740 - Normal </t>
        </r>
        <r>
          <rPr>
            <sz val="10"/>
            <color indexed="81"/>
            <rFont val="Tahoma"/>
            <family val="2"/>
          </rPr>
          <t xml:space="preserve">* Galati Km Auto (Responses)
</t>
        </r>
      </text>
    </comment>
    <comment ref="O86" authorId="0" shapeId="0" xr:uid="{1055915B-F8A5-4865-BFA1-8CDAEBBEB7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 9/9/2022 5:20:00 AM </t>
        </r>
        <r>
          <rPr>
            <b/>
            <sz val="10"/>
            <color indexed="81"/>
            <rFont val="Tahoma"/>
            <family val="2"/>
          </rPr>
          <t xml:space="preserve">= 171405 - Referinta </t>
        </r>
        <r>
          <rPr>
            <sz val="10"/>
            <color indexed="81"/>
            <rFont val="Tahoma"/>
            <family val="2"/>
          </rPr>
          <t xml:space="preserve">* Galati Km Auto (Responses)
  9/12/2022 8:37:29 AM </t>
        </r>
        <r>
          <rPr>
            <b/>
            <sz val="10"/>
            <color indexed="81"/>
            <rFont val="Tahoma"/>
            <family val="2"/>
          </rPr>
          <t xml:space="preserve">= 171405 - Normal </t>
        </r>
        <r>
          <rPr>
            <sz val="10"/>
            <color indexed="81"/>
            <rFont val="Tahoma"/>
            <family val="2"/>
          </rPr>
          <t xml:space="preserve">* Galati Km Auto (Responses)
</t>
        </r>
      </text>
    </comment>
    <comment ref="T86" authorId="0" shapeId="0" xr:uid="{E2DC641C-F645-4CA6-BA32-16985062FA3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9/16/2022 3:56:18 PM </t>
        </r>
        <r>
          <rPr>
            <b/>
            <sz val="10"/>
            <color indexed="81"/>
            <rFont val="Tahoma"/>
            <family val="2"/>
          </rPr>
          <t xml:space="preserve">= 171966 - Referinta </t>
        </r>
        <r>
          <rPr>
            <sz val="10"/>
            <color indexed="81"/>
            <rFont val="Tahoma"/>
            <family val="2"/>
          </rPr>
          <t xml:space="preserve">* Galati Km Auto (Responses)
  9/19/2022 9:01:37 AM </t>
        </r>
        <r>
          <rPr>
            <b/>
            <sz val="10"/>
            <color indexed="81"/>
            <rFont val="Tahoma"/>
            <family val="2"/>
          </rPr>
          <t xml:space="preserve">= 171966 - Normal </t>
        </r>
        <r>
          <rPr>
            <sz val="10"/>
            <color indexed="81"/>
            <rFont val="Tahoma"/>
            <family val="2"/>
          </rPr>
          <t xml:space="preserve">* Galati Km Auto (Responses)
</t>
        </r>
      </text>
    </comment>
    <comment ref="Y86" authorId="0" shapeId="0" xr:uid="{EB4B7F4C-D4A5-44D6-B23D-6A17639C94D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9/23/2022 5:10:00 AM </t>
        </r>
        <r>
          <rPr>
            <b/>
            <sz val="10"/>
            <color indexed="81"/>
            <rFont val="Tahoma"/>
            <family val="2"/>
          </rPr>
          <t xml:space="preserve">= 172472 - Referinta </t>
        </r>
        <r>
          <rPr>
            <sz val="10"/>
            <color indexed="81"/>
            <rFont val="Tahoma"/>
            <family val="2"/>
          </rPr>
          <t xml:space="preserve">* Galati Km Auto (Responses)
  9/26/2022 9:00:55 AM </t>
        </r>
        <r>
          <rPr>
            <b/>
            <sz val="10"/>
            <color indexed="81"/>
            <rFont val="Tahoma"/>
            <family val="2"/>
          </rPr>
          <t xml:space="preserve">= 172472 - Normal </t>
        </r>
        <r>
          <rPr>
            <sz val="10"/>
            <color indexed="81"/>
            <rFont val="Tahoma"/>
            <family val="2"/>
          </rPr>
          <t xml:space="preserve">* Galati Km Auto (Responses)
</t>
        </r>
      </text>
    </comment>
    <comment ref="AD86" authorId="0" shapeId="0" xr:uid="{5E1B2F19-627F-4B8F-A323-50FF71B8FE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B-800-CLT</t>
        </r>
        <r>
          <rPr>
            <b/>
            <sz val="10"/>
            <color indexed="12"/>
            <rFont val="Tahoma"/>
            <family val="2"/>
          </rPr>
          <t xml:space="preserve"> - Postolache Razvan 
__________________________________________________________________
</t>
        </r>
        <r>
          <rPr>
            <sz val="10"/>
            <color indexed="12"/>
            <rFont val="Tahoma"/>
            <family val="2"/>
          </rPr>
          <t xml:space="preserve">  </t>
        </r>
        <r>
          <rPr>
            <sz val="10"/>
            <color indexed="81"/>
            <rFont val="Tahoma"/>
            <family val="2"/>
          </rPr>
          <t xml:space="preserve">9/30/2022 5:00:00 AM </t>
        </r>
        <r>
          <rPr>
            <b/>
            <sz val="10"/>
            <color indexed="81"/>
            <rFont val="Tahoma"/>
            <family val="2"/>
          </rPr>
          <t xml:space="preserve">= 173019 - Referinta </t>
        </r>
        <r>
          <rPr>
            <sz val="10"/>
            <color indexed="81"/>
            <rFont val="Tahoma"/>
            <family val="2"/>
          </rPr>
          <t xml:space="preserve">* Galati Km Auto (Responses)
  10/3/2022 8:12:56 AM </t>
        </r>
        <r>
          <rPr>
            <b/>
            <sz val="10"/>
            <color indexed="81"/>
            <rFont val="Tahoma"/>
            <family val="2"/>
          </rPr>
          <t xml:space="preserve">= 173019 - Normal </t>
        </r>
        <r>
          <rPr>
            <sz val="10"/>
            <color indexed="81"/>
            <rFont val="Tahoma"/>
            <family val="2"/>
          </rPr>
          <t xml:space="preserve">* Galati Km Auto (Responses)
</t>
        </r>
      </text>
    </comment>
    <comment ref="J87" authorId="0" shapeId="0" xr:uid="{D9F84E34-4E3C-42D8-836E-3506A53D09A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 9/2/2022 5:00:00 AM </t>
        </r>
        <r>
          <rPr>
            <b/>
            <sz val="10"/>
            <color indexed="81"/>
            <rFont val="Tahoma"/>
            <family val="2"/>
          </rPr>
          <t xml:space="preserve">= 120090 - Referinta </t>
        </r>
        <r>
          <rPr>
            <sz val="10"/>
            <color indexed="81"/>
            <rFont val="Tahoma"/>
            <family val="2"/>
          </rPr>
          <t xml:space="preserve">* Galati Km Auto (Responses)
   9/5/2022 8:00:00 AM </t>
        </r>
        <r>
          <rPr>
            <b/>
            <sz val="10"/>
            <color indexed="81"/>
            <rFont val="Tahoma"/>
            <family val="2"/>
          </rPr>
          <t xml:space="preserve">= 120110 - Normal </t>
        </r>
        <r>
          <rPr>
            <sz val="10"/>
            <color indexed="81"/>
            <rFont val="Tahoma"/>
            <family val="2"/>
          </rPr>
          <t xml:space="preserve">* Galati Km Auto (Responses)
</t>
        </r>
      </text>
    </comment>
    <comment ref="O87" authorId="0" shapeId="0" xr:uid="{130A4613-F6BF-471A-8FA5-1C2F48D76F5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120116 - Referinta </t>
        </r>
        <r>
          <rPr>
            <sz val="10"/>
            <color indexed="81"/>
            <rFont val="Tahoma"/>
            <family val="2"/>
          </rPr>
          <t xml:space="preserve">* Galati Km Auto (Responses)
  9/12/2022 8:34:25 AM </t>
        </r>
        <r>
          <rPr>
            <b/>
            <sz val="10"/>
            <color indexed="81"/>
            <rFont val="Tahoma"/>
            <family val="2"/>
          </rPr>
          <t xml:space="preserve">= 120116 - Normal </t>
        </r>
        <r>
          <rPr>
            <sz val="10"/>
            <color indexed="81"/>
            <rFont val="Tahoma"/>
            <family val="2"/>
          </rPr>
          <t xml:space="preserve">* Galati Km Auto (Responses)
</t>
        </r>
      </text>
    </comment>
    <comment ref="T87" authorId="0" shapeId="0" xr:uid="{ABF49120-E623-4CDC-8F25-36DB1D4755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9/16/2022 3:09:08 PM </t>
        </r>
        <r>
          <rPr>
            <b/>
            <sz val="10"/>
            <color indexed="81"/>
            <rFont val="Tahoma"/>
            <family val="2"/>
          </rPr>
          <t xml:space="preserve">= 120173 - Referinta </t>
        </r>
        <r>
          <rPr>
            <sz val="10"/>
            <color indexed="81"/>
            <rFont val="Tahoma"/>
            <family val="2"/>
          </rPr>
          <t xml:space="preserve">* Galati Km Auto (Responses)
  9/19/2022 9:00:27 AM </t>
        </r>
        <r>
          <rPr>
            <b/>
            <sz val="10"/>
            <color indexed="81"/>
            <rFont val="Tahoma"/>
            <family val="2"/>
          </rPr>
          <t xml:space="preserve">= 120173 - Normal </t>
        </r>
        <r>
          <rPr>
            <sz val="10"/>
            <color indexed="81"/>
            <rFont val="Tahoma"/>
            <family val="2"/>
          </rPr>
          <t xml:space="preserve">* Galati Km Auto (Responses)
</t>
        </r>
      </text>
    </comment>
    <comment ref="Y87" authorId="0" shapeId="0" xr:uid="{BC51D9D1-FB43-4CA4-81C5-8B194AD862C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9/23/2022 3:37:57 PM </t>
        </r>
        <r>
          <rPr>
            <b/>
            <sz val="10"/>
            <color indexed="81"/>
            <rFont val="Tahoma"/>
            <family val="2"/>
          </rPr>
          <t xml:space="preserve">= 120187 - Referinta </t>
        </r>
        <r>
          <rPr>
            <sz val="10"/>
            <color indexed="81"/>
            <rFont val="Tahoma"/>
            <family val="2"/>
          </rPr>
          <t xml:space="preserve">* Galati Km Auto (Responses)
  9/26/2022 8:58:08 AM </t>
        </r>
        <r>
          <rPr>
            <b/>
            <sz val="10"/>
            <color indexed="81"/>
            <rFont val="Tahoma"/>
            <family val="2"/>
          </rPr>
          <t xml:space="preserve">= 120187 - Normal </t>
        </r>
        <r>
          <rPr>
            <sz val="10"/>
            <color indexed="81"/>
            <rFont val="Tahoma"/>
            <family val="2"/>
          </rPr>
          <t xml:space="preserve">* Galati Km Auto (Responses)
</t>
        </r>
      </text>
    </comment>
    <comment ref="AD87" authorId="0" shapeId="0" xr:uid="{A3BA57AD-CB9F-4C2D-8B51-25A85CE3E3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B-151-CLT</t>
        </r>
        <r>
          <rPr>
            <b/>
            <sz val="10"/>
            <color indexed="12"/>
            <rFont val="Tahoma"/>
            <family val="2"/>
          </rPr>
          <t xml:space="preserve"> - Miron Silviu 
__________________________________________________________________
</t>
        </r>
        <r>
          <rPr>
            <sz val="10"/>
            <color indexed="12"/>
            <rFont val="Tahoma"/>
            <family val="2"/>
          </rPr>
          <t xml:space="preserve">  </t>
        </r>
        <r>
          <rPr>
            <sz val="10"/>
            <color indexed="81"/>
            <rFont val="Tahoma"/>
            <family val="2"/>
          </rPr>
          <t xml:space="preserve">9/30/2022 4:00:00 AM </t>
        </r>
        <r>
          <rPr>
            <b/>
            <sz val="10"/>
            <color indexed="81"/>
            <rFont val="Tahoma"/>
            <family val="2"/>
          </rPr>
          <t xml:space="preserve">= 120210 - Referinta </t>
        </r>
        <r>
          <rPr>
            <sz val="10"/>
            <color indexed="81"/>
            <rFont val="Tahoma"/>
            <family val="2"/>
          </rPr>
          <t xml:space="preserve">* Galati Km Auto (Responses)
  10/3/2022 8:28:30 AM </t>
        </r>
        <r>
          <rPr>
            <b/>
            <sz val="10"/>
            <color indexed="81"/>
            <rFont val="Tahoma"/>
            <family val="2"/>
          </rPr>
          <t xml:space="preserve">= 120210 - Normal </t>
        </r>
        <r>
          <rPr>
            <sz val="10"/>
            <color indexed="81"/>
            <rFont val="Tahoma"/>
            <family val="2"/>
          </rPr>
          <t xml:space="preserve">* Galati Km Auto (Responses)
</t>
        </r>
      </text>
    </comment>
    <comment ref="J88" authorId="0" shapeId="0" xr:uid="{4AB9311F-E07A-464C-AD4C-452E41C8B02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 9/2/2022 5:00:00 AM </t>
        </r>
        <r>
          <rPr>
            <b/>
            <sz val="10"/>
            <color indexed="81"/>
            <rFont val="Tahoma"/>
            <family val="2"/>
          </rPr>
          <t xml:space="preserve">= 62990 - Referinta </t>
        </r>
        <r>
          <rPr>
            <sz val="10"/>
            <color indexed="81"/>
            <rFont val="Tahoma"/>
            <family val="2"/>
          </rPr>
          <t xml:space="preserve">* Galati Km Auto (Responses)
   9/5/2022 8:00:00 AM </t>
        </r>
        <r>
          <rPr>
            <b/>
            <sz val="10"/>
            <color indexed="81"/>
            <rFont val="Tahoma"/>
            <family val="2"/>
          </rPr>
          <t xml:space="preserve">= 63010 - Normal </t>
        </r>
        <r>
          <rPr>
            <sz val="10"/>
            <color indexed="81"/>
            <rFont val="Tahoma"/>
            <family val="2"/>
          </rPr>
          <t xml:space="preserve">* Galati Km Auto (Responses)
</t>
        </r>
      </text>
    </comment>
    <comment ref="O88" authorId="0" shapeId="0" xr:uid="{DF770320-DE0E-4AB6-9281-3878067A728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 9/9/2022 9:17:42 PM </t>
        </r>
        <r>
          <rPr>
            <b/>
            <sz val="10"/>
            <color indexed="81"/>
            <rFont val="Tahoma"/>
            <family val="2"/>
          </rPr>
          <t xml:space="preserve">= 63460 - Referinta </t>
        </r>
        <r>
          <rPr>
            <sz val="10"/>
            <color indexed="81"/>
            <rFont val="Tahoma"/>
            <family val="2"/>
          </rPr>
          <t xml:space="preserve">* Galati Km Auto (Responses)
  9/12/2022 8:40:53 AM </t>
        </r>
        <r>
          <rPr>
            <b/>
            <sz val="10"/>
            <color indexed="81"/>
            <rFont val="Tahoma"/>
            <family val="2"/>
          </rPr>
          <t xml:space="preserve">= 63481 - Normal </t>
        </r>
        <r>
          <rPr>
            <sz val="10"/>
            <color indexed="81"/>
            <rFont val="Tahoma"/>
            <family val="2"/>
          </rPr>
          <t xml:space="preserve">* Galati Km Auto (Responses)
</t>
        </r>
      </text>
    </comment>
    <comment ref="T88" authorId="0" shapeId="0" xr:uid="{379B6CE2-8291-4B52-9AA5-E52C9403C3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9/16/2022 8:25:25 PM </t>
        </r>
        <r>
          <rPr>
            <b/>
            <sz val="10"/>
            <color indexed="81"/>
            <rFont val="Tahoma"/>
            <family val="2"/>
          </rPr>
          <t xml:space="preserve">= 63555 - Referinta </t>
        </r>
        <r>
          <rPr>
            <sz val="10"/>
            <color indexed="81"/>
            <rFont val="Tahoma"/>
            <family val="2"/>
          </rPr>
          <t xml:space="preserve">* Galati Km Auto (Responses)
  9/19/2022 5:41:03 PM </t>
        </r>
        <r>
          <rPr>
            <b/>
            <sz val="10"/>
            <color indexed="81"/>
            <rFont val="Tahoma"/>
            <family val="2"/>
          </rPr>
          <t xml:space="preserve">= 63573 - Normal </t>
        </r>
        <r>
          <rPr>
            <sz val="10"/>
            <color indexed="81"/>
            <rFont val="Tahoma"/>
            <family val="2"/>
          </rPr>
          <t xml:space="preserve">* Galati Km Auto (Responses)
</t>
        </r>
      </text>
    </comment>
    <comment ref="Y88" authorId="0" shapeId="0" xr:uid="{B2A340DF-A672-483F-AE42-CBD78F6AC9F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t>
        </r>
        <r>
          <rPr>
            <sz val="10"/>
            <color indexed="81"/>
            <rFont val="Tahoma"/>
            <family val="2"/>
          </rPr>
          <t xml:space="preserve">9/23/2022 8:50:29 PM </t>
        </r>
        <r>
          <rPr>
            <b/>
            <sz val="10"/>
            <color indexed="81"/>
            <rFont val="Tahoma"/>
            <family val="2"/>
          </rPr>
          <t xml:space="preserve">= 63646 - Referinta </t>
        </r>
        <r>
          <rPr>
            <sz val="10"/>
            <color indexed="81"/>
            <rFont val="Tahoma"/>
            <family val="2"/>
          </rPr>
          <t xml:space="preserve">* Galati Km Auto (Responses)
  9/26/2022 1:24:00 PM </t>
        </r>
        <r>
          <rPr>
            <b/>
            <sz val="10"/>
            <color indexed="81"/>
            <rFont val="Tahoma"/>
            <family val="2"/>
          </rPr>
          <t xml:space="preserve">= 63662 - Normal </t>
        </r>
        <r>
          <rPr>
            <sz val="10"/>
            <color indexed="81"/>
            <rFont val="Tahoma"/>
            <family val="2"/>
          </rPr>
          <t xml:space="preserve">* Galati Km Auto (Responses)
</t>
        </r>
      </text>
    </comment>
    <comment ref="AD88" authorId="0" shapeId="0" xr:uid="{558120BD-D263-46A2-A6DF-F801B32FF05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B-193-CLT</t>
        </r>
        <r>
          <rPr>
            <b/>
            <sz val="10"/>
            <color indexed="12"/>
            <rFont val="Tahoma"/>
            <family val="2"/>
          </rPr>
          <t xml:space="preserve"> - Rusu Cornelia 
__________________________________________________________________
</t>
        </r>
        <r>
          <rPr>
            <sz val="10"/>
            <color indexed="12"/>
            <rFont val="Tahoma"/>
            <family val="2"/>
          </rPr>
          <t xml:space="preserve"> 9</t>
        </r>
        <r>
          <rPr>
            <sz val="10"/>
            <color indexed="81"/>
            <rFont val="Tahoma"/>
            <family val="2"/>
          </rPr>
          <t xml:space="preserve">/30/2022 11:40:09 PM </t>
        </r>
        <r>
          <rPr>
            <b/>
            <sz val="10"/>
            <color indexed="81"/>
            <rFont val="Tahoma"/>
            <family val="2"/>
          </rPr>
          <t xml:space="preserve">= 63715 - Referinta </t>
        </r>
        <r>
          <rPr>
            <sz val="10"/>
            <color indexed="81"/>
            <rFont val="Tahoma"/>
            <family val="2"/>
          </rPr>
          <t xml:space="preserve">* Galati Km Auto (Responses)
  10/3/2022 8:35:11 AM </t>
        </r>
        <r>
          <rPr>
            <b/>
            <sz val="10"/>
            <color indexed="81"/>
            <rFont val="Tahoma"/>
            <family val="2"/>
          </rPr>
          <t xml:space="preserve">= 63719 - Normal </t>
        </r>
        <r>
          <rPr>
            <sz val="10"/>
            <color indexed="81"/>
            <rFont val="Tahoma"/>
            <family val="2"/>
          </rPr>
          <t xml:space="preserve">* Galati Km Auto (Responses)
</t>
        </r>
      </text>
    </comment>
    <comment ref="J89" authorId="0" shapeId="0" xr:uid="{4F715CAD-C69F-410E-80D1-BD71C1AAEE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 9/2/2022 5:00:00 AM </t>
        </r>
        <r>
          <rPr>
            <b/>
            <sz val="10"/>
            <color indexed="81"/>
            <rFont val="Tahoma"/>
            <family val="2"/>
          </rPr>
          <t xml:space="preserve">= 45687 - Referinta </t>
        </r>
        <r>
          <rPr>
            <sz val="10"/>
            <color indexed="81"/>
            <rFont val="Tahoma"/>
            <family val="2"/>
          </rPr>
          <t xml:space="preserve">* Iasi Km Auto (Responses)
   9/5/2022 7:47:49 AM </t>
        </r>
        <r>
          <rPr>
            <b/>
            <sz val="10"/>
            <color indexed="81"/>
            <rFont val="Tahoma"/>
            <family val="2"/>
          </rPr>
          <t xml:space="preserve">= 45707 - Normal </t>
        </r>
        <r>
          <rPr>
            <sz val="10"/>
            <color indexed="81"/>
            <rFont val="Tahoma"/>
            <family val="2"/>
          </rPr>
          <t xml:space="preserve">* Iasi Km Auto (Responses)
</t>
        </r>
      </text>
    </comment>
    <comment ref="O89" authorId="0" shapeId="0" xr:uid="{BA23890D-FDCB-4952-AC4E-50D82D4B8C0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 9/9/2022 3:49:38 PM </t>
        </r>
        <r>
          <rPr>
            <b/>
            <sz val="10"/>
            <color indexed="81"/>
            <rFont val="Tahoma"/>
            <family val="2"/>
          </rPr>
          <t xml:space="preserve">= 45812 - Referinta </t>
        </r>
        <r>
          <rPr>
            <sz val="10"/>
            <color indexed="81"/>
            <rFont val="Tahoma"/>
            <family val="2"/>
          </rPr>
          <t xml:space="preserve">* Iasi Km Auto (Responses)
  9/12/2022 7:55:45 AM </t>
        </r>
        <r>
          <rPr>
            <b/>
            <sz val="10"/>
            <color indexed="81"/>
            <rFont val="Tahoma"/>
            <family val="2"/>
          </rPr>
          <t xml:space="preserve">= 45818 - Normal </t>
        </r>
        <r>
          <rPr>
            <sz val="10"/>
            <color indexed="81"/>
            <rFont val="Tahoma"/>
            <family val="2"/>
          </rPr>
          <t xml:space="preserve">* Iasi Km Auto (Responses)
</t>
        </r>
      </text>
    </comment>
    <comment ref="T89" authorId="0" shapeId="0" xr:uid="{3796B24C-29EE-4E25-AA0D-4D6942190BF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9/16/2022 3:59:31 PM </t>
        </r>
        <r>
          <rPr>
            <b/>
            <sz val="10"/>
            <color indexed="81"/>
            <rFont val="Tahoma"/>
            <family val="2"/>
          </rPr>
          <t xml:space="preserve">= 45888 - Referinta </t>
        </r>
        <r>
          <rPr>
            <sz val="10"/>
            <color indexed="81"/>
            <rFont val="Tahoma"/>
            <family val="2"/>
          </rPr>
          <t xml:space="preserve">* Iasi Km Auto (Responses)
  9/19/2022 7:43:29 AM </t>
        </r>
        <r>
          <rPr>
            <b/>
            <sz val="10"/>
            <color indexed="81"/>
            <rFont val="Tahoma"/>
            <family val="2"/>
          </rPr>
          <t xml:space="preserve">= 45902 - Normal </t>
        </r>
        <r>
          <rPr>
            <sz val="10"/>
            <color indexed="81"/>
            <rFont val="Tahoma"/>
            <family val="2"/>
          </rPr>
          <t xml:space="preserve">* Iasi Km Auto (Responses)
</t>
        </r>
      </text>
    </comment>
    <comment ref="Y89" authorId="0" shapeId="0" xr:uid="{F0C68620-3DCF-40C8-91D7-3D90682FB34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__________________________________________________________________
</t>
        </r>
        <r>
          <rPr>
            <sz val="10"/>
            <color indexed="12"/>
            <rFont val="Tahoma"/>
            <family val="2"/>
          </rPr>
          <t xml:space="preserve">  </t>
        </r>
        <r>
          <rPr>
            <sz val="10"/>
            <color indexed="81"/>
            <rFont val="Tahoma"/>
            <family val="2"/>
          </rPr>
          <t xml:space="preserve">9/23/2022 5:00:56 PM </t>
        </r>
        <r>
          <rPr>
            <b/>
            <sz val="10"/>
            <color indexed="81"/>
            <rFont val="Tahoma"/>
            <family val="2"/>
          </rPr>
          <t xml:space="preserve">= 45976 - Referinta </t>
        </r>
        <r>
          <rPr>
            <sz val="10"/>
            <color indexed="81"/>
            <rFont val="Tahoma"/>
            <family val="2"/>
          </rPr>
          <t xml:space="preserve">* Iasi Km Auto (Responses)
  9/26/2022 7:38:27 AM </t>
        </r>
        <r>
          <rPr>
            <b/>
            <sz val="10"/>
            <color indexed="81"/>
            <rFont val="Tahoma"/>
            <family val="2"/>
          </rPr>
          <t xml:space="preserve">= 46006 - Normal </t>
        </r>
        <r>
          <rPr>
            <sz val="10"/>
            <color indexed="81"/>
            <rFont val="Tahoma"/>
            <family val="2"/>
          </rPr>
          <t xml:space="preserve">* Iasi Km Auto (Responses)
  9/29/2022 5:11:47 PM </t>
        </r>
        <r>
          <rPr>
            <b/>
            <sz val="10"/>
            <color indexed="81"/>
            <rFont val="Tahoma"/>
            <family val="2"/>
          </rPr>
          <t xml:space="preserve">= 46368 - Referinta </t>
        </r>
        <r>
          <rPr>
            <sz val="10"/>
            <color indexed="81"/>
            <rFont val="Tahoma"/>
            <family val="2"/>
          </rPr>
          <t xml:space="preserve">* Iasi Km Auto (Responses)
</t>
        </r>
      </text>
    </comment>
    <comment ref="AD89" authorId="0" shapeId="0" xr:uid="{D0E993B3-E6B0-4B4C-A129-2D8682F5CF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B-240-CLT</t>
        </r>
        <r>
          <rPr>
            <b/>
            <sz val="10"/>
            <color indexed="12"/>
            <rFont val="Tahoma"/>
            <family val="2"/>
          </rPr>
          <t xml:space="preserve"> - Iulian Padurariu Referinta a fost pusa automat
__________________________________________________________________
</t>
        </r>
        <r>
          <rPr>
            <sz val="10"/>
            <color indexed="12"/>
            <rFont val="Tahoma"/>
            <family val="2"/>
          </rPr>
          <t xml:space="preserve">  </t>
        </r>
        <r>
          <rPr>
            <sz val="10"/>
            <color indexed="81"/>
            <rFont val="Tahoma"/>
            <family val="2"/>
          </rPr>
          <t xml:space="preserve">10/3/2022 8:16:10 AM </t>
        </r>
        <r>
          <rPr>
            <b/>
            <sz val="10"/>
            <color indexed="81"/>
            <rFont val="Tahoma"/>
            <family val="2"/>
          </rPr>
          <t xml:space="preserve">= 46389 - Referinta </t>
        </r>
        <r>
          <rPr>
            <sz val="10"/>
            <color indexed="81"/>
            <rFont val="Tahoma"/>
            <family val="2"/>
          </rPr>
          <t xml:space="preserve">* Iasi Km Auto (Responses)
  10/3/2022 8:17:58 AM </t>
        </r>
        <r>
          <rPr>
            <b/>
            <sz val="10"/>
            <color indexed="81"/>
            <rFont val="Tahoma"/>
            <family val="2"/>
          </rPr>
          <t xml:space="preserve">= 46389 - Normal </t>
        </r>
        <r>
          <rPr>
            <sz val="10"/>
            <color indexed="81"/>
            <rFont val="Tahoma"/>
            <family val="2"/>
          </rPr>
          <t xml:space="preserve">* Iasi Km Auto (Responses)
</t>
        </r>
      </text>
    </comment>
    <comment ref="J90" authorId="0" shapeId="0" xr:uid="{0E3BF506-69D6-446E-8715-C517D27296F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4:26:52 PM </t>
        </r>
        <r>
          <rPr>
            <b/>
            <sz val="10"/>
            <color indexed="81"/>
            <rFont val="Tahoma"/>
            <family val="2"/>
          </rPr>
          <t xml:space="preserve">= 22284 - Referinta </t>
        </r>
        <r>
          <rPr>
            <sz val="10"/>
            <color indexed="81"/>
            <rFont val="Tahoma"/>
            <family val="2"/>
          </rPr>
          <t xml:space="preserve">* Iasi Km Auto (Responses)
  9/5/2022 10:18:27 AM </t>
        </r>
        <r>
          <rPr>
            <b/>
            <sz val="10"/>
            <color indexed="81"/>
            <rFont val="Tahoma"/>
            <family val="2"/>
          </rPr>
          <t xml:space="preserve">= 22292 - Normal </t>
        </r>
        <r>
          <rPr>
            <sz val="10"/>
            <color indexed="81"/>
            <rFont val="Tahoma"/>
            <family val="2"/>
          </rPr>
          <t xml:space="preserve">* Iasi Km Auto (Responses)
</t>
        </r>
      </text>
    </comment>
    <comment ref="O90" authorId="0" shapeId="0" xr:uid="{0781E36F-F9C6-43E0-BE80-47414089FB1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 9/9/2022 4:46:00 AM </t>
        </r>
        <r>
          <rPr>
            <b/>
            <sz val="10"/>
            <color indexed="81"/>
            <rFont val="Tahoma"/>
            <family val="2"/>
          </rPr>
          <t xml:space="preserve">= 22713 - Referinta </t>
        </r>
        <r>
          <rPr>
            <sz val="10"/>
            <color indexed="81"/>
            <rFont val="Tahoma"/>
            <family val="2"/>
          </rPr>
          <t xml:space="preserve">* Iasi Km Auto (Responses)
  9/12/2022 7:28:00 AM </t>
        </r>
        <r>
          <rPr>
            <b/>
            <sz val="10"/>
            <color indexed="81"/>
            <rFont val="Tahoma"/>
            <family val="2"/>
          </rPr>
          <t xml:space="preserve">= 22725 - Normal </t>
        </r>
        <r>
          <rPr>
            <sz val="10"/>
            <color indexed="81"/>
            <rFont val="Tahoma"/>
            <family val="2"/>
          </rPr>
          <t xml:space="preserve">* Iasi Km Auto (Responses)
  9/12/2022 7:30:00 AM </t>
        </r>
        <r>
          <rPr>
            <b/>
            <sz val="10"/>
            <color indexed="81"/>
            <rFont val="Tahoma"/>
            <family val="2"/>
          </rPr>
          <t xml:space="preserve">= 22725 - Normal </t>
        </r>
        <r>
          <rPr>
            <sz val="10"/>
            <color indexed="81"/>
            <rFont val="Tahoma"/>
            <family val="2"/>
          </rPr>
          <t xml:space="preserve">* Iasi Km Auto (Responses)
</t>
        </r>
      </text>
    </comment>
    <comment ref="T90" authorId="0" shapeId="0" xr:uid="{2460A6DC-204B-435B-9F9E-C68E4CEF2F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9/16/2022 6:09:00 AM </t>
        </r>
        <r>
          <rPr>
            <b/>
            <sz val="10"/>
            <color indexed="81"/>
            <rFont val="Tahoma"/>
            <family val="2"/>
          </rPr>
          <t xml:space="preserve">= 23090 - Referinta </t>
        </r>
        <r>
          <rPr>
            <sz val="10"/>
            <color indexed="81"/>
            <rFont val="Tahoma"/>
            <family val="2"/>
          </rPr>
          <t xml:space="preserve">* Iasi Km Auto (Responses)
  9/19/2022 7:15:00 AM </t>
        </r>
        <r>
          <rPr>
            <b/>
            <sz val="10"/>
            <color indexed="81"/>
            <rFont val="Tahoma"/>
            <family val="2"/>
          </rPr>
          <t xml:space="preserve">= 23100 - Normal </t>
        </r>
        <r>
          <rPr>
            <sz val="10"/>
            <color indexed="81"/>
            <rFont val="Tahoma"/>
            <family val="2"/>
          </rPr>
          <t xml:space="preserve">* Iasi Km Auto (Responses)
</t>
        </r>
      </text>
    </comment>
    <comment ref="Y90" authorId="0" shapeId="0" xr:uid="{624D45C5-0B51-4B2D-B031-F452BD9021E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9/23/2022 4:34:00 AM </t>
        </r>
        <r>
          <rPr>
            <b/>
            <sz val="10"/>
            <color indexed="81"/>
            <rFont val="Tahoma"/>
            <family val="2"/>
          </rPr>
          <t xml:space="preserve">= 23477 - Referinta </t>
        </r>
        <r>
          <rPr>
            <sz val="10"/>
            <color indexed="81"/>
            <rFont val="Tahoma"/>
            <family val="2"/>
          </rPr>
          <t xml:space="preserve">* Iasi Km Auto (Responses)
  9/26/2022 7:42:00 AM </t>
        </r>
        <r>
          <rPr>
            <b/>
            <sz val="10"/>
            <color indexed="81"/>
            <rFont val="Tahoma"/>
            <family val="2"/>
          </rPr>
          <t xml:space="preserve">= 23481 - Normal </t>
        </r>
        <r>
          <rPr>
            <sz val="10"/>
            <color indexed="81"/>
            <rFont val="Tahoma"/>
            <family val="2"/>
          </rPr>
          <t xml:space="preserve">* Iasi Km Auto (Responses)
</t>
        </r>
      </text>
    </comment>
    <comment ref="AD90" authorId="0" shapeId="0" xr:uid="{3F6C47AB-37BF-4AAF-AF76-DDD86C7FD1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B-901-CLT</t>
        </r>
        <r>
          <rPr>
            <b/>
            <sz val="10"/>
            <color indexed="12"/>
            <rFont val="Tahoma"/>
            <family val="2"/>
          </rPr>
          <t xml:space="preserve"> - Bejan Florin 
__________________________________________________________________
</t>
        </r>
        <r>
          <rPr>
            <sz val="10"/>
            <color indexed="12"/>
            <rFont val="Tahoma"/>
            <family val="2"/>
          </rPr>
          <t xml:space="preserve">  </t>
        </r>
        <r>
          <rPr>
            <sz val="10"/>
            <color indexed="81"/>
            <rFont val="Tahoma"/>
            <family val="2"/>
          </rPr>
          <t xml:space="preserve">9/30/2022 4:08:00 AM </t>
        </r>
        <r>
          <rPr>
            <b/>
            <sz val="10"/>
            <color indexed="81"/>
            <rFont val="Tahoma"/>
            <family val="2"/>
          </rPr>
          <t xml:space="preserve">= 23878 - Referinta </t>
        </r>
        <r>
          <rPr>
            <sz val="10"/>
            <color indexed="81"/>
            <rFont val="Tahoma"/>
            <family val="2"/>
          </rPr>
          <t xml:space="preserve">* Iasi Km Auto (Responses)
  10/3/2022 7:15:00 AM </t>
        </r>
        <r>
          <rPr>
            <b/>
            <sz val="10"/>
            <color indexed="81"/>
            <rFont val="Tahoma"/>
            <family val="2"/>
          </rPr>
          <t xml:space="preserve">= 23893 - Normal </t>
        </r>
        <r>
          <rPr>
            <sz val="10"/>
            <color indexed="81"/>
            <rFont val="Tahoma"/>
            <family val="2"/>
          </rPr>
          <t xml:space="preserve">* Iasi Km Auto (Responses)
</t>
        </r>
      </text>
    </comment>
    <comment ref="J91" authorId="0" shapeId="0" xr:uid="{5C7E0BB8-C774-4B5E-8EB0-0F5F15334D9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9/5/2022 11:37:28 AM </t>
        </r>
        <r>
          <rPr>
            <b/>
            <sz val="10"/>
            <color indexed="81"/>
            <rFont val="Tahoma"/>
            <family val="2"/>
          </rPr>
          <t xml:space="preserve">= 835302 - Referinta </t>
        </r>
        <r>
          <rPr>
            <sz val="10"/>
            <color indexed="81"/>
            <rFont val="Tahoma"/>
            <family val="2"/>
          </rPr>
          <t xml:space="preserve">* Iasi Km Auto (Responses)
</t>
        </r>
      </text>
    </comment>
    <comment ref="O91" authorId="0" shapeId="0" xr:uid="{1363DC34-85A4-475F-A910-AB5D1F86143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 9/9/2022 7:24:59 PM </t>
        </r>
        <r>
          <rPr>
            <b/>
            <sz val="10"/>
            <color indexed="81"/>
            <rFont val="Tahoma"/>
            <family val="2"/>
          </rPr>
          <t xml:space="preserve">= 845882 - Referinta </t>
        </r>
        <r>
          <rPr>
            <sz val="10"/>
            <color indexed="81"/>
            <rFont val="Tahoma"/>
            <family val="2"/>
          </rPr>
          <t xml:space="preserve">* Iasi Km Auto (Responses)
</t>
        </r>
      </text>
    </comment>
    <comment ref="T91" authorId="0" shapeId="0" xr:uid="{085733DC-D24B-4E7C-A650-EA6A29F0577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9/16/2022 4:15:21 PM </t>
        </r>
        <r>
          <rPr>
            <b/>
            <sz val="10"/>
            <color indexed="81"/>
            <rFont val="Tahoma"/>
            <family val="2"/>
          </rPr>
          <t xml:space="preserve">= 847681 - Referinta </t>
        </r>
        <r>
          <rPr>
            <sz val="10"/>
            <color indexed="81"/>
            <rFont val="Tahoma"/>
            <family val="2"/>
          </rPr>
          <t xml:space="preserve">* Iasi Km Auto (Responses)
  9/20/2022 9:24:56 AM </t>
        </r>
        <r>
          <rPr>
            <b/>
            <sz val="10"/>
            <color indexed="81"/>
            <rFont val="Tahoma"/>
            <family val="2"/>
          </rPr>
          <t xml:space="preserve">= 847681 - Normal </t>
        </r>
        <r>
          <rPr>
            <sz val="10"/>
            <color indexed="81"/>
            <rFont val="Tahoma"/>
            <family val="2"/>
          </rPr>
          <t xml:space="preserve">* Iasi Km Auto (Responses)
</t>
        </r>
      </text>
    </comment>
    <comment ref="Y91" authorId="0" shapeId="0" xr:uid="{8744A55A-3BDB-497D-90A5-D3F91329D23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9/23/2022 3:44:18 PM </t>
        </r>
        <r>
          <rPr>
            <b/>
            <sz val="10"/>
            <color indexed="81"/>
            <rFont val="Tahoma"/>
            <family val="2"/>
          </rPr>
          <t xml:space="preserve">= 855667 - Referinta </t>
        </r>
        <r>
          <rPr>
            <sz val="10"/>
            <color indexed="81"/>
            <rFont val="Tahoma"/>
            <family val="2"/>
          </rPr>
          <t xml:space="preserve">* Iasi Km Auto (Responses)
  9/27/2022 9:40:57 AM </t>
        </r>
        <r>
          <rPr>
            <b/>
            <sz val="10"/>
            <color indexed="81"/>
            <rFont val="Tahoma"/>
            <family val="2"/>
          </rPr>
          <t xml:space="preserve">= 855667 - Normal </t>
        </r>
        <r>
          <rPr>
            <sz val="10"/>
            <color indexed="81"/>
            <rFont val="Tahoma"/>
            <family val="2"/>
          </rPr>
          <t xml:space="preserve">* Iasi Km Auto (Responses)
</t>
        </r>
      </text>
    </comment>
    <comment ref="AD91" authorId="0" shapeId="0" xr:uid="{ADAF011E-DA0E-4FBA-BA5D-4324121FDFF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B-229-CLT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9/30/2022 4:25:57 PM </t>
        </r>
        <r>
          <rPr>
            <b/>
            <sz val="10"/>
            <color indexed="81"/>
            <rFont val="Tahoma"/>
            <family val="2"/>
          </rPr>
          <t xml:space="preserve">= 869374 - Referinta </t>
        </r>
        <r>
          <rPr>
            <sz val="10"/>
            <color indexed="81"/>
            <rFont val="Tahoma"/>
            <family val="2"/>
          </rPr>
          <t xml:space="preserve">* Iasi Km Auto (Responses)
  10/3/2022 8:15:37 AM </t>
        </r>
        <r>
          <rPr>
            <b/>
            <sz val="10"/>
            <color indexed="81"/>
            <rFont val="Tahoma"/>
            <family val="2"/>
          </rPr>
          <t xml:space="preserve">= 869374 - Normal </t>
        </r>
        <r>
          <rPr>
            <sz val="10"/>
            <color indexed="81"/>
            <rFont val="Tahoma"/>
            <family val="2"/>
          </rPr>
          <t xml:space="preserve">* Iasi Km Auto (Responses)
</t>
        </r>
      </text>
    </comment>
    <comment ref="J92" authorId="0" shapeId="0" xr:uid="{2B3409D7-6462-43EE-A4D6-5EBC39EBBB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Referinta a fost pusa automat
__________________________________________________________________
</t>
        </r>
        <r>
          <rPr>
            <sz val="10"/>
            <color indexed="12"/>
            <rFont val="Tahoma"/>
            <family val="2"/>
          </rPr>
          <t xml:space="preserve">  </t>
        </r>
        <r>
          <rPr>
            <sz val="10"/>
            <color indexed="81"/>
            <rFont val="Tahoma"/>
            <family val="2"/>
          </rPr>
          <t xml:space="preserve"> 9/2/2022 3:33:54 PM </t>
        </r>
        <r>
          <rPr>
            <b/>
            <sz val="10"/>
            <color indexed="81"/>
            <rFont val="Tahoma"/>
            <family val="2"/>
          </rPr>
          <t xml:space="preserve">= 239535 - Referinta </t>
        </r>
        <r>
          <rPr>
            <sz val="10"/>
            <color indexed="81"/>
            <rFont val="Tahoma"/>
            <family val="2"/>
          </rPr>
          <t xml:space="preserve">* Iasi Km Auto (Responses)
   9/5/2022 7:45:57 AM </t>
        </r>
        <r>
          <rPr>
            <b/>
            <sz val="10"/>
            <color indexed="81"/>
            <rFont val="Tahoma"/>
            <family val="2"/>
          </rPr>
          <t xml:space="preserve">= 239535 - Normal </t>
        </r>
        <r>
          <rPr>
            <sz val="10"/>
            <color indexed="81"/>
            <rFont val="Tahoma"/>
            <family val="2"/>
          </rPr>
          <t xml:space="preserve">* Iasi Km Auto (Responses)
</t>
        </r>
      </text>
    </comment>
    <comment ref="O92" authorId="0" shapeId="0" xr:uid="{62BA14D6-E6F2-47DE-A3AB-3113096FD52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 9/9/2022 3:58:00 AM </t>
        </r>
        <r>
          <rPr>
            <b/>
            <sz val="10"/>
            <color indexed="81"/>
            <rFont val="Tahoma"/>
            <family val="2"/>
          </rPr>
          <t xml:space="preserve">= 239537 - Referinta </t>
        </r>
        <r>
          <rPr>
            <sz val="10"/>
            <color indexed="81"/>
            <rFont val="Tahoma"/>
            <family val="2"/>
          </rPr>
          <t xml:space="preserve">* Iasi Km Auto (Responses)
  9/12/2022 7:39:00 AM </t>
        </r>
        <r>
          <rPr>
            <b/>
            <sz val="10"/>
            <color indexed="81"/>
            <rFont val="Tahoma"/>
            <family val="2"/>
          </rPr>
          <t xml:space="preserve">= 239537 - Normal </t>
        </r>
        <r>
          <rPr>
            <sz val="10"/>
            <color indexed="81"/>
            <rFont val="Tahoma"/>
            <family val="2"/>
          </rPr>
          <t xml:space="preserve">* Iasi Km Auto (Responses)
</t>
        </r>
      </text>
    </comment>
    <comment ref="T92" authorId="0" shapeId="0" xr:uid="{4A2CA71B-20E9-474D-AE99-7B3DB93F839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9/16/2022 4:10:00 AM </t>
        </r>
        <r>
          <rPr>
            <b/>
            <sz val="10"/>
            <color indexed="81"/>
            <rFont val="Tahoma"/>
            <family val="2"/>
          </rPr>
          <t xml:space="preserve">= 239551 - Referinta </t>
        </r>
        <r>
          <rPr>
            <sz val="10"/>
            <color indexed="81"/>
            <rFont val="Tahoma"/>
            <family val="2"/>
          </rPr>
          <t xml:space="preserve">* Iasi Km Auto (Responses)
  9/19/2022 7:30:00 AM </t>
        </r>
        <r>
          <rPr>
            <b/>
            <sz val="10"/>
            <color indexed="81"/>
            <rFont val="Tahoma"/>
            <family val="2"/>
          </rPr>
          <t xml:space="preserve">= 239584 - Normal </t>
        </r>
        <r>
          <rPr>
            <sz val="10"/>
            <color indexed="81"/>
            <rFont val="Tahoma"/>
            <family val="2"/>
          </rPr>
          <t xml:space="preserve">* Iasi Km Auto (Responses)
</t>
        </r>
      </text>
    </comment>
    <comment ref="Y92" authorId="0" shapeId="0" xr:uid="{25C4A13C-D1EF-40DD-AE7B-89D552D71D0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9/23/2022 4:05:00 AM </t>
        </r>
        <r>
          <rPr>
            <b/>
            <sz val="10"/>
            <color indexed="81"/>
            <rFont val="Tahoma"/>
            <family val="2"/>
          </rPr>
          <t xml:space="preserve">= 239635 - Referinta </t>
        </r>
        <r>
          <rPr>
            <sz val="10"/>
            <color indexed="81"/>
            <rFont val="Tahoma"/>
            <family val="2"/>
          </rPr>
          <t xml:space="preserve">* Iasi Km Auto (Responses)
  9/26/2022 7:30:00 AM </t>
        </r>
        <r>
          <rPr>
            <b/>
            <sz val="10"/>
            <color indexed="81"/>
            <rFont val="Tahoma"/>
            <family val="2"/>
          </rPr>
          <t xml:space="preserve">= 239639 - Normal </t>
        </r>
        <r>
          <rPr>
            <sz val="10"/>
            <color indexed="81"/>
            <rFont val="Tahoma"/>
            <family val="2"/>
          </rPr>
          <t xml:space="preserve">* Iasi Km Auto (Responses)
</t>
        </r>
      </text>
    </comment>
    <comment ref="AD92" authorId="0" shapeId="0" xr:uid="{AC6ADE4B-267C-45A8-B296-9EB49E32110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B-126-CLT</t>
        </r>
        <r>
          <rPr>
            <b/>
            <sz val="10"/>
            <color indexed="12"/>
            <rFont val="Tahoma"/>
            <family val="2"/>
          </rPr>
          <t xml:space="preserve"> - Bursuc Bogdan 
__________________________________________________________________
</t>
        </r>
        <r>
          <rPr>
            <sz val="10"/>
            <color indexed="12"/>
            <rFont val="Tahoma"/>
            <family val="2"/>
          </rPr>
          <t xml:space="preserve">  </t>
        </r>
        <r>
          <rPr>
            <sz val="10"/>
            <color indexed="81"/>
            <rFont val="Tahoma"/>
            <family val="2"/>
          </rPr>
          <t xml:space="preserve">9/30/2022 3:20:00 AM </t>
        </r>
        <r>
          <rPr>
            <b/>
            <sz val="10"/>
            <color indexed="81"/>
            <rFont val="Tahoma"/>
            <family val="2"/>
          </rPr>
          <t xml:space="preserve">= 239756 - Referinta </t>
        </r>
        <r>
          <rPr>
            <sz val="10"/>
            <color indexed="81"/>
            <rFont val="Tahoma"/>
            <family val="2"/>
          </rPr>
          <t xml:space="preserve">* Iasi Km Auto (Responses)
  10/3/2022 7:48:00 AM </t>
        </r>
        <r>
          <rPr>
            <b/>
            <sz val="10"/>
            <color indexed="81"/>
            <rFont val="Tahoma"/>
            <family val="2"/>
          </rPr>
          <t xml:space="preserve">= 239756 - Normal </t>
        </r>
        <r>
          <rPr>
            <sz val="10"/>
            <color indexed="81"/>
            <rFont val="Tahoma"/>
            <family val="2"/>
          </rPr>
          <t xml:space="preserve">* Iasi Km Auto (Responses)
</t>
        </r>
      </text>
    </comment>
    <comment ref="J93" authorId="0" shapeId="0" xr:uid="{177523B0-FDE4-43AB-9DCA-A967C18810F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9/5/2022 12:17:13 PM </t>
        </r>
        <r>
          <rPr>
            <b/>
            <sz val="10"/>
            <color indexed="81"/>
            <rFont val="Tahoma"/>
            <family val="2"/>
          </rPr>
          <t xml:space="preserve">= 92318 - Referinta </t>
        </r>
        <r>
          <rPr>
            <sz val="10"/>
            <color indexed="81"/>
            <rFont val="Tahoma"/>
            <family val="2"/>
          </rPr>
          <t xml:space="preserve">* Iasi Km Auto (Responses)
</t>
        </r>
      </text>
    </comment>
    <comment ref="O93" authorId="0" shapeId="0" xr:uid="{5B57A08C-E285-40C7-880C-66169A209E4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 9/9/2022 9:08:29 PM </t>
        </r>
        <r>
          <rPr>
            <b/>
            <sz val="10"/>
            <color indexed="81"/>
            <rFont val="Tahoma"/>
            <family val="2"/>
          </rPr>
          <t xml:space="preserve">= 92438 - Referinta </t>
        </r>
        <r>
          <rPr>
            <sz val="10"/>
            <color indexed="81"/>
            <rFont val="Tahoma"/>
            <family val="2"/>
          </rPr>
          <t xml:space="preserve">* Iasi Km Auto (Responses)
  9/12/2022 8:13:00 AM </t>
        </r>
        <r>
          <rPr>
            <b/>
            <sz val="10"/>
            <color indexed="81"/>
            <rFont val="Tahoma"/>
            <family val="2"/>
          </rPr>
          <t xml:space="preserve">= 92496 - Normal </t>
        </r>
        <r>
          <rPr>
            <sz val="10"/>
            <color indexed="81"/>
            <rFont val="Tahoma"/>
            <family val="2"/>
          </rPr>
          <t xml:space="preserve">* Iasi Km Auto (Responses)
</t>
        </r>
      </text>
    </comment>
    <comment ref="T93" authorId="0" shapeId="0" xr:uid="{104EC264-8DC9-43B4-89A5-4912A1CA803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9/16/2022 5:47:29 PM </t>
        </r>
        <r>
          <rPr>
            <b/>
            <sz val="10"/>
            <color indexed="81"/>
            <rFont val="Tahoma"/>
            <family val="2"/>
          </rPr>
          <t xml:space="preserve">= 92696 - Referinta </t>
        </r>
        <r>
          <rPr>
            <sz val="10"/>
            <color indexed="81"/>
            <rFont val="Tahoma"/>
            <family val="2"/>
          </rPr>
          <t xml:space="preserve">* Iasi Km Auto (Responses)
  9/19/2022 6:36:31 AM </t>
        </r>
        <r>
          <rPr>
            <b/>
            <sz val="10"/>
            <color indexed="81"/>
            <rFont val="Tahoma"/>
            <family val="2"/>
          </rPr>
          <t xml:space="preserve">= 92786 - Normal </t>
        </r>
        <r>
          <rPr>
            <sz val="10"/>
            <color indexed="81"/>
            <rFont val="Tahoma"/>
            <family val="2"/>
          </rPr>
          <t xml:space="preserve">* Iasi Km Auto (Responses)
</t>
        </r>
      </text>
    </comment>
    <comment ref="Y93" authorId="0" shapeId="0" xr:uid="{680BE2B2-5AA8-4D85-8B1F-C91A50E0F4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9/23/2022 7:59:31 PM </t>
        </r>
        <r>
          <rPr>
            <b/>
            <sz val="10"/>
            <color indexed="81"/>
            <rFont val="Tahoma"/>
            <family val="2"/>
          </rPr>
          <t xml:space="preserve">= 93146 - Referinta </t>
        </r>
        <r>
          <rPr>
            <sz val="10"/>
            <color indexed="81"/>
            <rFont val="Tahoma"/>
            <family val="2"/>
          </rPr>
          <t xml:space="preserve">* Iasi Km Auto (Responses)
  9/26/2022 6:04:41 AM </t>
        </r>
        <r>
          <rPr>
            <b/>
            <sz val="10"/>
            <color indexed="81"/>
            <rFont val="Tahoma"/>
            <family val="2"/>
          </rPr>
          <t xml:space="preserve">= 93151 - Normal </t>
        </r>
        <r>
          <rPr>
            <sz val="10"/>
            <color indexed="81"/>
            <rFont val="Tahoma"/>
            <family val="2"/>
          </rPr>
          <t xml:space="preserve">* Iasi Km Auto (Responses)
</t>
        </r>
      </text>
    </comment>
    <comment ref="AD93" authorId="0" shapeId="0" xr:uid="{56232D82-9191-4EA5-A17A-27FC76A113A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B-172-CLT</t>
        </r>
        <r>
          <rPr>
            <b/>
            <sz val="10"/>
            <color indexed="12"/>
            <rFont val="Tahoma"/>
            <family val="2"/>
          </rPr>
          <t xml:space="preserve"> - Sorin Drumea Referinta a fost pusa automat
__________________________________________________________________
</t>
        </r>
        <r>
          <rPr>
            <sz val="10"/>
            <color indexed="12"/>
            <rFont val="Tahoma"/>
            <family val="2"/>
          </rPr>
          <t xml:space="preserve">  </t>
        </r>
        <r>
          <rPr>
            <sz val="10"/>
            <color indexed="81"/>
            <rFont val="Tahoma"/>
            <family val="2"/>
          </rPr>
          <t xml:space="preserve">9/30/2022 5:32:29 PM </t>
        </r>
        <r>
          <rPr>
            <b/>
            <sz val="10"/>
            <color indexed="81"/>
            <rFont val="Tahoma"/>
            <family val="2"/>
          </rPr>
          <t xml:space="preserve">= 93279 - Referinta </t>
        </r>
        <r>
          <rPr>
            <sz val="10"/>
            <color indexed="81"/>
            <rFont val="Tahoma"/>
            <family val="2"/>
          </rPr>
          <t xml:space="preserve">* Iasi Km Auto (Responses)
  10/3/2022 7:17:52 AM </t>
        </r>
        <r>
          <rPr>
            <b/>
            <sz val="10"/>
            <color indexed="81"/>
            <rFont val="Tahoma"/>
            <family val="2"/>
          </rPr>
          <t xml:space="preserve">= 93279 - Normal </t>
        </r>
        <r>
          <rPr>
            <sz val="10"/>
            <color indexed="81"/>
            <rFont val="Tahoma"/>
            <family val="2"/>
          </rPr>
          <t xml:space="preserve">* Iasi Km Auto (Responses)
</t>
        </r>
      </text>
    </comment>
    <comment ref="J94" authorId="0" shapeId="0" xr:uid="{78E305D9-A240-4C91-B655-A3B987FE2C1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Referinta a fost pusa automat
__________________________________________________________________
</t>
        </r>
        <r>
          <rPr>
            <sz val="10"/>
            <color indexed="12"/>
            <rFont val="Tahoma"/>
            <family val="2"/>
          </rPr>
          <t xml:space="preserve">  </t>
        </r>
        <r>
          <rPr>
            <sz val="10"/>
            <color indexed="81"/>
            <rFont val="Tahoma"/>
            <family val="2"/>
          </rPr>
          <t xml:space="preserve"> 9/2/2022 6:00:48 PM </t>
        </r>
        <r>
          <rPr>
            <b/>
            <sz val="10"/>
            <color indexed="81"/>
            <rFont val="Tahoma"/>
            <family val="2"/>
          </rPr>
          <t xml:space="preserve">= 86121 - Referinta </t>
        </r>
        <r>
          <rPr>
            <sz val="10"/>
            <color indexed="81"/>
            <rFont val="Tahoma"/>
            <family val="2"/>
          </rPr>
          <t xml:space="preserve">* Iasi Km Auto (Responses)
   9/5/2022 7:45:57 AM </t>
        </r>
        <r>
          <rPr>
            <b/>
            <sz val="10"/>
            <color indexed="81"/>
            <rFont val="Tahoma"/>
            <family val="2"/>
          </rPr>
          <t xml:space="preserve">= 86121 - Normal </t>
        </r>
        <r>
          <rPr>
            <sz val="10"/>
            <color indexed="81"/>
            <rFont val="Tahoma"/>
            <family val="2"/>
          </rPr>
          <t xml:space="preserve">* Iasi Km Auto (Responses)
</t>
        </r>
      </text>
    </comment>
    <comment ref="O94" authorId="0" shapeId="0" xr:uid="{C14AFDA1-F356-4C00-B6A6-BD3542A59B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 9/9/2022 5:50:00 AM </t>
        </r>
        <r>
          <rPr>
            <b/>
            <sz val="10"/>
            <color indexed="81"/>
            <rFont val="Tahoma"/>
            <family val="2"/>
          </rPr>
          <t xml:space="preserve">= 87561 - Referinta </t>
        </r>
        <r>
          <rPr>
            <sz val="10"/>
            <color indexed="81"/>
            <rFont val="Tahoma"/>
            <family val="2"/>
          </rPr>
          <t xml:space="preserve">* Iasi Km Auto (Responses)
  9/12/2022 8:00:00 AM </t>
        </r>
        <r>
          <rPr>
            <b/>
            <sz val="10"/>
            <color indexed="81"/>
            <rFont val="Tahoma"/>
            <family val="2"/>
          </rPr>
          <t xml:space="preserve">= 87562 - Normal </t>
        </r>
        <r>
          <rPr>
            <sz val="10"/>
            <color indexed="81"/>
            <rFont val="Tahoma"/>
            <family val="2"/>
          </rPr>
          <t xml:space="preserve">* Iasi Km Auto (Responses)
</t>
        </r>
      </text>
    </comment>
    <comment ref="T94" authorId="0" shapeId="0" xr:uid="{29CF50DF-0C28-49D0-A85B-EED2702CD88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9/16/2022 6:10:00 AM </t>
        </r>
        <r>
          <rPr>
            <b/>
            <sz val="10"/>
            <color indexed="81"/>
            <rFont val="Tahoma"/>
            <family val="2"/>
          </rPr>
          <t xml:space="preserve">= 88706 - Referinta </t>
        </r>
        <r>
          <rPr>
            <sz val="10"/>
            <color indexed="81"/>
            <rFont val="Tahoma"/>
            <family val="2"/>
          </rPr>
          <t xml:space="preserve">* Iasi Km Auto (Responses)
  9/19/2022 8:00:00 AM </t>
        </r>
        <r>
          <rPr>
            <b/>
            <sz val="10"/>
            <color indexed="81"/>
            <rFont val="Tahoma"/>
            <family val="2"/>
          </rPr>
          <t xml:space="preserve">= 88706 - Normal </t>
        </r>
        <r>
          <rPr>
            <sz val="10"/>
            <color indexed="81"/>
            <rFont val="Tahoma"/>
            <family val="2"/>
          </rPr>
          <t xml:space="preserve">* Iasi Km Auto (Responses)
</t>
        </r>
      </text>
    </comment>
    <comment ref="Y94" authorId="0" shapeId="0" xr:uid="{F8AD728E-9459-41ED-BE14-05D03D66C4F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9/23/2022 3:50:00 AM </t>
        </r>
        <r>
          <rPr>
            <b/>
            <sz val="10"/>
            <color indexed="81"/>
            <rFont val="Tahoma"/>
            <family val="2"/>
          </rPr>
          <t xml:space="preserve">= 89922 - Referinta </t>
        </r>
        <r>
          <rPr>
            <sz val="10"/>
            <color indexed="81"/>
            <rFont val="Tahoma"/>
            <family val="2"/>
          </rPr>
          <t xml:space="preserve">* Iasi Km Auto (Responses)
  9/27/2022 7:30:00 AM </t>
        </r>
        <r>
          <rPr>
            <b/>
            <sz val="10"/>
            <color indexed="81"/>
            <rFont val="Tahoma"/>
            <family val="2"/>
          </rPr>
          <t xml:space="preserve">= 89922 - Normal </t>
        </r>
        <r>
          <rPr>
            <sz val="10"/>
            <color indexed="81"/>
            <rFont val="Tahoma"/>
            <family val="2"/>
          </rPr>
          <t xml:space="preserve">* Iasi Km Auto (Responses)
</t>
        </r>
      </text>
    </comment>
    <comment ref="AD94" authorId="0" shapeId="0" xr:uid="{160DAB08-DCAC-4169-9433-DCBD9A1913D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B-554-CLT</t>
        </r>
        <r>
          <rPr>
            <b/>
            <sz val="10"/>
            <color indexed="12"/>
            <rFont val="Tahoma"/>
            <family val="2"/>
          </rPr>
          <t xml:space="preserve"> - Asavoaiei Eugen 
__________________________________________________________________
</t>
        </r>
        <r>
          <rPr>
            <sz val="10"/>
            <color indexed="12"/>
            <rFont val="Tahoma"/>
            <family val="2"/>
          </rPr>
          <t xml:space="preserve">  </t>
        </r>
        <r>
          <rPr>
            <sz val="10"/>
            <color indexed="81"/>
            <rFont val="Tahoma"/>
            <family val="2"/>
          </rPr>
          <t xml:space="preserve">9/30/2022 5:10:00 AM </t>
        </r>
        <r>
          <rPr>
            <b/>
            <sz val="10"/>
            <color indexed="81"/>
            <rFont val="Tahoma"/>
            <family val="2"/>
          </rPr>
          <t xml:space="preserve">= 90826 - Referinta </t>
        </r>
        <r>
          <rPr>
            <sz val="10"/>
            <color indexed="81"/>
            <rFont val="Tahoma"/>
            <family val="2"/>
          </rPr>
          <t xml:space="preserve">* Iasi Km Auto (Responses)
  10/3/2022 8:00:00 AM </t>
        </r>
        <r>
          <rPr>
            <b/>
            <sz val="10"/>
            <color indexed="81"/>
            <rFont val="Tahoma"/>
            <family val="2"/>
          </rPr>
          <t xml:space="preserve">= 90826 - Normal </t>
        </r>
        <r>
          <rPr>
            <sz val="10"/>
            <color indexed="81"/>
            <rFont val="Tahoma"/>
            <family val="2"/>
          </rPr>
          <t xml:space="preserve">* Iasi Km Auto (Responses)
</t>
        </r>
      </text>
    </comment>
    <comment ref="J95" authorId="0" shapeId="0" xr:uid="{26FF4408-17A9-4B2D-BCC2-54BA11E3D7D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Referinta a fost pusa automat
__________________________________________________________________
</t>
        </r>
        <r>
          <rPr>
            <sz val="10"/>
            <color indexed="12"/>
            <rFont val="Tahoma"/>
            <family val="2"/>
          </rPr>
          <t xml:space="preserve">  </t>
        </r>
        <r>
          <rPr>
            <sz val="10"/>
            <color indexed="81"/>
            <rFont val="Tahoma"/>
            <family val="2"/>
          </rPr>
          <t xml:space="preserve"> 9/3/2022 7:12:49 PM </t>
        </r>
        <r>
          <rPr>
            <b/>
            <sz val="10"/>
            <color indexed="81"/>
            <rFont val="Tahoma"/>
            <family val="2"/>
          </rPr>
          <t xml:space="preserve">= 49504 - Referinta </t>
        </r>
        <r>
          <rPr>
            <sz val="10"/>
            <color indexed="81"/>
            <rFont val="Tahoma"/>
            <family val="2"/>
          </rPr>
          <t xml:space="preserve">* Militari Km Auto (Responses)
   9/5/2022 4:38:45 PM </t>
        </r>
        <r>
          <rPr>
            <b/>
            <sz val="10"/>
            <color indexed="81"/>
            <rFont val="Tahoma"/>
            <family val="2"/>
          </rPr>
          <t xml:space="preserve">= 49584 - Normal </t>
        </r>
        <r>
          <rPr>
            <sz val="10"/>
            <color indexed="81"/>
            <rFont val="Tahoma"/>
            <family val="2"/>
          </rPr>
          <t xml:space="preserve">* Militari Km Auto (Responses)
</t>
        </r>
      </text>
    </comment>
    <comment ref="O95" authorId="0" shapeId="0" xr:uid="{B159D747-E4CC-435E-AD06-52D50B4C226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__________________________________________________________________
</t>
        </r>
        <r>
          <rPr>
            <sz val="10"/>
            <color indexed="12"/>
            <rFont val="Tahoma"/>
            <family val="2"/>
          </rPr>
          <t xml:space="preserve"> 9</t>
        </r>
        <r>
          <rPr>
            <sz val="10"/>
            <color indexed="81"/>
            <rFont val="Tahoma"/>
            <family val="2"/>
          </rPr>
          <t xml:space="preserve">/10/2022 11:11:34 AM </t>
        </r>
        <r>
          <rPr>
            <b/>
            <sz val="10"/>
            <color indexed="81"/>
            <rFont val="Tahoma"/>
            <family val="2"/>
          </rPr>
          <t xml:space="preserve">= 49794 - Referinta </t>
        </r>
        <r>
          <rPr>
            <sz val="10"/>
            <color indexed="81"/>
            <rFont val="Tahoma"/>
            <family val="2"/>
          </rPr>
          <t xml:space="preserve">* Militari Km Auto (Responses)
  9/12/2022 1:19:48 PM </t>
        </r>
        <r>
          <rPr>
            <b/>
            <sz val="10"/>
            <color indexed="81"/>
            <rFont val="Tahoma"/>
            <family val="2"/>
          </rPr>
          <t xml:space="preserve">= 49814 - Normal </t>
        </r>
        <r>
          <rPr>
            <sz val="10"/>
            <color indexed="81"/>
            <rFont val="Tahoma"/>
            <family val="2"/>
          </rPr>
          <t xml:space="preserve">* Militari Km Auto (Responses)
</t>
        </r>
      </text>
    </comment>
    <comment ref="T95" authorId="0" shapeId="0" xr:uid="{6776D2BB-7D21-4695-B434-90404F0369C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Referinta a fost pusa automat
__________________________________________________________________
</t>
        </r>
        <r>
          <rPr>
            <sz val="10"/>
            <color indexed="12"/>
            <rFont val="Tahoma"/>
            <family val="2"/>
          </rPr>
          <t xml:space="preserve">  </t>
        </r>
        <r>
          <rPr>
            <sz val="10"/>
            <color indexed="81"/>
            <rFont val="Tahoma"/>
            <family val="2"/>
          </rPr>
          <t xml:space="preserve">9/19/2022 9:10:17 AM </t>
        </r>
        <r>
          <rPr>
            <b/>
            <sz val="10"/>
            <color indexed="81"/>
            <rFont val="Tahoma"/>
            <family val="2"/>
          </rPr>
          <t xml:space="preserve">= 49982 - Referinta </t>
        </r>
        <r>
          <rPr>
            <sz val="10"/>
            <color indexed="81"/>
            <rFont val="Tahoma"/>
            <family val="2"/>
          </rPr>
          <t xml:space="preserve">* Militari Km Auto (Responses)
</t>
        </r>
      </text>
    </comment>
    <comment ref="Y95" authorId="0" shapeId="0" xr:uid="{32AC37EB-494D-4984-8BB7-2EA39ACAE25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__________________________________________________________________
</t>
        </r>
        <r>
          <rPr>
            <sz val="10"/>
            <color indexed="12"/>
            <rFont val="Tahoma"/>
            <family val="2"/>
          </rPr>
          <t xml:space="preserve">  </t>
        </r>
        <r>
          <rPr>
            <sz val="10"/>
            <color indexed="81"/>
            <rFont val="Tahoma"/>
            <family val="2"/>
          </rPr>
          <t xml:space="preserve">9/25/2022 7:16:19 PM </t>
        </r>
        <r>
          <rPr>
            <b/>
            <sz val="10"/>
            <color indexed="81"/>
            <rFont val="Tahoma"/>
            <family val="2"/>
          </rPr>
          <t xml:space="preserve">= 50173 - Referinta </t>
        </r>
        <r>
          <rPr>
            <sz val="10"/>
            <color indexed="81"/>
            <rFont val="Tahoma"/>
            <family val="2"/>
          </rPr>
          <t xml:space="preserve">* Militari Km Auto (Responses)
  9/26/2022 5:22:01 PM </t>
        </r>
        <r>
          <rPr>
            <b/>
            <sz val="10"/>
            <color indexed="81"/>
            <rFont val="Tahoma"/>
            <family val="2"/>
          </rPr>
          <t xml:space="preserve">= 50198 - Normal </t>
        </r>
        <r>
          <rPr>
            <sz val="10"/>
            <color indexed="81"/>
            <rFont val="Tahoma"/>
            <family val="2"/>
          </rPr>
          <t xml:space="preserve">* Militari Km Auto (Responses)
</t>
        </r>
      </text>
    </comment>
    <comment ref="AD95" authorId="0" shapeId="0" xr:uid="{072E5734-8014-425C-AA26-869D668DA16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B-205-CLT</t>
        </r>
        <r>
          <rPr>
            <b/>
            <sz val="10"/>
            <color indexed="12"/>
            <rFont val="Tahoma"/>
            <family val="2"/>
          </rPr>
          <t xml:space="preserve"> - Mazilescu Nadia 
__________________________________________________________________
</t>
        </r>
        <r>
          <rPr>
            <sz val="10"/>
            <color indexed="12"/>
            <rFont val="Tahoma"/>
            <family val="2"/>
          </rPr>
          <t xml:space="preserve">  </t>
        </r>
        <r>
          <rPr>
            <sz val="10"/>
            <color indexed="81"/>
            <rFont val="Tahoma"/>
            <family val="2"/>
          </rPr>
          <t xml:space="preserve">9/30/2022 3:55:05 PM </t>
        </r>
        <r>
          <rPr>
            <b/>
            <sz val="10"/>
            <color indexed="81"/>
            <rFont val="Tahoma"/>
            <family val="2"/>
          </rPr>
          <t xml:space="preserve">= 50445 - Referinta </t>
        </r>
        <r>
          <rPr>
            <sz val="10"/>
            <color indexed="81"/>
            <rFont val="Tahoma"/>
            <family val="2"/>
          </rPr>
          <t xml:space="preserve">* Militari Km Auto (Responses)
  10/3/2022 8:42:01 AM </t>
        </r>
        <r>
          <rPr>
            <b/>
            <sz val="10"/>
            <color indexed="81"/>
            <rFont val="Tahoma"/>
            <family val="2"/>
          </rPr>
          <t xml:space="preserve">= 50914 - Normal </t>
        </r>
        <r>
          <rPr>
            <sz val="10"/>
            <color indexed="81"/>
            <rFont val="Tahoma"/>
            <family val="2"/>
          </rPr>
          <t xml:space="preserve">* Militari Km Auto (Responses)
</t>
        </r>
      </text>
    </comment>
    <comment ref="O96" authorId="0" shapeId="0" xr:uid="{BDC726C1-C465-4776-84C1-F28ECCC02E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__________________________________________________________________
</t>
        </r>
        <r>
          <rPr>
            <sz val="10"/>
            <color indexed="12"/>
            <rFont val="Tahoma"/>
            <family val="2"/>
          </rPr>
          <t xml:space="preserve">  </t>
        </r>
        <r>
          <rPr>
            <sz val="10"/>
            <color indexed="81"/>
            <rFont val="Tahoma"/>
            <family val="2"/>
          </rPr>
          <t xml:space="preserve"> 9/9/2022 5:00:00 AM </t>
        </r>
        <r>
          <rPr>
            <b/>
            <sz val="10"/>
            <color indexed="81"/>
            <rFont val="Tahoma"/>
            <family val="2"/>
          </rPr>
          <t xml:space="preserve">= 59183 - Referinta </t>
        </r>
        <r>
          <rPr>
            <sz val="10"/>
            <color indexed="81"/>
            <rFont val="Tahoma"/>
            <family val="2"/>
          </rPr>
          <t xml:space="preserve">* Militari Km Auto (Responses)
  9/12/2022 8:08:00 AM </t>
        </r>
        <r>
          <rPr>
            <b/>
            <sz val="10"/>
            <color indexed="81"/>
            <rFont val="Tahoma"/>
            <family val="2"/>
          </rPr>
          <t xml:space="preserve">= 59497 - Normal </t>
        </r>
        <r>
          <rPr>
            <sz val="10"/>
            <color indexed="81"/>
            <rFont val="Tahoma"/>
            <family val="2"/>
          </rPr>
          <t xml:space="preserve">* Militari Km Auto (Responses)
</t>
        </r>
      </text>
    </comment>
    <comment ref="T96" authorId="0" shapeId="0" xr:uid="{B3907070-A976-4D0E-AA02-860E91C0184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__________________________________________________________________
</t>
        </r>
        <r>
          <rPr>
            <sz val="10"/>
            <color indexed="12"/>
            <rFont val="Tahoma"/>
            <family val="2"/>
          </rPr>
          <t xml:space="preserve">  </t>
        </r>
        <r>
          <rPr>
            <sz val="10"/>
            <color indexed="81"/>
            <rFont val="Tahoma"/>
            <family val="2"/>
          </rPr>
          <t xml:space="preserve">9/16/2022 3:55:00 AM </t>
        </r>
        <r>
          <rPr>
            <b/>
            <sz val="10"/>
            <color indexed="81"/>
            <rFont val="Tahoma"/>
            <family val="2"/>
          </rPr>
          <t xml:space="preserve">= 60000 - Referinta </t>
        </r>
        <r>
          <rPr>
            <sz val="10"/>
            <color indexed="81"/>
            <rFont val="Tahoma"/>
            <family val="2"/>
          </rPr>
          <t xml:space="preserve">* Militari Km Auto (Responses)
  9/19/2022 7:15:00 AM </t>
        </r>
        <r>
          <rPr>
            <b/>
            <sz val="10"/>
            <color indexed="81"/>
            <rFont val="Tahoma"/>
            <family val="2"/>
          </rPr>
          <t xml:space="preserve">= 60008 - Normal </t>
        </r>
        <r>
          <rPr>
            <sz val="10"/>
            <color indexed="81"/>
            <rFont val="Tahoma"/>
            <family val="2"/>
          </rPr>
          <t xml:space="preserve">* Militari Km Auto (Responses)
</t>
        </r>
      </text>
    </comment>
    <comment ref="Y96" authorId="0" shapeId="0" xr:uid="{3046AF14-48DE-4DC3-8DB5-C97AC6FA41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B-805-CLT</t>
        </r>
        <r>
          <rPr>
            <b/>
            <sz val="10"/>
            <color indexed="12"/>
            <rFont val="Tahoma"/>
            <family val="2"/>
          </rPr>
          <t xml:space="preserve"> - Neacsu Adrian-Marian 
__________________________________________________________________
</t>
        </r>
        <r>
          <rPr>
            <sz val="10"/>
            <color indexed="12"/>
            <rFont val="Tahoma"/>
            <family val="2"/>
          </rPr>
          <t xml:space="preserve">  </t>
        </r>
        <r>
          <rPr>
            <sz val="10"/>
            <color indexed="81"/>
            <rFont val="Tahoma"/>
            <family val="2"/>
          </rPr>
          <t xml:space="preserve">9/23/2022 5:00:00 AM </t>
        </r>
        <r>
          <rPr>
            <b/>
            <sz val="10"/>
            <color indexed="81"/>
            <rFont val="Tahoma"/>
            <family val="2"/>
          </rPr>
          <t xml:space="preserve">= 60750 - Referinta </t>
        </r>
        <r>
          <rPr>
            <sz val="10"/>
            <color indexed="81"/>
            <rFont val="Tahoma"/>
            <family val="2"/>
          </rPr>
          <t xml:space="preserve">* Militari Km Auto (Responses)
  9/26/2022 8:00:00 AM </t>
        </r>
        <r>
          <rPr>
            <b/>
            <sz val="10"/>
            <color indexed="81"/>
            <rFont val="Tahoma"/>
            <family val="2"/>
          </rPr>
          <t xml:space="preserve">= 61006 - Normal </t>
        </r>
        <r>
          <rPr>
            <sz val="10"/>
            <color indexed="81"/>
            <rFont val="Tahoma"/>
            <family val="2"/>
          </rPr>
          <t xml:space="preserve">* Militari Km Auto (Responses)
</t>
        </r>
      </text>
    </comment>
    <comment ref="J97" authorId="0" shapeId="0" xr:uid="{B0A1CB48-8263-4B41-BFD0-34CBD6B9C7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9/5/2022 10:05:58 AM </t>
        </r>
        <r>
          <rPr>
            <b/>
            <sz val="10"/>
            <color indexed="81"/>
            <rFont val="Tahoma"/>
            <family val="2"/>
          </rPr>
          <t xml:space="preserve">= 45587 - Referinta </t>
        </r>
        <r>
          <rPr>
            <sz val="10"/>
            <color indexed="81"/>
            <rFont val="Tahoma"/>
            <family val="2"/>
          </rPr>
          <t xml:space="preserve">* Militari Km Auto (Responses)
  9/5/2022 10:06:39 AM </t>
        </r>
        <r>
          <rPr>
            <b/>
            <sz val="10"/>
            <color indexed="81"/>
            <rFont val="Tahoma"/>
            <family val="2"/>
          </rPr>
          <t xml:space="preserve">= 45599 - Normal </t>
        </r>
        <r>
          <rPr>
            <sz val="10"/>
            <color indexed="81"/>
            <rFont val="Tahoma"/>
            <family val="2"/>
          </rPr>
          <t xml:space="preserve">* Militari Km Auto (Responses)
</t>
        </r>
      </text>
    </comment>
    <comment ref="O97" authorId="0" shapeId="0" xr:uid="{6DE3C67E-D7A8-4015-9E75-5B39FF743B5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9/12/2022 4:12:37 PM </t>
        </r>
        <r>
          <rPr>
            <b/>
            <sz val="10"/>
            <color indexed="81"/>
            <rFont val="Tahoma"/>
            <family val="2"/>
          </rPr>
          <t xml:space="preserve">= 46207 - Referinta </t>
        </r>
        <r>
          <rPr>
            <sz val="10"/>
            <color indexed="81"/>
            <rFont val="Tahoma"/>
            <family val="2"/>
          </rPr>
          <t xml:space="preserve">* Militari Km Auto (Responses)
  9/12/2022 4:13:21 PM </t>
        </r>
        <r>
          <rPr>
            <b/>
            <sz val="10"/>
            <color indexed="81"/>
            <rFont val="Tahoma"/>
            <family val="2"/>
          </rPr>
          <t xml:space="preserve">= 46273 - Normal </t>
        </r>
        <r>
          <rPr>
            <sz val="10"/>
            <color indexed="81"/>
            <rFont val="Tahoma"/>
            <family val="2"/>
          </rPr>
          <t xml:space="preserve">* Militari Km Auto (Responses)
  9/15/2022 3:21:21 PM </t>
        </r>
        <r>
          <rPr>
            <b/>
            <sz val="10"/>
            <color indexed="81"/>
            <rFont val="Tahoma"/>
            <family val="2"/>
          </rPr>
          <t xml:space="preserve">= 46379 - Normal </t>
        </r>
        <r>
          <rPr>
            <sz val="10"/>
            <color indexed="81"/>
            <rFont val="Tahoma"/>
            <family val="2"/>
          </rPr>
          <t xml:space="preserve">* Militari Km Auto (Responses)
  9/15/2022 3:22:16 PM </t>
        </r>
        <r>
          <rPr>
            <b/>
            <sz val="10"/>
            <color indexed="81"/>
            <rFont val="Tahoma"/>
            <family val="2"/>
          </rPr>
          <t xml:space="preserve">= 46383 - Normal </t>
        </r>
        <r>
          <rPr>
            <sz val="10"/>
            <color indexed="81"/>
            <rFont val="Tahoma"/>
            <family val="2"/>
          </rPr>
          <t xml:space="preserve">* Militari Km Auto (Responses)
</t>
        </r>
      </text>
    </comment>
    <comment ref="T97" authorId="0" shapeId="0" xr:uid="{45ED9722-BAA5-4193-AC7A-657C263BCFF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9/19/2022 1:22:01 PM </t>
        </r>
        <r>
          <rPr>
            <b/>
            <sz val="10"/>
            <color indexed="81"/>
            <rFont val="Tahoma"/>
            <family val="2"/>
          </rPr>
          <t xml:space="preserve">= 46626 - Referinta </t>
        </r>
        <r>
          <rPr>
            <sz val="10"/>
            <color indexed="81"/>
            <rFont val="Tahoma"/>
            <family val="2"/>
          </rPr>
          <t xml:space="preserve">* Militari Km Auto (Responses)
  9/19/2022 1:22:53 PM </t>
        </r>
        <r>
          <rPr>
            <b/>
            <sz val="10"/>
            <color indexed="81"/>
            <rFont val="Tahoma"/>
            <family val="2"/>
          </rPr>
          <t xml:space="preserve">= 46652 - Normal </t>
        </r>
        <r>
          <rPr>
            <sz val="10"/>
            <color indexed="81"/>
            <rFont val="Tahoma"/>
            <family val="2"/>
          </rPr>
          <t xml:space="preserve">* Militari Km Auto (Responses)
</t>
        </r>
      </text>
    </comment>
    <comment ref="Y97" authorId="0" shapeId="0" xr:uid="{27F66767-BE8A-426B-AA18-23F2B21E8F9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9/26/2022 9:34:31 AM </t>
        </r>
        <r>
          <rPr>
            <b/>
            <sz val="10"/>
            <color indexed="81"/>
            <rFont val="Tahoma"/>
            <family val="2"/>
          </rPr>
          <t xml:space="preserve">= 46902 - Referinta </t>
        </r>
        <r>
          <rPr>
            <sz val="10"/>
            <color indexed="81"/>
            <rFont val="Tahoma"/>
            <family val="2"/>
          </rPr>
          <t xml:space="preserve">* Militari Km Auto (Responses)
  9/26/2022 9:35:15 AM </t>
        </r>
        <r>
          <rPr>
            <b/>
            <sz val="10"/>
            <color indexed="81"/>
            <rFont val="Tahoma"/>
            <family val="2"/>
          </rPr>
          <t xml:space="preserve">= 46907 - Normal </t>
        </r>
        <r>
          <rPr>
            <sz val="10"/>
            <color indexed="81"/>
            <rFont val="Tahoma"/>
            <family val="2"/>
          </rPr>
          <t xml:space="preserve">* Militari Km Auto (Responses)
</t>
        </r>
      </text>
    </comment>
    <comment ref="AD97" authorId="0" shapeId="0" xr:uid="{E238AB19-860A-4B35-8DDB-8C6C08CEFEE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B-807-CLT</t>
        </r>
        <r>
          <rPr>
            <b/>
            <sz val="10"/>
            <color indexed="12"/>
            <rFont val="Tahoma"/>
            <family val="2"/>
          </rPr>
          <t xml:space="preserve"> - Calin Mihai Referinta a fost pusa automat
__________________________________________________________________
</t>
        </r>
        <r>
          <rPr>
            <sz val="10"/>
            <color indexed="12"/>
            <rFont val="Tahoma"/>
            <family val="2"/>
          </rPr>
          <t xml:space="preserve">  </t>
        </r>
        <r>
          <rPr>
            <sz val="10"/>
            <color indexed="81"/>
            <rFont val="Tahoma"/>
            <family val="2"/>
          </rPr>
          <t xml:space="preserve">10/3/2022 2:02:47 PM </t>
        </r>
        <r>
          <rPr>
            <b/>
            <sz val="10"/>
            <color indexed="81"/>
            <rFont val="Tahoma"/>
            <family val="2"/>
          </rPr>
          <t xml:space="preserve">= 47205 - Referinta </t>
        </r>
        <r>
          <rPr>
            <sz val="10"/>
            <color indexed="81"/>
            <rFont val="Tahoma"/>
            <family val="2"/>
          </rPr>
          <t xml:space="preserve">* Militari Km Auto (Responses)
  10/3/2022 2:03:59 PM </t>
        </r>
        <r>
          <rPr>
            <b/>
            <sz val="10"/>
            <color indexed="81"/>
            <rFont val="Tahoma"/>
            <family val="2"/>
          </rPr>
          <t xml:space="preserve">= 47212 - Normal </t>
        </r>
        <r>
          <rPr>
            <sz val="10"/>
            <color indexed="81"/>
            <rFont val="Tahoma"/>
            <family val="2"/>
          </rPr>
          <t xml:space="preserve">* Militari Km Auto (Responses)
</t>
        </r>
      </text>
    </comment>
    <comment ref="J98" authorId="0" shapeId="0" xr:uid="{2225B614-B326-445B-AEE9-C2D84CB60C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3:51:00 AM </t>
        </r>
        <r>
          <rPr>
            <b/>
            <sz val="10"/>
            <color indexed="81"/>
            <rFont val="Tahoma"/>
            <family val="2"/>
          </rPr>
          <t xml:space="preserve">= 5189 - Referinta </t>
        </r>
        <r>
          <rPr>
            <sz val="10"/>
            <color indexed="81"/>
            <rFont val="Tahoma"/>
            <family val="2"/>
          </rPr>
          <t xml:space="preserve">* Militari Km Auto (Responses)
   9/5/2022 7:53:00 AM </t>
        </r>
        <r>
          <rPr>
            <b/>
            <sz val="10"/>
            <color indexed="81"/>
            <rFont val="Tahoma"/>
            <family val="2"/>
          </rPr>
          <t xml:space="preserve">= 5189 - Normal </t>
        </r>
        <r>
          <rPr>
            <sz val="10"/>
            <color indexed="81"/>
            <rFont val="Tahoma"/>
            <family val="2"/>
          </rPr>
          <t xml:space="preserve">* Militari Km Auto (Responses)
</t>
        </r>
      </text>
    </comment>
    <comment ref="O98" authorId="0" shapeId="0" xr:uid="{367570B0-1903-43A9-A1C0-BE8CA71680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4:09:18 PM </t>
        </r>
        <r>
          <rPr>
            <b/>
            <sz val="10"/>
            <color indexed="81"/>
            <rFont val="Tahoma"/>
            <family val="2"/>
          </rPr>
          <t xml:space="preserve">= 5496 - Referinta </t>
        </r>
        <r>
          <rPr>
            <sz val="10"/>
            <color indexed="81"/>
            <rFont val="Tahoma"/>
            <family val="2"/>
          </rPr>
          <t xml:space="preserve">* Militari Km Auto (Responses)
  9/12/2022 4:22:41 PM </t>
        </r>
        <r>
          <rPr>
            <b/>
            <sz val="10"/>
            <color indexed="81"/>
            <rFont val="Tahoma"/>
            <family val="2"/>
          </rPr>
          <t xml:space="preserve">= 5825 - Normal </t>
        </r>
        <r>
          <rPr>
            <sz val="10"/>
            <color indexed="81"/>
            <rFont val="Tahoma"/>
            <family val="2"/>
          </rPr>
          <t xml:space="preserve">* Militari Km Auto (Responses)
</t>
        </r>
      </text>
    </comment>
    <comment ref="T98" authorId="0" shapeId="0" xr:uid="{4AB00166-B781-4111-9638-06CEFC84048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7:41:47 PM </t>
        </r>
        <r>
          <rPr>
            <b/>
            <sz val="10"/>
            <color indexed="81"/>
            <rFont val="Tahoma"/>
            <family val="2"/>
          </rPr>
          <t xml:space="preserve">= 6162 - Referinta </t>
        </r>
        <r>
          <rPr>
            <sz val="10"/>
            <color indexed="81"/>
            <rFont val="Tahoma"/>
            <family val="2"/>
          </rPr>
          <t xml:space="preserve">* Militari Km Auto (Responses)
  9/19/2022 7:55:08 AM </t>
        </r>
        <r>
          <rPr>
            <b/>
            <sz val="10"/>
            <color indexed="81"/>
            <rFont val="Tahoma"/>
            <family val="2"/>
          </rPr>
          <t xml:space="preserve">= 6366 - Normal </t>
        </r>
        <r>
          <rPr>
            <sz val="10"/>
            <color indexed="81"/>
            <rFont val="Tahoma"/>
            <family val="2"/>
          </rPr>
          <t xml:space="preserve">* Militari Km Auto (Responses)
</t>
        </r>
      </text>
    </comment>
    <comment ref="Y98" authorId="0" shapeId="0" xr:uid="{D9309483-6855-4782-879C-C8DBA62993D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__________________________________________________________________
</t>
        </r>
        <r>
          <rPr>
            <sz val="10"/>
            <color indexed="12"/>
            <rFont val="Tahoma"/>
            <family val="2"/>
          </rPr>
          <t xml:space="preserve">  </t>
        </r>
        <r>
          <rPr>
            <sz val="10"/>
            <color indexed="81"/>
            <rFont val="Tahoma"/>
            <family val="2"/>
          </rPr>
          <t xml:space="preserve">9/23/2022 3:45:00 AM </t>
        </r>
        <r>
          <rPr>
            <b/>
            <sz val="10"/>
            <color indexed="81"/>
            <rFont val="Tahoma"/>
            <family val="2"/>
          </rPr>
          <t xml:space="preserve">= 6472 - Referinta </t>
        </r>
        <r>
          <rPr>
            <sz val="10"/>
            <color indexed="81"/>
            <rFont val="Tahoma"/>
            <family val="2"/>
          </rPr>
          <t xml:space="preserve">* Militari Km Auto (Responses)
  9/26/2022 8:00:00 AM </t>
        </r>
        <r>
          <rPr>
            <b/>
            <sz val="10"/>
            <color indexed="81"/>
            <rFont val="Tahoma"/>
            <family val="2"/>
          </rPr>
          <t xml:space="preserve">= 6496 - Normal </t>
        </r>
        <r>
          <rPr>
            <sz val="10"/>
            <color indexed="81"/>
            <rFont val="Tahoma"/>
            <family val="2"/>
          </rPr>
          <t xml:space="preserve">* Militari Km Auto (Responses)
</t>
        </r>
      </text>
    </comment>
    <comment ref="AD98" authorId="0" shapeId="0" xr:uid="{181E474E-BFB8-4171-BF53-8E40A39C14A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B-921-CLT</t>
        </r>
        <r>
          <rPr>
            <b/>
            <sz val="10"/>
            <color indexed="12"/>
            <rFont val="Tahoma"/>
            <family val="2"/>
          </rPr>
          <t xml:space="preserve"> - Olteanu Florin 
__________________________________________________________________
</t>
        </r>
        <r>
          <rPr>
            <sz val="10"/>
            <color indexed="12"/>
            <rFont val="Tahoma"/>
            <family val="2"/>
          </rPr>
          <t xml:space="preserve">  </t>
        </r>
        <r>
          <rPr>
            <sz val="10"/>
            <color indexed="81"/>
            <rFont val="Tahoma"/>
            <family val="2"/>
          </rPr>
          <t xml:space="preserve">9/30/2022 7:28:35 PM </t>
        </r>
        <r>
          <rPr>
            <b/>
            <sz val="10"/>
            <color indexed="81"/>
            <rFont val="Tahoma"/>
            <family val="2"/>
          </rPr>
          <t xml:space="preserve">= 6639 - Referinta </t>
        </r>
        <r>
          <rPr>
            <sz val="10"/>
            <color indexed="81"/>
            <rFont val="Tahoma"/>
            <family val="2"/>
          </rPr>
          <t xml:space="preserve">* Militari Km Auto (Responses)
  10/3/2022 6:54:09 PM </t>
        </r>
        <r>
          <rPr>
            <b/>
            <sz val="10"/>
            <color indexed="81"/>
            <rFont val="Tahoma"/>
            <family val="2"/>
          </rPr>
          <t xml:space="preserve">= 6767 - Normal </t>
        </r>
        <r>
          <rPr>
            <sz val="10"/>
            <color indexed="81"/>
            <rFont val="Tahoma"/>
            <family val="2"/>
          </rPr>
          <t xml:space="preserve">* Militari Km Auto (Responses)
</t>
        </r>
      </text>
    </comment>
    <comment ref="J99" authorId="0" shapeId="0" xr:uid="{ACAE1DA8-3803-460B-9FBC-B9DB8EC71A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9/3/2022 11:10:25 AM </t>
        </r>
        <r>
          <rPr>
            <b/>
            <sz val="10"/>
            <color indexed="81"/>
            <rFont val="Tahoma"/>
            <family val="2"/>
          </rPr>
          <t xml:space="preserve">= 17865 - Referinta </t>
        </r>
        <r>
          <rPr>
            <sz val="10"/>
            <color indexed="81"/>
            <rFont val="Tahoma"/>
            <family val="2"/>
          </rPr>
          <t xml:space="preserve">* Otopeni Km Auto (Responses)
  9/3/2022 11:11:25 AM </t>
        </r>
        <r>
          <rPr>
            <b/>
            <sz val="10"/>
            <color indexed="81"/>
            <rFont val="Tahoma"/>
            <family val="2"/>
          </rPr>
          <t xml:space="preserve">= 17865 - Normal </t>
        </r>
        <r>
          <rPr>
            <sz val="10"/>
            <color indexed="81"/>
            <rFont val="Tahoma"/>
            <family val="2"/>
          </rPr>
          <t xml:space="preserve">* Otopeni Km Auto (Responses)
   9/6/2022 6:49:53 PM </t>
        </r>
        <r>
          <rPr>
            <b/>
            <sz val="10"/>
            <color indexed="81"/>
            <rFont val="Tahoma"/>
            <family val="2"/>
          </rPr>
          <t xml:space="preserve">= 17909 - Normal </t>
        </r>
        <r>
          <rPr>
            <sz val="10"/>
            <color indexed="81"/>
            <rFont val="Tahoma"/>
            <family val="2"/>
          </rPr>
          <t xml:space="preserve">* Otopeni Km Auto (Responses)
</t>
        </r>
      </text>
    </comment>
    <comment ref="O99" authorId="0" shapeId="0" xr:uid="{8FCBEA61-8B6D-4FC8-A8B5-17FDF8800F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 9/9/2022 4:09:24 PM </t>
        </r>
        <r>
          <rPr>
            <b/>
            <sz val="10"/>
            <color indexed="81"/>
            <rFont val="Tahoma"/>
            <family val="2"/>
          </rPr>
          <t xml:space="preserve">= 18011 - Referinta </t>
        </r>
        <r>
          <rPr>
            <sz val="10"/>
            <color indexed="81"/>
            <rFont val="Tahoma"/>
            <family val="2"/>
          </rPr>
          <t xml:space="preserve">* Otopeni Km Auto (Responses)
</t>
        </r>
      </text>
    </comment>
    <comment ref="T99" authorId="0" shapeId="0" xr:uid="{D30F60E4-A3AB-46BA-8B96-B4E3868D323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9/17/2022 8:56:00 AM </t>
        </r>
        <r>
          <rPr>
            <b/>
            <sz val="10"/>
            <color indexed="81"/>
            <rFont val="Tahoma"/>
            <family val="2"/>
          </rPr>
          <t xml:space="preserve">= 18265 - Referinta </t>
        </r>
        <r>
          <rPr>
            <sz val="10"/>
            <color indexed="81"/>
            <rFont val="Tahoma"/>
            <family val="2"/>
          </rPr>
          <t xml:space="preserve">* Otopeni Km Auto (Responses)
  9/19/2022 3:46:00 AM </t>
        </r>
        <r>
          <rPr>
            <b/>
            <sz val="10"/>
            <color indexed="81"/>
            <rFont val="Tahoma"/>
            <family val="2"/>
          </rPr>
          <t xml:space="preserve">= 18284 - Normal </t>
        </r>
        <r>
          <rPr>
            <sz val="10"/>
            <color indexed="81"/>
            <rFont val="Tahoma"/>
            <family val="2"/>
          </rPr>
          <t xml:space="preserve">* Otopeni Km Auto (Responses)
</t>
        </r>
      </text>
    </comment>
    <comment ref="Y99" authorId="0" shapeId="0" xr:uid="{09540518-4117-4DED-A70A-E51E9F158D7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9/23/2022 7:16:09 PM </t>
        </r>
        <r>
          <rPr>
            <b/>
            <sz val="10"/>
            <color indexed="81"/>
            <rFont val="Tahoma"/>
            <family val="2"/>
          </rPr>
          <t xml:space="preserve">= 18552 - Referinta </t>
        </r>
        <r>
          <rPr>
            <sz val="10"/>
            <color indexed="81"/>
            <rFont val="Tahoma"/>
            <family val="2"/>
          </rPr>
          <t xml:space="preserve">* Otopeni Km Auto (Responses)
 9/26/2022 10:09:18 AM </t>
        </r>
        <r>
          <rPr>
            <b/>
            <sz val="10"/>
            <color indexed="81"/>
            <rFont val="Tahoma"/>
            <family val="2"/>
          </rPr>
          <t xml:space="preserve">= 18552 - Normal </t>
        </r>
        <r>
          <rPr>
            <sz val="10"/>
            <color indexed="81"/>
            <rFont val="Tahoma"/>
            <family val="2"/>
          </rPr>
          <t xml:space="preserve">* Otopeni Km Auto (Responses)
</t>
        </r>
      </text>
    </comment>
    <comment ref="AD99" authorId="0" shapeId="0" xr:uid="{5D6E867D-109C-48EE-AD14-B8969E925C0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B-917-CLT</t>
        </r>
        <r>
          <rPr>
            <b/>
            <sz val="10"/>
            <color indexed="12"/>
            <rFont val="Tahoma"/>
            <family val="2"/>
          </rPr>
          <t xml:space="preserve"> - Gradinaru Eugen Referinta a fost pusa automat
__________________________________________________________________
</t>
        </r>
        <r>
          <rPr>
            <sz val="10"/>
            <color indexed="12"/>
            <rFont val="Tahoma"/>
            <family val="2"/>
          </rPr>
          <t xml:space="preserve">  </t>
        </r>
        <r>
          <rPr>
            <sz val="10"/>
            <color indexed="81"/>
            <rFont val="Tahoma"/>
            <family val="2"/>
          </rPr>
          <t xml:space="preserve">9/30/2022 5:43:44 PM </t>
        </r>
        <r>
          <rPr>
            <b/>
            <sz val="10"/>
            <color indexed="81"/>
            <rFont val="Tahoma"/>
            <family val="2"/>
          </rPr>
          <t xml:space="preserve">= 18818 - Referinta </t>
        </r>
        <r>
          <rPr>
            <sz val="10"/>
            <color indexed="81"/>
            <rFont val="Tahoma"/>
            <family val="2"/>
          </rPr>
          <t xml:space="preserve">* Otopeni Km Auto (Responses)
  10/4/2022 5:15:00 AM </t>
        </r>
        <r>
          <rPr>
            <b/>
            <sz val="10"/>
            <color indexed="81"/>
            <rFont val="Tahoma"/>
            <family val="2"/>
          </rPr>
          <t xml:space="preserve">= 18876 - Normal </t>
        </r>
        <r>
          <rPr>
            <sz val="10"/>
            <color indexed="81"/>
            <rFont val="Tahoma"/>
            <family val="2"/>
          </rPr>
          <t xml:space="preserve">* Otopeni Km Auto (Responses)
</t>
        </r>
      </text>
    </comment>
    <comment ref="J100" authorId="0" shapeId="0" xr:uid="{93903A9C-A24E-49B0-B559-C2DDC1495D3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Referinta a fost pusa automat
__________________________________________________________________
</t>
        </r>
        <r>
          <rPr>
            <sz val="10"/>
            <color indexed="12"/>
            <rFont val="Tahoma"/>
            <family val="2"/>
          </rPr>
          <t xml:space="preserve">  </t>
        </r>
        <r>
          <rPr>
            <sz val="10"/>
            <color indexed="81"/>
            <rFont val="Tahoma"/>
            <family val="2"/>
          </rPr>
          <t xml:space="preserve"> 9/2/2022 5:54:30 PM </t>
        </r>
        <r>
          <rPr>
            <b/>
            <sz val="10"/>
            <color indexed="81"/>
            <rFont val="Tahoma"/>
            <family val="2"/>
          </rPr>
          <t xml:space="preserve">= 28603 - Referinta </t>
        </r>
        <r>
          <rPr>
            <sz val="10"/>
            <color indexed="81"/>
            <rFont val="Tahoma"/>
            <family val="2"/>
          </rPr>
          <t xml:space="preserve">* Otopeni Km Auto (Responses)
   9/5/2022 4:31:03 PM </t>
        </r>
        <r>
          <rPr>
            <b/>
            <sz val="10"/>
            <color indexed="81"/>
            <rFont val="Tahoma"/>
            <family val="2"/>
          </rPr>
          <t xml:space="preserve">= 28644 - Normal </t>
        </r>
        <r>
          <rPr>
            <sz val="10"/>
            <color indexed="81"/>
            <rFont val="Tahoma"/>
            <family val="2"/>
          </rPr>
          <t xml:space="preserve">* Otopeni Km Auto (Responses)
</t>
        </r>
      </text>
    </comment>
    <comment ref="O100" authorId="0" shapeId="0" xr:uid="{063EFEA1-16F1-4BFA-B068-EFF670EF27F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Referinta a fost pusa automat
__________________________________________________________________
</t>
        </r>
        <r>
          <rPr>
            <sz val="10"/>
            <color indexed="12"/>
            <rFont val="Tahoma"/>
            <family val="2"/>
          </rPr>
          <t xml:space="preserve">  </t>
        </r>
        <r>
          <rPr>
            <sz val="10"/>
            <color indexed="81"/>
            <rFont val="Tahoma"/>
            <family val="2"/>
          </rPr>
          <t xml:space="preserve"> 9/9/2022 4:40:00 AM </t>
        </r>
        <r>
          <rPr>
            <b/>
            <sz val="10"/>
            <color indexed="81"/>
            <rFont val="Tahoma"/>
            <family val="2"/>
          </rPr>
          <t xml:space="preserve">= 28915 - Referinta </t>
        </r>
        <r>
          <rPr>
            <sz val="10"/>
            <color indexed="81"/>
            <rFont val="Tahoma"/>
            <family val="2"/>
          </rPr>
          <t xml:space="preserve">* Otopeni Km Auto (Responses)
 9/12/2022 10:35:44 AM </t>
        </r>
        <r>
          <rPr>
            <b/>
            <sz val="10"/>
            <color indexed="81"/>
            <rFont val="Tahoma"/>
            <family val="2"/>
          </rPr>
          <t xml:space="preserve">= 28954 - Normal </t>
        </r>
        <r>
          <rPr>
            <sz val="10"/>
            <color indexed="81"/>
            <rFont val="Tahoma"/>
            <family val="2"/>
          </rPr>
          <t xml:space="preserve">* Otopeni Km Auto (Responses)
</t>
        </r>
      </text>
    </comment>
    <comment ref="T100" authorId="0" shapeId="0" xr:uid="{5A0DFC28-F741-4B4A-ADDF-83E765E257C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__________________________________________________________________
</t>
        </r>
        <r>
          <rPr>
            <sz val="10"/>
            <color indexed="12"/>
            <rFont val="Tahoma"/>
            <family val="2"/>
          </rPr>
          <t xml:space="preserve">  </t>
        </r>
        <r>
          <rPr>
            <sz val="10"/>
            <color indexed="81"/>
            <rFont val="Tahoma"/>
            <family val="2"/>
          </rPr>
          <t xml:space="preserve">9/16/2022 4:18:49 PM </t>
        </r>
        <r>
          <rPr>
            <b/>
            <sz val="10"/>
            <color indexed="81"/>
            <rFont val="Tahoma"/>
            <family val="2"/>
          </rPr>
          <t xml:space="preserve">= 29230 - Referinta </t>
        </r>
        <r>
          <rPr>
            <sz val="10"/>
            <color indexed="81"/>
            <rFont val="Tahoma"/>
            <family val="2"/>
          </rPr>
          <t xml:space="preserve">* Otopeni Km Auto (Responses)
  9/19/2022 1:04:22 PM </t>
        </r>
        <r>
          <rPr>
            <b/>
            <sz val="10"/>
            <color indexed="81"/>
            <rFont val="Tahoma"/>
            <family val="2"/>
          </rPr>
          <t xml:space="preserve">= 29342 - Normal </t>
        </r>
        <r>
          <rPr>
            <sz val="10"/>
            <color indexed="81"/>
            <rFont val="Tahoma"/>
            <family val="2"/>
          </rPr>
          <t xml:space="preserve">* Otopeni Km Auto (Responses)
</t>
        </r>
      </text>
    </comment>
    <comment ref="Y100" authorId="0" shapeId="0" xr:uid="{10355CFF-716B-4453-890A-858E77797FD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__________________________________________________________________
</t>
        </r>
        <r>
          <rPr>
            <sz val="10"/>
            <color indexed="12"/>
            <rFont val="Tahoma"/>
            <family val="2"/>
          </rPr>
          <t xml:space="preserve">  </t>
        </r>
        <r>
          <rPr>
            <sz val="10"/>
            <color indexed="81"/>
            <rFont val="Tahoma"/>
            <family val="2"/>
          </rPr>
          <t xml:space="preserve">9/23/2022 5:19:38 PM </t>
        </r>
        <r>
          <rPr>
            <b/>
            <sz val="10"/>
            <color indexed="81"/>
            <rFont val="Tahoma"/>
            <family val="2"/>
          </rPr>
          <t xml:space="preserve">= 29610 - Referinta </t>
        </r>
        <r>
          <rPr>
            <sz val="10"/>
            <color indexed="81"/>
            <rFont val="Tahoma"/>
            <family val="2"/>
          </rPr>
          <t xml:space="preserve">* Otopeni Km Auto (Responses)
  9/26/2022 9:59:03 AM </t>
        </r>
        <r>
          <rPr>
            <b/>
            <sz val="10"/>
            <color indexed="81"/>
            <rFont val="Tahoma"/>
            <family val="2"/>
          </rPr>
          <t xml:space="preserve">= 29649 - Normal </t>
        </r>
        <r>
          <rPr>
            <sz val="10"/>
            <color indexed="81"/>
            <rFont val="Tahoma"/>
            <family val="2"/>
          </rPr>
          <t xml:space="preserve">* Otopeni Km Auto (Responses)
</t>
        </r>
      </text>
    </comment>
    <comment ref="AD100" authorId="0" shapeId="0" xr:uid="{A17F6B50-3AE8-4ABB-8691-82B247B68C8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B-804-CLT</t>
        </r>
        <r>
          <rPr>
            <b/>
            <sz val="10"/>
            <color indexed="12"/>
            <rFont val="Tahoma"/>
            <family val="2"/>
          </rPr>
          <t xml:space="preserve"> - Iulian Vlad 
__________________________________________________________________
</t>
        </r>
        <r>
          <rPr>
            <sz val="10"/>
            <color indexed="12"/>
            <rFont val="Tahoma"/>
            <family val="2"/>
          </rPr>
          <t xml:space="preserve">  </t>
        </r>
        <r>
          <rPr>
            <sz val="10"/>
            <color indexed="81"/>
            <rFont val="Tahoma"/>
            <family val="2"/>
          </rPr>
          <t xml:space="preserve">9/30/2022 3:41:45 PM </t>
        </r>
        <r>
          <rPr>
            <b/>
            <sz val="10"/>
            <color indexed="81"/>
            <rFont val="Tahoma"/>
            <family val="2"/>
          </rPr>
          <t xml:space="preserve">= 29931 - Referinta </t>
        </r>
        <r>
          <rPr>
            <sz val="10"/>
            <color indexed="81"/>
            <rFont val="Tahoma"/>
            <family val="2"/>
          </rPr>
          <t xml:space="preserve">* Otopeni Km Auto (Responses)
 10/3/2022 12:15:57 PM </t>
        </r>
        <r>
          <rPr>
            <b/>
            <sz val="10"/>
            <color indexed="81"/>
            <rFont val="Tahoma"/>
            <family val="2"/>
          </rPr>
          <t xml:space="preserve">= 30004 - Normal </t>
        </r>
        <r>
          <rPr>
            <sz val="10"/>
            <color indexed="81"/>
            <rFont val="Tahoma"/>
            <family val="2"/>
          </rPr>
          <t xml:space="preserve">* Otopeni Km Auto (Responses)
</t>
        </r>
      </text>
    </comment>
    <comment ref="J101" authorId="0" shapeId="0" xr:uid="{8BFB7014-9FD9-4CC0-935F-4E855898D6B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9/5/2022 6:54:39 AM </t>
        </r>
        <r>
          <rPr>
            <b/>
            <sz val="10"/>
            <color indexed="81"/>
            <rFont val="Tahoma"/>
            <family val="2"/>
          </rPr>
          <t xml:space="preserve">= 48783 - Referinta </t>
        </r>
        <r>
          <rPr>
            <sz val="10"/>
            <color indexed="81"/>
            <rFont val="Tahoma"/>
            <family val="2"/>
          </rPr>
          <t xml:space="preserve">* Otopeni Km Auto (Responses)
   9/5/2022 6:56:09 AM </t>
        </r>
        <r>
          <rPr>
            <b/>
            <sz val="10"/>
            <color indexed="81"/>
            <rFont val="Tahoma"/>
            <family val="2"/>
          </rPr>
          <t xml:space="preserve">= 48788 - Normal </t>
        </r>
        <r>
          <rPr>
            <sz val="10"/>
            <color indexed="81"/>
            <rFont val="Tahoma"/>
            <family val="2"/>
          </rPr>
          <t xml:space="preserve">* Otopeni Km Auto (Responses)
</t>
        </r>
      </text>
    </comment>
    <comment ref="O101" authorId="0" shapeId="0" xr:uid="{B7EA7398-9F56-4EC4-A04A-D14AFCBC8F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__________________________________________________________________
</t>
        </r>
        <r>
          <rPr>
            <sz val="10"/>
            <color indexed="12"/>
            <rFont val="Tahoma"/>
            <family val="2"/>
          </rPr>
          <t xml:space="preserve">  </t>
        </r>
        <r>
          <rPr>
            <sz val="10"/>
            <color indexed="81"/>
            <rFont val="Tahoma"/>
            <family val="2"/>
          </rPr>
          <t xml:space="preserve"> 9/9/2022 5:07:00 AM </t>
        </r>
        <r>
          <rPr>
            <b/>
            <sz val="10"/>
            <color indexed="81"/>
            <rFont val="Tahoma"/>
            <family val="2"/>
          </rPr>
          <t xml:space="preserve">= 49164 - Referinta </t>
        </r>
        <r>
          <rPr>
            <sz val="10"/>
            <color indexed="81"/>
            <rFont val="Tahoma"/>
            <family val="2"/>
          </rPr>
          <t xml:space="preserve">* Otopeni Km Auto (Responses)
  9/12/2022 1:28:00 AM </t>
        </r>
        <r>
          <rPr>
            <b/>
            <sz val="10"/>
            <color indexed="81"/>
            <rFont val="Tahoma"/>
            <family val="2"/>
          </rPr>
          <t xml:space="preserve">= 50016 - Normal </t>
        </r>
        <r>
          <rPr>
            <sz val="10"/>
            <color indexed="81"/>
            <rFont val="Tahoma"/>
            <family val="2"/>
          </rPr>
          <t xml:space="preserve">* Otopeni Km Auto (Responses)
</t>
        </r>
      </text>
    </comment>
    <comment ref="T101" authorId="0" shapeId="0" xr:uid="{6277109C-DEF5-476F-94D8-F94C4EA4913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Referinta a fost pusa automat
__________________________________________________________________
</t>
        </r>
        <r>
          <rPr>
            <sz val="10"/>
            <color indexed="12"/>
            <rFont val="Tahoma"/>
            <family val="2"/>
          </rPr>
          <t xml:space="preserve">  </t>
        </r>
        <r>
          <rPr>
            <sz val="10"/>
            <color indexed="81"/>
            <rFont val="Tahoma"/>
            <family val="2"/>
          </rPr>
          <t xml:space="preserve">9/16/2022 3:26:14 PM </t>
        </r>
        <r>
          <rPr>
            <b/>
            <sz val="10"/>
            <color indexed="81"/>
            <rFont val="Tahoma"/>
            <family val="2"/>
          </rPr>
          <t xml:space="preserve">= 50314 - Referinta </t>
        </r>
        <r>
          <rPr>
            <sz val="10"/>
            <color indexed="81"/>
            <rFont val="Tahoma"/>
            <family val="2"/>
          </rPr>
          <t xml:space="preserve">* Otopeni Km Auto (Responses)
  9/19/2022 7:05:23 AM </t>
        </r>
        <r>
          <rPr>
            <b/>
            <sz val="10"/>
            <color indexed="81"/>
            <rFont val="Tahoma"/>
            <family val="2"/>
          </rPr>
          <t xml:space="preserve">= 50387 - Normal </t>
        </r>
        <r>
          <rPr>
            <sz val="10"/>
            <color indexed="81"/>
            <rFont val="Tahoma"/>
            <family val="2"/>
          </rPr>
          <t xml:space="preserve">* Otopeni Km Auto (Responses)
</t>
        </r>
      </text>
    </comment>
    <comment ref="Y101" authorId="0" shapeId="0" xr:uid="{3BCD8B6C-277C-4871-9017-D0CAEE3E36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__________________________________________________________________
</t>
        </r>
        <r>
          <rPr>
            <sz val="10"/>
            <color indexed="12"/>
            <rFont val="Tahoma"/>
            <family val="2"/>
          </rPr>
          <t xml:space="preserve">  </t>
        </r>
        <r>
          <rPr>
            <sz val="10"/>
            <color indexed="81"/>
            <rFont val="Tahoma"/>
            <family val="2"/>
          </rPr>
          <t xml:space="preserve">9/23/2022 4:22:24 PM </t>
        </r>
        <r>
          <rPr>
            <b/>
            <sz val="10"/>
            <color indexed="81"/>
            <rFont val="Tahoma"/>
            <family val="2"/>
          </rPr>
          <t xml:space="preserve">= 50576 - Referinta </t>
        </r>
        <r>
          <rPr>
            <sz val="10"/>
            <color indexed="81"/>
            <rFont val="Tahoma"/>
            <family val="2"/>
          </rPr>
          <t xml:space="preserve">* Otopeni Km Auto (Responses)
  9/26/2022 7:10:23 AM </t>
        </r>
        <r>
          <rPr>
            <b/>
            <sz val="10"/>
            <color indexed="81"/>
            <rFont val="Tahoma"/>
            <family val="2"/>
          </rPr>
          <t xml:space="preserve">= 50594 - Normal </t>
        </r>
        <r>
          <rPr>
            <sz val="10"/>
            <color indexed="81"/>
            <rFont val="Tahoma"/>
            <family val="2"/>
          </rPr>
          <t xml:space="preserve">* Otopeni Km Auto (Responses)
</t>
        </r>
      </text>
    </comment>
    <comment ref="AD101" authorId="0" shapeId="0" xr:uid="{C7903F90-3587-459F-9A3A-F5BFF6287F7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B-139-CLT</t>
        </r>
        <r>
          <rPr>
            <b/>
            <sz val="10"/>
            <color indexed="12"/>
            <rFont val="Tahoma"/>
            <family val="2"/>
          </rPr>
          <t xml:space="preserve"> - Gania Razvan-Alexandru 
__________________________________________________________________
</t>
        </r>
        <r>
          <rPr>
            <sz val="10"/>
            <color indexed="12"/>
            <rFont val="Tahoma"/>
            <family val="2"/>
          </rPr>
          <t xml:space="preserve">  </t>
        </r>
        <r>
          <rPr>
            <sz val="10"/>
            <color indexed="81"/>
            <rFont val="Tahoma"/>
            <family val="2"/>
          </rPr>
          <t xml:space="preserve">9/30/2022 4:36:59 PM </t>
        </r>
        <r>
          <rPr>
            <b/>
            <sz val="10"/>
            <color indexed="81"/>
            <rFont val="Tahoma"/>
            <family val="2"/>
          </rPr>
          <t xml:space="preserve">= 50841 - Referinta </t>
        </r>
        <r>
          <rPr>
            <sz val="10"/>
            <color indexed="81"/>
            <rFont val="Tahoma"/>
            <family val="2"/>
          </rPr>
          <t xml:space="preserve">* Otopeni Km Auto (Responses)
  10/3/2022 7:02:33 AM </t>
        </r>
        <r>
          <rPr>
            <b/>
            <sz val="10"/>
            <color indexed="81"/>
            <rFont val="Tahoma"/>
            <family val="2"/>
          </rPr>
          <t xml:space="preserve">= 50844 - Normal </t>
        </r>
        <r>
          <rPr>
            <sz val="10"/>
            <color indexed="81"/>
            <rFont val="Tahoma"/>
            <family val="2"/>
          </rPr>
          <t xml:space="preserve">* Otopeni Km Auto (Responses)
</t>
        </r>
      </text>
    </comment>
    <comment ref="J102" authorId="0" shapeId="0" xr:uid="{4408A911-D723-4663-B141-15566939E0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 9/2/2022 6:25:28 PM </t>
        </r>
        <r>
          <rPr>
            <b/>
            <sz val="10"/>
            <color indexed="81"/>
            <rFont val="Tahoma"/>
            <family val="2"/>
          </rPr>
          <t xml:space="preserve">= 42747 - Referinta </t>
        </r>
        <r>
          <rPr>
            <sz val="10"/>
            <color indexed="81"/>
            <rFont val="Tahoma"/>
            <family val="2"/>
          </rPr>
          <t xml:space="preserve">* Otopeni Km Auto (Responses)
   9/5/2022 7:16:52 AM </t>
        </r>
        <r>
          <rPr>
            <b/>
            <sz val="10"/>
            <color indexed="81"/>
            <rFont val="Tahoma"/>
            <family val="2"/>
          </rPr>
          <t xml:space="preserve">= 43096 - Normal </t>
        </r>
        <r>
          <rPr>
            <sz val="10"/>
            <color indexed="81"/>
            <rFont val="Tahoma"/>
            <family val="2"/>
          </rPr>
          <t xml:space="preserve">* Otopeni Km Auto (Responses)
</t>
        </r>
      </text>
    </comment>
    <comment ref="O102" authorId="0" shapeId="0" xr:uid="{67F0DFAD-C981-4264-8E8C-5E35B4660D7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 9/9/2022 6:19:00 AM </t>
        </r>
        <r>
          <rPr>
            <b/>
            <sz val="10"/>
            <color indexed="81"/>
            <rFont val="Tahoma"/>
            <family val="2"/>
          </rPr>
          <t xml:space="preserve">= 43509 - Referinta </t>
        </r>
        <r>
          <rPr>
            <sz val="10"/>
            <color indexed="81"/>
            <rFont val="Tahoma"/>
            <family val="2"/>
          </rPr>
          <t xml:space="preserve">* Otopeni Km Auto (Responses)
</t>
        </r>
      </text>
    </comment>
    <comment ref="T102" authorId="0" shapeId="0" xr:uid="{D77798F6-FDEA-4A44-8A0F-E1B2249C415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9/19/2022 7:50:00 AM </t>
        </r>
        <r>
          <rPr>
            <b/>
            <sz val="10"/>
            <color indexed="81"/>
            <rFont val="Tahoma"/>
            <family val="2"/>
          </rPr>
          <t xml:space="preserve">= 44256 - Referinta </t>
        </r>
        <r>
          <rPr>
            <sz val="10"/>
            <color indexed="81"/>
            <rFont val="Tahoma"/>
            <family val="2"/>
          </rPr>
          <t xml:space="preserve">* Otopeni Km Auto (Responses)
</t>
        </r>
      </text>
    </comment>
    <comment ref="Y102" authorId="0" shapeId="0" xr:uid="{DE461069-C050-495A-A428-A5AC8B81F43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9/23/2022 7:32:00 AM </t>
        </r>
        <r>
          <rPr>
            <b/>
            <sz val="10"/>
            <color indexed="81"/>
            <rFont val="Tahoma"/>
            <family val="2"/>
          </rPr>
          <t xml:space="preserve">= 44558 - Referinta </t>
        </r>
        <r>
          <rPr>
            <sz val="10"/>
            <color indexed="81"/>
            <rFont val="Tahoma"/>
            <family val="2"/>
          </rPr>
          <t xml:space="preserve">* Otopeni Km Auto (Responses)
  9/26/2022 7:30:00 AM </t>
        </r>
        <r>
          <rPr>
            <b/>
            <sz val="10"/>
            <color indexed="81"/>
            <rFont val="Tahoma"/>
            <family val="2"/>
          </rPr>
          <t xml:space="preserve">= 44752 - Normal </t>
        </r>
        <r>
          <rPr>
            <sz val="10"/>
            <color indexed="81"/>
            <rFont val="Tahoma"/>
            <family val="2"/>
          </rPr>
          <t xml:space="preserve">* Otopeni Km Auto (Responses)
</t>
        </r>
      </text>
    </comment>
    <comment ref="AD102" authorId="0" shapeId="0" xr:uid="{815EF6C9-BEE5-408E-894F-D83875DBEF1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B-903-CLT</t>
        </r>
        <r>
          <rPr>
            <b/>
            <sz val="10"/>
            <color indexed="12"/>
            <rFont val="Tahoma"/>
            <family val="2"/>
          </rPr>
          <t xml:space="preserve"> - Cristea Razvan Referinta a fost pusa automat
__________________________________________________________________
</t>
        </r>
        <r>
          <rPr>
            <sz val="10"/>
            <color indexed="12"/>
            <rFont val="Tahoma"/>
            <family val="2"/>
          </rPr>
          <t xml:space="preserve">  </t>
        </r>
        <r>
          <rPr>
            <sz val="10"/>
            <color indexed="81"/>
            <rFont val="Tahoma"/>
            <family val="2"/>
          </rPr>
          <t xml:space="preserve">9/30/2022 5:45:00 AM </t>
        </r>
        <r>
          <rPr>
            <b/>
            <sz val="10"/>
            <color indexed="81"/>
            <rFont val="Tahoma"/>
            <family val="2"/>
          </rPr>
          <t xml:space="preserve">= 45193 - Referinta </t>
        </r>
        <r>
          <rPr>
            <sz val="10"/>
            <color indexed="81"/>
            <rFont val="Tahoma"/>
            <family val="2"/>
          </rPr>
          <t xml:space="preserve">* Otopeni Km Auto (Responses)
  10/3/2022 7:15:00 AM </t>
        </r>
        <r>
          <rPr>
            <b/>
            <sz val="10"/>
            <color indexed="81"/>
            <rFont val="Tahoma"/>
            <family val="2"/>
          </rPr>
          <t xml:space="preserve">= 45350 - Normal </t>
        </r>
        <r>
          <rPr>
            <sz val="10"/>
            <color indexed="81"/>
            <rFont val="Tahoma"/>
            <family val="2"/>
          </rPr>
          <t xml:space="preserve">* Otopeni Km Auto (Responses)
</t>
        </r>
      </text>
    </comment>
    <comment ref="J103" authorId="0" shapeId="0" xr:uid="{FE4838D1-0B7D-41A9-BEEE-6581C2DB19C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Referinta a fost pusa automat
__________________________________________________________________
</t>
        </r>
        <r>
          <rPr>
            <sz val="10"/>
            <color indexed="12"/>
            <rFont val="Tahoma"/>
            <family val="2"/>
          </rPr>
          <t xml:space="preserve">  </t>
        </r>
        <r>
          <rPr>
            <sz val="10"/>
            <color indexed="81"/>
            <rFont val="Tahoma"/>
            <family val="2"/>
          </rPr>
          <t xml:space="preserve"> 9/5/2022 8:15:24 AM </t>
        </r>
        <r>
          <rPr>
            <b/>
            <sz val="10"/>
            <color indexed="81"/>
            <rFont val="Tahoma"/>
            <family val="2"/>
          </rPr>
          <t xml:space="preserve">= 16436 - Referinta </t>
        </r>
        <r>
          <rPr>
            <sz val="10"/>
            <color indexed="81"/>
            <rFont val="Tahoma"/>
            <family val="2"/>
          </rPr>
          <t xml:space="preserve">* Otopeni Km Auto (Responses)
   9/5/2022 8:21:35 AM </t>
        </r>
        <r>
          <rPr>
            <b/>
            <sz val="10"/>
            <color indexed="81"/>
            <rFont val="Tahoma"/>
            <family val="2"/>
          </rPr>
          <t xml:space="preserve">= 16439 - Normal </t>
        </r>
        <r>
          <rPr>
            <sz val="10"/>
            <color indexed="81"/>
            <rFont val="Tahoma"/>
            <family val="2"/>
          </rPr>
          <t xml:space="preserve">* Otopeni Km Auto (Responses)
</t>
        </r>
      </text>
    </comment>
    <comment ref="O103" authorId="0" shapeId="0" xr:uid="{9DB8E067-34A3-4C18-967C-7BE24805883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Referinta a fost pusa automat
__________________________________________________________________
</t>
        </r>
        <r>
          <rPr>
            <sz val="10"/>
            <color indexed="12"/>
            <rFont val="Tahoma"/>
            <family val="2"/>
          </rPr>
          <t xml:space="preserve">  </t>
        </r>
        <r>
          <rPr>
            <sz val="10"/>
            <color indexed="81"/>
            <rFont val="Tahoma"/>
            <family val="2"/>
          </rPr>
          <t xml:space="preserve"> 9/9/2022 4:16:00 AM </t>
        </r>
        <r>
          <rPr>
            <b/>
            <sz val="10"/>
            <color indexed="81"/>
            <rFont val="Tahoma"/>
            <family val="2"/>
          </rPr>
          <t xml:space="preserve">= 16735 - Referinta </t>
        </r>
        <r>
          <rPr>
            <sz val="10"/>
            <color indexed="81"/>
            <rFont val="Tahoma"/>
            <family val="2"/>
          </rPr>
          <t xml:space="preserve">* Otopeni Km Auto (Responses)
  9/12/2022 7:01:00 AM </t>
        </r>
        <r>
          <rPr>
            <b/>
            <sz val="10"/>
            <color indexed="81"/>
            <rFont val="Tahoma"/>
            <family val="2"/>
          </rPr>
          <t xml:space="preserve">= 16735 - Normal </t>
        </r>
        <r>
          <rPr>
            <sz val="10"/>
            <color indexed="81"/>
            <rFont val="Tahoma"/>
            <family val="2"/>
          </rPr>
          <t xml:space="preserve">* Otopeni Km Auto (Responses)
</t>
        </r>
      </text>
    </comment>
    <comment ref="T103" authorId="0" shapeId="0" xr:uid="{F95AE5D0-81B6-4DBD-9943-4A9E1AE0695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__________________________________________________________________
</t>
        </r>
        <r>
          <rPr>
            <sz val="10"/>
            <color indexed="12"/>
            <rFont val="Tahoma"/>
            <family val="2"/>
          </rPr>
          <t xml:space="preserve">  </t>
        </r>
        <r>
          <rPr>
            <sz val="10"/>
            <color indexed="81"/>
            <rFont val="Tahoma"/>
            <family val="2"/>
          </rPr>
          <t xml:space="preserve">9/16/2022 9:15:00 AM </t>
        </r>
        <r>
          <rPr>
            <b/>
            <sz val="10"/>
            <color indexed="81"/>
            <rFont val="Tahoma"/>
            <family val="2"/>
          </rPr>
          <t xml:space="preserve">= 16990 - Referinta </t>
        </r>
        <r>
          <rPr>
            <sz val="10"/>
            <color indexed="81"/>
            <rFont val="Tahoma"/>
            <family val="2"/>
          </rPr>
          <t xml:space="preserve">* Otopeni Km Auto (Responses)
 9/19/2022 12:38:00 PM </t>
        </r>
        <r>
          <rPr>
            <b/>
            <sz val="10"/>
            <color indexed="81"/>
            <rFont val="Tahoma"/>
            <family val="2"/>
          </rPr>
          <t xml:space="preserve">= 16990 - Normal </t>
        </r>
        <r>
          <rPr>
            <sz val="10"/>
            <color indexed="81"/>
            <rFont val="Tahoma"/>
            <family val="2"/>
          </rPr>
          <t xml:space="preserve">* Otopeni Km Auto (Responses)
</t>
        </r>
      </text>
    </comment>
    <comment ref="Y103" authorId="0" shapeId="0" xr:uid="{19F77D9A-114B-480D-B492-177DF065D28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__________________________________________________________________
</t>
        </r>
        <r>
          <rPr>
            <sz val="10"/>
            <color indexed="12"/>
            <rFont val="Tahoma"/>
            <family val="2"/>
          </rPr>
          <t xml:space="preserve"> 9</t>
        </r>
        <r>
          <rPr>
            <sz val="10"/>
            <color indexed="81"/>
            <rFont val="Tahoma"/>
            <family val="2"/>
          </rPr>
          <t xml:space="preserve">/25/2022 11:10:00 AM </t>
        </r>
        <r>
          <rPr>
            <b/>
            <sz val="10"/>
            <color indexed="81"/>
            <rFont val="Tahoma"/>
            <family val="2"/>
          </rPr>
          <t xml:space="preserve">= 17366 - Referinta </t>
        </r>
        <r>
          <rPr>
            <sz val="10"/>
            <color indexed="81"/>
            <rFont val="Tahoma"/>
            <family val="2"/>
          </rPr>
          <t xml:space="preserve">* Otopeni Km Auto (Responses)
 9/25/2022 11:17:00 AM </t>
        </r>
        <r>
          <rPr>
            <b/>
            <sz val="10"/>
            <color indexed="81"/>
            <rFont val="Tahoma"/>
            <family val="2"/>
          </rPr>
          <t xml:space="preserve">= 17366 - Normal </t>
        </r>
        <r>
          <rPr>
            <sz val="10"/>
            <color indexed="81"/>
            <rFont val="Tahoma"/>
            <family val="2"/>
          </rPr>
          <t xml:space="preserve">* Otopeni Km Auto (Responses)
 9/26/2022 10:20:00 AM </t>
        </r>
        <r>
          <rPr>
            <b/>
            <sz val="10"/>
            <color indexed="81"/>
            <rFont val="Tahoma"/>
            <family val="2"/>
          </rPr>
          <t xml:space="preserve">= 17366 - Normal </t>
        </r>
        <r>
          <rPr>
            <sz val="10"/>
            <color indexed="81"/>
            <rFont val="Tahoma"/>
            <family val="2"/>
          </rPr>
          <t xml:space="preserve">* Otopeni Km Auto (Responses)
</t>
        </r>
      </text>
    </comment>
    <comment ref="AD103" authorId="0" shapeId="0" xr:uid="{C609B167-BD55-4CA1-8F93-C9D25708452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B-915-CLT</t>
        </r>
        <r>
          <rPr>
            <b/>
            <sz val="10"/>
            <color indexed="12"/>
            <rFont val="Tahoma"/>
            <family val="2"/>
          </rPr>
          <t xml:space="preserve"> - Gania Marius 
__________________________________________________________________
</t>
        </r>
        <r>
          <rPr>
            <sz val="10"/>
            <color indexed="12"/>
            <rFont val="Tahoma"/>
            <family val="2"/>
          </rPr>
          <t xml:space="preserve"> 1</t>
        </r>
        <r>
          <rPr>
            <sz val="10"/>
            <color indexed="81"/>
            <rFont val="Tahoma"/>
            <family val="2"/>
          </rPr>
          <t xml:space="preserve">0/2/2022 10:19:00 AM </t>
        </r>
        <r>
          <rPr>
            <b/>
            <sz val="10"/>
            <color indexed="81"/>
            <rFont val="Tahoma"/>
            <family val="2"/>
          </rPr>
          <t xml:space="preserve">= 17773 - Referinta </t>
        </r>
        <r>
          <rPr>
            <sz val="10"/>
            <color indexed="81"/>
            <rFont val="Tahoma"/>
            <family val="2"/>
          </rPr>
          <t xml:space="preserve">* Otopeni Km Auto (Responses)
  10/3/2022 8:12:46 AM </t>
        </r>
        <r>
          <rPr>
            <b/>
            <sz val="10"/>
            <color indexed="81"/>
            <rFont val="Tahoma"/>
            <family val="2"/>
          </rPr>
          <t xml:space="preserve">= 17779 - Normal </t>
        </r>
        <r>
          <rPr>
            <sz val="10"/>
            <color indexed="81"/>
            <rFont val="Tahoma"/>
            <family val="2"/>
          </rPr>
          <t xml:space="preserve">* Otopeni Km Auto (Responses)
  10/3/2022 8:15:00 AM </t>
        </r>
        <r>
          <rPr>
            <b/>
            <sz val="10"/>
            <color indexed="81"/>
            <rFont val="Tahoma"/>
            <family val="2"/>
          </rPr>
          <t xml:space="preserve">= 17779 - Normal </t>
        </r>
        <r>
          <rPr>
            <sz val="10"/>
            <color indexed="81"/>
            <rFont val="Tahoma"/>
            <family val="2"/>
          </rPr>
          <t xml:space="preserve">* Otopeni Km Auto (Responses)
</t>
        </r>
      </text>
    </comment>
    <comment ref="T104" authorId="0" shapeId="0" xr:uid="{1CA0BEB8-ABB9-4665-B294-572E5A12C54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__________________________________________________________________
</t>
        </r>
        <r>
          <rPr>
            <sz val="10"/>
            <color indexed="12"/>
            <rFont val="Tahoma"/>
            <family val="2"/>
          </rPr>
          <t xml:space="preserve">  </t>
        </r>
        <r>
          <rPr>
            <sz val="10"/>
            <color indexed="81"/>
            <rFont val="Tahoma"/>
            <family val="2"/>
          </rPr>
          <t xml:space="preserve">9/16/2022 7:47:46 PM </t>
        </r>
        <r>
          <rPr>
            <b/>
            <sz val="10"/>
            <color indexed="81"/>
            <rFont val="Tahoma"/>
            <family val="2"/>
          </rPr>
          <t xml:space="preserve">= 212206 - Referinta </t>
        </r>
        <r>
          <rPr>
            <sz val="10"/>
            <color indexed="81"/>
            <rFont val="Tahoma"/>
            <family val="2"/>
          </rPr>
          <t xml:space="preserve">* Bucuresti Marfa Km Auto (Responses)
  9/19/2022 7:59:53 AM </t>
        </r>
        <r>
          <rPr>
            <b/>
            <sz val="10"/>
            <color indexed="81"/>
            <rFont val="Tahoma"/>
            <family val="2"/>
          </rPr>
          <t xml:space="preserve">= 212207 - Normal </t>
        </r>
        <r>
          <rPr>
            <sz val="10"/>
            <color indexed="81"/>
            <rFont val="Tahoma"/>
            <family val="2"/>
          </rPr>
          <t xml:space="preserve">* Bucuresti Marfa Km Auto (Responses)
</t>
        </r>
      </text>
    </comment>
    <comment ref="Y104" authorId="0" shapeId="0" xr:uid="{48EC4534-71A0-4370-A221-C3FCF851294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Florea Georgel 
__________________________________________________________________
</t>
        </r>
        <r>
          <rPr>
            <sz val="10"/>
            <color indexed="12"/>
            <rFont val="Tahoma"/>
            <family val="2"/>
          </rPr>
          <t xml:space="preserve">  </t>
        </r>
        <r>
          <rPr>
            <sz val="10"/>
            <color indexed="81"/>
            <rFont val="Tahoma"/>
            <family val="2"/>
          </rPr>
          <t xml:space="preserve">9/23/2022 6:45:01 PM </t>
        </r>
        <r>
          <rPr>
            <b/>
            <sz val="10"/>
            <color indexed="81"/>
            <rFont val="Tahoma"/>
            <family val="2"/>
          </rPr>
          <t xml:space="preserve">= 212781 - Referinta </t>
        </r>
        <r>
          <rPr>
            <sz val="10"/>
            <color indexed="81"/>
            <rFont val="Tahoma"/>
            <family val="2"/>
          </rPr>
          <t xml:space="preserve">* Bucuresti Marfa Km Auto (Responses)
  9/26/2022 7:45:52 AM </t>
        </r>
        <r>
          <rPr>
            <b/>
            <sz val="10"/>
            <color indexed="81"/>
            <rFont val="Tahoma"/>
            <family val="2"/>
          </rPr>
          <t xml:space="preserve">= 212781 - Normal </t>
        </r>
        <r>
          <rPr>
            <sz val="10"/>
            <color indexed="81"/>
            <rFont val="Tahoma"/>
            <family val="2"/>
          </rPr>
          <t xml:space="preserve">* Bucuresti Marfa Km Auto (Responses)
</t>
        </r>
      </text>
    </comment>
    <comment ref="AD105" authorId="0" shapeId="0" xr:uid="{0DC0BD5D-6CB2-4A5A-9ECA-56696341D0A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B-882-CLT</t>
        </r>
        <r>
          <rPr>
            <b/>
            <sz val="10"/>
            <color indexed="12"/>
            <rFont val="Tahoma"/>
            <family val="2"/>
          </rPr>
          <t xml:space="preserve"> - Radu Paul 
__________________________________________________________________
</t>
        </r>
        <r>
          <rPr>
            <sz val="10"/>
            <color indexed="12"/>
            <rFont val="Tahoma"/>
            <family val="2"/>
          </rPr>
          <t xml:space="preserve">  </t>
        </r>
        <r>
          <rPr>
            <sz val="10"/>
            <color indexed="81"/>
            <rFont val="Tahoma"/>
            <family val="2"/>
          </rPr>
          <t xml:space="preserve">9/30/2022 3:53:18 PM </t>
        </r>
        <r>
          <rPr>
            <b/>
            <sz val="10"/>
            <color indexed="81"/>
            <rFont val="Tahoma"/>
            <family val="2"/>
          </rPr>
          <t xml:space="preserve">= 213217 - Referinta </t>
        </r>
        <r>
          <rPr>
            <sz val="10"/>
            <color indexed="81"/>
            <rFont val="Tahoma"/>
            <family val="2"/>
          </rPr>
          <t xml:space="preserve">* Bucuresti Marfa Km Auto (Responses)
</t>
        </r>
      </text>
    </comment>
    <comment ref="J106" authorId="0" shapeId="0" xr:uid="{19090A2D-4AA1-4BEF-A14A-C7C4AE02BEB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Referinta a fost pusa automat
__________________________________________________________________
</t>
        </r>
        <r>
          <rPr>
            <sz val="10"/>
            <color indexed="12"/>
            <rFont val="Tahoma"/>
            <family val="2"/>
          </rPr>
          <t xml:space="preserve">  </t>
        </r>
        <r>
          <rPr>
            <sz val="10"/>
            <color indexed="81"/>
            <rFont val="Tahoma"/>
            <family val="2"/>
          </rPr>
          <t xml:space="preserve"> 9/4/2022 8:54:17 PM </t>
        </r>
        <r>
          <rPr>
            <b/>
            <sz val="10"/>
            <color indexed="81"/>
            <rFont val="Tahoma"/>
            <family val="2"/>
          </rPr>
          <t xml:space="preserve">= 65257 - Referinta </t>
        </r>
        <r>
          <rPr>
            <sz val="10"/>
            <color indexed="81"/>
            <rFont val="Tahoma"/>
            <family val="2"/>
          </rPr>
          <t xml:space="preserve">* Otopeni Km Auto (Responses)
   9/4/2022 8:55:00 PM </t>
        </r>
        <r>
          <rPr>
            <b/>
            <sz val="10"/>
            <color indexed="81"/>
            <rFont val="Tahoma"/>
            <family val="2"/>
          </rPr>
          <t xml:space="preserve">= 65257 - Normal </t>
        </r>
        <r>
          <rPr>
            <sz val="10"/>
            <color indexed="81"/>
            <rFont val="Tahoma"/>
            <family val="2"/>
          </rPr>
          <t xml:space="preserve">* Otopeni Km Auto (Responses)
   9/5/2022 9:13:37 AM </t>
        </r>
        <r>
          <rPr>
            <b/>
            <sz val="10"/>
            <color indexed="81"/>
            <rFont val="Tahoma"/>
            <family val="2"/>
          </rPr>
          <t xml:space="preserve">= 65301 - Normal </t>
        </r>
        <r>
          <rPr>
            <sz val="10"/>
            <color indexed="81"/>
            <rFont val="Tahoma"/>
            <family val="2"/>
          </rPr>
          <t xml:space="preserve">* Otopeni Km Auto (Responses)
</t>
        </r>
      </text>
    </comment>
    <comment ref="O106" authorId="0" shapeId="0" xr:uid="{91BB7C7F-7FD2-42C6-B82B-3AB9EF870FD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 9/9/2022 3:30:00 AM </t>
        </r>
        <r>
          <rPr>
            <b/>
            <sz val="10"/>
            <color indexed="81"/>
            <rFont val="Tahoma"/>
            <family val="2"/>
          </rPr>
          <t xml:space="preserve">= 65709 - Referinta </t>
        </r>
        <r>
          <rPr>
            <sz val="10"/>
            <color indexed="81"/>
            <rFont val="Tahoma"/>
            <family val="2"/>
          </rPr>
          <t xml:space="preserve">* Otopeni Km Auto (Responses)
  9/12/2022 9:00:00 AM </t>
        </r>
        <r>
          <rPr>
            <b/>
            <sz val="10"/>
            <color indexed="81"/>
            <rFont val="Tahoma"/>
            <family val="2"/>
          </rPr>
          <t xml:space="preserve">= 65762 - Normal </t>
        </r>
        <r>
          <rPr>
            <sz val="10"/>
            <color indexed="81"/>
            <rFont val="Tahoma"/>
            <family val="2"/>
          </rPr>
          <t xml:space="preserve">* Otopeni Km Auto (Responses)
</t>
        </r>
      </text>
    </comment>
    <comment ref="T106" authorId="0" shapeId="0" xr:uid="{8A729649-D65F-4151-8280-2E9AD293FE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9/16/2022 4:30:00 AM </t>
        </r>
        <r>
          <rPr>
            <b/>
            <sz val="10"/>
            <color indexed="81"/>
            <rFont val="Tahoma"/>
            <family val="2"/>
          </rPr>
          <t xml:space="preserve">= 66216 - Referinta </t>
        </r>
        <r>
          <rPr>
            <sz val="10"/>
            <color indexed="81"/>
            <rFont val="Tahoma"/>
            <family val="2"/>
          </rPr>
          <t xml:space="preserve">* Otopeni Km Auto (Responses)
 9/19/2022 10:10:00 AM </t>
        </r>
        <r>
          <rPr>
            <b/>
            <sz val="10"/>
            <color indexed="81"/>
            <rFont val="Tahoma"/>
            <family val="2"/>
          </rPr>
          <t xml:space="preserve">= 66244 - Normal </t>
        </r>
        <r>
          <rPr>
            <sz val="10"/>
            <color indexed="81"/>
            <rFont val="Tahoma"/>
            <family val="2"/>
          </rPr>
          <t xml:space="preserve">* Otopeni Km Auto (Responses)
</t>
        </r>
      </text>
    </comment>
    <comment ref="Y106" authorId="0" shapeId="0" xr:uid="{9D636798-2A60-46A0-AF03-55647E557BF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9/23/2022 4:42:43 PM </t>
        </r>
        <r>
          <rPr>
            <b/>
            <sz val="10"/>
            <color indexed="81"/>
            <rFont val="Tahoma"/>
            <family val="2"/>
          </rPr>
          <t xml:space="preserve">= 66710 - Referinta </t>
        </r>
        <r>
          <rPr>
            <sz val="10"/>
            <color indexed="81"/>
            <rFont val="Tahoma"/>
            <family val="2"/>
          </rPr>
          <t xml:space="preserve">* Otopeni Km Auto (Responses)
  9/26/2022 8:00:00 AM </t>
        </r>
        <r>
          <rPr>
            <b/>
            <sz val="10"/>
            <color indexed="81"/>
            <rFont val="Tahoma"/>
            <family val="2"/>
          </rPr>
          <t xml:space="preserve">= 66756 - Normal </t>
        </r>
        <r>
          <rPr>
            <sz val="10"/>
            <color indexed="81"/>
            <rFont val="Tahoma"/>
            <family val="2"/>
          </rPr>
          <t xml:space="preserve">* Otopeni Km Auto (Responses)
</t>
        </r>
      </text>
    </comment>
    <comment ref="AD106" authorId="0" shapeId="0" xr:uid="{CEAAAA34-3A60-4D58-A44D-4E8E4F46D90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B-215-CLT</t>
        </r>
        <r>
          <rPr>
            <b/>
            <sz val="10"/>
            <color indexed="12"/>
            <rFont val="Tahoma"/>
            <family val="2"/>
          </rPr>
          <t xml:space="preserve"> - Stoica Ionut 
__________________________________________________________________
</t>
        </r>
        <r>
          <rPr>
            <sz val="10"/>
            <color indexed="12"/>
            <rFont val="Tahoma"/>
            <family val="2"/>
          </rPr>
          <t xml:space="preserve">  </t>
        </r>
        <r>
          <rPr>
            <sz val="10"/>
            <color indexed="81"/>
            <rFont val="Tahoma"/>
            <family val="2"/>
          </rPr>
          <t xml:space="preserve">9/30/2022 5:00:00 AM </t>
        </r>
        <r>
          <rPr>
            <b/>
            <sz val="10"/>
            <color indexed="81"/>
            <rFont val="Tahoma"/>
            <family val="2"/>
          </rPr>
          <t xml:space="preserve">= 67296 - Referinta </t>
        </r>
        <r>
          <rPr>
            <sz val="10"/>
            <color indexed="81"/>
            <rFont val="Tahoma"/>
            <family val="2"/>
          </rPr>
          <t xml:space="preserve">* Otopeni Km Auto (Responses)
 10/3/2022 12:24:00 PM </t>
        </r>
        <r>
          <rPr>
            <b/>
            <sz val="10"/>
            <color indexed="81"/>
            <rFont val="Tahoma"/>
            <family val="2"/>
          </rPr>
          <t xml:space="preserve">= 67405 - Normal </t>
        </r>
        <r>
          <rPr>
            <sz val="10"/>
            <color indexed="81"/>
            <rFont val="Tahoma"/>
            <family val="2"/>
          </rPr>
          <t xml:space="preserve">* Otopeni Km Auto (Responses)
</t>
        </r>
      </text>
    </comment>
    <comment ref="J107" authorId="0" shapeId="0" xr:uid="{824096C6-0EED-4582-8842-C0C3025F74C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 9/2/2022 3:58:05 PM </t>
        </r>
        <r>
          <rPr>
            <b/>
            <sz val="10"/>
            <color indexed="81"/>
            <rFont val="Tahoma"/>
            <family val="2"/>
          </rPr>
          <t xml:space="preserve">= 42989 - Referinta </t>
        </r>
        <r>
          <rPr>
            <sz val="10"/>
            <color indexed="81"/>
            <rFont val="Tahoma"/>
            <family val="2"/>
          </rPr>
          <t xml:space="preserve">* Bucuresti Km Auto Vanzari (Responses)
   9/5/2022 7:43:12 AM </t>
        </r>
        <r>
          <rPr>
            <b/>
            <sz val="10"/>
            <color indexed="81"/>
            <rFont val="Tahoma"/>
            <family val="2"/>
          </rPr>
          <t xml:space="preserve">= 42989 - Normal </t>
        </r>
        <r>
          <rPr>
            <sz val="10"/>
            <color indexed="81"/>
            <rFont val="Tahoma"/>
            <family val="2"/>
          </rPr>
          <t xml:space="preserve">* Bucuresti Km Auto Vanzari (Responses)
</t>
        </r>
      </text>
    </comment>
    <comment ref="O107" authorId="0" shapeId="0" xr:uid="{BB495339-83E9-4B0F-88ED-3050388CF6F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 9/9/2022 4:00:00 AM </t>
        </r>
        <r>
          <rPr>
            <b/>
            <sz val="10"/>
            <color indexed="81"/>
            <rFont val="Tahoma"/>
            <family val="2"/>
          </rPr>
          <t xml:space="preserve">= 43227 - Referinta </t>
        </r>
        <r>
          <rPr>
            <sz val="10"/>
            <color indexed="81"/>
            <rFont val="Tahoma"/>
            <family val="2"/>
          </rPr>
          <t xml:space="preserve">* Bucuresti Km Auto Vanzari (Responses)
  9/12/2022 7:44:38 AM </t>
        </r>
        <r>
          <rPr>
            <b/>
            <sz val="10"/>
            <color indexed="81"/>
            <rFont val="Tahoma"/>
            <family val="2"/>
          </rPr>
          <t xml:space="preserve">= 43242 - Normal </t>
        </r>
        <r>
          <rPr>
            <sz val="10"/>
            <color indexed="81"/>
            <rFont val="Tahoma"/>
            <family val="2"/>
          </rPr>
          <t xml:space="preserve">* Bucuresti Km Auto Vanzari (Responses)
</t>
        </r>
      </text>
    </comment>
    <comment ref="T107" authorId="0" shapeId="0" xr:uid="{F79446AE-4447-4DA3-AF4D-1788C89F5C5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9/18/2022 5:16:19 PM </t>
        </r>
        <r>
          <rPr>
            <b/>
            <sz val="10"/>
            <color indexed="81"/>
            <rFont val="Tahoma"/>
            <family val="2"/>
          </rPr>
          <t xml:space="preserve">= 43462 - Referinta </t>
        </r>
        <r>
          <rPr>
            <sz val="10"/>
            <color indexed="81"/>
            <rFont val="Tahoma"/>
            <family val="2"/>
          </rPr>
          <t xml:space="preserve">* Bucuresti Km Auto Vanzari (Responses)
  9/19/2022 7:52:08 AM </t>
        </r>
        <r>
          <rPr>
            <b/>
            <sz val="10"/>
            <color indexed="81"/>
            <rFont val="Tahoma"/>
            <family val="2"/>
          </rPr>
          <t xml:space="preserve">= 43462 - Normal </t>
        </r>
        <r>
          <rPr>
            <sz val="10"/>
            <color indexed="81"/>
            <rFont val="Tahoma"/>
            <family val="2"/>
          </rPr>
          <t xml:space="preserve">* Bucuresti Km Auto Vanzari (Responses)
</t>
        </r>
      </text>
    </comment>
    <comment ref="Y107" authorId="0" shapeId="0" xr:uid="{C15A3224-1A5D-453C-BB40-0AA28B2045D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9/23/2022 2:50:09 PM </t>
        </r>
        <r>
          <rPr>
            <b/>
            <sz val="10"/>
            <color indexed="81"/>
            <rFont val="Tahoma"/>
            <family val="2"/>
          </rPr>
          <t xml:space="preserve">= 43680 - Referinta </t>
        </r>
        <r>
          <rPr>
            <sz val="10"/>
            <color indexed="81"/>
            <rFont val="Tahoma"/>
            <family val="2"/>
          </rPr>
          <t xml:space="preserve">* Bucuresti Km Auto Vanzari (Responses)
  9/26/2022 7:44:39 AM </t>
        </r>
        <r>
          <rPr>
            <b/>
            <sz val="10"/>
            <color indexed="81"/>
            <rFont val="Tahoma"/>
            <family val="2"/>
          </rPr>
          <t xml:space="preserve">= 43680 - Normal </t>
        </r>
        <r>
          <rPr>
            <sz val="10"/>
            <color indexed="81"/>
            <rFont val="Tahoma"/>
            <family val="2"/>
          </rPr>
          <t xml:space="preserve">* Bucuresti Km Auto Vanzari (Responses)
  9/28/2022 5:35:40 PM </t>
        </r>
        <r>
          <rPr>
            <b/>
            <sz val="10"/>
            <color indexed="81"/>
            <rFont val="Tahoma"/>
            <family val="2"/>
          </rPr>
          <t xml:space="preserve">= 43800 - Normal </t>
        </r>
        <r>
          <rPr>
            <sz val="10"/>
            <color indexed="81"/>
            <rFont val="Tahoma"/>
            <family val="2"/>
          </rPr>
          <t xml:space="preserve">* Bucuresti Km Auto Vanzari (Responses)
</t>
        </r>
      </text>
    </comment>
    <comment ref="AD107" authorId="0" shapeId="0" xr:uid="{06154628-9ADB-4FCB-AEB4-558D466E25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B-218-CLT</t>
        </r>
        <r>
          <rPr>
            <b/>
            <sz val="10"/>
            <color indexed="12"/>
            <rFont val="Tahoma"/>
            <family val="2"/>
          </rPr>
          <t xml:space="preserve"> - Sorin Ungureanu Referinta a fost pusa automat
__________________________________________________________________
</t>
        </r>
        <r>
          <rPr>
            <sz val="10"/>
            <color indexed="12"/>
            <rFont val="Tahoma"/>
            <family val="2"/>
          </rPr>
          <t xml:space="preserve">  </t>
        </r>
        <r>
          <rPr>
            <sz val="10"/>
            <color indexed="81"/>
            <rFont val="Tahoma"/>
            <family val="2"/>
          </rPr>
          <t xml:space="preserve">10/3/2022 7:36:47 AM </t>
        </r>
        <r>
          <rPr>
            <b/>
            <sz val="10"/>
            <color indexed="81"/>
            <rFont val="Tahoma"/>
            <family val="2"/>
          </rPr>
          <t xml:space="preserve">= 43800 - Referinta </t>
        </r>
        <r>
          <rPr>
            <sz val="10"/>
            <color indexed="81"/>
            <rFont val="Tahoma"/>
            <family val="2"/>
          </rPr>
          <t xml:space="preserve">* Bucuresti Km Auto Vanzari (Responses)
  10/3/2022 7:38:52 AM </t>
        </r>
        <r>
          <rPr>
            <b/>
            <sz val="10"/>
            <color indexed="81"/>
            <rFont val="Tahoma"/>
            <family val="2"/>
          </rPr>
          <t xml:space="preserve">= 43800 - Normal </t>
        </r>
        <r>
          <rPr>
            <sz val="10"/>
            <color indexed="81"/>
            <rFont val="Tahoma"/>
            <family val="2"/>
          </rPr>
          <t xml:space="preserve">* Bucuresti Km Auto Vanzari (Responses)
</t>
        </r>
      </text>
    </comment>
    <comment ref="T108" authorId="0" shapeId="0" xr:uid="{E7BC9B5D-459A-4541-920D-347116D772D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9/16/2022 3:23:51 PM </t>
        </r>
        <r>
          <rPr>
            <b/>
            <sz val="10"/>
            <color indexed="81"/>
            <rFont val="Tahoma"/>
            <family val="2"/>
          </rPr>
          <t xml:space="preserve">= 101283 - Referinta </t>
        </r>
        <r>
          <rPr>
            <sz val="10"/>
            <color indexed="81"/>
            <rFont val="Tahoma"/>
            <family val="2"/>
          </rPr>
          <t xml:space="preserve">* Sibiu Km Auto (Responses)
  9/19/2022 9:40:35 AM </t>
        </r>
        <r>
          <rPr>
            <b/>
            <sz val="10"/>
            <color indexed="81"/>
            <rFont val="Tahoma"/>
            <family val="2"/>
          </rPr>
          <t xml:space="preserve">= 101283 - Normal </t>
        </r>
        <r>
          <rPr>
            <sz val="10"/>
            <color indexed="81"/>
            <rFont val="Tahoma"/>
            <family val="2"/>
          </rPr>
          <t xml:space="preserve">* Sibiu Km Auto (Responses)
</t>
        </r>
      </text>
    </comment>
    <comment ref="Y108" authorId="0" shapeId="0" xr:uid="{A83C0941-BB92-4C3B-807C-D68933B6EC3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9/23/2022 3:41:30 PM </t>
        </r>
        <r>
          <rPr>
            <b/>
            <sz val="10"/>
            <color indexed="81"/>
            <rFont val="Tahoma"/>
            <family val="2"/>
          </rPr>
          <t xml:space="preserve">= 101921 - Referinta </t>
        </r>
        <r>
          <rPr>
            <sz val="10"/>
            <color indexed="81"/>
            <rFont val="Tahoma"/>
            <family val="2"/>
          </rPr>
          <t xml:space="preserve">* Sibiu Km Auto (Responses)
  9/26/2022 9:24:09 AM </t>
        </r>
        <r>
          <rPr>
            <b/>
            <sz val="10"/>
            <color indexed="81"/>
            <rFont val="Tahoma"/>
            <family val="2"/>
          </rPr>
          <t xml:space="preserve">= 101921 - Normal </t>
        </r>
        <r>
          <rPr>
            <sz val="10"/>
            <color indexed="81"/>
            <rFont val="Tahoma"/>
            <family val="2"/>
          </rPr>
          <t xml:space="preserve">* Sibiu Km Auto (Responses)
</t>
        </r>
      </text>
    </comment>
    <comment ref="AD108" authorId="0" shapeId="0" xr:uid="{759397F5-7B04-4D26-A0C6-73B86259B4E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B-333-CLT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9/30/2022 3:48:48 PM </t>
        </r>
        <r>
          <rPr>
            <b/>
            <sz val="10"/>
            <color indexed="81"/>
            <rFont val="Tahoma"/>
            <family val="2"/>
          </rPr>
          <t xml:space="preserve">= 102169 - Referinta </t>
        </r>
        <r>
          <rPr>
            <sz val="10"/>
            <color indexed="81"/>
            <rFont val="Tahoma"/>
            <family val="2"/>
          </rPr>
          <t xml:space="preserve">* Sibiu Km Auto (Responses)
  10/3/2022 8:39:42 AM </t>
        </r>
        <r>
          <rPr>
            <b/>
            <sz val="10"/>
            <color indexed="81"/>
            <rFont val="Tahoma"/>
            <family val="2"/>
          </rPr>
          <t xml:space="preserve">= 102169 - Normal </t>
        </r>
        <r>
          <rPr>
            <sz val="10"/>
            <color indexed="81"/>
            <rFont val="Tahoma"/>
            <family val="2"/>
          </rPr>
          <t xml:space="preserve">* Sibiu Km Auto (Responses)
</t>
        </r>
      </text>
    </comment>
    <comment ref="J109" authorId="0" shapeId="0" xr:uid="{03668003-CEAE-4FB3-A751-919B5876B4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 9/2/2022 3:17:57 PM </t>
        </r>
        <r>
          <rPr>
            <b/>
            <sz val="10"/>
            <color indexed="81"/>
            <rFont val="Tahoma"/>
            <family val="2"/>
          </rPr>
          <t xml:space="preserve">= 22481 - Referinta </t>
        </r>
        <r>
          <rPr>
            <sz val="10"/>
            <color indexed="81"/>
            <rFont val="Tahoma"/>
            <family val="2"/>
          </rPr>
          <t xml:space="preserve">* Sibiu Km Auto (Responses)
   9/2/2022 3:19:22 PM </t>
        </r>
        <r>
          <rPr>
            <b/>
            <sz val="10"/>
            <color indexed="81"/>
            <rFont val="Tahoma"/>
            <family val="2"/>
          </rPr>
          <t xml:space="preserve">= 22538 - Normal </t>
        </r>
        <r>
          <rPr>
            <sz val="10"/>
            <color indexed="81"/>
            <rFont val="Tahoma"/>
            <family val="2"/>
          </rPr>
          <t xml:space="preserve">* Sibiu Km Auto (Responses)
  9/6/2022 11:41:02 AM </t>
        </r>
        <r>
          <rPr>
            <b/>
            <sz val="10"/>
            <color indexed="81"/>
            <rFont val="Tahoma"/>
            <family val="2"/>
          </rPr>
          <t xml:space="preserve">= 22749 - Normal </t>
        </r>
        <r>
          <rPr>
            <sz val="10"/>
            <color indexed="81"/>
            <rFont val="Tahoma"/>
            <family val="2"/>
          </rPr>
          <t xml:space="preserve">* Sibiu Km Auto (Responses)
  9/6/2022 11:41:33 AM </t>
        </r>
        <r>
          <rPr>
            <b/>
            <sz val="10"/>
            <color indexed="81"/>
            <rFont val="Tahoma"/>
            <family val="2"/>
          </rPr>
          <t xml:space="preserve">= 22920 - Normal </t>
        </r>
        <r>
          <rPr>
            <sz val="10"/>
            <color indexed="81"/>
            <rFont val="Tahoma"/>
            <family val="2"/>
          </rPr>
          <t xml:space="preserve">* Sibiu Km Auto (Responses)
</t>
        </r>
      </text>
    </comment>
    <comment ref="O109" authorId="0" shapeId="0" xr:uid="{73899CB5-DF54-4B76-9833-11B5A5678EE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23096 - Referinta </t>
        </r>
        <r>
          <rPr>
            <sz val="10"/>
            <color indexed="81"/>
            <rFont val="Tahoma"/>
            <family val="2"/>
          </rPr>
          <t xml:space="preserve">* Sibiu Km Auto (Responses)
  9/12/2022 9:20:43 AM </t>
        </r>
        <r>
          <rPr>
            <b/>
            <sz val="10"/>
            <color indexed="81"/>
            <rFont val="Tahoma"/>
            <family val="2"/>
          </rPr>
          <t xml:space="preserve">= 23157 - Normal </t>
        </r>
        <r>
          <rPr>
            <sz val="10"/>
            <color indexed="81"/>
            <rFont val="Tahoma"/>
            <family val="2"/>
          </rPr>
          <t xml:space="preserve">* Sibiu Km Auto (Responses)
</t>
        </r>
      </text>
    </comment>
    <comment ref="T109" authorId="0" shapeId="0" xr:uid="{461D7929-6B0F-4445-BBE6-D5075B55720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9/16/2022 3:25:33 PM </t>
        </r>
        <r>
          <rPr>
            <b/>
            <sz val="10"/>
            <color indexed="81"/>
            <rFont val="Tahoma"/>
            <family val="2"/>
          </rPr>
          <t xml:space="preserve">= 23344 - Referinta </t>
        </r>
        <r>
          <rPr>
            <sz val="10"/>
            <color indexed="81"/>
            <rFont val="Tahoma"/>
            <family val="2"/>
          </rPr>
          <t xml:space="preserve">* Sibiu Km Auto (Responses)
  9/19/2022 9:41:36 AM </t>
        </r>
        <r>
          <rPr>
            <b/>
            <sz val="10"/>
            <color indexed="81"/>
            <rFont val="Tahoma"/>
            <family val="2"/>
          </rPr>
          <t xml:space="preserve">= 23351 - Normal </t>
        </r>
        <r>
          <rPr>
            <sz val="10"/>
            <color indexed="81"/>
            <rFont val="Tahoma"/>
            <family val="2"/>
          </rPr>
          <t xml:space="preserve">* Sibiu Km Auto (Responses)
</t>
        </r>
      </text>
    </comment>
    <comment ref="Y109" authorId="0" shapeId="0" xr:uid="{033B30A7-9D2C-48B3-B880-C79764F08E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9/23/2022 3:39:10 PM </t>
        </r>
        <r>
          <rPr>
            <b/>
            <sz val="10"/>
            <color indexed="81"/>
            <rFont val="Tahoma"/>
            <family val="2"/>
          </rPr>
          <t xml:space="preserve">= 23597 - Referinta </t>
        </r>
        <r>
          <rPr>
            <sz val="10"/>
            <color indexed="81"/>
            <rFont val="Tahoma"/>
            <family val="2"/>
          </rPr>
          <t xml:space="preserve">* Sibiu Km Auto (Responses)
  9/26/2022 9:22:15 AM </t>
        </r>
        <r>
          <rPr>
            <b/>
            <sz val="10"/>
            <color indexed="81"/>
            <rFont val="Tahoma"/>
            <family val="2"/>
          </rPr>
          <t xml:space="preserve">= 23662 - Normal </t>
        </r>
        <r>
          <rPr>
            <sz val="10"/>
            <color indexed="81"/>
            <rFont val="Tahoma"/>
            <family val="2"/>
          </rPr>
          <t xml:space="preserve">* Sibiu Km Auto (Responses)
</t>
        </r>
      </text>
    </comment>
    <comment ref="AD109" authorId="0" shapeId="0" xr:uid="{5EC39051-1057-4C74-92D3-EEB5E3C4A54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B-906-CLT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9/30/2022 3:47:49 PM </t>
        </r>
        <r>
          <rPr>
            <b/>
            <sz val="10"/>
            <color indexed="81"/>
            <rFont val="Tahoma"/>
            <family val="2"/>
          </rPr>
          <t xml:space="preserve">= 23894 - Referinta </t>
        </r>
        <r>
          <rPr>
            <sz val="10"/>
            <color indexed="81"/>
            <rFont val="Tahoma"/>
            <family val="2"/>
          </rPr>
          <t xml:space="preserve">* Sibiu Km Auto (Responses)
  10/3/2022 8:38:55 AM </t>
        </r>
        <r>
          <rPr>
            <b/>
            <sz val="10"/>
            <color indexed="81"/>
            <rFont val="Tahoma"/>
            <family val="2"/>
          </rPr>
          <t xml:space="preserve">= 23970 - Normal </t>
        </r>
        <r>
          <rPr>
            <sz val="10"/>
            <color indexed="81"/>
            <rFont val="Tahoma"/>
            <family val="2"/>
          </rPr>
          <t xml:space="preserve">* Sibiu Km Auto (Responses)
</t>
        </r>
      </text>
    </comment>
    <comment ref="J110" authorId="0" shapeId="0" xr:uid="{72F68404-F054-4C3A-8FDE-526C1880E36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9/6/2022 11:39:45 AM </t>
        </r>
        <r>
          <rPr>
            <b/>
            <sz val="10"/>
            <color indexed="81"/>
            <rFont val="Tahoma"/>
            <family val="2"/>
          </rPr>
          <t xml:space="preserve">= 51058 - Referinta </t>
        </r>
        <r>
          <rPr>
            <sz val="10"/>
            <color indexed="81"/>
            <rFont val="Tahoma"/>
            <family val="2"/>
          </rPr>
          <t xml:space="preserve">* Sibiu Km Auto (Responses)
  9/6/2022 11:40:24 AM </t>
        </r>
        <r>
          <rPr>
            <b/>
            <sz val="10"/>
            <color indexed="81"/>
            <rFont val="Tahoma"/>
            <family val="2"/>
          </rPr>
          <t xml:space="preserve">= 51058 - Normal </t>
        </r>
        <r>
          <rPr>
            <sz val="10"/>
            <color indexed="81"/>
            <rFont val="Tahoma"/>
            <family val="2"/>
          </rPr>
          <t xml:space="preserve">* Sibiu Km Auto (Responses)
</t>
        </r>
      </text>
    </comment>
    <comment ref="O110" authorId="0" shapeId="0" xr:uid="{B59BA47F-0607-4194-AD2C-E4BF6106FE2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 9/9/2022 3:40:00 AM </t>
        </r>
        <r>
          <rPr>
            <b/>
            <sz val="10"/>
            <color indexed="81"/>
            <rFont val="Tahoma"/>
            <family val="2"/>
          </rPr>
          <t xml:space="preserve">= 51123 - Referinta </t>
        </r>
        <r>
          <rPr>
            <sz val="10"/>
            <color indexed="81"/>
            <rFont val="Tahoma"/>
            <family val="2"/>
          </rPr>
          <t xml:space="preserve">* Sibiu Km Auto (Responses)
  9/12/2022 9:19:42 AM </t>
        </r>
        <r>
          <rPr>
            <b/>
            <sz val="10"/>
            <color indexed="81"/>
            <rFont val="Tahoma"/>
            <family val="2"/>
          </rPr>
          <t xml:space="preserve">= 51123 - Normal </t>
        </r>
        <r>
          <rPr>
            <sz val="10"/>
            <color indexed="81"/>
            <rFont val="Tahoma"/>
            <family val="2"/>
          </rPr>
          <t xml:space="preserve">* Sibiu Km Auto (Responses)
</t>
        </r>
      </text>
    </comment>
    <comment ref="T110" authorId="0" shapeId="0" xr:uid="{CC9FA9A6-5518-4B29-B5AE-BCD373AEC9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9/16/2022 3:22:57 PM </t>
        </r>
        <r>
          <rPr>
            <b/>
            <sz val="10"/>
            <color indexed="81"/>
            <rFont val="Tahoma"/>
            <family val="2"/>
          </rPr>
          <t xml:space="preserve">= 51123 - Referinta </t>
        </r>
        <r>
          <rPr>
            <sz val="10"/>
            <color indexed="81"/>
            <rFont val="Tahoma"/>
            <family val="2"/>
          </rPr>
          <t xml:space="preserve">* Sibiu Km Auto (Responses)
  9/19/2022 9:39:37 AM </t>
        </r>
        <r>
          <rPr>
            <b/>
            <sz val="10"/>
            <color indexed="81"/>
            <rFont val="Tahoma"/>
            <family val="2"/>
          </rPr>
          <t xml:space="preserve">= 51123 - Normal </t>
        </r>
        <r>
          <rPr>
            <sz val="10"/>
            <color indexed="81"/>
            <rFont val="Tahoma"/>
            <family val="2"/>
          </rPr>
          <t xml:space="preserve">* Sibiu Km Auto (Responses)
</t>
        </r>
      </text>
    </comment>
    <comment ref="Y110" authorId="0" shapeId="0" xr:uid="{4552E70D-47BF-48CD-B1F4-B33DB36D147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9/23/2022 3:40:13 PM </t>
        </r>
        <r>
          <rPr>
            <b/>
            <sz val="10"/>
            <color indexed="81"/>
            <rFont val="Tahoma"/>
            <family val="2"/>
          </rPr>
          <t xml:space="preserve">= 51129 - Referinta </t>
        </r>
        <r>
          <rPr>
            <sz val="10"/>
            <color indexed="81"/>
            <rFont val="Tahoma"/>
            <family val="2"/>
          </rPr>
          <t xml:space="preserve">* Sibiu Km Auto (Responses)
  9/26/2022 9:23:18 AM </t>
        </r>
        <r>
          <rPr>
            <b/>
            <sz val="10"/>
            <color indexed="81"/>
            <rFont val="Tahoma"/>
            <family val="2"/>
          </rPr>
          <t xml:space="preserve">= 51129 - Normal </t>
        </r>
        <r>
          <rPr>
            <sz val="10"/>
            <color indexed="81"/>
            <rFont val="Tahoma"/>
            <family val="2"/>
          </rPr>
          <t xml:space="preserve">* Sibiu Km Auto (Responses)
</t>
        </r>
      </text>
    </comment>
    <comment ref="AD110" authorId="0" shapeId="0" xr:uid="{B1C0755F-1AC5-45FF-A620-297A6CF0390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Bobes Lia Referinta a fost pusa automat
__________________________________________________________________
</t>
        </r>
        <r>
          <rPr>
            <sz val="10"/>
            <color indexed="12"/>
            <rFont val="Tahoma"/>
            <family val="2"/>
          </rPr>
          <t xml:space="preserve">  </t>
        </r>
        <r>
          <rPr>
            <sz val="10"/>
            <color indexed="81"/>
            <rFont val="Tahoma"/>
            <family val="2"/>
          </rPr>
          <t xml:space="preserve">9/30/2022 3:47:02 PM </t>
        </r>
        <r>
          <rPr>
            <b/>
            <sz val="10"/>
            <color indexed="81"/>
            <rFont val="Tahoma"/>
            <family val="2"/>
          </rPr>
          <t xml:space="preserve">= 51138 - Referinta </t>
        </r>
        <r>
          <rPr>
            <sz val="10"/>
            <color indexed="81"/>
            <rFont val="Tahoma"/>
            <family val="2"/>
          </rPr>
          <t xml:space="preserve">* Sibiu Km Auto (Responses)
  10/3/2022 8:38:16 AM </t>
        </r>
        <r>
          <rPr>
            <b/>
            <sz val="10"/>
            <color indexed="81"/>
            <rFont val="Tahoma"/>
            <family val="2"/>
          </rPr>
          <t xml:space="preserve">= 51138 - Normal </t>
        </r>
        <r>
          <rPr>
            <sz val="10"/>
            <color indexed="81"/>
            <rFont val="Tahoma"/>
            <family val="2"/>
          </rPr>
          <t xml:space="preserve">* Sibiu Km Auto (Responses)
</t>
        </r>
      </text>
    </comment>
    <comment ref="J111" authorId="0" shapeId="0" xr:uid="{9BFCF46A-B910-457B-B881-73FC145F48C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B-197-CLT</t>
        </r>
        <r>
          <rPr>
            <b/>
            <sz val="10"/>
            <color indexed="12"/>
            <rFont val="Tahoma"/>
            <family val="2"/>
          </rPr>
          <t xml:space="preserve"> - Boncu Alexandru Referinta a fost pusa automat
__________________________________________________________________
</t>
        </r>
        <r>
          <rPr>
            <sz val="10"/>
            <color indexed="12"/>
            <rFont val="Tahoma"/>
            <family val="2"/>
          </rPr>
          <t xml:space="preserve">  </t>
        </r>
        <r>
          <rPr>
            <sz val="10"/>
            <color indexed="81"/>
            <rFont val="Tahoma"/>
            <family val="2"/>
          </rPr>
          <t xml:space="preserve"> 9/2/2022 3:15:04 PM </t>
        </r>
        <r>
          <rPr>
            <b/>
            <sz val="10"/>
            <color indexed="81"/>
            <rFont val="Tahoma"/>
            <family val="2"/>
          </rPr>
          <t xml:space="preserve">= 50854 - Referinta </t>
        </r>
        <r>
          <rPr>
            <sz val="10"/>
            <color indexed="81"/>
            <rFont val="Tahoma"/>
            <family val="2"/>
          </rPr>
          <t xml:space="preserve">* Sibiu Km Auto (Responses)
   9/2/2022 3:15:41 PM </t>
        </r>
        <r>
          <rPr>
            <b/>
            <sz val="10"/>
            <color indexed="81"/>
            <rFont val="Tahoma"/>
            <family val="2"/>
          </rPr>
          <t xml:space="preserve">= 50854 - Normal </t>
        </r>
        <r>
          <rPr>
            <sz val="10"/>
            <color indexed="81"/>
            <rFont val="Tahoma"/>
            <family val="2"/>
          </rPr>
          <t xml:space="preserve">* Sibiu Km Auto (Responses)
</t>
        </r>
      </text>
    </comment>
    <comment ref="J112" authorId="0" shapeId="0" xr:uid="{6704E35E-CD82-4BD1-8D33-16AAE7F3AB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Referinta a fost pusa automat
__________________________________________________________________
</t>
        </r>
        <r>
          <rPr>
            <sz val="10"/>
            <color indexed="12"/>
            <rFont val="Tahoma"/>
            <family val="2"/>
          </rPr>
          <t xml:space="preserve">  </t>
        </r>
        <r>
          <rPr>
            <sz val="10"/>
            <color indexed="81"/>
            <rFont val="Tahoma"/>
            <family val="2"/>
          </rPr>
          <t xml:space="preserve"> 9/2/2022 7:23:03 PM </t>
        </r>
        <r>
          <rPr>
            <b/>
            <sz val="10"/>
            <color indexed="81"/>
            <rFont val="Tahoma"/>
            <family val="2"/>
          </rPr>
          <t xml:space="preserve">= 38401 - Referinta </t>
        </r>
        <r>
          <rPr>
            <sz val="10"/>
            <color indexed="81"/>
            <rFont val="Tahoma"/>
            <family val="2"/>
          </rPr>
          <t xml:space="preserve">* Timisoara Km Auto (Responses)
   9/5/2022 7:40:45 AM </t>
        </r>
        <r>
          <rPr>
            <b/>
            <sz val="10"/>
            <color indexed="81"/>
            <rFont val="Tahoma"/>
            <family val="2"/>
          </rPr>
          <t xml:space="preserve">= 38725 - Normal </t>
        </r>
        <r>
          <rPr>
            <sz val="10"/>
            <color indexed="81"/>
            <rFont val="Tahoma"/>
            <family val="2"/>
          </rPr>
          <t xml:space="preserve">* Timisoara Km Auto (Responses)
</t>
        </r>
      </text>
    </comment>
    <comment ref="O112" authorId="0" shapeId="0" xr:uid="{FAE4F5F3-3831-4933-ABA7-CB56C615A49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__________________________________________________________________
</t>
        </r>
        <r>
          <rPr>
            <sz val="10"/>
            <color indexed="12"/>
            <rFont val="Tahoma"/>
            <family val="2"/>
          </rPr>
          <t xml:space="preserve">  </t>
        </r>
        <r>
          <rPr>
            <sz val="10"/>
            <color indexed="81"/>
            <rFont val="Tahoma"/>
            <family val="2"/>
          </rPr>
          <t xml:space="preserve">9/9/2022 11:12:43 PM </t>
        </r>
        <r>
          <rPr>
            <b/>
            <sz val="10"/>
            <color indexed="81"/>
            <rFont val="Tahoma"/>
            <family val="2"/>
          </rPr>
          <t xml:space="preserve">= 39106 - Referinta </t>
        </r>
        <r>
          <rPr>
            <sz val="10"/>
            <color indexed="81"/>
            <rFont val="Tahoma"/>
            <family val="2"/>
          </rPr>
          <t xml:space="preserve">* Timisoara Km Auto (Responses)
</t>
        </r>
      </text>
    </comment>
    <comment ref="T112" authorId="0" shapeId="0" xr:uid="{E513E61E-0777-4151-8C00-27C95596FE0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Referinta a fost pusa automat
__________________________________________________________________
</t>
        </r>
        <r>
          <rPr>
            <sz val="10"/>
            <color indexed="12"/>
            <rFont val="Tahoma"/>
            <family val="2"/>
          </rPr>
          <t xml:space="preserve">  </t>
        </r>
        <r>
          <rPr>
            <sz val="10"/>
            <color indexed="81"/>
            <rFont val="Tahoma"/>
            <family val="2"/>
          </rPr>
          <t xml:space="preserve">9/19/2022 7:58:37 AM </t>
        </r>
        <r>
          <rPr>
            <b/>
            <sz val="10"/>
            <color indexed="81"/>
            <rFont val="Tahoma"/>
            <family val="2"/>
          </rPr>
          <t xml:space="preserve">= 39636 - Referinta </t>
        </r>
        <r>
          <rPr>
            <sz val="10"/>
            <color indexed="81"/>
            <rFont val="Tahoma"/>
            <family val="2"/>
          </rPr>
          <t xml:space="preserve">* Timisoara Km Auto (Responses)
</t>
        </r>
      </text>
    </comment>
    <comment ref="Y112" authorId="0" shapeId="0" xr:uid="{1615279C-5AF0-4CCE-994B-8E38E40DC7E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__________________________________________________________________
</t>
        </r>
        <r>
          <rPr>
            <sz val="10"/>
            <color indexed="12"/>
            <rFont val="Tahoma"/>
            <family val="2"/>
          </rPr>
          <t xml:space="preserve">  </t>
        </r>
        <r>
          <rPr>
            <sz val="10"/>
            <color indexed="81"/>
            <rFont val="Tahoma"/>
            <family val="2"/>
          </rPr>
          <t xml:space="preserve">9/23/2022 8:44:40 PM </t>
        </r>
        <r>
          <rPr>
            <b/>
            <sz val="10"/>
            <color indexed="81"/>
            <rFont val="Tahoma"/>
            <family val="2"/>
          </rPr>
          <t xml:space="preserve">= 40178 - Referinta </t>
        </r>
        <r>
          <rPr>
            <sz val="10"/>
            <color indexed="81"/>
            <rFont val="Tahoma"/>
            <family val="2"/>
          </rPr>
          <t xml:space="preserve">* Timisoara Km Auto (Responses)
  9/26/2022 7:53:48 AM </t>
        </r>
        <r>
          <rPr>
            <b/>
            <sz val="10"/>
            <color indexed="81"/>
            <rFont val="Tahoma"/>
            <family val="2"/>
          </rPr>
          <t xml:space="preserve">= 40203 - Normal </t>
        </r>
        <r>
          <rPr>
            <sz val="10"/>
            <color indexed="81"/>
            <rFont val="Tahoma"/>
            <family val="2"/>
          </rPr>
          <t xml:space="preserve">* Timisoara Km Auto (Responses)
</t>
        </r>
      </text>
    </comment>
    <comment ref="AD112" authorId="0" shapeId="0" xr:uid="{1B9727BD-5326-4E4C-8622-01C3DC8E7B9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B-117-CLT</t>
        </r>
        <r>
          <rPr>
            <b/>
            <sz val="10"/>
            <color indexed="12"/>
            <rFont val="Tahoma"/>
            <family val="2"/>
          </rPr>
          <t xml:space="preserve"> - Velescu Marian Ilie 
__________________________________________________________________
</t>
        </r>
        <r>
          <rPr>
            <sz val="10"/>
            <color indexed="12"/>
            <rFont val="Tahoma"/>
            <family val="2"/>
          </rPr>
          <t xml:space="preserve">  </t>
        </r>
        <r>
          <rPr>
            <sz val="10"/>
            <color indexed="81"/>
            <rFont val="Tahoma"/>
            <family val="2"/>
          </rPr>
          <t xml:space="preserve">9/30/2022 5:27:20 PM </t>
        </r>
        <r>
          <rPr>
            <b/>
            <sz val="10"/>
            <color indexed="81"/>
            <rFont val="Tahoma"/>
            <family val="2"/>
          </rPr>
          <t xml:space="preserve">= 40337 - Referinta </t>
        </r>
        <r>
          <rPr>
            <sz val="10"/>
            <color indexed="81"/>
            <rFont val="Tahoma"/>
            <family val="2"/>
          </rPr>
          <t xml:space="preserve">* Timisoara Km Auto (Responses)
  10/3/2022 7:53:26 AM </t>
        </r>
        <r>
          <rPr>
            <b/>
            <sz val="10"/>
            <color indexed="81"/>
            <rFont val="Tahoma"/>
            <family val="2"/>
          </rPr>
          <t xml:space="preserve">= 40340 - Normal </t>
        </r>
        <r>
          <rPr>
            <sz val="10"/>
            <color indexed="81"/>
            <rFont val="Tahoma"/>
            <family val="2"/>
          </rPr>
          <t xml:space="preserve">* Timisoara Km Auto (Responses)
</t>
        </r>
      </text>
    </comment>
    <comment ref="J113" authorId="0" shapeId="0" xr:uid="{0602E64B-D21E-464D-B0D1-A2286FCF0D40}">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Referinta a fost pusa automat
__________________________________________________________________
</t>
        </r>
        <r>
          <rPr>
            <sz val="10"/>
            <color indexed="12"/>
            <rFont val="Tahoma"/>
            <family val="2"/>
          </rPr>
          <t xml:space="preserve">  </t>
        </r>
        <r>
          <rPr>
            <sz val="10"/>
            <color indexed="81"/>
            <rFont val="Tahoma"/>
            <family val="2"/>
          </rPr>
          <t xml:space="preserve"> 9/2/2022 4:57:10 PM </t>
        </r>
        <r>
          <rPr>
            <b/>
            <sz val="10"/>
            <color indexed="81"/>
            <rFont val="Tahoma"/>
            <family val="2"/>
          </rPr>
          <t xml:space="preserve">= 153202 - Referinta </t>
        </r>
        <r>
          <rPr>
            <sz val="10"/>
            <color indexed="81"/>
            <rFont val="Tahoma"/>
            <family val="2"/>
          </rPr>
          <t xml:space="preserve">* Timisoara Km Auto (Responses)
   9/5/2022 7:59:05 AM </t>
        </r>
        <r>
          <rPr>
            <b/>
            <sz val="10"/>
            <color indexed="81"/>
            <rFont val="Tahoma"/>
            <family val="2"/>
          </rPr>
          <t xml:space="preserve">= 153202 - Normal </t>
        </r>
        <r>
          <rPr>
            <sz val="10"/>
            <color indexed="81"/>
            <rFont val="Tahoma"/>
            <family val="2"/>
          </rPr>
          <t xml:space="preserve">* Timisoara Km Auto (Responses)
</t>
        </r>
      </text>
    </comment>
    <comment ref="O113" authorId="0" shapeId="0" xr:uid="{119AE278-F4D7-4322-A5F9-75332F2AFC1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 9/9/2022 6:07:53 PM </t>
        </r>
        <r>
          <rPr>
            <b/>
            <sz val="10"/>
            <color indexed="81"/>
            <rFont val="Tahoma"/>
            <family val="2"/>
          </rPr>
          <t xml:space="preserve">= 153630 - Referinta </t>
        </r>
        <r>
          <rPr>
            <sz val="10"/>
            <color indexed="81"/>
            <rFont val="Tahoma"/>
            <family val="2"/>
          </rPr>
          <t xml:space="preserve">* Timisoara Km Auto (Responses)
  9/12/2022 8:10:40 AM </t>
        </r>
        <r>
          <rPr>
            <b/>
            <sz val="10"/>
            <color indexed="81"/>
            <rFont val="Tahoma"/>
            <family val="2"/>
          </rPr>
          <t xml:space="preserve">= 153640 - Normal </t>
        </r>
        <r>
          <rPr>
            <sz val="10"/>
            <color indexed="81"/>
            <rFont val="Tahoma"/>
            <family val="2"/>
          </rPr>
          <t xml:space="preserve">* Timisoara Km Auto (Responses)
</t>
        </r>
      </text>
    </comment>
    <comment ref="T113" authorId="0" shapeId="0" xr:uid="{3E07B6C7-0602-46D9-935D-FD05C29C75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9/16/2022 5:56:11 PM </t>
        </r>
        <r>
          <rPr>
            <b/>
            <sz val="10"/>
            <color indexed="81"/>
            <rFont val="Tahoma"/>
            <family val="2"/>
          </rPr>
          <t xml:space="preserve">= 154547 - Referinta </t>
        </r>
        <r>
          <rPr>
            <sz val="10"/>
            <color indexed="81"/>
            <rFont val="Tahoma"/>
            <family val="2"/>
          </rPr>
          <t xml:space="preserve">* Timisoara Km Auto (Responses)
  9/19/2022 8:21:10 AM </t>
        </r>
        <r>
          <rPr>
            <b/>
            <sz val="10"/>
            <color indexed="81"/>
            <rFont val="Tahoma"/>
            <family val="2"/>
          </rPr>
          <t xml:space="preserve">= 154557 - Normal </t>
        </r>
        <r>
          <rPr>
            <sz val="10"/>
            <color indexed="81"/>
            <rFont val="Tahoma"/>
            <family val="2"/>
          </rPr>
          <t xml:space="preserve">* Timisoara Km Auto (Responses)
</t>
        </r>
      </text>
    </comment>
    <comment ref="Y113" authorId="0" shapeId="0" xr:uid="{5875F671-F0E3-4764-B252-828EEF8A522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9/23/2022 8:13:21 PM </t>
        </r>
        <r>
          <rPr>
            <b/>
            <sz val="10"/>
            <color indexed="81"/>
            <rFont val="Tahoma"/>
            <family val="2"/>
          </rPr>
          <t xml:space="preserve">= 154966 - Referinta </t>
        </r>
        <r>
          <rPr>
            <sz val="10"/>
            <color indexed="81"/>
            <rFont val="Tahoma"/>
            <family val="2"/>
          </rPr>
          <t xml:space="preserve">* Timisoara Km Auto (Responses)
  9/26/2022 8:14:27 AM </t>
        </r>
        <r>
          <rPr>
            <b/>
            <sz val="10"/>
            <color indexed="81"/>
            <rFont val="Tahoma"/>
            <family val="2"/>
          </rPr>
          <t xml:space="preserve">= 154976 - Normal </t>
        </r>
        <r>
          <rPr>
            <sz val="10"/>
            <color indexed="81"/>
            <rFont val="Tahoma"/>
            <family val="2"/>
          </rPr>
          <t xml:space="preserve">* Timisoara Km Auto (Responses)
</t>
        </r>
      </text>
    </comment>
    <comment ref="AD113" authorId="0" shapeId="0" xr:uid="{DE7096A6-D98B-4663-9FDC-A9630A0704B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B-121-CLT</t>
        </r>
        <r>
          <rPr>
            <b/>
            <sz val="10"/>
            <color indexed="12"/>
            <rFont val="Tahoma"/>
            <family val="2"/>
          </rPr>
          <t xml:space="preserve"> - Curca Gabriel 
__________________________________________________________________
</t>
        </r>
        <r>
          <rPr>
            <sz val="10"/>
            <color indexed="12"/>
            <rFont val="Tahoma"/>
            <family val="2"/>
          </rPr>
          <t xml:space="preserve">  </t>
        </r>
        <r>
          <rPr>
            <sz val="10"/>
            <color indexed="81"/>
            <rFont val="Tahoma"/>
            <family val="2"/>
          </rPr>
          <t xml:space="preserve">9/30/2022 6:11:21 PM </t>
        </r>
        <r>
          <rPr>
            <b/>
            <sz val="10"/>
            <color indexed="81"/>
            <rFont val="Tahoma"/>
            <family val="2"/>
          </rPr>
          <t xml:space="preserve">= 156164 - Referinta </t>
        </r>
        <r>
          <rPr>
            <sz val="10"/>
            <color indexed="81"/>
            <rFont val="Tahoma"/>
            <family val="2"/>
          </rPr>
          <t xml:space="preserve">* Timisoara Km Auto (Responses)
  10/3/2022 8:19:06 AM </t>
        </r>
        <r>
          <rPr>
            <b/>
            <sz val="10"/>
            <color indexed="81"/>
            <rFont val="Tahoma"/>
            <family val="2"/>
          </rPr>
          <t xml:space="preserve">= 156173 - Normal </t>
        </r>
        <r>
          <rPr>
            <sz val="10"/>
            <color indexed="81"/>
            <rFont val="Tahoma"/>
            <family val="2"/>
          </rPr>
          <t xml:space="preserve">* Timisoara Km Auto (Responses)
  10/3/2022 8:26:06 AM </t>
        </r>
        <r>
          <rPr>
            <b/>
            <sz val="10"/>
            <color indexed="81"/>
            <rFont val="Tahoma"/>
            <family val="2"/>
          </rPr>
          <t xml:space="preserve">= 156173 - Normal </t>
        </r>
        <r>
          <rPr>
            <sz val="10"/>
            <color indexed="81"/>
            <rFont val="Tahoma"/>
            <family val="2"/>
          </rPr>
          <t xml:space="preserve">* Timisoara Km Auto (Responses)
</t>
        </r>
      </text>
    </comment>
    <comment ref="J114" authorId="0" shapeId="0" xr:uid="{18704DC0-A153-4563-A888-9F1893B79B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Referinta a fost pusa automat
__________________________________________________________________
</t>
        </r>
        <r>
          <rPr>
            <sz val="10"/>
            <color indexed="12"/>
            <rFont val="Tahoma"/>
            <family val="2"/>
          </rPr>
          <t xml:space="preserve">  </t>
        </r>
        <r>
          <rPr>
            <sz val="10"/>
            <color indexed="81"/>
            <rFont val="Tahoma"/>
            <family val="2"/>
          </rPr>
          <t xml:space="preserve">9/5/2022 10:33:26 AM </t>
        </r>
        <r>
          <rPr>
            <b/>
            <sz val="10"/>
            <color indexed="81"/>
            <rFont val="Tahoma"/>
            <family val="2"/>
          </rPr>
          <t xml:space="preserve">= 947895 - Referinta </t>
        </r>
        <r>
          <rPr>
            <sz val="10"/>
            <color indexed="81"/>
            <rFont val="Tahoma"/>
            <family val="2"/>
          </rPr>
          <t xml:space="preserve">* Timisoara Km Auto (Responses)
</t>
        </r>
      </text>
    </comment>
    <comment ref="O114" authorId="0" shapeId="0" xr:uid="{47D4A943-E9A2-4990-A01D-AF6BF48B96C8}">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__________________________________________________________________
</t>
        </r>
        <r>
          <rPr>
            <sz val="10"/>
            <color indexed="12"/>
            <rFont val="Tahoma"/>
            <family val="2"/>
          </rPr>
          <t xml:space="preserve">  </t>
        </r>
        <r>
          <rPr>
            <sz val="10"/>
            <color indexed="81"/>
            <rFont val="Tahoma"/>
            <family val="2"/>
          </rPr>
          <t xml:space="preserve"> 9/9/2022 5:00:28 PM </t>
        </r>
        <r>
          <rPr>
            <b/>
            <sz val="10"/>
            <color indexed="81"/>
            <rFont val="Tahoma"/>
            <family val="2"/>
          </rPr>
          <t xml:space="preserve">= 95017 - Referinta </t>
        </r>
        <r>
          <rPr>
            <sz val="10"/>
            <color indexed="81"/>
            <rFont val="Tahoma"/>
            <family val="2"/>
          </rPr>
          <t xml:space="preserve">* Timisoara Km Auto (Responses)
  9/12/2022 8:32:08 AM </t>
        </r>
        <r>
          <rPr>
            <b/>
            <sz val="10"/>
            <color indexed="81"/>
            <rFont val="Tahoma"/>
            <family val="2"/>
          </rPr>
          <t xml:space="preserve">= 95017 - Normal </t>
        </r>
        <r>
          <rPr>
            <sz val="10"/>
            <color indexed="81"/>
            <rFont val="Tahoma"/>
            <family val="2"/>
          </rPr>
          <t xml:space="preserve">* Timisoara Km Auto (Responses)
</t>
        </r>
      </text>
    </comment>
    <comment ref="T114" authorId="0" shapeId="0" xr:uid="{930B5200-B599-4E74-8CE8-6F6E80BC101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__________________________________________________________________
</t>
        </r>
        <r>
          <rPr>
            <sz val="10"/>
            <color indexed="12"/>
            <rFont val="Tahoma"/>
            <family val="2"/>
          </rPr>
          <t xml:space="preserve">  </t>
        </r>
        <r>
          <rPr>
            <sz val="10"/>
            <color indexed="81"/>
            <rFont val="Tahoma"/>
            <family val="2"/>
          </rPr>
          <t xml:space="preserve">9/16/2022 6:46:05 PM </t>
        </r>
        <r>
          <rPr>
            <b/>
            <sz val="10"/>
            <color indexed="81"/>
            <rFont val="Tahoma"/>
            <family val="2"/>
          </rPr>
          <t xml:space="preserve">= 95251 - Referinta </t>
        </r>
        <r>
          <rPr>
            <sz val="10"/>
            <color indexed="81"/>
            <rFont val="Tahoma"/>
            <family val="2"/>
          </rPr>
          <t xml:space="preserve">* Timisoara Km Auto (Responses)
  9/19/2022 8:33:48 AM </t>
        </r>
        <r>
          <rPr>
            <b/>
            <sz val="10"/>
            <color indexed="81"/>
            <rFont val="Tahoma"/>
            <family val="2"/>
          </rPr>
          <t xml:space="preserve">= 95288 - Normal </t>
        </r>
        <r>
          <rPr>
            <sz val="10"/>
            <color indexed="81"/>
            <rFont val="Tahoma"/>
            <family val="2"/>
          </rPr>
          <t xml:space="preserve">* Timisoara Km Auto (Responses)
</t>
        </r>
      </text>
    </comment>
    <comment ref="AD114" authorId="0" shapeId="0" xr:uid="{86F93F8F-BA1C-433C-A8EB-3422D0F951A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B-184-CLT</t>
        </r>
        <r>
          <rPr>
            <b/>
            <sz val="10"/>
            <color indexed="12"/>
            <rFont val="Tahoma"/>
            <family val="2"/>
          </rPr>
          <t xml:space="preserve"> - Adriana Trusca 
__________________________________________________________________
</t>
        </r>
        <r>
          <rPr>
            <sz val="10"/>
            <color indexed="12"/>
            <rFont val="Tahoma"/>
            <family val="2"/>
          </rPr>
          <t xml:space="preserve">  </t>
        </r>
        <r>
          <rPr>
            <sz val="10"/>
            <color indexed="81"/>
            <rFont val="Tahoma"/>
            <family val="2"/>
          </rPr>
          <t xml:space="preserve">9/30/2022 6:01:37 PM </t>
        </r>
        <r>
          <rPr>
            <b/>
            <sz val="10"/>
            <color indexed="81"/>
            <rFont val="Tahoma"/>
            <family val="2"/>
          </rPr>
          <t xml:space="preserve">= 95333 - Referinta </t>
        </r>
        <r>
          <rPr>
            <sz val="10"/>
            <color indexed="81"/>
            <rFont val="Tahoma"/>
            <family val="2"/>
          </rPr>
          <t xml:space="preserve">* Timisoara Km Auto (Responses)
  10/3/2022 8:03:44 AM </t>
        </r>
        <r>
          <rPr>
            <b/>
            <sz val="10"/>
            <color indexed="81"/>
            <rFont val="Tahoma"/>
            <family val="2"/>
          </rPr>
          <t xml:space="preserve">= 95388 - Normal </t>
        </r>
        <r>
          <rPr>
            <sz val="10"/>
            <color indexed="81"/>
            <rFont val="Tahoma"/>
            <family val="2"/>
          </rPr>
          <t xml:space="preserve">* Timisoara Km Auto (Responses)
</t>
        </r>
      </text>
    </comment>
    <comment ref="J115" authorId="0" shapeId="0" xr:uid="{D44DB7F3-7341-4ACC-92C9-E64EBD9832E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t>
        </r>
        <r>
          <rPr>
            <sz val="10"/>
            <color indexed="81"/>
            <rFont val="Tahoma"/>
            <family val="2"/>
          </rPr>
          <t xml:space="preserve"> 9/2/2022 5:00:16 PM </t>
        </r>
        <r>
          <rPr>
            <b/>
            <sz val="10"/>
            <color indexed="81"/>
            <rFont val="Tahoma"/>
            <family val="2"/>
          </rPr>
          <t xml:space="preserve">= 99529 - Referinta </t>
        </r>
        <r>
          <rPr>
            <sz val="10"/>
            <color indexed="81"/>
            <rFont val="Tahoma"/>
            <family val="2"/>
          </rPr>
          <t xml:space="preserve">* Timisoara Km Auto (Responses)
   9/5/2022 8:10:38 AM </t>
        </r>
        <r>
          <rPr>
            <b/>
            <sz val="10"/>
            <color indexed="81"/>
            <rFont val="Tahoma"/>
            <family val="2"/>
          </rPr>
          <t xml:space="preserve">= 99542 - Interes Serviciu </t>
        </r>
        <r>
          <rPr>
            <sz val="10"/>
            <color indexed="81"/>
            <rFont val="Tahoma"/>
            <family val="2"/>
          </rPr>
          <t xml:space="preserve">* Timisoara Km Auto (Responses)
</t>
        </r>
      </text>
    </comment>
    <comment ref="O115" authorId="0" shapeId="0" xr:uid="{5F063E63-FD7F-4434-8A48-AE96448725E1}">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t>
        </r>
        <r>
          <rPr>
            <sz val="10"/>
            <color indexed="81"/>
            <rFont val="Tahoma"/>
            <family val="2"/>
          </rPr>
          <t xml:space="preserve"> 9/9/2022 6:28:34 PM </t>
        </r>
        <r>
          <rPr>
            <b/>
            <sz val="10"/>
            <color indexed="81"/>
            <rFont val="Tahoma"/>
            <family val="2"/>
          </rPr>
          <t xml:space="preserve">= 100031 - Referinta </t>
        </r>
        <r>
          <rPr>
            <sz val="10"/>
            <color indexed="81"/>
            <rFont val="Tahoma"/>
            <family val="2"/>
          </rPr>
          <t xml:space="preserve">* Timisoara Km Auto (Responses)
</t>
        </r>
      </text>
    </comment>
    <comment ref="T115" authorId="0" shapeId="0" xr:uid="{7C28DF91-721F-41BB-98FA-B89F4FAE8DA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9</t>
        </r>
        <r>
          <rPr>
            <sz val="10"/>
            <color indexed="81"/>
            <rFont val="Tahoma"/>
            <family val="2"/>
          </rPr>
          <t xml:space="preserve">/19/2022 10:05:53 AM </t>
        </r>
        <r>
          <rPr>
            <b/>
            <sz val="10"/>
            <color indexed="81"/>
            <rFont val="Tahoma"/>
            <family val="2"/>
          </rPr>
          <t xml:space="preserve">= 100044 - Referinta </t>
        </r>
        <r>
          <rPr>
            <sz val="10"/>
            <color indexed="81"/>
            <rFont val="Tahoma"/>
            <family val="2"/>
          </rPr>
          <t xml:space="preserve">* Timisoara Km Auto (Responses)
</t>
        </r>
      </text>
    </comment>
    <comment ref="Y115" authorId="0" shapeId="0" xr:uid="{3B8346A9-C25C-4FBD-B3AA-9B255A518999}">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__________________________________________________________________
</t>
        </r>
        <r>
          <rPr>
            <sz val="10"/>
            <color indexed="12"/>
            <rFont val="Tahoma"/>
            <family val="2"/>
          </rPr>
          <t xml:space="preserve">  </t>
        </r>
        <r>
          <rPr>
            <sz val="10"/>
            <color indexed="81"/>
            <rFont val="Tahoma"/>
            <family val="2"/>
          </rPr>
          <t xml:space="preserve">9/23/2022 4:29:47 PM </t>
        </r>
        <r>
          <rPr>
            <b/>
            <sz val="10"/>
            <color indexed="81"/>
            <rFont val="Tahoma"/>
            <family val="2"/>
          </rPr>
          <t xml:space="preserve">= 100404 - Referinta </t>
        </r>
        <r>
          <rPr>
            <sz val="10"/>
            <color indexed="81"/>
            <rFont val="Tahoma"/>
            <family val="2"/>
          </rPr>
          <t xml:space="preserve">* Timisoara Km Auto (Responses)
  9/26/2022 8:21:30 AM </t>
        </r>
        <r>
          <rPr>
            <b/>
            <sz val="10"/>
            <color indexed="81"/>
            <rFont val="Tahoma"/>
            <family val="2"/>
          </rPr>
          <t xml:space="preserve">= 100434 - Normal </t>
        </r>
        <r>
          <rPr>
            <sz val="10"/>
            <color indexed="81"/>
            <rFont val="Tahoma"/>
            <family val="2"/>
          </rPr>
          <t xml:space="preserve">* Timisoara Km Auto (Responses)
</t>
        </r>
      </text>
    </comment>
    <comment ref="AD115" authorId="0" shapeId="0" xr:uid="{B4832D54-52F3-4ED2-92AA-58E2B86CB917}">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B-212-CLT</t>
        </r>
        <r>
          <rPr>
            <b/>
            <sz val="10"/>
            <color indexed="12"/>
            <rFont val="Tahoma"/>
            <family val="2"/>
          </rPr>
          <t xml:space="preserve"> - Oroseanu Stefan Referinta a fost pusa automat
__________________________________________________________________
</t>
        </r>
        <r>
          <rPr>
            <sz val="10"/>
            <color indexed="12"/>
            <rFont val="Tahoma"/>
            <family val="2"/>
          </rPr>
          <t xml:space="preserve">  </t>
        </r>
        <r>
          <rPr>
            <sz val="10"/>
            <color indexed="81"/>
            <rFont val="Tahoma"/>
            <family val="2"/>
          </rPr>
          <t xml:space="preserve">9/30/2022 4:40:16 PM </t>
        </r>
        <r>
          <rPr>
            <b/>
            <sz val="10"/>
            <color indexed="81"/>
            <rFont val="Tahoma"/>
            <family val="2"/>
          </rPr>
          <t xml:space="preserve">= 101139 - Referinta </t>
        </r>
        <r>
          <rPr>
            <sz val="10"/>
            <color indexed="81"/>
            <rFont val="Tahoma"/>
            <family val="2"/>
          </rPr>
          <t xml:space="preserve">* Timisoara Km Auto (Responses)
  10/3/2022 8:06:30 AM </t>
        </r>
        <r>
          <rPr>
            <b/>
            <sz val="10"/>
            <color indexed="81"/>
            <rFont val="Tahoma"/>
            <family val="2"/>
          </rPr>
          <t xml:space="preserve">= 101152 - Interes serviciu </t>
        </r>
        <r>
          <rPr>
            <sz val="10"/>
            <color indexed="81"/>
            <rFont val="Tahoma"/>
            <family val="2"/>
          </rPr>
          <t xml:space="preserve">* Timisoara Km Auto (Responses)
</t>
        </r>
      </text>
    </comment>
    <comment ref="J116" authorId="0" shapeId="0" xr:uid="{E5374684-4C3B-4BAE-AE90-743C571A21A5}">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9/3/2022 11:56:50 AM </t>
        </r>
        <r>
          <rPr>
            <b/>
            <sz val="10"/>
            <color indexed="81"/>
            <rFont val="Tahoma"/>
            <family val="2"/>
          </rPr>
          <t xml:space="preserve">= 16114 - Referinta </t>
        </r>
        <r>
          <rPr>
            <sz val="10"/>
            <color indexed="81"/>
            <rFont val="Tahoma"/>
            <family val="2"/>
          </rPr>
          <t xml:space="preserve">* Timisoara Km Auto (Responses)
   9/5/2022 7:50:58 AM </t>
        </r>
        <r>
          <rPr>
            <b/>
            <sz val="10"/>
            <color indexed="81"/>
            <rFont val="Tahoma"/>
            <family val="2"/>
          </rPr>
          <t xml:space="preserve">= 16128 - Normal </t>
        </r>
        <r>
          <rPr>
            <sz val="10"/>
            <color indexed="81"/>
            <rFont val="Tahoma"/>
            <family val="2"/>
          </rPr>
          <t xml:space="preserve">* Timisoara Km Auto (Responses)
</t>
        </r>
      </text>
    </comment>
    <comment ref="O116" authorId="0" shapeId="0" xr:uid="{19F81DD1-CE03-4E23-BDA0-22C222B2E53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__________________________________________________________________
</t>
        </r>
        <r>
          <rPr>
            <sz val="10"/>
            <color indexed="12"/>
            <rFont val="Tahoma"/>
            <family val="2"/>
          </rPr>
          <t xml:space="preserve">  </t>
        </r>
        <r>
          <rPr>
            <sz val="10"/>
            <color indexed="81"/>
            <rFont val="Tahoma"/>
            <family val="2"/>
          </rPr>
          <t xml:space="preserve"> 9/9/2022 4:54:39 PM </t>
        </r>
        <r>
          <rPr>
            <b/>
            <sz val="10"/>
            <color indexed="81"/>
            <rFont val="Tahoma"/>
            <family val="2"/>
          </rPr>
          <t xml:space="preserve">= 17250 - Referinta </t>
        </r>
        <r>
          <rPr>
            <sz val="10"/>
            <color indexed="81"/>
            <rFont val="Tahoma"/>
            <family val="2"/>
          </rPr>
          <t xml:space="preserve">* Timisoara Km Auto (Responses)
  9/12/2022 7:33:00 AM </t>
        </r>
        <r>
          <rPr>
            <b/>
            <sz val="10"/>
            <color indexed="81"/>
            <rFont val="Tahoma"/>
            <family val="2"/>
          </rPr>
          <t xml:space="preserve">= 17269 - Normal </t>
        </r>
        <r>
          <rPr>
            <sz val="10"/>
            <color indexed="81"/>
            <rFont val="Tahoma"/>
            <family val="2"/>
          </rPr>
          <t xml:space="preserve">* Timisoara Km Auto (Responses)
</t>
        </r>
      </text>
    </comment>
    <comment ref="T116" authorId="0" shapeId="0" xr:uid="{8EBAE9C3-DC79-46B6-95C8-D57154F6A60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__________________________________________________________________
</t>
        </r>
        <r>
          <rPr>
            <sz val="10"/>
            <color indexed="12"/>
            <rFont val="Tahoma"/>
            <family val="2"/>
          </rPr>
          <t xml:space="preserve">  </t>
        </r>
        <r>
          <rPr>
            <sz val="10"/>
            <color indexed="81"/>
            <rFont val="Tahoma"/>
            <family val="2"/>
          </rPr>
          <t xml:space="preserve">9/16/2022 5:27:41 PM </t>
        </r>
        <r>
          <rPr>
            <b/>
            <sz val="10"/>
            <color indexed="81"/>
            <rFont val="Tahoma"/>
            <family val="2"/>
          </rPr>
          <t xml:space="preserve">= 18517 - Referinta </t>
        </r>
        <r>
          <rPr>
            <sz val="10"/>
            <color indexed="81"/>
            <rFont val="Tahoma"/>
            <family val="2"/>
          </rPr>
          <t xml:space="preserve">* Timisoara Km Auto (Responses)
  9/19/2022 7:36:08 AM </t>
        </r>
        <r>
          <rPr>
            <b/>
            <sz val="10"/>
            <color indexed="81"/>
            <rFont val="Tahoma"/>
            <family val="2"/>
          </rPr>
          <t xml:space="preserve">= 18529 - Normal </t>
        </r>
        <r>
          <rPr>
            <sz val="10"/>
            <color indexed="81"/>
            <rFont val="Tahoma"/>
            <family val="2"/>
          </rPr>
          <t xml:space="preserve">* Timisoara Km Auto (Responses)
</t>
        </r>
      </text>
    </comment>
    <comment ref="Y116" authorId="0" shapeId="0" xr:uid="{A63E3A38-499C-47D1-89CB-0A7AE512787C}">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Referinta a fost pusa automat
__________________________________________________________________
</t>
        </r>
        <r>
          <rPr>
            <sz val="10"/>
            <color indexed="12"/>
            <rFont val="Tahoma"/>
            <family val="2"/>
          </rPr>
          <t xml:space="preserve">  </t>
        </r>
        <r>
          <rPr>
            <sz val="10"/>
            <color indexed="81"/>
            <rFont val="Tahoma"/>
            <family val="2"/>
          </rPr>
          <t xml:space="preserve">9/23/2022 4:43:25 PM </t>
        </r>
        <r>
          <rPr>
            <b/>
            <sz val="10"/>
            <color indexed="81"/>
            <rFont val="Tahoma"/>
            <family val="2"/>
          </rPr>
          <t xml:space="preserve">= 18729 - Referinta </t>
        </r>
        <r>
          <rPr>
            <sz val="10"/>
            <color indexed="81"/>
            <rFont val="Tahoma"/>
            <family val="2"/>
          </rPr>
          <t xml:space="preserve">* Timisoara Km Auto (Responses)
  9/26/2022 7:48:24 AM </t>
        </r>
        <r>
          <rPr>
            <b/>
            <sz val="10"/>
            <color indexed="81"/>
            <rFont val="Tahoma"/>
            <family val="2"/>
          </rPr>
          <t xml:space="preserve">= 18732 - Normal </t>
        </r>
        <r>
          <rPr>
            <sz val="10"/>
            <color indexed="81"/>
            <rFont val="Tahoma"/>
            <family val="2"/>
          </rPr>
          <t xml:space="preserve">* Timisoara Km Auto (Responses)
</t>
        </r>
      </text>
    </comment>
    <comment ref="AD116" authorId="0" shapeId="0" xr:uid="{53F6C1E1-D606-41ED-B650-94F10CCE5CA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B-29-CLT</t>
        </r>
        <r>
          <rPr>
            <b/>
            <sz val="10"/>
            <color indexed="12"/>
            <rFont val="Tahoma"/>
            <family val="2"/>
          </rPr>
          <t xml:space="preserve"> - Nistoran Silviu Referinta a fost pusa automat
__________________________________________________________________
</t>
        </r>
        <r>
          <rPr>
            <sz val="10"/>
            <color indexed="12"/>
            <rFont val="Tahoma"/>
            <family val="2"/>
          </rPr>
          <t xml:space="preserve">  </t>
        </r>
        <r>
          <rPr>
            <sz val="10"/>
            <color indexed="81"/>
            <rFont val="Tahoma"/>
            <family val="2"/>
          </rPr>
          <t xml:space="preserve">9/30/2022 6:52:02 PM </t>
        </r>
        <r>
          <rPr>
            <b/>
            <sz val="10"/>
            <color indexed="81"/>
            <rFont val="Tahoma"/>
            <family val="2"/>
          </rPr>
          <t xml:space="preserve">= 19570 - Referinta </t>
        </r>
        <r>
          <rPr>
            <sz val="10"/>
            <color indexed="81"/>
            <rFont val="Tahoma"/>
            <family val="2"/>
          </rPr>
          <t xml:space="preserve">* Timisoara Km Auto (Responses)
  10/3/2022 4:54:42 AM </t>
        </r>
        <r>
          <rPr>
            <b/>
            <sz val="10"/>
            <color indexed="81"/>
            <rFont val="Tahoma"/>
            <family val="2"/>
          </rPr>
          <t xml:space="preserve">= 19743 - Normal </t>
        </r>
        <r>
          <rPr>
            <sz val="10"/>
            <color indexed="81"/>
            <rFont val="Tahoma"/>
            <family val="2"/>
          </rPr>
          <t xml:space="preserve">* Timisoara Km Auto (Responses)
</t>
        </r>
      </text>
    </comment>
    <comment ref="J117" authorId="0" shapeId="0" xr:uid="{B6B9E66B-F8D3-44D9-92DB-1920A8997AEF}">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Referinta a fost pusa automat
__________________________________________________________________
</t>
        </r>
        <r>
          <rPr>
            <sz val="10"/>
            <color indexed="12"/>
            <rFont val="Tahoma"/>
            <family val="2"/>
          </rPr>
          <t xml:space="preserve">  </t>
        </r>
        <r>
          <rPr>
            <sz val="10"/>
            <color indexed="81"/>
            <rFont val="Tahoma"/>
            <family val="2"/>
          </rPr>
          <t xml:space="preserve"> 9/2/2022 4:56:05 PM </t>
        </r>
        <r>
          <rPr>
            <b/>
            <sz val="10"/>
            <color indexed="81"/>
            <rFont val="Tahoma"/>
            <family val="2"/>
          </rPr>
          <t xml:space="preserve">= 113274 - Referinta </t>
        </r>
        <r>
          <rPr>
            <sz val="10"/>
            <color indexed="81"/>
            <rFont val="Tahoma"/>
            <family val="2"/>
          </rPr>
          <t xml:space="preserve">* Timisoara Km Auto (Responses)
   9/5/2022 8:02:56 AM </t>
        </r>
        <r>
          <rPr>
            <b/>
            <sz val="10"/>
            <color indexed="81"/>
            <rFont val="Tahoma"/>
            <family val="2"/>
          </rPr>
          <t xml:space="preserve">= 113276 - Interes Serviciu </t>
        </r>
        <r>
          <rPr>
            <sz val="10"/>
            <color indexed="81"/>
            <rFont val="Tahoma"/>
            <family val="2"/>
          </rPr>
          <t xml:space="preserve">* Timisoara Km Auto (Responses)
</t>
        </r>
      </text>
    </comment>
    <comment ref="O117" authorId="0" shapeId="0" xr:uid="{3515AFA9-396C-40D9-A3FF-1B7BE1636E2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 9/9/2022 4:58:56 PM </t>
        </r>
        <r>
          <rPr>
            <b/>
            <sz val="10"/>
            <color indexed="81"/>
            <rFont val="Tahoma"/>
            <family val="2"/>
          </rPr>
          <t xml:space="preserve">= 114372 - Referinta </t>
        </r>
        <r>
          <rPr>
            <sz val="10"/>
            <color indexed="81"/>
            <rFont val="Tahoma"/>
            <family val="2"/>
          </rPr>
          <t xml:space="preserve">* Timisoara Km Auto (Responses)
  9/12/2022 8:04:25 AM </t>
        </r>
        <r>
          <rPr>
            <b/>
            <sz val="10"/>
            <color indexed="81"/>
            <rFont val="Tahoma"/>
            <family val="2"/>
          </rPr>
          <t xml:space="preserve">= 114373 - Normal </t>
        </r>
        <r>
          <rPr>
            <sz val="10"/>
            <color indexed="81"/>
            <rFont val="Tahoma"/>
            <family val="2"/>
          </rPr>
          <t xml:space="preserve">* Timisoara Km Auto (Responses)
</t>
        </r>
      </text>
    </comment>
    <comment ref="T117" authorId="0" shapeId="0" xr:uid="{B3032D73-8A6B-4A87-8AA6-5618AEC05C5A}">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9/16/2022 3:28:27 PM </t>
        </r>
        <r>
          <rPr>
            <b/>
            <sz val="10"/>
            <color indexed="81"/>
            <rFont val="Tahoma"/>
            <family val="2"/>
          </rPr>
          <t xml:space="preserve">= 114862 - Referinta </t>
        </r>
        <r>
          <rPr>
            <sz val="10"/>
            <color indexed="81"/>
            <rFont val="Tahoma"/>
            <family val="2"/>
          </rPr>
          <t xml:space="preserve">* Timisoara Km Auto (Responses)
  9/19/2022 8:14:54 AM </t>
        </r>
        <r>
          <rPr>
            <b/>
            <sz val="10"/>
            <color indexed="81"/>
            <rFont val="Tahoma"/>
            <family val="2"/>
          </rPr>
          <t xml:space="preserve">= 114863 - Normal </t>
        </r>
        <r>
          <rPr>
            <sz val="10"/>
            <color indexed="81"/>
            <rFont val="Tahoma"/>
            <family val="2"/>
          </rPr>
          <t xml:space="preserve">* Timisoara Km Auto (Responses)
</t>
        </r>
      </text>
    </comment>
    <comment ref="Y117" authorId="0" shapeId="0" xr:uid="{AA8CDFD0-9EEF-4DEC-83D3-B8C18F5197AB}">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9/23/2022 4:24:04 PM </t>
        </r>
        <r>
          <rPr>
            <b/>
            <sz val="10"/>
            <color indexed="81"/>
            <rFont val="Tahoma"/>
            <family val="2"/>
          </rPr>
          <t xml:space="preserve">= 116328 - Referinta </t>
        </r>
        <r>
          <rPr>
            <sz val="10"/>
            <color indexed="81"/>
            <rFont val="Tahoma"/>
            <family val="2"/>
          </rPr>
          <t xml:space="preserve">* Timisoara Km Auto (Responses)
  9/26/2022 8:12:28 AM </t>
        </r>
        <r>
          <rPr>
            <b/>
            <sz val="10"/>
            <color indexed="81"/>
            <rFont val="Tahoma"/>
            <family val="2"/>
          </rPr>
          <t xml:space="preserve">= 116329 - Normal </t>
        </r>
        <r>
          <rPr>
            <sz val="10"/>
            <color indexed="81"/>
            <rFont val="Tahoma"/>
            <family val="2"/>
          </rPr>
          <t xml:space="preserve">* Timisoara Km Auto (Responses)
</t>
        </r>
      </text>
    </comment>
    <comment ref="AD117" authorId="0" shapeId="0" xr:uid="{FB669C27-0A6D-4CE1-8E90-905036331853}">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B-551-CLT</t>
        </r>
        <r>
          <rPr>
            <b/>
            <sz val="10"/>
            <color indexed="12"/>
            <rFont val="Tahoma"/>
            <family val="2"/>
          </rPr>
          <t xml:space="preserve"> - Radu Gheorghe 
__________________________________________________________________
</t>
        </r>
        <r>
          <rPr>
            <sz val="10"/>
            <color indexed="12"/>
            <rFont val="Tahoma"/>
            <family val="2"/>
          </rPr>
          <t xml:space="preserve">  </t>
        </r>
        <r>
          <rPr>
            <sz val="10"/>
            <color indexed="81"/>
            <rFont val="Tahoma"/>
            <family val="2"/>
          </rPr>
          <t xml:space="preserve">9/30/2022 3:56:00 PM </t>
        </r>
        <r>
          <rPr>
            <b/>
            <sz val="10"/>
            <color indexed="81"/>
            <rFont val="Tahoma"/>
            <family val="2"/>
          </rPr>
          <t xml:space="preserve">= 117202 - Referinta </t>
        </r>
        <r>
          <rPr>
            <sz val="10"/>
            <color indexed="81"/>
            <rFont val="Tahoma"/>
            <family val="2"/>
          </rPr>
          <t xml:space="preserve">* Timisoara Km Auto (Responses)
  10/3/2022 8:05:24 AM </t>
        </r>
        <r>
          <rPr>
            <b/>
            <sz val="10"/>
            <color indexed="81"/>
            <rFont val="Tahoma"/>
            <family val="2"/>
          </rPr>
          <t xml:space="preserve">= 117204 - Normal </t>
        </r>
        <r>
          <rPr>
            <sz val="10"/>
            <color indexed="81"/>
            <rFont val="Tahoma"/>
            <family val="2"/>
          </rPr>
          <t xml:space="preserve">* Timisoara Km Auto (Responses)
</t>
        </r>
      </text>
    </comment>
    <comment ref="J118" authorId="0" shapeId="0" xr:uid="{D9D3B4B0-3367-4802-9819-D1F5EA53AF52}">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 9/2/2022 4:52:25 PM </t>
        </r>
        <r>
          <rPr>
            <b/>
            <sz val="10"/>
            <color indexed="81"/>
            <rFont val="Tahoma"/>
            <family val="2"/>
          </rPr>
          <t xml:space="preserve">= 33673 - Referinta </t>
        </r>
        <r>
          <rPr>
            <sz val="10"/>
            <color indexed="81"/>
            <rFont val="Tahoma"/>
            <family val="2"/>
          </rPr>
          <t xml:space="preserve">* Timisoara Km Auto (Responses)
   9/5/2022 7:30:24 AM </t>
        </r>
        <r>
          <rPr>
            <b/>
            <sz val="10"/>
            <color indexed="81"/>
            <rFont val="Tahoma"/>
            <family val="2"/>
          </rPr>
          <t xml:space="preserve">= 33674 - Normal </t>
        </r>
        <r>
          <rPr>
            <sz val="10"/>
            <color indexed="81"/>
            <rFont val="Tahoma"/>
            <family val="2"/>
          </rPr>
          <t xml:space="preserve">* Timisoara Km Auto (Responses)
</t>
        </r>
      </text>
    </comment>
    <comment ref="O118" authorId="0" shapeId="0" xr:uid="{F9F5327D-A0FB-4646-B07D-066A037070ED}">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 9/9/2022 6:29:51 PM </t>
        </r>
        <r>
          <rPr>
            <b/>
            <sz val="10"/>
            <color indexed="81"/>
            <rFont val="Tahoma"/>
            <family val="2"/>
          </rPr>
          <t xml:space="preserve">= 34051 - Referinta </t>
        </r>
        <r>
          <rPr>
            <sz val="10"/>
            <color indexed="81"/>
            <rFont val="Tahoma"/>
            <family val="2"/>
          </rPr>
          <t xml:space="preserve">* Timisoara Km Auto (Responses)
  9/12/2022 7:32:28 AM </t>
        </r>
        <r>
          <rPr>
            <b/>
            <sz val="10"/>
            <color indexed="81"/>
            <rFont val="Tahoma"/>
            <family val="2"/>
          </rPr>
          <t xml:space="preserve">= 34052 - Normal </t>
        </r>
        <r>
          <rPr>
            <sz val="10"/>
            <color indexed="81"/>
            <rFont val="Tahoma"/>
            <family val="2"/>
          </rPr>
          <t xml:space="preserve">* Timisoara Km Auto (Responses)
</t>
        </r>
      </text>
    </comment>
    <comment ref="T118" authorId="0" shapeId="0" xr:uid="{4612AC6F-B3F9-41D3-B035-49B526B2B6E4}">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9/16/2022 8:26:06 PM </t>
        </r>
        <r>
          <rPr>
            <b/>
            <sz val="10"/>
            <color indexed="81"/>
            <rFont val="Tahoma"/>
            <family val="2"/>
          </rPr>
          <t xml:space="preserve">= 34744 - Referinta </t>
        </r>
        <r>
          <rPr>
            <sz val="10"/>
            <color indexed="81"/>
            <rFont val="Tahoma"/>
            <family val="2"/>
          </rPr>
          <t xml:space="preserve">* Timisoara Km Auto (Responses)
  9/19/2022 7:33:16 AM </t>
        </r>
        <r>
          <rPr>
            <b/>
            <sz val="10"/>
            <color indexed="81"/>
            <rFont val="Tahoma"/>
            <family val="2"/>
          </rPr>
          <t xml:space="preserve">= 34746 - Normal </t>
        </r>
        <r>
          <rPr>
            <sz val="10"/>
            <color indexed="81"/>
            <rFont val="Tahoma"/>
            <family val="2"/>
          </rPr>
          <t xml:space="preserve">* Timisoara Km Auto (Responses)
</t>
        </r>
      </text>
    </comment>
    <comment ref="Y118" authorId="0" shapeId="0" xr:uid="{771BFF3F-4F73-4CF8-94FF-0D64D00197C6}">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9/23/2022 8:23:43 PM </t>
        </r>
        <r>
          <rPr>
            <b/>
            <sz val="10"/>
            <color indexed="81"/>
            <rFont val="Tahoma"/>
            <family val="2"/>
          </rPr>
          <t xml:space="preserve">= 35191 - Referinta </t>
        </r>
        <r>
          <rPr>
            <sz val="10"/>
            <color indexed="81"/>
            <rFont val="Tahoma"/>
            <family val="2"/>
          </rPr>
          <t xml:space="preserve">* Timisoara Km Auto (Responses)
  9/26/2022 7:30:32 AM </t>
        </r>
        <r>
          <rPr>
            <b/>
            <sz val="10"/>
            <color indexed="81"/>
            <rFont val="Tahoma"/>
            <family val="2"/>
          </rPr>
          <t xml:space="preserve">= 35243 - Normal </t>
        </r>
        <r>
          <rPr>
            <sz val="10"/>
            <color indexed="81"/>
            <rFont val="Tahoma"/>
            <family val="2"/>
          </rPr>
          <t xml:space="preserve">* Timisoara Km Auto (Responses)
</t>
        </r>
      </text>
    </comment>
    <comment ref="AD118" authorId="0" shapeId="0" xr:uid="{B2F3BA25-1719-46D3-8628-A6292F3710DE}">
      <text>
        <r>
          <rPr>
            <b/>
            <sz val="10"/>
            <color indexed="81"/>
            <rFont val="Tahoma"/>
            <family val="2"/>
          </rPr>
          <t xml:space="preserve">Km Auto - </t>
        </r>
        <r>
          <rPr>
            <b/>
            <sz val="10"/>
            <color indexed="10"/>
            <rFont val="Tahoma"/>
            <family val="2"/>
          </rPr>
          <t>Mincior Vicentiu</t>
        </r>
        <r>
          <rPr>
            <b/>
            <sz val="10"/>
            <color indexed="81"/>
            <rFont val="Tahoma"/>
            <family val="2"/>
          </rPr>
          <t xml:space="preserve">: </t>
        </r>
        <r>
          <rPr>
            <b/>
            <sz val="10"/>
            <color indexed="14"/>
            <rFont val="Tahoma"/>
            <family val="2"/>
          </rPr>
          <t xml:space="preserve">
B-916-CLT</t>
        </r>
        <r>
          <rPr>
            <b/>
            <sz val="10"/>
            <color indexed="12"/>
            <rFont val="Tahoma"/>
            <family val="2"/>
          </rPr>
          <t xml:space="preserve"> - Ghiran Sorin Referinta a fost pusa automat
__________________________________________________________________
</t>
        </r>
        <r>
          <rPr>
            <sz val="10"/>
            <color indexed="12"/>
            <rFont val="Tahoma"/>
            <family val="2"/>
          </rPr>
          <t xml:space="preserve">  </t>
        </r>
        <r>
          <rPr>
            <sz val="10"/>
            <color indexed="81"/>
            <rFont val="Tahoma"/>
            <family val="2"/>
          </rPr>
          <t xml:space="preserve">9/30/2022 7:10:28 PM </t>
        </r>
        <r>
          <rPr>
            <b/>
            <sz val="10"/>
            <color indexed="81"/>
            <rFont val="Tahoma"/>
            <family val="2"/>
          </rPr>
          <t xml:space="preserve">= 35495 - Referinta </t>
        </r>
        <r>
          <rPr>
            <sz val="10"/>
            <color indexed="81"/>
            <rFont val="Tahoma"/>
            <family val="2"/>
          </rPr>
          <t xml:space="preserve">* Timisoara Km Auto (Responses)
  10/3/2022 7:31:18 AM </t>
        </r>
        <r>
          <rPr>
            <b/>
            <sz val="10"/>
            <color indexed="81"/>
            <rFont val="Tahoma"/>
            <family val="2"/>
          </rPr>
          <t xml:space="preserve">= 35566 - Normal </t>
        </r>
        <r>
          <rPr>
            <sz val="10"/>
            <color indexed="81"/>
            <rFont val="Tahoma"/>
            <family val="2"/>
          </rPr>
          <t xml:space="preserve">* Timisoara Km Auto (Responses)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169BB6-7C4D-446F-9946-09F9475DB90B}" keepAlive="1" name="Connection" type="5" refreshedVersion="0" background="1">
    <dbPr connection="Provider=Microsoft.Mashup.OleDb.1;Data Source=$Workbook$;Location=MyQuery;Extended Properties=&quot;&quot;" commandType="0"/>
  </connection>
  <connection id="2" xr16:uid="{AE6A7948-4271-4AD5-848B-4C45B4319B27}" keepAlive="1" name="Connection1" type="5" refreshedVersion="0" background="1">
    <dbPr connection="Provider=Microsoft.Mashup.OleDb.1;Data Source=$Workbook$;Location=MyQuery;Extended Properties=&quot;&quot;" commandType="0"/>
  </connection>
  <connection id="3" xr16:uid="{89C0B66A-C8D0-418B-9EF6-0BD8ED3E57D9}" keepAlive="1" name="Connection10" type="5" refreshedVersion="0" background="1">
    <dbPr connection="Provider=Microsoft.Mashup.OleDb.1;Data Source=$Workbook$;Location=MyQuery;Extended Properties=&quot;&quot;" commandType="0"/>
  </connection>
  <connection id="4" xr16:uid="{B655A116-6ADD-48A5-88DF-76A9F15A83DB}" keepAlive="1" name="Connection11" type="5" refreshedVersion="0" background="1">
    <dbPr connection="Provider=Microsoft.Mashup.OleDb.1;Data Source=$Workbook$;Location=MyQuery;Extended Properties=&quot;&quot;" commandType="0"/>
  </connection>
  <connection id="5" xr16:uid="{BB65EDD9-F56A-4543-9AED-80500DF09964}" keepAlive="1" name="Connection12" type="5" refreshedVersion="0" background="1">
    <dbPr connection="Provider=Microsoft.Mashup.OleDb.1;Data Source=$Workbook$;Location=MyQuery;Extended Properties=&quot;&quot;" commandType="0"/>
  </connection>
  <connection id="6" xr16:uid="{C307A89B-0D4D-4628-B687-4D7BC03D94A1}" keepAlive="1" name="Connection13" type="5" refreshedVersion="0" background="1">
    <dbPr connection="Provider=Microsoft.Mashup.OleDb.1;Data Source=$Workbook$;Location=MyQuery;Extended Properties=&quot;&quot;" commandType="0"/>
  </connection>
  <connection id="7" xr16:uid="{592EB29D-82D6-4E93-8655-8D3BD521A411}" keepAlive="1" name="Connection14" type="5" refreshedVersion="0" background="1">
    <dbPr connection="Provider=Microsoft.Mashup.OleDb.1;Data Source=$Workbook$;Location=MyQuery;Extended Properties=&quot;&quot;" commandType="0"/>
  </connection>
  <connection id="8" xr16:uid="{994C9EE7-BF72-43C0-B2AC-A96D41163408}" keepAlive="1" name="Connection15" type="5" refreshedVersion="0" background="1">
    <dbPr connection="Provider=Microsoft.Mashup.OleDb.1;Data Source=$Workbook$;Location=MyQuery;Extended Properties=&quot;&quot;" commandType="0"/>
  </connection>
  <connection id="9" xr16:uid="{10285DA3-9E7D-459A-9EEE-505C6CFB9013}" keepAlive="1" name="Connection16" type="5" refreshedVersion="0" background="1">
    <dbPr connection="Provider=Microsoft.Mashup.OleDb.1;Data Source=$Workbook$;Location=MyQuery;Extended Properties=&quot;&quot;" commandType="0"/>
  </connection>
  <connection id="10" xr16:uid="{5CF41A31-A6C1-49A5-842D-C8DE01A7EB2B}" keepAlive="1" name="Connection17" type="5" refreshedVersion="0" background="1">
    <dbPr connection="Provider=Microsoft.Mashup.OleDb.1;Data Source=$Workbook$;Location=MyQuery;Extended Properties=&quot;&quot;" commandType="0"/>
  </connection>
  <connection id="11" xr16:uid="{AAA23B83-CD87-45C4-8F62-11078554BBD1}" keepAlive="1" name="Connection18" type="5" refreshedVersion="0" background="1">
    <dbPr connection="Provider=Microsoft.Mashup.OleDb.1;Data Source=$Workbook$;Location=MyQuery;Extended Properties=&quot;&quot;" commandType="0"/>
  </connection>
  <connection id="12" xr16:uid="{39961261-69C9-4A42-86D6-97787F3EF92C}" keepAlive="1" name="Connection19" type="5" refreshedVersion="0" background="1">
    <dbPr connection="Provider=Microsoft.Mashup.OleDb.1;Data Source=$Workbook$;Location=MyQuery;Extended Properties=&quot;&quot;" commandType="0"/>
  </connection>
  <connection id="13" xr16:uid="{770B5BF4-89AC-4919-AD48-B14A3803DADD}" keepAlive="1" name="Connection2" type="5" refreshedVersion="0" background="1">
    <dbPr connection="Provider=Microsoft.Mashup.OleDb.1;Data Source=$Workbook$;Location=MyQuery;Extended Properties=&quot;&quot;" commandType="0"/>
  </connection>
  <connection id="14" xr16:uid="{082ED282-AD2C-441E-9152-2CB1961C5423}" keepAlive="1" name="Connection20" type="5" refreshedVersion="0" background="1">
    <dbPr connection="Provider=Microsoft.Mashup.OleDb.1;Data Source=$Workbook$;Location=MyQuery;Extended Properties=&quot;&quot;" commandType="0"/>
  </connection>
  <connection id="15" xr16:uid="{8F03FCB3-00F5-46B2-9AF3-999BADA28472}" keepAlive="1" name="Connection21" type="5" refreshedVersion="0" background="1">
    <dbPr connection="Provider=Microsoft.Mashup.OleDb.1;Data Source=$Workbook$;Location=MyQuery;Extended Properties=&quot;&quot;" commandType="0"/>
  </connection>
  <connection id="16" xr16:uid="{84DFE045-86DC-4E35-B857-C64F595EB7B5}" keepAlive="1" name="Connection22" type="5" refreshedVersion="0" background="1">
    <dbPr connection="Provider=Microsoft.Mashup.OleDb.1;Data Source=$Workbook$;Location=MyQuery;Extended Properties=&quot;&quot;" commandType="0"/>
  </connection>
  <connection id="17" xr16:uid="{40A49956-CE0F-444F-8CA8-A7932B2604FE}" keepAlive="1" name="Connection23" type="5" refreshedVersion="0" background="1">
    <dbPr connection="Provider=Microsoft.Mashup.OleDb.1;Data Source=$Workbook$;Location=MyQuery;Extended Properties=&quot;&quot;" commandType="0"/>
  </connection>
  <connection id="18" xr16:uid="{09381566-1B18-46E6-8692-39AD5B167B8E}" keepAlive="1" name="Connection24" type="5" refreshedVersion="0" background="1">
    <dbPr connection="Provider=Microsoft.Mashup.OleDb.1;Data Source=$Workbook$;Location=MyQuery;Extended Properties=&quot;&quot;" commandType="0"/>
  </connection>
  <connection id="19" xr16:uid="{29457672-6C5D-41A5-9183-E5D6B8283E3F}" keepAlive="1" name="Connection25" type="5" refreshedVersion="0" background="1">
    <dbPr connection="Provider=Microsoft.Mashup.OleDb.1;Data Source=$Workbook$;Location=MyQuery;Extended Properties=&quot;&quot;" commandType="0"/>
  </connection>
  <connection id="20" xr16:uid="{E6BA56C8-AA57-401C-85F7-EFE7E7CFA4C9}" keepAlive="1" name="Connection26" type="5" refreshedVersion="0" background="1">
    <dbPr connection="Provider=Microsoft.Mashup.OleDb.1;Data Source=$Workbook$;Location=MyQuery;Extended Properties=&quot;&quot;" commandType="0"/>
  </connection>
  <connection id="21" xr16:uid="{266F06B3-21C6-4603-AC6E-B41EE690C6E2}" keepAlive="1" name="Connection27" type="5" refreshedVersion="8" background="1" saveData="1">
    <dbPr connection="Provider=Microsoft.Mashup.OleDb.1;Data Source=$Workbook$;Location=MyQuery;Extended Properties=&quot;&quot;" command="SELECT * FROM [MyQuery]"/>
  </connection>
  <connection id="22" xr16:uid="{FDA8ACE4-7B02-455F-92E8-6D27083996EC}" keepAlive="1" name="Connection28" type="5" refreshedVersion="0" background="1">
    <dbPr connection="Provider=Microsoft.Mashup.OleDb.1;Data Source=$Workbook$;Location=MyQuery;Extended Properties=&quot;&quot;" commandType="0"/>
  </connection>
  <connection id="23" xr16:uid="{D9A70C28-1D46-4905-B231-01E04A918D8F}" keepAlive="1" name="Connection29" type="5" refreshedVersion="8" background="1" saveData="1">
    <dbPr connection="Provider=Microsoft.Mashup.OleDb.1;Data Source=$Workbook$;Location=MyQuery;Extended Properties=&quot;&quot;" command="SELECT * FROM [MyQuery]"/>
  </connection>
  <connection id="24" xr16:uid="{92092916-B7A6-468B-A866-EADD04942395}" keepAlive="1" name="Connection3" type="5" refreshedVersion="0" background="1">
    <dbPr connection="Provider=Microsoft.Mashup.OleDb.1;Data Source=$Workbook$;Location=MyQuery;Extended Properties=&quot;&quot;" commandType="0"/>
  </connection>
  <connection id="25" xr16:uid="{38343E6F-B894-4688-BC27-5AB93D9D1338}" keepAlive="1" name="Connection30" type="5" refreshedVersion="0" background="1">
    <dbPr connection="Provider=Microsoft.Mashup.OleDb.1;Data Source=$Workbook$;Location=MyQuery;Extended Properties=&quot;&quot;" commandType="0"/>
  </connection>
  <connection id="26" xr16:uid="{D709B507-AE51-482C-895F-4B1EBB7D4A9F}" keepAlive="1" name="Connection31" type="5" refreshedVersion="0" background="1">
    <dbPr connection="Provider=Microsoft.Mashup.OleDb.1;Data Source=$Workbook$;Location=MyQuery;Extended Properties=&quot;&quot;" commandType="0"/>
  </connection>
  <connection id="27" xr16:uid="{8B426EE6-5E03-45D2-B5F5-C314A3C8FBD9}" keepAlive="1" name="Connection32" type="5" refreshedVersion="0" background="1">
    <dbPr connection="Provider=Microsoft.Mashup.OleDb.1;Data Source=$Workbook$;Location=MyQuery;Extended Properties=&quot;&quot;" commandType="0"/>
  </connection>
  <connection id="28" xr16:uid="{319CCD5F-079E-433A-895A-DBEC73351C0E}" keepAlive="1" name="Connection33" type="5" refreshedVersion="0" background="1">
    <dbPr connection="Provider=Microsoft.Mashup.OleDb.1;Data Source=$Workbook$;Location=MyQuery;Extended Properties=&quot;&quot;" commandType="0"/>
  </connection>
  <connection id="29" xr16:uid="{55436B49-E5E2-402E-A78C-D25485340ADA}" keepAlive="1" name="Connection34" type="5" refreshedVersion="0" background="1">
    <dbPr connection="Provider=Microsoft.Mashup.OleDb.1;Data Source=$Workbook$;Location=MyQuery;Extended Properties=&quot;&quot;" commandType="0"/>
  </connection>
  <connection id="30" xr16:uid="{4A36E318-874D-44BF-983E-68FF2A6FB9E7}" keepAlive="1" name="Connection35" type="5" refreshedVersion="0" background="1">
    <dbPr connection="Provider=Microsoft.Mashup.OleDb.1;Data Source=$Workbook$;Location=MyQuery;Extended Properties=&quot;&quot;" commandType="0"/>
  </connection>
  <connection id="31" xr16:uid="{38327C9C-CCB5-4EAB-A299-77DCEB983060}" keepAlive="1" name="Connection36" type="5" refreshedVersion="0" background="1">
    <dbPr connection="Provider=Microsoft.Mashup.OleDb.1;Data Source=$Workbook$;Location=MyQuery;Extended Properties=&quot;&quot;" commandType="0"/>
  </connection>
  <connection id="32" xr16:uid="{20E6D6E6-3D13-4EE1-93C5-42E813F1318F}" keepAlive="1" name="Connection37" type="5" refreshedVersion="0" background="1">
    <dbPr connection="Provider=Microsoft.Mashup.OleDb.1;Data Source=$Workbook$;Location=MyQuery;Extended Properties=&quot;&quot;" commandType="0"/>
  </connection>
  <connection id="33" xr16:uid="{26836389-8A8B-4DD3-B8E8-1B4230533F60}" keepAlive="1" name="Connection38" type="5" refreshedVersion="0" background="1">
    <dbPr connection="Provider=Microsoft.Mashup.OleDb.1;Data Source=$Workbook$;Location=MyQuery;Extended Properties=&quot;&quot;" commandType="0"/>
  </connection>
  <connection id="34" xr16:uid="{FF3B5F2F-DCDD-4BD9-9F1C-27C27E094117}" keepAlive="1" name="Connection39" type="5" refreshedVersion="0" background="1">
    <dbPr connection="Provider=Microsoft.Mashup.OleDb.1;Data Source=$Workbook$;Location=MyQuery;Extended Properties=&quot;&quot;" commandType="0"/>
  </connection>
  <connection id="35" xr16:uid="{6E545E7F-FFC4-44B5-AE37-9C3DA5D91C80}" keepAlive="1" name="Connection4" type="5" refreshedVersion="0" background="1">
    <dbPr connection="Provider=Microsoft.Mashup.OleDb.1;Data Source=$Workbook$;Location=MyQuery;Extended Properties=&quot;&quot;" commandType="0"/>
  </connection>
  <connection id="36" xr16:uid="{7D6B0DB2-B6BD-4CC5-B085-A9B3F6AA2972}" keepAlive="1" name="Connection40" type="5" refreshedVersion="0" background="1">
    <dbPr connection="Provider=Microsoft.Mashup.OleDb.1;Data Source=$Workbook$;Location=MyQuery;Extended Properties=&quot;&quot;" commandType="0"/>
  </connection>
  <connection id="37" xr16:uid="{FD74C1C4-3871-4EC4-AD56-F2E81B33DC8E}" keepAlive="1" name="Connection41" type="5" refreshedVersion="0" background="1">
    <dbPr connection="Provider=Microsoft.Mashup.OleDb.1;Data Source=$Workbook$;Location=MyQuery;Extended Properties=&quot;&quot;" commandType="0"/>
  </connection>
  <connection id="38" xr16:uid="{8E4D5D5F-0958-46E5-A29B-78EAB8D519A6}" keepAlive="1" name="Connection42" type="5" refreshedVersion="0" background="1">
    <dbPr connection="Provider=Microsoft.Mashup.OleDb.1;Data Source=$Workbook$;Location=MyQuery;Extended Properties=&quot;&quot;" commandType="0"/>
  </connection>
  <connection id="39" xr16:uid="{F4A02482-D295-4EB4-957E-E733724B08F1}" keepAlive="1" name="Connection43" type="5" refreshedVersion="0" background="1">
    <dbPr connection="Provider=Microsoft.Mashup.OleDb.1;Data Source=$Workbook$;Location=MyQuery;Extended Properties=&quot;&quot;" commandType="0"/>
  </connection>
  <connection id="40" xr16:uid="{C3F39772-7753-461E-A649-038A321E77A5}" keepAlive="1" name="Connection44" type="5" refreshedVersion="0" background="1">
    <dbPr connection="Provider=Microsoft.Mashup.OleDb.1;Data Source=$Workbook$;Location=MyQuery;Extended Properties=&quot;&quot;" commandType="0"/>
  </connection>
  <connection id="41" xr16:uid="{A5CD0AAF-AEAE-4C15-80E8-38725FF9068E}" keepAlive="1" name="Connection45" type="5" refreshedVersion="0" background="1">
    <dbPr connection="Provider=Microsoft.Mashup.OleDb.1;Data Source=$Workbook$;Location=MyQuery;Extended Properties=&quot;&quot;" commandType="0"/>
  </connection>
  <connection id="42" xr16:uid="{7905DBB1-A368-4983-8755-4E4DB084D991}" keepAlive="1" name="Connection46" type="5" refreshedVersion="0" background="1">
    <dbPr connection="Provider=Microsoft.Mashup.OleDb.1;Data Source=$Workbook$;Location=MyQuery;Extended Properties=&quot;&quot;" commandType="0"/>
  </connection>
  <connection id="43" xr16:uid="{E8E39675-3D28-49F4-8EAE-34FE5080CC2A}" keepAlive="1" name="Connection47" type="5" refreshedVersion="0" background="1">
    <dbPr connection="Provider=Microsoft.Mashup.OleDb.1;Data Source=$Workbook$;Location=MyQuery;Extended Properties=&quot;&quot;" commandType="0"/>
  </connection>
  <connection id="44" xr16:uid="{B88A9939-A8B0-4015-B0CB-8142F1DCF62F}" keepAlive="1" name="Connection48" type="5" refreshedVersion="0" background="1">
    <dbPr connection="Provider=Microsoft.Mashup.OleDb.1;Data Source=$Workbook$;Location=MyQuery;Extended Properties=&quot;&quot;" commandType="0"/>
  </connection>
  <connection id="45" xr16:uid="{256A537A-57BB-4FCD-9BB3-0095478B2B39}" keepAlive="1" name="Connection49" type="5" refreshedVersion="0" background="1">
    <dbPr connection="Provider=Microsoft.Mashup.OleDb.1;Data Source=$Workbook$;Location=MyQuery;Extended Properties=&quot;&quot;" commandType="0"/>
  </connection>
  <connection id="46" xr16:uid="{78CDF998-0264-49F7-9D72-4A9072142CE6}" keepAlive="1" name="Connection5" type="5" refreshedVersion="0" background="1">
    <dbPr connection="Provider=Microsoft.Mashup.OleDb.1;Data Source=$Workbook$;Location=MyQuery;Extended Properties=&quot;&quot;" commandType="0"/>
  </connection>
  <connection id="47" xr16:uid="{DFC3E344-062F-4AFD-B7A1-6522F07D36DF}" keepAlive="1" name="Connection50" type="5" refreshedVersion="0" background="1">
    <dbPr connection="Provider=Microsoft.Mashup.OleDb.1;Data Source=$Workbook$;Location=MyQuery;Extended Properties=&quot;&quot;" commandType="0"/>
  </connection>
  <connection id="48" xr16:uid="{6C09E926-0E41-4F1B-9F8E-515C998C1ADC}" keepAlive="1" name="Connection51" type="5" refreshedVersion="0" background="1">
    <dbPr connection="Provider=Microsoft.Mashup.OleDb.1;Data Source=$Workbook$;Location=MyQuery;Extended Properties=&quot;&quot;" commandType="0"/>
  </connection>
  <connection id="49" xr16:uid="{B5410C4E-5532-4866-8008-38117694596A}" keepAlive="1" name="Connection52" type="5" refreshedVersion="0" background="1">
    <dbPr connection="Provider=Microsoft.Mashup.OleDb.1;Data Source=$Workbook$;Location=MyQuery;Extended Properties=&quot;&quot;" commandType="0"/>
  </connection>
  <connection id="50" xr16:uid="{C57BB73D-0714-44C1-AA99-BFC1AA15608F}" keepAlive="1" name="Connection53" type="5" refreshedVersion="0" background="1">
    <dbPr connection="Provider=Microsoft.Mashup.OleDb.1;Data Source=$Workbook$;Location=MyQuery;Extended Properties=&quot;&quot;" commandType="0"/>
  </connection>
  <connection id="51" xr16:uid="{4779743C-FBB1-4FD8-80C9-69E7826A8ABC}" keepAlive="1" name="Connection54" type="5" refreshedVersion="0" background="1">
    <dbPr connection="Provider=Microsoft.Mashup.OleDb.1;Data Source=$Workbook$;Location=MyQuery;Extended Properties=&quot;&quot;" commandType="0"/>
  </connection>
  <connection id="52" xr16:uid="{F9C83E75-AEB1-4D88-818F-2B27CC0AD717}" keepAlive="1" name="Connection55" type="5" refreshedVersion="0" background="1">
    <dbPr connection="Provider=Microsoft.Mashup.OleDb.1;Data Source=$Workbook$;Location=MyQuery;Extended Properties=&quot;&quot;" commandType="0"/>
  </connection>
  <connection id="53" xr16:uid="{F4BA070F-E537-48F1-8B39-DDE3F74044C9}" keepAlive="1" name="Connection56" type="5" refreshedVersion="0" background="1">
    <dbPr connection="Provider=Microsoft.Mashup.OleDb.1;Data Source=$Workbook$;Location=MyQuery;Extended Properties=&quot;&quot;" commandType="0"/>
  </connection>
  <connection id="54" xr16:uid="{CC74DC86-5545-4C31-867D-DD4EAD068559}" keepAlive="1" name="Connection57" type="5" refreshedVersion="0" background="1">
    <dbPr connection="Provider=Microsoft.Mashup.OleDb.1;Data Source=$Workbook$;Location=MyQuery;Extended Properties=&quot;&quot;" commandType="0"/>
  </connection>
  <connection id="55" xr16:uid="{7EC2C976-2FC2-4972-A3FD-0F23BB797344}" keepAlive="1" name="Connection58" type="5" refreshedVersion="0" background="1">
    <dbPr connection="Provider=Microsoft.Mashup.OleDb.1;Data Source=$Workbook$;Location=MyQuery;Extended Properties=&quot;&quot;" commandType="0"/>
  </connection>
  <connection id="56" xr16:uid="{43977D6D-D7A4-46DF-9745-6714CEEEC042}" keepAlive="1" name="Connection59" type="5" refreshedVersion="0" background="1">
    <dbPr connection="Provider=Microsoft.Mashup.OleDb.1;Data Source=$Workbook$;Location=MyQuery;Extended Properties=&quot;&quot;" commandType="0"/>
  </connection>
  <connection id="57" xr16:uid="{CC8720A8-12E9-40E1-A686-2AF61113ECCA}" keepAlive="1" name="Connection6" type="5" refreshedVersion="0" background="1">
    <dbPr connection="Provider=Microsoft.Mashup.OleDb.1;Data Source=$Workbook$;Location=MyQuery;Extended Properties=&quot;&quot;" commandType="0"/>
  </connection>
  <connection id="58" xr16:uid="{8D98BF40-C8A4-480C-986D-E94B17BB4809}" keepAlive="1" name="Connection60" type="5" refreshedVersion="0" background="1">
    <dbPr connection="Provider=Microsoft.Mashup.OleDb.1;Data Source=$Workbook$;Location=MyQuery;Extended Properties=&quot;&quot;" commandType="0"/>
  </connection>
  <connection id="59" xr16:uid="{10A1575A-4A3E-4D80-8240-F3D7E35B8DEB}" keepAlive="1" name="Connection61" type="5" refreshedVersion="0" background="1">
    <dbPr connection="Provider=Microsoft.Mashup.OleDb.1;Data Source=$Workbook$;Location=MyQuery;Extended Properties=&quot;&quot;" commandType="0"/>
  </connection>
  <connection id="60" xr16:uid="{6636987A-49DF-4186-86FB-EABE0F6662C8}" keepAlive="1" name="Connection62" type="5" refreshedVersion="0" background="1">
    <dbPr connection="Provider=Microsoft.Mashup.OleDb.1;Data Source=$Workbook$;Location=MyQuery;Extended Properties=&quot;&quot;" commandType="0"/>
  </connection>
  <connection id="61" xr16:uid="{D11DB089-8142-4C63-8A95-94A1AFE6BE80}" keepAlive="1" name="Connection63" type="5" refreshedVersion="0" background="1">
    <dbPr connection="Provider=Microsoft.Mashup.OleDb.1;Data Source=$Workbook$;Location=MyQuery;Extended Properties=&quot;&quot;" commandType="0"/>
  </connection>
  <connection id="62" xr16:uid="{CAF1F001-92E2-4595-B4EB-26C95E744364}" keepAlive="1" name="Connection64" type="5" refreshedVersion="0" background="1">
    <dbPr connection="Provider=Microsoft.Mashup.OleDb.1;Data Source=$Workbook$;Location=MyQuery;Extended Properties=&quot;&quot;" commandType="0"/>
  </connection>
  <connection id="63" xr16:uid="{338912D4-8CEA-486C-BC76-CA8199B4E199}" keepAlive="1" name="Connection65" type="5" refreshedVersion="0" background="1">
    <dbPr connection="Provider=Microsoft.Mashup.OleDb.1;Data Source=$Workbook$;Location=MyQuery;Extended Properties=&quot;&quot;" commandType="0"/>
  </connection>
  <connection id="64" xr16:uid="{F5E21C0B-84DF-4E53-A1B1-A224F4FD9388}" keepAlive="1" name="Connection66" type="5" refreshedVersion="0" background="1">
    <dbPr connection="Provider=Microsoft.Mashup.OleDb.1;Data Source=$Workbook$;Location=MyQuery;Extended Properties=&quot;&quot;" commandType="0"/>
  </connection>
  <connection id="65" xr16:uid="{D2DDFC62-E7FA-4E15-A689-6A788785DF19}" keepAlive="1" name="Connection67" type="5" refreshedVersion="0" background="1">
    <dbPr connection="Provider=Microsoft.Mashup.OleDb.1;Data Source=$Workbook$;Location=MyQuery;Extended Properties=&quot;&quot;" commandType="0"/>
  </connection>
  <connection id="66" xr16:uid="{6D26496D-F17A-4D79-92D1-A5FE7EEE7A90}" keepAlive="1" name="Connection68" type="5" refreshedVersion="0" background="1">
    <dbPr connection="Provider=Microsoft.Mashup.OleDb.1;Data Source=$Workbook$;Location=MyQuery;Extended Properties=&quot;&quot;" commandType="0"/>
  </connection>
  <connection id="67" xr16:uid="{23F02684-2686-459C-ADF5-FE819449000F}" keepAlive="1" name="Connection69" type="5" refreshedVersion="0" background="1">
    <dbPr connection="Provider=Microsoft.Mashup.OleDb.1;Data Source=$Workbook$;Location=MyQuery;Extended Properties=&quot;&quot;" commandType="0"/>
  </connection>
  <connection id="68" xr16:uid="{26683727-0807-4A10-8FE4-F7D691EACD19}" keepAlive="1" name="Connection7" type="5" refreshedVersion="0" background="1">
    <dbPr connection="Provider=Microsoft.Mashup.OleDb.1;Data Source=$Workbook$;Location=MyQuery;Extended Properties=&quot;&quot;" commandType="0"/>
  </connection>
  <connection id="69" xr16:uid="{3F6B4540-1558-4137-9ED9-D35FE4F8B55E}" keepAlive="1" name="Connection70" type="5" refreshedVersion="0" background="1">
    <dbPr connection="Provider=Microsoft.Mashup.OleDb.1;Data Source=$Workbook$;Location=MyQuery;Extended Properties=&quot;&quot;" commandType="0"/>
  </connection>
  <connection id="70" xr16:uid="{2C2F33E3-3A8C-4927-847E-8E4374E1A72F}" keepAlive="1" name="Connection71" type="5" refreshedVersion="0" background="1">
    <dbPr connection="Provider=Microsoft.Mashup.OleDb.1;Data Source=$Workbook$;Location=MyQuery;Extended Properties=&quot;&quot;" commandType="0"/>
  </connection>
  <connection id="71" xr16:uid="{1459ACBC-BA0C-45B8-A25A-C9AF80796DD5}" keepAlive="1" name="Connection72" type="5" refreshedVersion="0" background="1">
    <dbPr connection="Provider=Microsoft.Mashup.OleDb.1;Data Source=$Workbook$;Location=MyQuery;Extended Properties=&quot;&quot;" commandType="0"/>
  </connection>
  <connection id="72" xr16:uid="{C3ADFAE5-6F58-4E62-802B-952039909460}" keepAlive="1" name="Connection73" type="5" refreshedVersion="0" background="1">
    <dbPr connection="Provider=Microsoft.Mashup.OleDb.1;Data Source=$Workbook$;Location=MyQuery;Extended Properties=&quot;&quot;" commandType="0"/>
  </connection>
  <connection id="73" xr16:uid="{7B3B7094-4820-4575-96E7-3903F1CE5015}" keepAlive="1" name="Connection74" type="5" refreshedVersion="0" background="1">
    <dbPr connection="Provider=Microsoft.Mashup.OleDb.1;Data Source=$Workbook$;Location=MyQuery;Extended Properties=&quot;&quot;" commandType="0"/>
  </connection>
  <connection id="74" xr16:uid="{9E0851F2-B946-4E16-85F3-21A57AE8E7A4}" keepAlive="1" name="Connection75" type="5" refreshedVersion="0" background="1">
    <dbPr connection="Provider=Microsoft.Mashup.OleDb.1;Data Source=$Workbook$;Location=MyQuery;Extended Properties=&quot;&quot;" commandType="0"/>
  </connection>
  <connection id="75" xr16:uid="{2D54FBC0-ED2E-4390-98AD-05FBABB5DE1C}" keepAlive="1" name="Connection76" type="5" refreshedVersion="0" background="1">
    <dbPr connection="Provider=Microsoft.Mashup.OleDb.1;Data Source=$Workbook$;Location=MyQuery;Extended Properties=&quot;&quot;" commandType="0"/>
  </connection>
  <connection id="76" xr16:uid="{376DBBE7-7F40-44F0-979C-4B62E158312A}" keepAlive="1" name="Connection77" type="5" refreshedVersion="0" background="1">
    <dbPr connection="Provider=Microsoft.Mashup.OleDb.1;Data Source=$Workbook$;Location=MyQuery;Extended Properties=&quot;&quot;" commandType="0"/>
  </connection>
  <connection id="77" xr16:uid="{2C19661C-940F-4BAF-8C16-7DA8B44181D6}" keepAlive="1" name="Connection78" type="5" refreshedVersion="0" background="1">
    <dbPr connection="Provider=Microsoft.Mashup.OleDb.1;Data Source=$Workbook$;Location=MyQuery;Extended Properties=&quot;&quot;" commandType="0"/>
  </connection>
  <connection id="78" xr16:uid="{B2E99CDC-560E-4A50-8AC9-74D5E383555C}" keepAlive="1" name="Connection79" type="5" refreshedVersion="0" background="1">
    <dbPr connection="Provider=Microsoft.Mashup.OleDb.1;Data Source=$Workbook$;Location=MyQuery;Extended Properties=&quot;&quot;" commandType="0"/>
  </connection>
  <connection id="79" xr16:uid="{B234AAA1-805D-41C2-BB88-B57D15CA34A7}" keepAlive="1" name="Connection8" type="5" refreshedVersion="0" background="1">
    <dbPr connection="Provider=Microsoft.Mashup.OleDb.1;Data Source=$Workbook$;Location=MyQuery;Extended Properties=&quot;&quot;" commandType="0"/>
  </connection>
  <connection id="80" xr16:uid="{3A85173B-CBAD-4672-A90A-8711D12BD6B4}" keepAlive="1" name="Connection80" type="5" refreshedVersion="0" background="1">
    <dbPr connection="Provider=Microsoft.Mashup.OleDb.1;Data Source=$Workbook$;Location=MyQuery;Extended Properties=&quot;&quot;" commandType="0"/>
  </connection>
  <connection id="81" xr16:uid="{B3D4116F-9FFC-4B67-B276-615F72B771B1}" keepAlive="1" name="Connection81" type="5" refreshedVersion="0" background="1">
    <dbPr connection="Provider=Microsoft.Mashup.OleDb.1;Data Source=$Workbook$;Location=MyQuery;Extended Properties=&quot;&quot;" commandType="0"/>
  </connection>
  <connection id="82" xr16:uid="{F1B762F8-290B-465A-AD61-36B582A10FAA}" keepAlive="1" name="Connection82" type="5" refreshedVersion="0" background="1">
    <dbPr connection="Provider=Microsoft.Mashup.OleDb.1;Data Source=$Workbook$;Location=MyQuery;Extended Properties=&quot;&quot;" commandType="0"/>
  </connection>
  <connection id="83" xr16:uid="{F24ECFDA-3C59-4081-B7DC-FEAD656CA581}" keepAlive="1" name="Connection83" type="5" refreshedVersion="0" background="1">
    <dbPr connection="Provider=Microsoft.Mashup.OleDb.1;Data Source=$Workbook$;Location=MyQuery;Extended Properties=&quot;&quot;" commandType="0"/>
  </connection>
  <connection id="84" xr16:uid="{B82FB08A-F08A-49D5-8039-267CECC581FC}" keepAlive="1" name="Connection84" type="5" refreshedVersion="0" background="1">
    <dbPr connection="Provider=Microsoft.Mashup.OleDb.1;Data Source=$Workbook$;Location=MyQuery;Extended Properties=&quot;&quot;" commandType="0"/>
  </connection>
  <connection id="85" xr16:uid="{BDB914DA-5E71-4C93-897A-C26D1921E402}" keepAlive="1" name="Connection85" type="5" refreshedVersion="0" background="1">
    <dbPr connection="Provider=Microsoft.Mashup.OleDb.1;Data Source=$Workbook$;Location=MyQuery;Extended Properties=&quot;&quot;" commandType="0"/>
  </connection>
  <connection id="86" xr16:uid="{2538627B-28D3-40D3-A045-420F29B6D5E2}" keepAlive="1" name="Connection86" type="5" refreshedVersion="0" background="1">
    <dbPr connection="Provider=Microsoft.Mashup.OleDb.1;Data Source=$Workbook$;Location=MyQuery;Extended Properties=&quot;&quot;" commandType="0"/>
  </connection>
  <connection id="87" xr16:uid="{81EF598C-67BE-49E0-8EF6-A9644159840A}" keepAlive="1" name="Connection87" type="5" refreshedVersion="0" background="1">
    <dbPr connection="Provider=Microsoft.Mashup.OleDb.1;Data Source=$Workbook$;Location=MyQuery;Extended Properties=&quot;&quot;" commandType="0"/>
  </connection>
  <connection id="88" xr16:uid="{F47097E0-0ED4-4AAF-8B4A-3690A6675E2E}" keepAlive="1" name="Connection88" type="5" refreshedVersion="0" background="1">
    <dbPr connection="Provider=Microsoft.Mashup.OleDb.1;Data Source=$Workbook$;Location=MyQuery;Extended Properties=&quot;&quot;" commandType="0"/>
  </connection>
  <connection id="89" xr16:uid="{F5DD8610-F683-4335-A571-2FA1508B7CE4}" keepAlive="1" name="Connection89" type="5" refreshedVersion="0" background="1">
    <dbPr connection="Provider=Microsoft.Mashup.OleDb.1;Data Source=$Workbook$;Location=MyQuery;Extended Properties=&quot;&quot;" commandType="0"/>
  </connection>
  <connection id="90" xr16:uid="{8D31C532-47FD-4ED3-8CCB-B69337EA13B9}" keepAlive="1" name="Connection9" type="5" refreshedVersion="0" background="1">
    <dbPr connection="Provider=Microsoft.Mashup.OleDb.1;Data Source=$Workbook$;Location=MyQuery;Extended Properties=&quot;&quot;" commandType="0"/>
  </connection>
  <connection id="91" xr16:uid="{44D0E03A-6EBE-4733-BB73-4C0D4E2E0A58}" keepAlive="1" name="Connection90" type="5" refreshedVersion="0" background="1">
    <dbPr connection="Provider=Microsoft.Mashup.OleDb.1;Data Source=$Workbook$;Location=MyQuery;Extended Properties=&quot;&quot;" commandType="0"/>
  </connection>
  <connection id="92" xr16:uid="{C5C5583B-173F-468E-B982-33C0A86D377F}" keepAlive="1" name="Connection91" type="5" refreshedVersion="0" background="1">
    <dbPr connection="Provider=Microsoft.Mashup.OleDb.1;Data Source=$Workbook$;Location=MyQuery;Extended Properties=&quot;&quot;" commandType="0"/>
  </connection>
  <connection id="93" xr16:uid="{24B81DAC-1596-4A40-95B9-3C4E6C6DC9D0}" keepAlive="1" name="Connection92" type="5" refreshedVersion="0" background="1">
    <dbPr connection="Provider=Microsoft.Mashup.OleDb.1;Data Source=$Workbook$;Location=MyQuery;Extended Properties=&quot;&quot;" commandType="0"/>
  </connection>
  <connection id="94" xr16:uid="{446D84B8-95D1-4F9D-BDA7-4BE238EA27B3}" keepAlive="1" name="Connection93" type="5" refreshedVersion="0" background="1">
    <dbPr connection="Provider=Microsoft.Mashup.OleDb.1;Data Source=$Workbook$;Location=MyQuery;Extended Properties=&quot;&quot;" commandType="0"/>
  </connection>
  <connection id="95" xr16:uid="{D271E8C2-D898-416B-AF77-285D84E18634}" keepAlive="1" name="Connection94" type="5" refreshedVersion="0" background="1">
    <dbPr connection="Provider=Microsoft.Mashup.OleDb.1;Data Source=$Workbook$;Location=MyQuery;Extended Properties=&quot;&quot;" commandType="0"/>
  </connection>
  <connection id="96" xr16:uid="{D1CF28BB-74E4-49D0-A6FB-62ADA4462935}" keepAlive="1" name="Connection95" type="5" refreshedVersion="0" background="1">
    <dbPr connection="Provider=Microsoft.Mashup.OleDb.1;Data Source=$Workbook$;Location=MyQuery;Extended Properties=&quot;&quot;" commandType="0"/>
  </connection>
  <connection id="97" xr16:uid="{D927AD5A-B404-461C-AFCA-27A70F26FD14}" keepAlive="1" name="Connection96" type="5" refreshedVersion="8" background="1" saveData="1">
    <dbPr connection="Provider=Microsoft.Mashup.OleDb.1;Data Source=$Workbook$;Location=MyQuery;Extended Properties=&quot;&quot;" command="SELECT * FROM [MyQuery]"/>
  </connection>
</connections>
</file>

<file path=xl/sharedStrings.xml><?xml version="1.0" encoding="utf-8"?>
<sst xmlns="http://schemas.openxmlformats.org/spreadsheetml/2006/main" count="3555" uniqueCount="362">
  <si>
    <t>Numar</t>
  </si>
  <si>
    <t>Marca</t>
  </si>
  <si>
    <t>Model</t>
  </si>
  <si>
    <t>Filiala</t>
  </si>
  <si>
    <t>Utilizator</t>
  </si>
  <si>
    <t>Retinere</t>
  </si>
  <si>
    <t>Limita 
km / sapt</t>
  </si>
  <si>
    <t>Tip 
carburant</t>
  </si>
  <si>
    <t>Consum 
mediu 
estimat</t>
  </si>
  <si>
    <t>B-803-CLT</t>
  </si>
  <si>
    <t>Ford</t>
  </si>
  <si>
    <t>Focus</t>
  </si>
  <si>
    <t>Bucuresti</t>
  </si>
  <si>
    <t>Apostol Cristian</t>
  </si>
  <si>
    <t>Da</t>
  </si>
  <si>
    <t>Motorina</t>
  </si>
  <si>
    <t>B-185-CLT</t>
  </si>
  <si>
    <t>Skoda</t>
  </si>
  <si>
    <t>Octavia</t>
  </si>
  <si>
    <t>Brasov</t>
  </si>
  <si>
    <t>Iulia Stefanescu</t>
  </si>
  <si>
    <t>B-83-CLT</t>
  </si>
  <si>
    <t>Transit</t>
  </si>
  <si>
    <t>Darjan Alexandru</t>
  </si>
  <si>
    <t>B-202-CLT</t>
  </si>
  <si>
    <t>Chiriac Cristian</t>
  </si>
  <si>
    <t>B-196-CLT</t>
  </si>
  <si>
    <t>Leonte Florin</t>
  </si>
  <si>
    <t>B-216-CLT</t>
  </si>
  <si>
    <t>B-192-CLT</t>
  </si>
  <si>
    <t>Csaba Budai</t>
  </si>
  <si>
    <t>B-129-CLT</t>
  </si>
  <si>
    <t>Peugeot</t>
  </si>
  <si>
    <t>Partner</t>
  </si>
  <si>
    <t>Mihai Constantin-Dan</t>
  </si>
  <si>
    <t>B-925-CLT</t>
  </si>
  <si>
    <t>Scala</t>
  </si>
  <si>
    <t>Pirnacu Razvan</t>
  </si>
  <si>
    <t>Benzina</t>
  </si>
  <si>
    <t>B-182-CLT</t>
  </si>
  <si>
    <t>Salajan Cristian</t>
  </si>
  <si>
    <t>B-143-CLT</t>
  </si>
  <si>
    <t>Ilie Petrica</t>
  </si>
  <si>
    <t>B-904-CLT</t>
  </si>
  <si>
    <t>Turcu Ionut</t>
  </si>
  <si>
    <t>B-147-CLT</t>
  </si>
  <si>
    <t>Duinea Razvan</t>
  </si>
  <si>
    <t>B-146-CLT</t>
  </si>
  <si>
    <t>Ciurar Marian</t>
  </si>
  <si>
    <t>B-905-CLT</t>
  </si>
  <si>
    <t>Flavius Oltean</t>
  </si>
  <si>
    <t>B-158-CLT</t>
  </si>
  <si>
    <t>Boxer</t>
  </si>
  <si>
    <t>Ionescu Florin</t>
  </si>
  <si>
    <t>B-157-CLT</t>
  </si>
  <si>
    <t>Danete Cristian</t>
  </si>
  <si>
    <t>B-159-CLT</t>
  </si>
  <si>
    <t>Dinita Marius</t>
  </si>
  <si>
    <t>Radu Paul</t>
  </si>
  <si>
    <t>B-145-CLT</t>
  </si>
  <si>
    <t>Catalin Velcescu</t>
  </si>
  <si>
    <t>B-155-CLT</t>
  </si>
  <si>
    <t>Nitu Iulian</t>
  </si>
  <si>
    <t>B-28-CLT</t>
  </si>
  <si>
    <t>Popa Dumitru</t>
  </si>
  <si>
    <t>B-888-CSN</t>
  </si>
  <si>
    <t>Superb</t>
  </si>
  <si>
    <t>Bogdan Butufei</t>
  </si>
  <si>
    <t>B-16-CLT</t>
  </si>
  <si>
    <t>Ghimis Marian</t>
  </si>
  <si>
    <t>B-777-CLT</t>
  </si>
  <si>
    <t>Barascu Marius</t>
  </si>
  <si>
    <t>B-144-CLT</t>
  </si>
  <si>
    <t>Andrei Rus</t>
  </si>
  <si>
    <t>B-601-CLT</t>
  </si>
  <si>
    <t>Andrei Marian</t>
  </si>
  <si>
    <t>B-156-CLT</t>
  </si>
  <si>
    <t>Paun Alexandru</t>
  </si>
  <si>
    <t>B-884-CLT</t>
  </si>
  <si>
    <t>Boncu Alexandru</t>
  </si>
  <si>
    <t>B-24-CLT</t>
  </si>
  <si>
    <t>Tanase Nicolae</t>
  </si>
  <si>
    <t>B-224-CLT</t>
  </si>
  <si>
    <t>Bogdan Gheorghe</t>
  </si>
  <si>
    <t>B-141-CLT</t>
  </si>
  <si>
    <t>KPO Computers SRL</t>
  </si>
  <si>
    <t>B-209-CLT</t>
  </si>
  <si>
    <t>Florin Costescu</t>
  </si>
  <si>
    <t>B-138-CLT</t>
  </si>
  <si>
    <t>Stefanescu Catalin</t>
  </si>
  <si>
    <t>B-225-CLT</t>
  </si>
  <si>
    <t>Catalin Bursuc</t>
  </si>
  <si>
    <t>B-122-CLT</t>
  </si>
  <si>
    <t>Valentin Baja</t>
  </si>
  <si>
    <t>B-183-CLT</t>
  </si>
  <si>
    <t>Alexandru Streza</t>
  </si>
  <si>
    <t>B-907-CLT</t>
  </si>
  <si>
    <t>Marghidan Mihai</t>
  </si>
  <si>
    <t>B-913-CLT</t>
  </si>
  <si>
    <t>Fabia</t>
  </si>
  <si>
    <t>Gabriel Sasu</t>
  </si>
  <si>
    <t>B-223-CLT</t>
  </si>
  <si>
    <t>Cluj</t>
  </si>
  <si>
    <t>Marius Neaga</t>
  </si>
  <si>
    <t>B-303-CLT</t>
  </si>
  <si>
    <t>Mondeo</t>
  </si>
  <si>
    <t>Muntean Cristian</t>
  </si>
  <si>
    <t>B-250-CLT</t>
  </si>
  <si>
    <t>Graur Vasile</t>
  </si>
  <si>
    <t>B-199-CLT</t>
  </si>
  <si>
    <t>Szabo Francisc Szolt</t>
  </si>
  <si>
    <t>IF-18-CLT</t>
  </si>
  <si>
    <t>Popeiu Andrei-Ioan</t>
  </si>
  <si>
    <t>B-553-CLT</t>
  </si>
  <si>
    <t>Anicai Adrian</t>
  </si>
  <si>
    <t>B-924-CLT</t>
  </si>
  <si>
    <t>B-444-CLT</t>
  </si>
  <si>
    <t>Abrudan Liviu</t>
  </si>
  <si>
    <t>B-187-CLT</t>
  </si>
  <si>
    <t>B-188-CLT</t>
  </si>
  <si>
    <t>Oradea</t>
  </si>
  <si>
    <t>Francisc Albert</t>
  </si>
  <si>
    <t>B-802-CLT</t>
  </si>
  <si>
    <t>Adrian Caba</t>
  </si>
  <si>
    <t>Crisan Marius</t>
  </si>
  <si>
    <t>B-181-CLT</t>
  </si>
  <si>
    <t>Robert Gall</t>
  </si>
  <si>
    <t>B-806-CLT</t>
  </si>
  <si>
    <t>B-920-CLT</t>
  </si>
  <si>
    <t>Constanta</t>
  </si>
  <si>
    <t>Mavrodin Bogdan</t>
  </si>
  <si>
    <t>B-911-CLT</t>
  </si>
  <si>
    <t>Stefanut Fratila</t>
  </si>
  <si>
    <t>B-116-CLT</t>
  </si>
  <si>
    <t>Gabriel Gheorghe</t>
  </si>
  <si>
    <t>B-125-CLT</t>
  </si>
  <si>
    <t>Marinescu Ionut</t>
  </si>
  <si>
    <t>B-134-CLT</t>
  </si>
  <si>
    <t>Daniel Petrescu</t>
  </si>
  <si>
    <t>B-801-CLT</t>
  </si>
  <si>
    <t>Mamaliga Ciprian</t>
  </si>
  <si>
    <t>B-228-CLT</t>
  </si>
  <si>
    <t>Berchiu Liviu</t>
  </si>
  <si>
    <t>B-912-CLT</t>
  </si>
  <si>
    <t>Viorel Stoica</t>
  </si>
  <si>
    <t>B-207-CLT</t>
  </si>
  <si>
    <t>Antonio Leca</t>
  </si>
  <si>
    <t>B-770-CLT</t>
  </si>
  <si>
    <t>Hanu Mircea</t>
  </si>
  <si>
    <t>B-440-CLT</t>
  </si>
  <si>
    <t>Stefan Silviu</t>
  </si>
  <si>
    <t>B-118-CLT</t>
  </si>
  <si>
    <t>Vasile Dragomir</t>
  </si>
  <si>
    <t>B-198-CLT</t>
  </si>
  <si>
    <t>Filip Andrei</t>
  </si>
  <si>
    <t>B-880-CLT</t>
  </si>
  <si>
    <t>B-210-CLT</t>
  </si>
  <si>
    <t>Craiova</t>
  </si>
  <si>
    <t>Liviu Mangheru</t>
  </si>
  <si>
    <t>B-923-CLT</t>
  </si>
  <si>
    <t>Tica Vicentiu</t>
  </si>
  <si>
    <t>IF-15-CLT</t>
  </si>
  <si>
    <t>Dinu Cosmin</t>
  </si>
  <si>
    <t>B-221-CLT</t>
  </si>
  <si>
    <t>Nicu Craciun</t>
  </si>
  <si>
    <t>B-552-CLT</t>
  </si>
  <si>
    <t>Tica Angel</t>
  </si>
  <si>
    <t>B-902-CLT</t>
  </si>
  <si>
    <t>Dumitriu Stefan</t>
  </si>
  <si>
    <t>B-44-CLT</t>
  </si>
  <si>
    <t>Radu Constantin</t>
  </si>
  <si>
    <t>IF-08-CLT</t>
  </si>
  <si>
    <t>Tismanaru Florin</t>
  </si>
  <si>
    <t>B-809-CLT</t>
  </si>
  <si>
    <t>Galati</t>
  </si>
  <si>
    <t>Mocanu Sebastian</t>
  </si>
  <si>
    <t>B-194-CLT</t>
  </si>
  <si>
    <t>Barbu Catalin</t>
  </si>
  <si>
    <t>Ciprian Nedelcu</t>
  </si>
  <si>
    <t>B-208-CLT</t>
  </si>
  <si>
    <t>B-800-CLT</t>
  </si>
  <si>
    <t>Postolache Razvan</t>
  </si>
  <si>
    <t>B-151-CLT</t>
  </si>
  <si>
    <t>Miron Silviu</t>
  </si>
  <si>
    <t>B-193-CLT</t>
  </si>
  <si>
    <t>Rusu Cornelia</t>
  </si>
  <si>
    <t>B-240-CLT</t>
  </si>
  <si>
    <t>Iasi</t>
  </si>
  <si>
    <t>Iulian Padurariu</t>
  </si>
  <si>
    <t>B-901-CLT</t>
  </si>
  <si>
    <t>Bejan Florin</t>
  </si>
  <si>
    <t>B-229-CLT</t>
  </si>
  <si>
    <t>Sorin Drumea</t>
  </si>
  <si>
    <t>B-126-CLT</t>
  </si>
  <si>
    <t>Bursuc Bogdan</t>
  </si>
  <si>
    <t>B-172-CLT</t>
  </si>
  <si>
    <t>B-554-CLT</t>
  </si>
  <si>
    <t>Asavoaiei Eugen</t>
  </si>
  <si>
    <t>B-205-CLT</t>
  </si>
  <si>
    <t>Militari</t>
  </si>
  <si>
    <t>Mazilescu Nadia</t>
  </si>
  <si>
    <t>B-805-CLT</t>
  </si>
  <si>
    <t>Neacsu Adrian-Marian</t>
  </si>
  <si>
    <t>B-807-CLT</t>
  </si>
  <si>
    <t>Calin Mihai</t>
  </si>
  <si>
    <t>B-921-CLT</t>
  </si>
  <si>
    <t>Olteanu Florin</t>
  </si>
  <si>
    <t>B-917-CLT</t>
  </si>
  <si>
    <t>Otopeni</t>
  </si>
  <si>
    <t>Gradinaru Eugen</t>
  </si>
  <si>
    <t>B-804-CLT</t>
  </si>
  <si>
    <t>Iulian Vlad</t>
  </si>
  <si>
    <t>B-139-CLT</t>
  </si>
  <si>
    <t>Gania Razvan-Alexandru</t>
  </si>
  <si>
    <t>B-903-CLT</t>
  </si>
  <si>
    <t>Cristea Razvan</t>
  </si>
  <si>
    <t>B-915-CLT</t>
  </si>
  <si>
    <t>Gania Marius</t>
  </si>
  <si>
    <t>B-882-CLT</t>
  </si>
  <si>
    <t>Florea Georgel</t>
  </si>
  <si>
    <t>B-215-CLT</t>
  </si>
  <si>
    <t>Stoica Ionut</t>
  </si>
  <si>
    <t>B-218-CLT</t>
  </si>
  <si>
    <t>Sorin Ungureanu</t>
  </si>
  <si>
    <t>B-333-CLT</t>
  </si>
  <si>
    <t>Sibiu</t>
  </si>
  <si>
    <t>B-906-CLT</t>
  </si>
  <si>
    <t>Bobes Lia</t>
  </si>
  <si>
    <t>B-197-CLT</t>
  </si>
  <si>
    <t>B-117-CLT</t>
  </si>
  <si>
    <t>Timisoara</t>
  </si>
  <si>
    <t>Velescu Marian Ilie</t>
  </si>
  <si>
    <t>B-121-CLT</t>
  </si>
  <si>
    <t>Curca Gabriel</t>
  </si>
  <si>
    <t>B-184-CLT</t>
  </si>
  <si>
    <t>Adriana Trusca</t>
  </si>
  <si>
    <t>B-212-CLT</t>
  </si>
  <si>
    <t>Oroseanu Stefan</t>
  </si>
  <si>
    <t>B-29-CLT</t>
  </si>
  <si>
    <t>Skoda-</t>
  </si>
  <si>
    <t>Nistoran Silviu</t>
  </si>
  <si>
    <t>B-551-CLT</t>
  </si>
  <si>
    <t>Radu Gheorghe</t>
  </si>
  <si>
    <t>B-916-CLT</t>
  </si>
  <si>
    <t>Ghiran Sorin</t>
  </si>
  <si>
    <t xml:space="preserve">02 - 05.09 km
</t>
  </si>
  <si>
    <t>Km
rulati</t>
  </si>
  <si>
    <t>Depasire
limita</t>
  </si>
  <si>
    <t>Km
la plata</t>
  </si>
  <si>
    <t>Litri
consumati</t>
  </si>
  <si>
    <t>Pret
combustibil</t>
  </si>
  <si>
    <t xml:space="preserve">09 - 12.09 km
</t>
  </si>
  <si>
    <t xml:space="preserve">16 - 19.09 km
</t>
  </si>
  <si>
    <t xml:space="preserve">23 - 26.09 km
</t>
  </si>
  <si>
    <t xml:space="preserve">30.09 - 03.10 km
</t>
  </si>
  <si>
    <t>Total km 
de plata</t>
  </si>
  <si>
    <t>Total lei 
de plata din venit personal</t>
  </si>
  <si>
    <t xml:space="preserve">La plata
</t>
  </si>
  <si>
    <t>Legenda</t>
  </si>
  <si>
    <t>Utilizatorul nu a introdus km</t>
  </si>
  <si>
    <t>Utilizatorul a introdus km o singura data</t>
  </si>
  <si>
    <t>Utilizatorul a introdus corect km</t>
  </si>
  <si>
    <t>Numar de km foarte mare</t>
  </si>
  <si>
    <t>Indexe km inversate</t>
  </si>
  <si>
    <t>De ferificat</t>
  </si>
  <si>
    <t>Note</t>
  </si>
  <si>
    <t xml:space="preserve">Primul index din interval poate avea orice status </t>
  </si>
  <si>
    <t xml:space="preserve">   si se va introduce vineri cand soferul ajunge acasa </t>
  </si>
  <si>
    <t>Se vor pune la plata doar indexele cu status normal</t>
  </si>
  <si>
    <t xml:space="preserve">   de la a doua introducere incolo</t>
  </si>
  <si>
    <t>Indexele cu status normal se introduc la plecarea de acasa</t>
  </si>
  <si>
    <t>Se pot introduce indexele si in zilele urmatoare weekendului</t>
  </si>
  <si>
    <t xml:space="preserve">   pana in ziua de joi inainte de weekendul urmator</t>
  </si>
  <si>
    <t xml:space="preserve">   cu conditia ca pozele sa fie facute la inceputul</t>
  </si>
  <si>
    <t xml:space="preserve">   si sfarsitul intervalului (de obicei vineri - luni </t>
  </si>
  <si>
    <t xml:space="preserve">   la sosirea, respectiv plecarea de acasa iar prima </t>
  </si>
  <si>
    <t xml:space="preserve">   inregistrare sa aiba kilometrajul mai mic </t>
  </si>
  <si>
    <t>Se pot introduce oricate indexe de kilometraj, conditia fiind</t>
  </si>
  <si>
    <t xml:space="preserve">   ca indexele sa fie crescatoare relativ la momentul introducerii.</t>
  </si>
  <si>
    <t/>
  </si>
  <si>
    <t>Nu</t>
  </si>
  <si>
    <t>Total Iulia Stefanescu</t>
  </si>
  <si>
    <t>Total Andrei Rus</t>
  </si>
  <si>
    <t>Total Radu Paul</t>
  </si>
  <si>
    <t>Total Graur Vasile</t>
  </si>
  <si>
    <t>Total Marius Neaga</t>
  </si>
  <si>
    <t>Total Hanu Mircea</t>
  </si>
  <si>
    <t>Total Marinescu Ionut</t>
  </si>
  <si>
    <t>Total Stefan Silviu</t>
  </si>
  <si>
    <t>Total Barbu Catalin</t>
  </si>
  <si>
    <t>Total Sorin Drumea</t>
  </si>
  <si>
    <t>Total Adrian Caba</t>
  </si>
  <si>
    <t>Total Bobes Lia</t>
  </si>
  <si>
    <t>Total Boncu Alexandru</t>
  </si>
  <si>
    <t>Id</t>
  </si>
  <si>
    <t>NumeRobot</t>
  </si>
  <si>
    <t>CaleAplicatie</t>
  </si>
  <si>
    <t>DataInterogare</t>
  </si>
  <si>
    <t>EmailBCC</t>
  </si>
  <si>
    <t>EmailBody</t>
  </si>
  <si>
    <t>EmailCC</t>
  </si>
  <si>
    <t>EmailMe</t>
  </si>
  <si>
    <t>EmailSendOnlyToMeCC</t>
  </si>
  <si>
    <t>EmailSubject</t>
  </si>
  <si>
    <t>EmailTo</t>
  </si>
  <si>
    <t>TipRaport</t>
  </si>
  <si>
    <t>EmailSendOnlyToMe</t>
  </si>
  <si>
    <t>EmailSend</t>
  </si>
  <si>
    <t>ExecutaMacroExcel</t>
  </si>
  <si>
    <t>ExtrageRapExcelDinBI</t>
  </si>
  <si>
    <t>ExtrageRapExcelDinERP</t>
  </si>
  <si>
    <t>NumeAplicatie</t>
  </si>
  <si>
    <t>FisiereBI</t>
  </si>
  <si>
    <t>ExecutaSQL</t>
  </si>
  <si>
    <t>NumarLuniActualizate</t>
  </si>
  <si>
    <t>Info</t>
  </si>
  <si>
    <t>ImpartePeFiliale</t>
  </si>
  <si>
    <t>ImpartePeAgenti</t>
  </si>
  <si>
    <t>FisiereBI2</t>
  </si>
  <si>
    <t>ExecutaMacroExcel_v</t>
  </si>
  <si>
    <t>DataInterogare_v</t>
  </si>
  <si>
    <t>ExtrageRapExcelDinBI_v</t>
  </si>
  <si>
    <t>ExtrageRapExcelERP_v</t>
  </si>
  <si>
    <t>TipRaport_v</t>
  </si>
  <si>
    <t>ExecutaSQL_v</t>
  </si>
  <si>
    <t>NumarLuniActualizate_v</t>
  </si>
  <si>
    <t>ImpartePeFiliale_v</t>
  </si>
  <si>
    <t>ImpartePeAgenti_v</t>
  </si>
  <si>
    <t>ImpartePeFilialeAlt</t>
  </si>
  <si>
    <t>ImpartePeAgentiAlt</t>
  </si>
  <si>
    <t>Ordine</t>
  </si>
  <si>
    <t>ImpartePeFilialeMail</t>
  </si>
  <si>
    <t>ImpartePeAgentiMail</t>
  </si>
  <si>
    <t>TemporizareSecIntreEmailuri_v</t>
  </si>
  <si>
    <t>TemporizareSecIntreEmailuri</t>
  </si>
  <si>
    <t>ExtrageRapoarteExcelDinBIAlt</t>
  </si>
  <si>
    <t>ExtrageRapoarteExcelDinErpAlt</t>
  </si>
  <si>
    <t>ExecutaSqlAlt</t>
  </si>
  <si>
    <t>NumarLuniActualizateAlt</t>
  </si>
  <si>
    <t>ReleaseKey</t>
  </si>
  <si>
    <t>Executed</t>
  </si>
  <si>
    <t>TipRaportAlt</t>
  </si>
  <si>
    <t>kmAuto</t>
  </si>
  <si>
    <t>C:\Consolight_RPA\</t>
  </si>
  <si>
    <t>Buna ziua. Aveti in atasament raportul "Km Auto" pentru data:</t>
  </si>
  <si>
    <t>vicentiu.mincior@consolight.ro</t>
  </si>
  <si>
    <t>Km Auto</t>
  </si>
  <si>
    <t>petrica.ilie@consolight.ro</t>
  </si>
  <si>
    <t>km-auto</t>
  </si>
  <si>
    <t>20</t>
  </si>
  <si>
    <t xml:space="preserve">Calculeaza numarul de km parcursi in weekend de catre angajatii Consolight care au masina, Daca acesti km depasesc limita stabilita (20 km - dar poate diferi de la sofer la sofer) acesti km se vor pune la plata. Scopul programului este sa afle pentru fiecare angajat care este acest numar de km._x000D_
_x000D_
Angajatii introduc valorile kilometrajului intr-un google spreadsheet: https://docs.google.com/spreadsheets/u/0/?tgif=d_x000D_
 folosind un google form:  https://docs.google.com/forms/u/0/?tgif=d_x000D_
_x000D_
Pentru a putea citi spreadsheet-urile trebuiesc share-uite la adresa kmauto@kmauto.iam.gserviceaccount.com_x000D_
In robot e nevoie de un fisier cu extensia .json care se obtine prin crearea unui service account in google. Se cauta pe net create google service account, (https://cloud.google.com/iam/docs/creating-managing-service-account-keys) si acolo sunt pasii. Mai intai se creaza un proiect, apoi un service account si apoi un key._x000D_
In fisierul .json gasim si adresa de email la care se va face share pentru fiecare spreadsheet in parte._x000D_
_x000D_
Robotul citeste aceste spreadsheet-uri si le incarca in baza de date SQL Server, kmAuto, avand grija sa nu incarce de doua ori aceleasi inregistrari. Se pot construi rapoarte din urma, pe perioade, rapoarte statistice,etc. Mai intai se parseaza pentru a detecta utilizatori si/sau masini noi, acestea se vor completa automat in baza de date in tabelele Utilizatori si Masini_x000D_
_x000D_
Incarca utilizatori si masini automat  - va incarca lista cu utilizatori si masini in mod automat, iterand foile google. Daca nu este bifat, va permite doar scrierea manuala a celor doua tabele._x000D_
_x000D_
Extrage km din spreadsheet-urile Google - daca nu e bifat va lucra cu lista extrasa anterior si prezenta in tabelul KmLog din baza de date_x000D_
_x000D_
Utilizatorii trebuie sa faca poze la kilometraj la intrarea si iesirea din weekend si sa introduca doua inregistrari in perioada week-endului cat si dupa acesta, pana in ziua de joi de dupa weekend cu conditia ca inregistrarile sa fie in ordinea crescatoare a kilometrajului. Se pot pune mai multe inregistrari cu status diferit pentru a justifica km. Doar cele cu status normal se pun la plata.Status concediu, interes de serviciu, nu se pun la plata. (Atentie la modalitatea de a incarca rezervorul full / full )_x000D_
_x000D_
Daca exista o singura inregistrare in baza de date pentru intervalul respectiv, se considera ca nu a efectuat km in weekend, dar se vor colora cu galben, semn ca nu au introdus inregistrarea de final de weekend._x000D_
_x000D_
Numar implicit de km acceptati gratuit - cand se gaseste un utilizator nou, se vor pune 20km gratuit. Odata salvat utilziatorul, acesta se mai poate modifica manual, in tabelul Utilizatori din baza de date (email, Limita Km)_x000D_
_x000D_
_x000D_
_x000D_
</t>
  </si>
  <si>
    <t>Imparte pe filiale</t>
  </si>
  <si>
    <t>Imparte pe utilizatori</t>
  </si>
  <si>
    <t>18</t>
  </si>
  <si>
    <t>2</t>
  </si>
  <si>
    <t>Extrage km din spreadsheet-urile Google</t>
  </si>
  <si>
    <t>Incarca utilizatori</t>
  </si>
  <si>
    <t>Incarca masini</t>
  </si>
  <si>
    <t>Numar implicit de km acceptati gratuit</t>
  </si>
  <si>
    <t>1d3891b1-3bce-47a8-815f-c5b5a5884199</t>
  </si>
  <si>
    <t>Terminat procesare Excel-VBA</t>
  </si>
  <si>
    <t>Incarca emailuri colectate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</si>
</sst>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sz val="11"/>
      <color theme="1"/>
      <name val="Calibri"/>
      <family val="2"/>
      <scheme val="minor"/>
    </font>
    <font>
      <sz val="11"/>
      <color rgb="FF006100"/>
      <name val="Calibri"/>
      <family val="2"/>
      <scheme val="minor"/>
    </font>
    <font>
      <b/>
      <sz val="11"/>
      <color theme="1"/>
      <name val="Calibri"/>
      <family val="2"/>
      <scheme val="minor"/>
    </font>
    <font>
      <sz val="10"/>
      <color indexed="81"/>
      <name val="Tahoma"/>
      <family val="2"/>
    </font>
    <font>
      <sz val="11"/>
      <color theme="4" tint="-0.249977111117893"/>
      <name val="Calibri"/>
      <family val="2"/>
      <scheme val="minor"/>
    </font>
    <font>
      <b/>
      <sz val="11"/>
      <color rgb="FFFFFF00"/>
      <name val="Calibri"/>
      <family val="2"/>
      <scheme val="minor"/>
    </font>
    <font>
      <sz val="8"/>
      <name val="Calibri"/>
      <family val="2"/>
      <scheme val="minor"/>
    </font>
    <font>
      <b/>
      <sz val="10"/>
      <color indexed="81"/>
      <name val="Tahoma"/>
      <family val="2"/>
    </font>
    <font>
      <b/>
      <sz val="10"/>
      <color indexed="10"/>
      <name val="Tahoma"/>
      <family val="2"/>
    </font>
    <font>
      <b/>
      <sz val="10"/>
      <color indexed="14"/>
      <name val="Tahoma"/>
      <family val="2"/>
    </font>
    <font>
      <b/>
      <sz val="10"/>
      <color indexed="12"/>
      <name val="Tahoma"/>
      <family val="2"/>
    </font>
    <font>
      <sz val="10"/>
      <color indexed="12"/>
      <name val="Tahoma"/>
      <family val="2"/>
    </font>
    <font>
      <sz val="11"/>
      <color rgb="FFFF0000"/>
      <name val="Calibri"/>
      <family val="2"/>
      <scheme val="minor"/>
    </font>
    <font>
      <sz val="11"/>
      <color theme="0"/>
      <name val="Calibri"/>
      <family val="2"/>
      <scheme val="minor"/>
    </font>
  </fonts>
  <fills count="11">
    <fill>
      <patternFill patternType="none"/>
    </fill>
    <fill>
      <patternFill patternType="gray125"/>
    </fill>
    <fill>
      <patternFill patternType="solid">
        <fgColor rgb="FFC6EFCE"/>
      </patternFill>
    </fill>
    <fill>
      <patternFill patternType="solid">
        <fgColor theme="5" tint="0.59999389629810485"/>
        <bgColor indexed="65"/>
      </patternFill>
    </fill>
    <fill>
      <patternFill patternType="solid">
        <fgColor theme="8" tint="0.59999389629810485"/>
        <bgColor indexed="65"/>
      </patternFill>
    </fill>
    <fill>
      <patternFill patternType="solid">
        <fgColor theme="8" tint="0.7999511703848384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CC66FF"/>
        <bgColor indexed="64"/>
      </patternFill>
    </fill>
    <fill>
      <patternFill patternType="solid">
        <fgColor rgb="FFFFFF00"/>
        <bgColor indexed="64"/>
      </patternFill>
    </fill>
    <fill>
      <patternFill patternType="solid">
        <fgColor rgb="FF00B050"/>
        <bgColor indexed="64"/>
      </patternFill>
    </fill>
  </fills>
  <borders count="24">
    <border>
      <left/>
      <right/>
      <top/>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cellStyleXfs>
  <cellXfs count="89">
    <xf numFmtId="0" fontId="0" fillId="0" borderId="0" xfId="0"/>
    <xf numFmtId="1" fontId="0" fillId="0" borderId="0" xfId="0" applyNumberFormat="1"/>
    <xf numFmtId="1" fontId="0" fillId="5" borderId="0" xfId="0" applyNumberFormat="1" applyFill="1"/>
    <xf numFmtId="1" fontId="5" fillId="6" borderId="0" xfId="0" applyNumberFormat="1" applyFont="1" applyFill="1"/>
    <xf numFmtId="1" fontId="6" fillId="7" borderId="0" xfId="0" applyNumberFormat="1" applyFont="1" applyFill="1"/>
    <xf numFmtId="1" fontId="6" fillId="8" borderId="0" xfId="0" applyNumberFormat="1" applyFont="1" applyFill="1"/>
    <xf numFmtId="1" fontId="0" fillId="9" borderId="0" xfId="0" applyNumberFormat="1" applyFill="1"/>
    <xf numFmtId="0" fontId="0" fillId="0" borderId="0" xfId="0" applyNumberFormat="1"/>
    <xf numFmtId="164" fontId="0" fillId="0" borderId="0" xfId="0" applyNumberFormat="1"/>
    <xf numFmtId="49" fontId="2" fillId="2" borderId="11" xfId="1" applyNumberFormat="1" applyBorder="1" applyAlignment="1">
      <alignment horizontal="centerContinuous" vertical="center" wrapText="1"/>
    </xf>
    <xf numFmtId="1" fontId="2" fillId="2" borderId="9" xfId="1" applyNumberFormat="1" applyBorder="1" applyAlignment="1">
      <alignment horizontal="centerContinuous" vertical="center" wrapText="1"/>
    </xf>
    <xf numFmtId="164" fontId="2" fillId="2" borderId="9" xfId="1" applyNumberFormat="1" applyBorder="1" applyAlignment="1">
      <alignment horizontal="centerContinuous" vertical="center" wrapText="1"/>
    </xf>
    <xf numFmtId="1" fontId="2" fillId="2" borderId="15" xfId="1" applyNumberFormat="1" applyBorder="1" applyAlignment="1">
      <alignment horizontal="center" vertical="center" wrapText="1"/>
    </xf>
    <xf numFmtId="1" fontId="2" fillId="2" borderId="16" xfId="1" applyNumberFormat="1" applyBorder="1" applyAlignment="1">
      <alignment horizontal="center" vertical="center" wrapText="1"/>
    </xf>
    <xf numFmtId="164" fontId="2" fillId="2" borderId="16" xfId="1" applyNumberFormat="1" applyBorder="1" applyAlignment="1">
      <alignment horizontal="center" vertical="center" wrapText="1"/>
    </xf>
    <xf numFmtId="1" fontId="0" fillId="0" borderId="4" xfId="0" applyNumberFormat="1" applyBorder="1"/>
    <xf numFmtId="1" fontId="0" fillId="0" borderId="8" xfId="0" applyNumberFormat="1" applyBorder="1"/>
    <xf numFmtId="1" fontId="0" fillId="0" borderId="6" xfId="0" applyNumberFormat="1" applyBorder="1"/>
    <xf numFmtId="1" fontId="0" fillId="5" borderId="6" xfId="0" applyNumberFormat="1" applyFill="1" applyBorder="1"/>
    <xf numFmtId="164" fontId="0" fillId="5" borderId="6" xfId="0" applyNumberFormat="1" applyFill="1" applyBorder="1"/>
    <xf numFmtId="164" fontId="0" fillId="0" borderId="6" xfId="0" applyNumberFormat="1" applyBorder="1"/>
    <xf numFmtId="1" fontId="0" fillId="9" borderId="6" xfId="0" applyNumberFormat="1" applyFill="1" applyBorder="1"/>
    <xf numFmtId="164" fontId="0" fillId="9" borderId="6" xfId="0" applyNumberFormat="1" applyFill="1" applyBorder="1"/>
    <xf numFmtId="1" fontId="6" fillId="7" borderId="6" xfId="0" applyNumberFormat="1" applyFont="1" applyFill="1" applyBorder="1"/>
    <xf numFmtId="164" fontId="6" fillId="7" borderId="6" xfId="0" applyNumberFormat="1" applyFont="1" applyFill="1" applyBorder="1"/>
    <xf numFmtId="1" fontId="0" fillId="0" borderId="10" xfId="0" applyNumberFormat="1" applyBorder="1"/>
    <xf numFmtId="1" fontId="0" fillId="0" borderId="11" xfId="0" applyNumberFormat="1" applyBorder="1"/>
    <xf numFmtId="1" fontId="0" fillId="0" borderId="9" xfId="0" applyNumberFormat="1" applyBorder="1"/>
    <xf numFmtId="1" fontId="0" fillId="5" borderId="9" xfId="0" applyNumberFormat="1" applyFill="1" applyBorder="1"/>
    <xf numFmtId="164" fontId="0" fillId="5" borderId="9" xfId="0" applyNumberFormat="1" applyFill="1" applyBorder="1"/>
    <xf numFmtId="164" fontId="0" fillId="0" borderId="9" xfId="0" applyNumberFormat="1" applyBorder="1"/>
    <xf numFmtId="1" fontId="0" fillId="0" borderId="12" xfId="0" applyNumberFormat="1" applyBorder="1"/>
    <xf numFmtId="1" fontId="0" fillId="0" borderId="7" xfId="0" applyNumberFormat="1" applyBorder="1"/>
    <xf numFmtId="164" fontId="0" fillId="0" borderId="7" xfId="0" applyNumberFormat="1" applyBorder="1"/>
    <xf numFmtId="1" fontId="0" fillId="0" borderId="13" xfId="0" applyNumberFormat="1" applyBorder="1"/>
    <xf numFmtId="1" fontId="0" fillId="0" borderId="19" xfId="0" applyNumberFormat="1" applyBorder="1"/>
    <xf numFmtId="1" fontId="0" fillId="0" borderId="14" xfId="0" applyNumberFormat="1" applyBorder="1"/>
    <xf numFmtId="1" fontId="0" fillId="0" borderId="21" xfId="0" applyNumberFormat="1" applyBorder="1"/>
    <xf numFmtId="1" fontId="0" fillId="5" borderId="8" xfId="0" applyNumberFormat="1" applyFill="1" applyBorder="1"/>
    <xf numFmtId="1" fontId="0" fillId="0" borderId="3" xfId="0" applyNumberFormat="1" applyBorder="1"/>
    <xf numFmtId="1" fontId="0" fillId="0" borderId="2" xfId="0" applyNumberFormat="1" applyBorder="1"/>
    <xf numFmtId="1" fontId="0" fillId="0" borderId="20" xfId="0" applyNumberFormat="1" applyBorder="1"/>
    <xf numFmtId="1" fontId="0" fillId="0" borderId="23" xfId="0" applyNumberFormat="1" applyBorder="1"/>
    <xf numFmtId="1" fontId="0" fillId="0" borderId="5" xfId="0" applyNumberFormat="1" applyBorder="1"/>
    <xf numFmtId="1" fontId="0" fillId="5" borderId="11" xfId="0" applyNumberFormat="1" applyFill="1" applyBorder="1"/>
    <xf numFmtId="1" fontId="0" fillId="5" borderId="10" xfId="0" applyNumberFormat="1" applyFill="1" applyBorder="1"/>
    <xf numFmtId="164" fontId="2" fillId="2" borderId="13" xfId="1" applyNumberFormat="1" applyBorder="1" applyAlignment="1">
      <alignment horizontal="centerContinuous" vertical="center" wrapText="1"/>
    </xf>
    <xf numFmtId="164" fontId="2" fillId="2" borderId="17" xfId="1" applyNumberFormat="1" applyBorder="1" applyAlignment="1">
      <alignment horizontal="center" vertical="center" wrapText="1"/>
    </xf>
    <xf numFmtId="164" fontId="0" fillId="5" borderId="13" xfId="0" applyNumberFormat="1" applyFill="1" applyBorder="1"/>
    <xf numFmtId="164" fontId="0" fillId="0" borderId="19" xfId="0" applyNumberFormat="1" applyBorder="1"/>
    <xf numFmtId="164" fontId="0" fillId="5" borderId="19" xfId="0" applyNumberFormat="1" applyFill="1" applyBorder="1"/>
    <xf numFmtId="164" fontId="0" fillId="0" borderId="14" xfId="0" applyNumberFormat="1" applyBorder="1"/>
    <xf numFmtId="1" fontId="0" fillId="9" borderId="10" xfId="0" applyNumberFormat="1" applyFill="1" applyBorder="1"/>
    <xf numFmtId="1" fontId="6" fillId="7" borderId="10" xfId="0" applyNumberFormat="1" applyFont="1" applyFill="1" applyBorder="1"/>
    <xf numFmtId="164" fontId="2" fillId="2" borderId="22" xfId="1" applyNumberFormat="1" applyBorder="1" applyAlignment="1">
      <alignment horizontal="centerContinuous" vertical="center" wrapText="1"/>
    </xf>
    <xf numFmtId="164" fontId="2" fillId="2" borderId="1" xfId="1" applyNumberFormat="1" applyBorder="1" applyAlignment="1">
      <alignment horizontal="center" vertical="center" wrapText="1"/>
    </xf>
    <xf numFmtId="164" fontId="0" fillId="5" borderId="22" xfId="0" applyNumberFormat="1" applyFill="1" applyBorder="1"/>
    <xf numFmtId="164" fontId="0" fillId="0" borderId="3" xfId="0" applyNumberFormat="1" applyBorder="1"/>
    <xf numFmtId="164" fontId="0" fillId="5" borderId="3" xfId="0" applyNumberFormat="1" applyFill="1" applyBorder="1"/>
    <xf numFmtId="164" fontId="0" fillId="0" borderId="2" xfId="0" applyNumberFormat="1" applyBorder="1"/>
    <xf numFmtId="164" fontId="0" fillId="0" borderId="22" xfId="0" applyNumberFormat="1" applyBorder="1"/>
    <xf numFmtId="164" fontId="0" fillId="9" borderId="3" xfId="0" applyNumberFormat="1" applyFill="1" applyBorder="1"/>
    <xf numFmtId="164" fontId="6" fillId="7" borderId="3" xfId="0" applyNumberFormat="1" applyFont="1" applyFill="1" applyBorder="1"/>
    <xf numFmtId="1" fontId="1" fillId="3" borderId="18" xfId="2" applyNumberFormat="1" applyBorder="1" applyAlignment="1">
      <alignment horizontal="center" vertical="center" wrapText="1"/>
    </xf>
    <xf numFmtId="1" fontId="1" fillId="3" borderId="17" xfId="2" applyNumberFormat="1" applyBorder="1" applyAlignment="1">
      <alignment horizontal="center" vertical="center" wrapText="1"/>
    </xf>
    <xf numFmtId="1" fontId="0" fillId="5" borderId="7" xfId="0" applyNumberFormat="1" applyFill="1" applyBorder="1"/>
    <xf numFmtId="1" fontId="3" fillId="0" borderId="6" xfId="0" applyNumberFormat="1" applyFont="1" applyBorder="1"/>
    <xf numFmtId="1" fontId="3" fillId="5" borderId="10" xfId="0" applyNumberFormat="1" applyFont="1" applyFill="1" applyBorder="1"/>
    <xf numFmtId="1" fontId="3" fillId="5" borderId="6" xfId="0" applyNumberFormat="1" applyFont="1" applyFill="1" applyBorder="1"/>
    <xf numFmtId="164" fontId="3" fillId="5" borderId="6" xfId="0" applyNumberFormat="1" applyFont="1" applyFill="1" applyBorder="1"/>
    <xf numFmtId="164" fontId="3" fillId="5" borderId="3" xfId="0" applyNumberFormat="1" applyFont="1" applyFill="1" applyBorder="1"/>
    <xf numFmtId="1" fontId="3" fillId="0" borderId="10" xfId="0" applyNumberFormat="1" applyFont="1" applyBorder="1"/>
    <xf numFmtId="164" fontId="3" fillId="0" borderId="6" xfId="0" applyNumberFormat="1" applyFont="1" applyBorder="1"/>
    <xf numFmtId="164" fontId="3" fillId="0" borderId="3" xfId="0" applyNumberFormat="1" applyFont="1" applyBorder="1"/>
    <xf numFmtId="164" fontId="3" fillId="0" borderId="19" xfId="0" applyNumberFormat="1" applyFont="1" applyBorder="1"/>
    <xf numFmtId="1" fontId="3" fillId="0" borderId="23" xfId="0" applyNumberFormat="1" applyFont="1" applyBorder="1"/>
    <xf numFmtId="1" fontId="3" fillId="0" borderId="19" xfId="0" applyNumberFormat="1" applyFont="1" applyBorder="1"/>
    <xf numFmtId="164" fontId="3" fillId="5" borderId="19" xfId="0" applyNumberFormat="1" applyFont="1" applyFill="1" applyBorder="1"/>
    <xf numFmtId="1" fontId="1" fillId="4" borderId="9" xfId="3" applyNumberFormat="1" applyBorder="1" applyAlignment="1">
      <alignment horizontal="center" vertical="center" wrapText="1"/>
    </xf>
    <xf numFmtId="1" fontId="1" fillId="4" borderId="7" xfId="3" applyNumberFormat="1" applyBorder="1" applyAlignment="1">
      <alignment horizontal="center" vertical="center"/>
    </xf>
    <xf numFmtId="1" fontId="1" fillId="4" borderId="22" xfId="3" applyNumberFormat="1" applyBorder="1" applyAlignment="1">
      <alignment horizontal="center" vertical="center" wrapText="1"/>
    </xf>
    <xf numFmtId="1" fontId="1" fillId="4" borderId="2" xfId="3" applyNumberFormat="1" applyBorder="1" applyAlignment="1">
      <alignment horizontal="center" vertical="center"/>
    </xf>
    <xf numFmtId="1" fontId="1" fillId="3" borderId="20" xfId="2" applyNumberFormat="1" applyBorder="1" applyAlignment="1">
      <alignment horizontal="center" vertical="center"/>
    </xf>
    <xf numFmtId="1" fontId="1" fillId="3" borderId="13" xfId="2" applyNumberFormat="1" applyBorder="1" applyAlignment="1">
      <alignment horizontal="center" vertical="center"/>
    </xf>
    <xf numFmtId="1" fontId="1" fillId="4" borderId="11" xfId="3" applyNumberFormat="1" applyBorder="1" applyAlignment="1">
      <alignment horizontal="center" vertical="center"/>
    </xf>
    <xf numFmtId="1" fontId="1" fillId="4" borderId="12" xfId="3" applyNumberFormat="1" applyBorder="1" applyAlignment="1">
      <alignment horizontal="center" vertical="center"/>
    </xf>
    <xf numFmtId="1" fontId="1" fillId="4" borderId="9" xfId="3" applyNumberFormat="1" applyBorder="1" applyAlignment="1">
      <alignment horizontal="center" vertical="center"/>
    </xf>
    <xf numFmtId="1" fontId="14" fillId="10" borderId="10" xfId="0" applyNumberFormat="1" applyFont="1" applyFill="1" applyBorder="1"/>
    <xf numFmtId="1" fontId="13" fillId="10" borderId="10" xfId="0" applyNumberFormat="1" applyFont="1" applyFill="1" applyBorder="1"/>
  </cellXfs>
  <cellStyles count="4">
    <cellStyle name="40% - Accent2" xfId="2" builtinId="35"/>
    <cellStyle name="40% - Accent5" xfId="3" builtinId="47"/>
    <cellStyle name="Good" xfId="1" builtinId="26"/>
    <cellStyle name="Normal" xfId="0" builtinId="0"/>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97" xr16:uid="{CDD9B69E-6D30-4461-9AA1-63E5BCE70D72}" autoFormatId="16" applyNumberFormats="0" applyBorderFormats="0" applyFontFormats="1" applyPatternFormats="1" applyAlignmentFormats="0" applyWidthHeightFormats="0">
  <queryTableRefresh nextId="49">
    <queryTableFields count="48">
      <queryTableField id="1" name="Id" tableColumnId="49"/>
      <queryTableField id="2" name="NumeRobot" tableColumnId="50"/>
      <queryTableField id="3" name="CaleAplicatie" tableColumnId="51"/>
      <queryTableField id="4" name="DataInterogare" tableColumnId="52"/>
      <queryTableField id="5" name="EmailBCC" tableColumnId="53"/>
      <queryTableField id="6" name="EmailBody" tableColumnId="54"/>
      <queryTableField id="7" name="EmailCC" tableColumnId="55"/>
      <queryTableField id="8" name="EmailMe" tableColumnId="56"/>
      <queryTableField id="9" name="EmailSendOnlyToMeCC" tableColumnId="57"/>
      <queryTableField id="10" name="EmailSubject" tableColumnId="58"/>
      <queryTableField id="11" name="EmailTo" tableColumnId="59"/>
      <queryTableField id="12" name="TipRaport" tableColumnId="60"/>
      <queryTableField id="13" name="EmailSendOnlyToMe" tableColumnId="61"/>
      <queryTableField id="14" name="EmailSend" tableColumnId="62"/>
      <queryTableField id="15" name="ExecutaMacroExcel" tableColumnId="63"/>
      <queryTableField id="16" name="ExtrageRapExcelDinBI" tableColumnId="64"/>
      <queryTableField id="17" name="ExtrageRapExcelDinERP" tableColumnId="65"/>
      <queryTableField id="18" name="NumeAplicatie" tableColumnId="66"/>
      <queryTableField id="19" name="FisiereBI" tableColumnId="67"/>
      <queryTableField id="20" name="ExecutaSQL" tableColumnId="68"/>
      <queryTableField id="21" name="NumarLuniActualizate" tableColumnId="69"/>
      <queryTableField id="22" name="Info" tableColumnId="70"/>
      <queryTableField id="23" name="ImpartePeFiliale" tableColumnId="71"/>
      <queryTableField id="24" name="ImpartePeAgenti" tableColumnId="72"/>
      <queryTableField id="25" name="FisiereBI2" tableColumnId="73"/>
      <queryTableField id="26" name="ExecutaMacroExcel_v" tableColumnId="74"/>
      <queryTableField id="27" name="DataInterogare_v" tableColumnId="75"/>
      <queryTableField id="28" name="ExtrageRapExcelDinBI_v" tableColumnId="76"/>
      <queryTableField id="29" name="ExtrageRapExcelERP_v" tableColumnId="77"/>
      <queryTableField id="30" name="TipRaport_v" tableColumnId="78"/>
      <queryTableField id="31" name="ExecutaSQL_v" tableColumnId="79"/>
      <queryTableField id="32" name="NumarLuniActualizate_v" tableColumnId="80"/>
      <queryTableField id="33" name="ImpartePeFiliale_v" tableColumnId="81"/>
      <queryTableField id="34" name="ImpartePeAgenti_v" tableColumnId="82"/>
      <queryTableField id="35" name="ImpartePeFilialeAlt" tableColumnId="83"/>
      <queryTableField id="36" name="ImpartePeAgentiAlt" tableColumnId="84"/>
      <queryTableField id="37" name="Ordine" tableColumnId="85"/>
      <queryTableField id="38" name="ImpartePeFilialeMail" tableColumnId="86"/>
      <queryTableField id="39" name="ImpartePeAgentiMail" tableColumnId="87"/>
      <queryTableField id="40" name="TemporizareSecIntreEmailuri_v" tableColumnId="88"/>
      <queryTableField id="41" name="TemporizareSecIntreEmailuri" tableColumnId="89"/>
      <queryTableField id="42" name="ExtrageRapoarteExcelDinBIAlt" tableColumnId="90"/>
      <queryTableField id="43" name="ExtrageRapoarteExcelDinErpAlt" tableColumnId="91"/>
      <queryTableField id="44" name="ExecutaSqlAlt" tableColumnId="92"/>
      <queryTableField id="45" name="NumarLuniActualizateAlt" tableColumnId="93"/>
      <queryTableField id="46" name="ReleaseKey" tableColumnId="94"/>
      <queryTableField id="47" name="Executed" tableColumnId="95"/>
      <queryTableField id="48" name="TipRaportAlt" tableColumnId="9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5AEC367C-A527-4DAD-B70A-6B0E1B3609A0}" name="MyQuery" displayName="MyQuery" ref="A1:AV2" tableType="queryTable" totalsRowShown="0">
  <autoFilter ref="A1:AV2" xr:uid="{5AEC367C-A527-4DAD-B70A-6B0E1B3609A0}"/>
  <tableColumns count="48">
    <tableColumn id="49" xr3:uid="{EF1F2546-9C66-4478-AFC2-32CC1CF5BA96}" uniqueName="49" name="Id" queryTableFieldId="1"/>
    <tableColumn id="50" xr3:uid="{D6C02A8C-E557-4D0C-9F3E-600730B2CC83}" uniqueName="50" name="NumeRobot" queryTableFieldId="2" dataDxfId="25"/>
    <tableColumn id="51" xr3:uid="{771CED47-0445-4BCE-8D6B-3E02F380E07A}" uniqueName="51" name="CaleAplicatie" queryTableFieldId="3" dataDxfId="24"/>
    <tableColumn id="52" xr3:uid="{D7BF6DBB-A4D7-42FB-8C06-397F340DAC36}" uniqueName="52" name="DataInterogare" queryTableFieldId="4" dataDxfId="23"/>
    <tableColumn id="53" xr3:uid="{48094A22-AC92-4E46-9D0A-413BEB3F41BE}" uniqueName="53" name="EmailBCC" queryTableFieldId="5" dataDxfId="22"/>
    <tableColumn id="54" xr3:uid="{B90A8D96-0652-4D5D-91D9-034F03ED9E6F}" uniqueName="54" name="EmailBody" queryTableFieldId="6" dataDxfId="21"/>
    <tableColumn id="55" xr3:uid="{8AAB710C-55FF-43C9-89F0-5DFFB8287495}" uniqueName="55" name="EmailCC" queryTableFieldId="7" dataDxfId="20"/>
    <tableColumn id="56" xr3:uid="{C058D11F-984E-42A5-9F5C-68EC7BB1BE68}" uniqueName="56" name="EmailMe" queryTableFieldId="8" dataDxfId="19"/>
    <tableColumn id="57" xr3:uid="{B4DFF7B4-66DF-4E28-A0EE-AA7F686EF77B}" uniqueName="57" name="EmailSendOnlyToMeCC" queryTableFieldId="9" dataDxfId="18"/>
    <tableColumn id="58" xr3:uid="{ABCFD012-39F5-404C-BEC8-8D649A44D5EF}" uniqueName="58" name="EmailSubject" queryTableFieldId="10" dataDxfId="17"/>
    <tableColumn id="59" xr3:uid="{11BE0520-AA46-4627-BF2F-C573CBBE6B00}" uniqueName="59" name="EmailTo" queryTableFieldId="11" dataDxfId="16"/>
    <tableColumn id="60" xr3:uid="{E43E556D-6F3E-4103-AAA2-1FFC5CF37C3D}" uniqueName="60" name="TipRaport" queryTableFieldId="12" dataDxfId="15"/>
    <tableColumn id="61" xr3:uid="{2A3463D2-5D1C-4881-8E77-C78635375A37}" uniqueName="61" name="EmailSendOnlyToMe" queryTableFieldId="13"/>
    <tableColumn id="62" xr3:uid="{3135E626-CBE4-4E63-8E21-A4B620E0A831}" uniqueName="62" name="EmailSend" queryTableFieldId="14"/>
    <tableColumn id="63" xr3:uid="{E5B39180-93A2-4FD1-B810-80C0C36E3402}" uniqueName="63" name="ExecutaMacroExcel" queryTableFieldId="15"/>
    <tableColumn id="64" xr3:uid="{A5CB887C-635D-49F2-8B8F-18C88B2000C5}" uniqueName="64" name="ExtrageRapExcelDinBI" queryTableFieldId="16"/>
    <tableColumn id="65" xr3:uid="{B98E06BF-1E48-46C0-B167-A3691C1FB849}" uniqueName="65" name="ExtrageRapExcelDinERP" queryTableFieldId="17"/>
    <tableColumn id="66" xr3:uid="{A169EADC-AFCF-47A0-B1F1-76B87B4ADD15}" uniqueName="66" name="NumeAplicatie" queryTableFieldId="18" dataDxfId="14"/>
    <tableColumn id="67" xr3:uid="{941B819A-3A8D-4AFB-8CDB-5CDB31677493}" uniqueName="67" name="FisiereBI" queryTableFieldId="19" dataDxfId="13"/>
    <tableColumn id="68" xr3:uid="{3767F5D9-A8F1-48EA-B3FC-B7AA72955792}" uniqueName="68" name="ExecutaSQL" queryTableFieldId="20"/>
    <tableColumn id="69" xr3:uid="{B652AECC-B2CF-4010-B9E1-53CBD9A9C3D0}" uniqueName="69" name="NumarLuniActualizate" queryTableFieldId="21" dataDxfId="12"/>
    <tableColumn id="70" xr3:uid="{38952910-39B1-4A9D-AD6B-F8F6F776ABAC}" uniqueName="70" name="Info" queryTableFieldId="22" dataDxfId="11"/>
    <tableColumn id="71" xr3:uid="{07C7A550-0D89-4ED8-A085-72E7F8B5454F}" uniqueName="71" name="ImpartePeFiliale" queryTableFieldId="23"/>
    <tableColumn id="72" xr3:uid="{B60C1579-BDC7-4433-9F64-99487D8F71E1}" uniqueName="72" name="ImpartePeAgenti" queryTableFieldId="24"/>
    <tableColumn id="73" xr3:uid="{079D0F4E-B230-4B6F-B110-8BFA2C211EA4}" uniqueName="73" name="FisiereBI2" queryTableFieldId="25"/>
    <tableColumn id="74" xr3:uid="{F5A6BC6B-8D5E-414F-9F66-1B243FFC7722}" uniqueName="74" name="ExecutaMacroExcel_v" queryTableFieldId="26"/>
    <tableColumn id="75" xr3:uid="{9E587026-8F11-4342-A924-7CEFFE235966}" uniqueName="75" name="DataInterogare_v" queryTableFieldId="27"/>
    <tableColumn id="76" xr3:uid="{9AF15DE1-3025-4B5E-9EB8-B85A5B051D73}" uniqueName="76" name="ExtrageRapExcelDinBI_v" queryTableFieldId="28"/>
    <tableColumn id="77" xr3:uid="{2447A765-FFD6-4515-9C75-6DBED9A78979}" uniqueName="77" name="ExtrageRapExcelERP_v" queryTableFieldId="29"/>
    <tableColumn id="78" xr3:uid="{E7FF9497-A62C-4E58-AEE2-47A05F2A3350}" uniqueName="78" name="TipRaport_v" queryTableFieldId="30"/>
    <tableColumn id="79" xr3:uid="{7B4C8ECF-AD5C-4D1A-B2B2-3374DA29E5B1}" uniqueName="79" name="ExecutaSQL_v" queryTableFieldId="31"/>
    <tableColumn id="80" xr3:uid="{D4C5F2C5-9C45-496C-91C2-4E229A6FC89A}" uniqueName="80" name="NumarLuniActualizate_v" queryTableFieldId="32"/>
    <tableColumn id="81" xr3:uid="{90896302-F68A-4AA9-9F2C-08AD9F667B15}" uniqueName="81" name="ImpartePeFiliale_v" queryTableFieldId="33"/>
    <tableColumn id="82" xr3:uid="{4B313768-CE33-4D1A-9C4F-C872513DAFE0}" uniqueName="82" name="ImpartePeAgenti_v" queryTableFieldId="34"/>
    <tableColumn id="83" xr3:uid="{20D5E6FC-4DBD-4B1B-9A77-6BE565EF6DDB}" uniqueName="83" name="ImpartePeFilialeAlt" queryTableFieldId="35" dataDxfId="10"/>
    <tableColumn id="84" xr3:uid="{516613AB-5FAB-43FF-97C4-CD823E11246F}" uniqueName="84" name="ImpartePeAgentiAlt" queryTableFieldId="36" dataDxfId="9"/>
    <tableColumn id="85" xr3:uid="{D0D54964-94C2-4082-9FBF-94BC34A1EE94}" uniqueName="85" name="Ordine" queryTableFieldId="37" dataDxfId="8"/>
    <tableColumn id="86" xr3:uid="{515AA820-BA6B-47DA-87D8-C2536FD76DD0}" uniqueName="86" name="ImpartePeFilialeMail" queryTableFieldId="38"/>
    <tableColumn id="87" xr3:uid="{EDA828F7-4E64-46E7-AD1D-DC22E7CC69B1}" uniqueName="87" name="ImpartePeAgentiMail" queryTableFieldId="39"/>
    <tableColumn id="88" xr3:uid="{6A694EA2-E9D4-47A8-964D-575F2DDAADF3}" uniqueName="88" name="TemporizareSecIntreEmailuri_v" queryTableFieldId="40"/>
    <tableColumn id="89" xr3:uid="{E4A2CC2F-1D0A-438C-95E4-B5A5F52B779B}" uniqueName="89" name="TemporizareSecIntreEmailuri" queryTableFieldId="41" dataDxfId="7"/>
    <tableColumn id="90" xr3:uid="{2E014F27-5DEE-4EAE-8D4F-CD95633B0375}" uniqueName="90" name="ExtrageRapoarteExcelDinBIAlt" queryTableFieldId="42" dataDxfId="6"/>
    <tableColumn id="91" xr3:uid="{A1EAB4FC-DDDB-4825-958F-D966B609EF14}" uniqueName="91" name="ExtrageRapoarteExcelDinErpAlt" queryTableFieldId="43" dataDxfId="5"/>
    <tableColumn id="92" xr3:uid="{C5C8F995-6248-46CA-B91C-DAF2BFD778C6}" uniqueName="92" name="ExecutaSqlAlt" queryTableFieldId="44" dataDxfId="4"/>
    <tableColumn id="93" xr3:uid="{AC630ABB-47EF-4AAD-8E0D-9719689528BA}" uniqueName="93" name="NumarLuniActualizateAlt" queryTableFieldId="45" dataDxfId="3"/>
    <tableColumn id="94" xr3:uid="{8CB32287-EECD-44BE-8467-41D9DEA89824}" uniqueName="94" name="ReleaseKey" queryTableFieldId="46" dataDxfId="2"/>
    <tableColumn id="95" xr3:uid="{79D8BAB9-466B-44C8-BEE7-CA90DC317B02}" uniqueName="95" name="Executed" queryTableFieldId="47" dataDxfId="1"/>
    <tableColumn id="96" xr3:uid="{A06010C7-03DF-47B9-9E9F-B40B0E64E73B}" uniqueName="96" name="TipRaportAlt" queryTableFieldId="4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41EC9-EA17-4D2F-80A0-C801EA5727EF}">
  <sheetPr codeName="Sheet4"/>
  <dimension ref="A1:AM118"/>
  <sheetViews>
    <sheetView tabSelected="1" workbookViewId="0">
      <pane xSplit="1" ySplit="2" topLeftCell="B3" activePane="bottomRight" state="frozen"/>
      <selection pane="topRight" activeCell="B1" sqref="B1"/>
      <selection pane="bottomLeft" activeCell="A3" sqref="A3"/>
      <selection pane="bottomRight" activeCell="T11" sqref="T11"/>
    </sheetView>
  </sheetViews>
  <sheetFormatPr defaultRowHeight="15" x14ac:dyDescent="0.25"/>
  <cols>
    <col min="1" max="1" width="11.5703125" style="1" bestFit="1" customWidth="1"/>
    <col min="2" max="2" width="10.85546875" style="1" bestFit="1" customWidth="1"/>
    <col min="3" max="3" width="11.28515625" style="1" bestFit="1" customWidth="1"/>
    <col min="4" max="4" width="10.85546875" style="1" bestFit="1" customWidth="1"/>
    <col min="5" max="5" width="22.85546875" style="1" bestFit="1" customWidth="1"/>
    <col min="6" max="9" width="4.85546875" style="1" customWidth="1"/>
    <col min="10" max="10" width="5.7109375" style="1" bestFit="1" customWidth="1"/>
    <col min="11" max="11" width="8.85546875" style="1" bestFit="1" customWidth="1"/>
    <col min="12" max="12" width="7.42578125" style="1" bestFit="1" customWidth="1"/>
    <col min="13" max="13" width="8.85546875" style="8" bestFit="1" customWidth="1"/>
    <col min="14" max="14" width="9.140625" style="8"/>
    <col min="15" max="15" width="5.7109375" style="1" bestFit="1" customWidth="1"/>
    <col min="16" max="16" width="8.85546875" style="1" bestFit="1" customWidth="1"/>
    <col min="17" max="17" width="7.42578125" style="1" bestFit="1" customWidth="1"/>
    <col min="18" max="18" width="8.85546875" style="8" bestFit="1" customWidth="1"/>
    <col min="19" max="19" width="9.140625" style="8"/>
    <col min="20" max="20" width="5.7109375" style="1" bestFit="1" customWidth="1"/>
    <col min="21" max="21" width="8.85546875" style="1" bestFit="1" customWidth="1"/>
    <col min="22" max="22" width="7.42578125" style="1" bestFit="1" customWidth="1"/>
    <col min="23" max="23" width="8.85546875" style="8" bestFit="1" customWidth="1"/>
    <col min="24" max="24" width="9.140625" style="8"/>
    <col min="25" max="25" width="5.7109375" style="1" bestFit="1" customWidth="1"/>
    <col min="26" max="26" width="8.85546875" style="1" bestFit="1" customWidth="1"/>
    <col min="27" max="27" width="7.42578125" style="1" bestFit="1" customWidth="1"/>
    <col min="28" max="28" width="8.85546875" style="8" bestFit="1" customWidth="1"/>
    <col min="29" max="29" width="9.140625" style="8"/>
    <col min="30" max="30" width="5.7109375" style="1" bestFit="1" customWidth="1"/>
    <col min="31" max="31" width="8.85546875" style="1" bestFit="1" customWidth="1"/>
    <col min="32" max="32" width="7.42578125" style="1" bestFit="1" customWidth="1"/>
    <col min="33" max="33" width="8.85546875" style="8" bestFit="1" customWidth="1"/>
    <col min="34" max="34" width="9.140625" style="8"/>
    <col min="35" max="35" width="8.5703125" style="1" bestFit="1" customWidth="1"/>
    <col min="36" max="36" width="8.85546875" style="1" bestFit="1" customWidth="1"/>
    <col min="37" max="38" width="9.140625" style="1"/>
    <col min="39" max="39" width="59.140625" style="1" bestFit="1" customWidth="1"/>
    <col min="40" max="16384" width="9.140625" style="1"/>
  </cols>
  <sheetData>
    <row r="1" spans="1:39" ht="30" x14ac:dyDescent="0.25">
      <c r="A1" s="84" t="s">
        <v>0</v>
      </c>
      <c r="B1" s="86" t="s">
        <v>1</v>
      </c>
      <c r="C1" s="86" t="s">
        <v>2</v>
      </c>
      <c r="D1" s="86" t="s">
        <v>3</v>
      </c>
      <c r="E1" s="86" t="s">
        <v>4</v>
      </c>
      <c r="F1" s="86" t="s">
        <v>5</v>
      </c>
      <c r="G1" s="78" t="s">
        <v>6</v>
      </c>
      <c r="H1" s="78" t="s">
        <v>7</v>
      </c>
      <c r="I1" s="80" t="s">
        <v>8</v>
      </c>
      <c r="J1" s="9" t="s">
        <v>245</v>
      </c>
      <c r="K1" s="10"/>
      <c r="L1" s="10"/>
      <c r="M1" s="11"/>
      <c r="N1" s="54"/>
      <c r="O1" s="9" t="s">
        <v>251</v>
      </c>
      <c r="P1" s="10"/>
      <c r="Q1" s="10"/>
      <c r="R1" s="11"/>
      <c r="S1" s="54"/>
      <c r="T1" s="9" t="s">
        <v>252</v>
      </c>
      <c r="U1" s="10"/>
      <c r="V1" s="10"/>
      <c r="W1" s="11"/>
      <c r="X1" s="54"/>
      <c r="Y1" s="9" t="s">
        <v>253</v>
      </c>
      <c r="Z1" s="10"/>
      <c r="AA1" s="10"/>
      <c r="AB1" s="11"/>
      <c r="AC1" s="54"/>
      <c r="AD1" s="9" t="s">
        <v>254</v>
      </c>
      <c r="AE1" s="10"/>
      <c r="AF1" s="10"/>
      <c r="AG1" s="11"/>
      <c r="AH1" s="46"/>
      <c r="AI1" s="82" t="s">
        <v>257</v>
      </c>
      <c r="AJ1" s="83"/>
    </row>
    <row r="2" spans="1:39" ht="60.75" thickBot="1" x14ac:dyDescent="0.3">
      <c r="A2" s="85"/>
      <c r="B2" s="79"/>
      <c r="C2" s="79"/>
      <c r="D2" s="79"/>
      <c r="E2" s="79"/>
      <c r="F2" s="79"/>
      <c r="G2" s="79"/>
      <c r="H2" s="79"/>
      <c r="I2" s="81"/>
      <c r="J2" s="12" t="s">
        <v>246</v>
      </c>
      <c r="K2" s="13" t="s">
        <v>247</v>
      </c>
      <c r="L2" s="13" t="s">
        <v>248</v>
      </c>
      <c r="M2" s="14" t="s">
        <v>249</v>
      </c>
      <c r="N2" s="55" t="s">
        <v>250</v>
      </c>
      <c r="O2" s="12" t="s">
        <v>246</v>
      </c>
      <c r="P2" s="13" t="s">
        <v>247</v>
      </c>
      <c r="Q2" s="13" t="s">
        <v>248</v>
      </c>
      <c r="R2" s="14" t="s">
        <v>249</v>
      </c>
      <c r="S2" s="55" t="s">
        <v>250</v>
      </c>
      <c r="T2" s="12" t="s">
        <v>246</v>
      </c>
      <c r="U2" s="13" t="s">
        <v>247</v>
      </c>
      <c r="V2" s="13" t="s">
        <v>248</v>
      </c>
      <c r="W2" s="14" t="s">
        <v>249</v>
      </c>
      <c r="X2" s="55" t="s">
        <v>250</v>
      </c>
      <c r="Y2" s="12" t="s">
        <v>246</v>
      </c>
      <c r="Z2" s="13" t="s">
        <v>247</v>
      </c>
      <c r="AA2" s="13" t="s">
        <v>248</v>
      </c>
      <c r="AB2" s="14" t="s">
        <v>249</v>
      </c>
      <c r="AC2" s="55" t="s">
        <v>250</v>
      </c>
      <c r="AD2" s="12" t="s">
        <v>246</v>
      </c>
      <c r="AE2" s="13" t="s">
        <v>247</v>
      </c>
      <c r="AF2" s="13" t="s">
        <v>248</v>
      </c>
      <c r="AG2" s="14" t="s">
        <v>249</v>
      </c>
      <c r="AH2" s="47" t="s">
        <v>250</v>
      </c>
      <c r="AI2" s="63" t="s">
        <v>255</v>
      </c>
      <c r="AJ2" s="64" t="s">
        <v>256</v>
      </c>
      <c r="AM2" s="1" t="s">
        <v>258</v>
      </c>
    </row>
    <row r="3" spans="1:39" x14ac:dyDescent="0.25">
      <c r="A3" s="37" t="s">
        <v>9</v>
      </c>
      <c r="B3" s="16" t="s">
        <v>10</v>
      </c>
      <c r="C3" s="16" t="s">
        <v>11</v>
      </c>
      <c r="D3" s="16" t="s">
        <v>12</v>
      </c>
      <c r="E3" s="38" t="s">
        <v>13</v>
      </c>
      <c r="F3" s="16" t="s">
        <v>14</v>
      </c>
      <c r="G3" s="16">
        <v>20</v>
      </c>
      <c r="H3" s="16" t="s">
        <v>15</v>
      </c>
      <c r="I3" s="15">
        <v>6.5</v>
      </c>
      <c r="J3" s="44"/>
      <c r="K3" s="28"/>
      <c r="L3" s="28"/>
      <c r="M3" s="29"/>
      <c r="N3" s="56"/>
      <c r="O3" s="26">
        <v>0</v>
      </c>
      <c r="P3" s="27">
        <f>O3-G3</f>
        <v>-20</v>
      </c>
      <c r="Q3" s="27">
        <f>IF(P3&lt;0,0,O3-G3)</f>
        <v>0</v>
      </c>
      <c r="R3" s="30">
        <f>Q3*I3/100</f>
        <v>0</v>
      </c>
      <c r="S3" s="60">
        <v>8.4</v>
      </c>
      <c r="T3" s="26">
        <v>0</v>
      </c>
      <c r="U3" s="27">
        <f>T3-G3</f>
        <v>-20</v>
      </c>
      <c r="V3" s="27">
        <f>IF(U3&lt;0,0,T3-G3)</f>
        <v>0</v>
      </c>
      <c r="W3" s="30">
        <f>V3*I3/100</f>
        <v>0</v>
      </c>
      <c r="X3" s="60">
        <v>8.4</v>
      </c>
      <c r="Y3" s="26">
        <v>20</v>
      </c>
      <c r="Z3" s="27">
        <f>Y3-G3</f>
        <v>0</v>
      </c>
      <c r="AA3" s="27">
        <f>IF(Z3&lt;0,0,Y3-G3)</f>
        <v>0</v>
      </c>
      <c r="AB3" s="30">
        <f>AA3*I3/100</f>
        <v>0</v>
      </c>
      <c r="AC3" s="60">
        <v>8.4</v>
      </c>
      <c r="AD3" s="44"/>
      <c r="AE3" s="28"/>
      <c r="AF3" s="28"/>
      <c r="AG3" s="29"/>
      <c r="AH3" s="48"/>
      <c r="AI3" s="41">
        <f>AF3+AA3+V3+Q3+L3</f>
        <v>0</v>
      </c>
      <c r="AJ3" s="34">
        <f>AG3*AH3+AB3*AC3+W3*X3+R3*S3+M3*N3</f>
        <v>0</v>
      </c>
      <c r="AM3" s="2" t="s">
        <v>259</v>
      </c>
    </row>
    <row r="4" spans="1:39" x14ac:dyDescent="0.25">
      <c r="A4" s="25" t="s">
        <v>16</v>
      </c>
      <c r="B4" s="17" t="s">
        <v>17</v>
      </c>
      <c r="C4" s="17" t="s">
        <v>18</v>
      </c>
      <c r="D4" s="17" t="s">
        <v>19</v>
      </c>
      <c r="E4" s="18" t="s">
        <v>20</v>
      </c>
      <c r="F4" s="17" t="s">
        <v>14</v>
      </c>
      <c r="G4" s="17">
        <v>20</v>
      </c>
      <c r="H4" s="17" t="s">
        <v>15</v>
      </c>
      <c r="I4" s="39">
        <v>6.5</v>
      </c>
      <c r="J4" s="25">
        <v>145</v>
      </c>
      <c r="K4" s="17">
        <f>J4-G4</f>
        <v>125</v>
      </c>
      <c r="L4" s="17">
        <f>IF(K4&lt;0,0,J4-G4)</f>
        <v>125</v>
      </c>
      <c r="M4" s="20">
        <f>L4*I4/100</f>
        <v>8.125</v>
      </c>
      <c r="N4" s="57">
        <v>8.4</v>
      </c>
      <c r="O4" s="25">
        <v>4</v>
      </c>
      <c r="P4" s="17">
        <f>O4-G4</f>
        <v>-16</v>
      </c>
      <c r="Q4" s="17">
        <f>IF(P4&lt;0,0,O4-G4)</f>
        <v>0</v>
      </c>
      <c r="R4" s="20">
        <f>Q4*I4/100</f>
        <v>0</v>
      </c>
      <c r="S4" s="57">
        <v>8.4</v>
      </c>
      <c r="T4" s="45"/>
      <c r="U4" s="18"/>
      <c r="V4" s="18"/>
      <c r="W4" s="19"/>
      <c r="X4" s="58"/>
      <c r="Y4" s="45"/>
      <c r="Z4" s="18"/>
      <c r="AA4" s="18"/>
      <c r="AB4" s="19"/>
      <c r="AC4" s="58"/>
      <c r="AD4" s="45"/>
      <c r="AE4" s="18"/>
      <c r="AF4" s="18"/>
      <c r="AG4" s="19"/>
      <c r="AH4" s="50"/>
      <c r="AI4" s="42">
        <f>AF4+AA4+V4+Q4+L4</f>
        <v>125</v>
      </c>
      <c r="AJ4" s="35">
        <f>AG4*AH4+AB4*AC4+W4*X4+R4*S4+M4*N4</f>
        <v>68.25</v>
      </c>
      <c r="AM4" s="3" t="s">
        <v>260</v>
      </c>
    </row>
    <row r="5" spans="1:39" x14ac:dyDescent="0.25">
      <c r="A5" s="25" t="s">
        <v>21</v>
      </c>
      <c r="B5" s="17" t="s">
        <v>10</v>
      </c>
      <c r="C5" s="17" t="s">
        <v>22</v>
      </c>
      <c r="D5" s="17" t="s">
        <v>19</v>
      </c>
      <c r="E5" s="17" t="s">
        <v>23</v>
      </c>
      <c r="F5" s="17" t="s">
        <v>14</v>
      </c>
      <c r="G5" s="17">
        <v>20</v>
      </c>
      <c r="H5" s="17" t="s">
        <v>15</v>
      </c>
      <c r="I5" s="39">
        <v>11</v>
      </c>
      <c r="J5" s="25">
        <v>16</v>
      </c>
      <c r="K5" s="17">
        <f>J5-G5</f>
        <v>-4</v>
      </c>
      <c r="L5" s="17">
        <f>IF(K5&lt;0,0,J5-G5)</f>
        <v>0</v>
      </c>
      <c r="M5" s="20">
        <f>L5*I5/100</f>
        <v>0</v>
      </c>
      <c r="N5" s="57">
        <v>8.4</v>
      </c>
      <c r="O5" s="25">
        <v>14</v>
      </c>
      <c r="P5" s="17">
        <f>O5-G5</f>
        <v>-6</v>
      </c>
      <c r="Q5" s="17">
        <f>IF(P5&lt;0,0,O5-G5)</f>
        <v>0</v>
      </c>
      <c r="R5" s="20">
        <f>Q5*I5/100</f>
        <v>0</v>
      </c>
      <c r="S5" s="57">
        <v>8.4</v>
      </c>
      <c r="T5" s="25">
        <v>0</v>
      </c>
      <c r="U5" s="17">
        <f>T5-G5</f>
        <v>-20</v>
      </c>
      <c r="V5" s="17">
        <f>IF(U5&lt;0,0,T5-G5)</f>
        <v>0</v>
      </c>
      <c r="W5" s="20">
        <f>V5*I5/100</f>
        <v>0</v>
      </c>
      <c r="X5" s="57">
        <v>8.4</v>
      </c>
      <c r="Y5" s="25">
        <v>0</v>
      </c>
      <c r="Z5" s="17">
        <f>Y5-G5</f>
        <v>-20</v>
      </c>
      <c r="AA5" s="17">
        <f>IF(Z5&lt;0,0,Y5-G5)</f>
        <v>0</v>
      </c>
      <c r="AB5" s="20">
        <f>AA5*I5/100</f>
        <v>0</v>
      </c>
      <c r="AC5" s="57">
        <v>8.4</v>
      </c>
      <c r="AD5" s="25">
        <v>0</v>
      </c>
      <c r="AE5" s="17">
        <f>AD5-G5</f>
        <v>-20</v>
      </c>
      <c r="AF5" s="17">
        <f>IF(AE5&lt;0,0,AD5-G5)</f>
        <v>0</v>
      </c>
      <c r="AG5" s="20">
        <f>AF5*I5/100</f>
        <v>0</v>
      </c>
      <c r="AH5" s="49">
        <v>8.4</v>
      </c>
      <c r="AI5" s="42">
        <f>AF5+AA5+V5+Q5+L5</f>
        <v>0</v>
      </c>
      <c r="AJ5" s="35">
        <f>AG5*AH5+AB5*AC5+W5*X5+R5*S5+M5*N5</f>
        <v>0</v>
      </c>
      <c r="AM5" s="1" t="s">
        <v>261</v>
      </c>
    </row>
    <row r="6" spans="1:39" x14ac:dyDescent="0.25">
      <c r="A6" s="25" t="s">
        <v>24</v>
      </c>
      <c r="B6" s="17" t="s">
        <v>10</v>
      </c>
      <c r="C6" s="17" t="s">
        <v>11</v>
      </c>
      <c r="D6" s="17" t="s">
        <v>19</v>
      </c>
      <c r="E6" s="18" t="s">
        <v>25</v>
      </c>
      <c r="F6" s="17" t="s">
        <v>14</v>
      </c>
      <c r="G6" s="17">
        <v>20</v>
      </c>
      <c r="H6" s="17" t="s">
        <v>15</v>
      </c>
      <c r="I6" s="39">
        <v>6.5</v>
      </c>
      <c r="J6" s="25">
        <v>11</v>
      </c>
      <c r="K6" s="17">
        <f>J6-G6</f>
        <v>-9</v>
      </c>
      <c r="L6" s="17">
        <f>IF(K6&lt;0,0,J6-G6)</f>
        <v>0</v>
      </c>
      <c r="M6" s="20">
        <f>L6*I6/100</f>
        <v>0</v>
      </c>
      <c r="N6" s="57">
        <v>8.4</v>
      </c>
      <c r="O6" s="25">
        <v>39</v>
      </c>
      <c r="P6" s="17">
        <f>O6-G6</f>
        <v>19</v>
      </c>
      <c r="Q6" s="17">
        <f>IF(P6&lt;0,0,O6-G6)</f>
        <v>19</v>
      </c>
      <c r="R6" s="20">
        <f>Q6*I6/100</f>
        <v>1.2350000000000001</v>
      </c>
      <c r="S6" s="57">
        <v>8.4</v>
      </c>
      <c r="T6" s="25">
        <v>476</v>
      </c>
      <c r="U6" s="17">
        <f>T6-G6</f>
        <v>456</v>
      </c>
      <c r="V6" s="17">
        <f>IF(U6&lt;0,0,T6-G6)</f>
        <v>456</v>
      </c>
      <c r="W6" s="20">
        <f>V6*I6/100</f>
        <v>29.64</v>
      </c>
      <c r="X6" s="57">
        <v>8.4</v>
      </c>
      <c r="Y6" s="25">
        <v>71</v>
      </c>
      <c r="Z6" s="17">
        <f>Y6-G6</f>
        <v>51</v>
      </c>
      <c r="AA6" s="17">
        <f>IF(Z6&lt;0,0,Y6-G6)</f>
        <v>51</v>
      </c>
      <c r="AB6" s="20">
        <f>AA6*I6/100</f>
        <v>3.3149999999999999</v>
      </c>
      <c r="AC6" s="57">
        <v>8.4</v>
      </c>
      <c r="AD6" s="25">
        <v>0</v>
      </c>
      <c r="AE6" s="17">
        <f>AD6-G6</f>
        <v>-20</v>
      </c>
      <c r="AF6" s="17">
        <f>IF(AE6&lt;0,0,AD6-G6)</f>
        <v>0</v>
      </c>
      <c r="AG6" s="20">
        <f>AF6*I6/100</f>
        <v>0</v>
      </c>
      <c r="AH6" s="49">
        <v>8.4</v>
      </c>
      <c r="AI6" s="42">
        <f>AF6+AA6+V6+Q6+L6</f>
        <v>526</v>
      </c>
      <c r="AJ6" s="35">
        <f>AG6*AH6+AB6*AC6+W6*X6+R6*S6+M6*N6</f>
        <v>287.19600000000003</v>
      </c>
      <c r="AM6" s="4" t="s">
        <v>262</v>
      </c>
    </row>
    <row r="7" spans="1:39" x14ac:dyDescent="0.25">
      <c r="A7" s="25" t="s">
        <v>26</v>
      </c>
      <c r="B7" s="17" t="s">
        <v>10</v>
      </c>
      <c r="C7" s="17" t="s">
        <v>11</v>
      </c>
      <c r="D7" s="17" t="s">
        <v>19</v>
      </c>
      <c r="E7" s="17" t="s">
        <v>27</v>
      </c>
      <c r="F7" s="17" t="s">
        <v>14</v>
      </c>
      <c r="G7" s="17">
        <v>20</v>
      </c>
      <c r="H7" s="17" t="s">
        <v>15</v>
      </c>
      <c r="I7" s="39">
        <v>6.5</v>
      </c>
      <c r="J7" s="25">
        <v>52</v>
      </c>
      <c r="K7" s="17">
        <f>J7-G7</f>
        <v>32</v>
      </c>
      <c r="L7" s="17">
        <f>IF(K7&lt;0,0,J7-G7)</f>
        <v>32</v>
      </c>
      <c r="M7" s="20">
        <f>L7*I7/100</f>
        <v>2.08</v>
      </c>
      <c r="N7" s="57">
        <v>8.4</v>
      </c>
      <c r="O7" s="25">
        <v>20</v>
      </c>
      <c r="P7" s="17">
        <f>O7-G7</f>
        <v>0</v>
      </c>
      <c r="Q7" s="17">
        <f>IF(P7&lt;0,0,O7-G7)</f>
        <v>0</v>
      </c>
      <c r="R7" s="20">
        <f>Q7*I7/100</f>
        <v>0</v>
      </c>
      <c r="S7" s="57">
        <v>8.4</v>
      </c>
      <c r="T7" s="25">
        <v>51</v>
      </c>
      <c r="U7" s="17">
        <f>T7-G7</f>
        <v>31</v>
      </c>
      <c r="V7" s="17">
        <f>IF(U7&lt;0,0,T7-G7)</f>
        <v>31</v>
      </c>
      <c r="W7" s="20">
        <f>V7*I7/100</f>
        <v>2.0150000000000001</v>
      </c>
      <c r="X7" s="57">
        <v>8.4</v>
      </c>
      <c r="Y7" s="25">
        <v>389</v>
      </c>
      <c r="Z7" s="17">
        <f>Y7-G7</f>
        <v>369</v>
      </c>
      <c r="AA7" s="17">
        <f>IF(Z7&lt;0,0,Y7-G7)</f>
        <v>369</v>
      </c>
      <c r="AB7" s="20">
        <f>AA7*I7/100</f>
        <v>23.984999999999999</v>
      </c>
      <c r="AC7" s="57">
        <v>8.4</v>
      </c>
      <c r="AD7" s="25">
        <v>4</v>
      </c>
      <c r="AE7" s="17">
        <f>AD7-G7</f>
        <v>-16</v>
      </c>
      <c r="AF7" s="17">
        <f>IF(AE7&lt;0,0,AD7-G7)</f>
        <v>0</v>
      </c>
      <c r="AG7" s="20">
        <f>AF7*I7/100</f>
        <v>0</v>
      </c>
      <c r="AH7" s="49">
        <v>8.4</v>
      </c>
      <c r="AI7" s="42">
        <f>AF7+AA7+V7+Q7+L7</f>
        <v>432</v>
      </c>
      <c r="AJ7" s="35">
        <f>AG7*AH7+AB7*AC7+W7*X7+R7*S7+M7*N7</f>
        <v>235.87199999999999</v>
      </c>
      <c r="AM7" s="5" t="s">
        <v>263</v>
      </c>
    </row>
    <row r="8" spans="1:39" x14ac:dyDescent="0.25">
      <c r="A8" s="25" t="s">
        <v>28</v>
      </c>
      <c r="B8" s="17" t="s">
        <v>17</v>
      </c>
      <c r="C8" s="17" t="s">
        <v>18</v>
      </c>
      <c r="D8" s="17" t="s">
        <v>19</v>
      </c>
      <c r="E8" s="18" t="s">
        <v>20</v>
      </c>
      <c r="F8" s="17" t="s">
        <v>14</v>
      </c>
      <c r="G8" s="17">
        <v>20</v>
      </c>
      <c r="H8" s="17" t="s">
        <v>15</v>
      </c>
      <c r="I8" s="39">
        <v>6.5</v>
      </c>
      <c r="J8" s="45"/>
      <c r="K8" s="18"/>
      <c r="L8" s="18"/>
      <c r="M8" s="19"/>
      <c r="N8" s="58"/>
      <c r="O8" s="45"/>
      <c r="P8" s="18"/>
      <c r="Q8" s="18"/>
      <c r="R8" s="19"/>
      <c r="S8" s="58"/>
      <c r="T8" s="25">
        <v>22</v>
      </c>
      <c r="U8" s="17">
        <f>T8-G8</f>
        <v>2</v>
      </c>
      <c r="V8" s="17">
        <f>IF(U8&lt;0,0,T8-G8)</f>
        <v>2</v>
      </c>
      <c r="W8" s="20">
        <f>V8*I8/100</f>
        <v>0.13</v>
      </c>
      <c r="X8" s="57">
        <v>8.4</v>
      </c>
      <c r="Y8" s="25">
        <v>0</v>
      </c>
      <c r="Z8" s="17">
        <f>Y8-G8</f>
        <v>-20</v>
      </c>
      <c r="AA8" s="17">
        <f>IF(Z8&lt;0,0,Y8-G8)</f>
        <v>0</v>
      </c>
      <c r="AB8" s="20">
        <f>AA8*I8/100</f>
        <v>0</v>
      </c>
      <c r="AC8" s="57">
        <v>8.4</v>
      </c>
      <c r="AD8" s="25">
        <v>0</v>
      </c>
      <c r="AE8" s="17">
        <f>AD8-G8</f>
        <v>-20</v>
      </c>
      <c r="AF8" s="17">
        <f>IF(AE8&lt;0,0,AD8-G8)</f>
        <v>0</v>
      </c>
      <c r="AG8" s="20">
        <f>AF8*I8/100</f>
        <v>0</v>
      </c>
      <c r="AH8" s="49">
        <v>8.4</v>
      </c>
      <c r="AI8" s="42">
        <f>AF8+AA8+V8+Q8+L8</f>
        <v>2</v>
      </c>
      <c r="AJ8" s="35">
        <f>AG8*AH8+AB8*AC8+W8*X8+R8*S8+M8*N8</f>
        <v>1.0920000000000001</v>
      </c>
      <c r="AM8" s="6" t="s">
        <v>264</v>
      </c>
    </row>
    <row r="9" spans="1:39" x14ac:dyDescent="0.25">
      <c r="A9" s="25" t="s">
        <v>29</v>
      </c>
      <c r="B9" s="17" t="s">
        <v>10</v>
      </c>
      <c r="C9" s="17" t="s">
        <v>11</v>
      </c>
      <c r="D9" s="17" t="s">
        <v>19</v>
      </c>
      <c r="E9" s="17" t="s">
        <v>30</v>
      </c>
      <c r="F9" s="17" t="s">
        <v>14</v>
      </c>
      <c r="G9" s="17">
        <v>20</v>
      </c>
      <c r="H9" s="17" t="s">
        <v>15</v>
      </c>
      <c r="I9" s="39">
        <v>6.5</v>
      </c>
      <c r="J9" s="25">
        <v>21</v>
      </c>
      <c r="K9" s="17">
        <f>J9-G9</f>
        <v>1</v>
      </c>
      <c r="L9" s="17">
        <f>IF(K9&lt;0,0,J9-G9)</f>
        <v>1</v>
      </c>
      <c r="M9" s="20">
        <f>L9*I9/100</f>
        <v>6.5000000000000002E-2</v>
      </c>
      <c r="N9" s="57">
        <v>8.4</v>
      </c>
      <c r="O9" s="25">
        <v>20</v>
      </c>
      <c r="P9" s="17">
        <f>O9-G9</f>
        <v>0</v>
      </c>
      <c r="Q9" s="17">
        <f>IF(P9&lt;0,0,O9-G9)</f>
        <v>0</v>
      </c>
      <c r="R9" s="20">
        <f>Q9*I9/100</f>
        <v>0</v>
      </c>
      <c r="S9" s="57">
        <v>8.4</v>
      </c>
      <c r="T9" s="25">
        <v>20</v>
      </c>
      <c r="U9" s="17">
        <f>T9-G9</f>
        <v>0</v>
      </c>
      <c r="V9" s="17">
        <f>IF(U9&lt;0,0,T9-G9)</f>
        <v>0</v>
      </c>
      <c r="W9" s="20">
        <f>V9*I9/100</f>
        <v>0</v>
      </c>
      <c r="X9" s="57">
        <v>8.4</v>
      </c>
      <c r="Y9" s="25">
        <v>17</v>
      </c>
      <c r="Z9" s="17">
        <f>Y9-G9</f>
        <v>-3</v>
      </c>
      <c r="AA9" s="17">
        <f>IF(Z9&lt;0,0,Y9-G9)</f>
        <v>0</v>
      </c>
      <c r="AB9" s="20">
        <f>AA9*I9/100</f>
        <v>0</v>
      </c>
      <c r="AC9" s="57">
        <v>8.4</v>
      </c>
      <c r="AD9" s="25">
        <v>18</v>
      </c>
      <c r="AE9" s="17">
        <f>AD9-G9</f>
        <v>-2</v>
      </c>
      <c r="AF9" s="17">
        <f>IF(AE9&lt;0,0,AD9-G9)</f>
        <v>0</v>
      </c>
      <c r="AG9" s="20">
        <f>AF9*I9/100</f>
        <v>0</v>
      </c>
      <c r="AH9" s="49">
        <v>8.4</v>
      </c>
      <c r="AI9" s="42">
        <f>AF9+AA9+V9+Q9+L9</f>
        <v>1</v>
      </c>
      <c r="AJ9" s="35">
        <f>AG9*AH9+AB9*AC9+W9*X9+R9*S9+M9*N9</f>
        <v>0.54600000000000004</v>
      </c>
    </row>
    <row r="10" spans="1:39" x14ac:dyDescent="0.25">
      <c r="A10" s="25" t="s">
        <v>31</v>
      </c>
      <c r="B10" s="17" t="s">
        <v>32</v>
      </c>
      <c r="C10" s="17" t="s">
        <v>33</v>
      </c>
      <c r="D10" s="17" t="s">
        <v>19</v>
      </c>
      <c r="E10" s="17" t="s">
        <v>34</v>
      </c>
      <c r="F10" s="17" t="s">
        <v>14</v>
      </c>
      <c r="G10" s="17">
        <v>20</v>
      </c>
      <c r="H10" s="17" t="s">
        <v>15</v>
      </c>
      <c r="I10" s="39">
        <v>9</v>
      </c>
      <c r="J10" s="25">
        <v>20</v>
      </c>
      <c r="K10" s="17">
        <f>J10-G10</f>
        <v>0</v>
      </c>
      <c r="L10" s="17">
        <f>IF(K10&lt;0,0,J10-G10)</f>
        <v>0</v>
      </c>
      <c r="M10" s="20">
        <f>L10*I10/100</f>
        <v>0</v>
      </c>
      <c r="N10" s="57">
        <v>8.4</v>
      </c>
      <c r="O10" s="25">
        <v>23</v>
      </c>
      <c r="P10" s="17">
        <f>O10-G10</f>
        <v>3</v>
      </c>
      <c r="Q10" s="17">
        <f>IF(P10&lt;0,0,O10-G10)</f>
        <v>3</v>
      </c>
      <c r="R10" s="20">
        <f>Q10*I10/100</f>
        <v>0.27</v>
      </c>
      <c r="S10" s="57">
        <v>8.4</v>
      </c>
      <c r="T10" s="25">
        <v>2</v>
      </c>
      <c r="U10" s="17">
        <f>T10-G10</f>
        <v>-18</v>
      </c>
      <c r="V10" s="17">
        <f>IF(U10&lt;0,0,T10-G10)</f>
        <v>0</v>
      </c>
      <c r="W10" s="20">
        <f>V10*I10/100</f>
        <v>0</v>
      </c>
      <c r="X10" s="57">
        <v>8.4</v>
      </c>
      <c r="Y10" s="25">
        <v>11</v>
      </c>
      <c r="Z10" s="17">
        <f>Y10-G10</f>
        <v>-9</v>
      </c>
      <c r="AA10" s="17">
        <f>IF(Z10&lt;0,0,Y10-G10)</f>
        <v>0</v>
      </c>
      <c r="AB10" s="20">
        <f>AA10*I10/100</f>
        <v>0</v>
      </c>
      <c r="AC10" s="57">
        <v>8.4</v>
      </c>
      <c r="AD10" s="25">
        <v>22</v>
      </c>
      <c r="AE10" s="17">
        <f>AD10-G10</f>
        <v>2</v>
      </c>
      <c r="AF10" s="17">
        <f>IF(AE10&lt;0,0,AD10-G10)</f>
        <v>2</v>
      </c>
      <c r="AG10" s="20">
        <f>AF10*I10/100</f>
        <v>0.18</v>
      </c>
      <c r="AH10" s="49">
        <v>8.4</v>
      </c>
      <c r="AI10" s="42">
        <f>AF10+AA10+V10+Q10+L10</f>
        <v>5</v>
      </c>
      <c r="AJ10" s="35">
        <f>AG10*AH10+AB10*AC10+W10*X10+R10*S10+M10*N10</f>
        <v>3.7800000000000002</v>
      </c>
    </row>
    <row r="11" spans="1:39" x14ac:dyDescent="0.25">
      <c r="A11" s="25" t="s">
        <v>35</v>
      </c>
      <c r="B11" s="17" t="s">
        <v>17</v>
      </c>
      <c r="C11" s="17" t="s">
        <v>36</v>
      </c>
      <c r="D11" s="17" t="s">
        <v>12</v>
      </c>
      <c r="E11" s="17" t="s">
        <v>37</v>
      </c>
      <c r="F11" s="17" t="s">
        <v>14</v>
      </c>
      <c r="G11" s="17">
        <v>20</v>
      </c>
      <c r="H11" s="17" t="s">
        <v>38</v>
      </c>
      <c r="I11" s="39">
        <v>6.5</v>
      </c>
      <c r="J11" s="25">
        <v>0</v>
      </c>
      <c r="K11" s="17">
        <f>J11-G11</f>
        <v>-20</v>
      </c>
      <c r="L11" s="17">
        <f>IF(K11&lt;0,0,J11-G11)</f>
        <v>0</v>
      </c>
      <c r="M11" s="20">
        <f>L11*I11/100</f>
        <v>0</v>
      </c>
      <c r="N11" s="57">
        <v>7.3</v>
      </c>
      <c r="O11" s="25">
        <v>6</v>
      </c>
      <c r="P11" s="17">
        <f>O11-G11</f>
        <v>-14</v>
      </c>
      <c r="Q11" s="17">
        <f>IF(P11&lt;0,0,O11-G11)</f>
        <v>0</v>
      </c>
      <c r="R11" s="20">
        <f>Q11*I11/100</f>
        <v>0</v>
      </c>
      <c r="S11" s="57">
        <v>7.2</v>
      </c>
      <c r="T11" s="52">
        <v>0</v>
      </c>
      <c r="U11" s="21">
        <f>T11-G11</f>
        <v>-20</v>
      </c>
      <c r="V11" s="21">
        <f>IF(U11&lt;0,0,T11-G11)</f>
        <v>0</v>
      </c>
      <c r="W11" s="22">
        <f>V11*I11/100</f>
        <v>0</v>
      </c>
      <c r="X11" s="61">
        <v>7.2</v>
      </c>
      <c r="Y11" s="25">
        <v>0</v>
      </c>
      <c r="Z11" s="17">
        <f>Y11-G11</f>
        <v>-20</v>
      </c>
      <c r="AA11" s="17">
        <f>IF(Z11&lt;0,0,Y11-G11)</f>
        <v>0</v>
      </c>
      <c r="AB11" s="20">
        <f>AA11*I11/100</f>
        <v>0</v>
      </c>
      <c r="AC11" s="57">
        <v>7.2</v>
      </c>
      <c r="AD11" s="25">
        <v>0</v>
      </c>
      <c r="AE11" s="17">
        <f>AD11-G11</f>
        <v>-20</v>
      </c>
      <c r="AF11" s="17">
        <f>IF(AE11&lt;0,0,AD11-G11)</f>
        <v>0</v>
      </c>
      <c r="AG11" s="20">
        <f>AF11*I11/100</f>
        <v>0</v>
      </c>
      <c r="AH11" s="49">
        <v>7.2</v>
      </c>
      <c r="AI11" s="42">
        <f>AF11+AA11+V11+Q11+L11</f>
        <v>0</v>
      </c>
      <c r="AJ11" s="35">
        <f>AG11*AH11+AB11*AC11+W11*X11+R11*S11+M11*N11</f>
        <v>0</v>
      </c>
    </row>
    <row r="12" spans="1:39" x14ac:dyDescent="0.25">
      <c r="A12" s="25" t="s">
        <v>39</v>
      </c>
      <c r="B12" s="17" t="s">
        <v>17</v>
      </c>
      <c r="C12" s="17" t="s">
        <v>18</v>
      </c>
      <c r="D12" s="17" t="s">
        <v>12</v>
      </c>
      <c r="E12" s="18" t="s">
        <v>40</v>
      </c>
      <c r="F12" s="17" t="s">
        <v>14</v>
      </c>
      <c r="G12" s="17">
        <v>20</v>
      </c>
      <c r="H12" s="17" t="s">
        <v>15</v>
      </c>
      <c r="I12" s="39">
        <v>6.5</v>
      </c>
      <c r="J12" s="45"/>
      <c r="K12" s="18"/>
      <c r="L12" s="18"/>
      <c r="M12" s="19"/>
      <c r="N12" s="58"/>
      <c r="O12" s="25">
        <v>0</v>
      </c>
      <c r="P12" s="17">
        <f>O12-G12</f>
        <v>-20</v>
      </c>
      <c r="Q12" s="17">
        <f>IF(P12&lt;0,0,O12-G12)</f>
        <v>0</v>
      </c>
      <c r="R12" s="20">
        <f>Q12*I12/100</f>
        <v>0</v>
      </c>
      <c r="S12" s="57">
        <v>8.4</v>
      </c>
      <c r="T12" s="45"/>
      <c r="U12" s="18"/>
      <c r="V12" s="18"/>
      <c r="W12" s="19"/>
      <c r="X12" s="58"/>
      <c r="Y12" s="45"/>
      <c r="Z12" s="18"/>
      <c r="AA12" s="18"/>
      <c r="AB12" s="19"/>
      <c r="AC12" s="58"/>
      <c r="AD12" s="45"/>
      <c r="AE12" s="18"/>
      <c r="AF12" s="18"/>
      <c r="AG12" s="19"/>
      <c r="AH12" s="50"/>
      <c r="AI12" s="42">
        <f>AF12+AA12+V12+Q12+L12</f>
        <v>0</v>
      </c>
      <c r="AJ12" s="35">
        <f>AG12*AH12+AB12*AC12+W12*X12+R12*S12+M12*N12</f>
        <v>0</v>
      </c>
      <c r="AM12" s="1" t="s">
        <v>265</v>
      </c>
    </row>
    <row r="13" spans="1:39" x14ac:dyDescent="0.25">
      <c r="A13" s="25" t="s">
        <v>41</v>
      </c>
      <c r="B13" s="17" t="s">
        <v>32</v>
      </c>
      <c r="C13" s="17">
        <v>308</v>
      </c>
      <c r="D13" s="17" t="s">
        <v>12</v>
      </c>
      <c r="E13" s="17" t="s">
        <v>42</v>
      </c>
      <c r="F13" s="17" t="s">
        <v>14</v>
      </c>
      <c r="G13" s="17">
        <v>700</v>
      </c>
      <c r="H13" s="17" t="s">
        <v>15</v>
      </c>
      <c r="I13" s="39">
        <v>6.5</v>
      </c>
      <c r="J13" s="25">
        <v>40</v>
      </c>
      <c r="K13" s="17">
        <f>J13-G13</f>
        <v>-660</v>
      </c>
      <c r="L13" s="17">
        <f>IF(K13&lt;0,0,J13-G13)</f>
        <v>0</v>
      </c>
      <c r="M13" s="20">
        <f>L13*I13/100</f>
        <v>0</v>
      </c>
      <c r="N13" s="57">
        <v>8.4</v>
      </c>
      <c r="O13" s="25">
        <v>26</v>
      </c>
      <c r="P13" s="17">
        <f>O13-G13</f>
        <v>-674</v>
      </c>
      <c r="Q13" s="17">
        <f>IF(P13&lt;0,0,O13-G13)</f>
        <v>0</v>
      </c>
      <c r="R13" s="20">
        <f>Q13*I13/100</f>
        <v>0</v>
      </c>
      <c r="S13" s="57">
        <v>8.4</v>
      </c>
      <c r="T13" s="25">
        <v>77</v>
      </c>
      <c r="U13" s="17">
        <f>T13-G13</f>
        <v>-623</v>
      </c>
      <c r="V13" s="17">
        <f>IF(U13&lt;0,0,T13-G13)</f>
        <v>0</v>
      </c>
      <c r="W13" s="20">
        <f>V13*I13/100</f>
        <v>0</v>
      </c>
      <c r="X13" s="57">
        <v>8.4</v>
      </c>
      <c r="Y13" s="25">
        <v>90</v>
      </c>
      <c r="Z13" s="17">
        <f>Y13-G13</f>
        <v>-610</v>
      </c>
      <c r="AA13" s="17">
        <f>IF(Z13&lt;0,0,Y13-G13)</f>
        <v>0</v>
      </c>
      <c r="AB13" s="20">
        <f>AA13*I13/100</f>
        <v>0</v>
      </c>
      <c r="AC13" s="57">
        <v>8.4</v>
      </c>
      <c r="AD13" s="25">
        <v>131</v>
      </c>
      <c r="AE13" s="17">
        <f>AD13-G13</f>
        <v>-569</v>
      </c>
      <c r="AF13" s="17">
        <f>IF(AE13&lt;0,0,AD13-G13)</f>
        <v>0</v>
      </c>
      <c r="AG13" s="20">
        <f>AF13*I13/100</f>
        <v>0</v>
      </c>
      <c r="AH13" s="49">
        <v>8.4</v>
      </c>
      <c r="AI13" s="42">
        <f>AF13+AA13+V13+Q13+L13</f>
        <v>0</v>
      </c>
      <c r="AJ13" s="35">
        <f>AG13*AH13+AB13*AC13+W13*X13+R13*S13+M13*N13</f>
        <v>0</v>
      </c>
      <c r="AM13" s="1" t="s">
        <v>266</v>
      </c>
    </row>
    <row r="14" spans="1:39" x14ac:dyDescent="0.25">
      <c r="A14" s="25" t="s">
        <v>43</v>
      </c>
      <c r="B14" s="17" t="s">
        <v>17</v>
      </c>
      <c r="C14" s="17" t="s">
        <v>18</v>
      </c>
      <c r="D14" s="17" t="s">
        <v>12</v>
      </c>
      <c r="E14" s="17" t="s">
        <v>44</v>
      </c>
      <c r="F14" s="17" t="s">
        <v>14</v>
      </c>
      <c r="G14" s="17">
        <v>20</v>
      </c>
      <c r="H14" s="17" t="s">
        <v>15</v>
      </c>
      <c r="I14" s="39">
        <v>6.5</v>
      </c>
      <c r="J14" s="25">
        <v>0</v>
      </c>
      <c r="K14" s="17">
        <f>J14-G14</f>
        <v>-20</v>
      </c>
      <c r="L14" s="17">
        <f>IF(K14&lt;0,0,J14-G14)</f>
        <v>0</v>
      </c>
      <c r="M14" s="20">
        <f>L14*I14/100</f>
        <v>0</v>
      </c>
      <c r="N14" s="57">
        <v>8.4</v>
      </c>
      <c r="O14" s="25">
        <v>0</v>
      </c>
      <c r="P14" s="17">
        <f>O14-G14</f>
        <v>-20</v>
      </c>
      <c r="Q14" s="17">
        <f>IF(P14&lt;0,0,O14-G14)</f>
        <v>0</v>
      </c>
      <c r="R14" s="20">
        <f>Q14*I14/100</f>
        <v>0</v>
      </c>
      <c r="S14" s="57">
        <v>8.4</v>
      </c>
      <c r="T14" s="25">
        <v>0</v>
      </c>
      <c r="U14" s="17">
        <f>T14-G14</f>
        <v>-20</v>
      </c>
      <c r="V14" s="17">
        <f>IF(U14&lt;0,0,T14-G14)</f>
        <v>0</v>
      </c>
      <c r="W14" s="20">
        <f>V14*I14/100</f>
        <v>0</v>
      </c>
      <c r="X14" s="57">
        <v>8.4</v>
      </c>
      <c r="Y14" s="25">
        <v>0</v>
      </c>
      <c r="Z14" s="17">
        <f>Y14-G14</f>
        <v>-20</v>
      </c>
      <c r="AA14" s="17">
        <f>IF(Z14&lt;0,0,Y14-G14)</f>
        <v>0</v>
      </c>
      <c r="AB14" s="20">
        <f>AA14*I14/100</f>
        <v>0</v>
      </c>
      <c r="AC14" s="57">
        <v>8.4</v>
      </c>
      <c r="AD14" s="25">
        <v>0</v>
      </c>
      <c r="AE14" s="17">
        <f>AD14-G14</f>
        <v>-20</v>
      </c>
      <c r="AF14" s="17">
        <f>IF(AE14&lt;0,0,AD14-G14)</f>
        <v>0</v>
      </c>
      <c r="AG14" s="20">
        <f>AF14*I14/100</f>
        <v>0</v>
      </c>
      <c r="AH14" s="49">
        <v>8.4</v>
      </c>
      <c r="AI14" s="42">
        <f>AF14+AA14+V14+Q14+L14</f>
        <v>0</v>
      </c>
      <c r="AJ14" s="35">
        <f>AG14*AH14+AB14*AC14+W14*X14+R14*S14+M14*N14</f>
        <v>0</v>
      </c>
      <c r="AM14" s="1" t="s">
        <v>267</v>
      </c>
    </row>
    <row r="15" spans="1:39" x14ac:dyDescent="0.25">
      <c r="A15" s="25" t="s">
        <v>45</v>
      </c>
      <c r="B15" s="17" t="s">
        <v>32</v>
      </c>
      <c r="C15" s="17">
        <v>308</v>
      </c>
      <c r="D15" s="17" t="s">
        <v>12</v>
      </c>
      <c r="E15" s="17" t="s">
        <v>46</v>
      </c>
      <c r="F15" s="17" t="s">
        <v>14</v>
      </c>
      <c r="G15" s="17">
        <v>20</v>
      </c>
      <c r="H15" s="17" t="s">
        <v>15</v>
      </c>
      <c r="I15" s="39">
        <v>6.5</v>
      </c>
      <c r="J15" s="25">
        <v>25</v>
      </c>
      <c r="K15" s="17">
        <f>J15-G15</f>
        <v>5</v>
      </c>
      <c r="L15" s="17">
        <f>IF(K15&lt;0,0,J15-G15)</f>
        <v>5</v>
      </c>
      <c r="M15" s="20">
        <f>L15*I15/100</f>
        <v>0.32500000000000001</v>
      </c>
      <c r="N15" s="57">
        <v>8.4</v>
      </c>
      <c r="O15" s="25">
        <v>0</v>
      </c>
      <c r="P15" s="17">
        <f>O15-G15</f>
        <v>-20</v>
      </c>
      <c r="Q15" s="17">
        <f>IF(P15&lt;0,0,O15-G15)</f>
        <v>0</v>
      </c>
      <c r="R15" s="20">
        <f>Q15*I15/100</f>
        <v>0</v>
      </c>
      <c r="S15" s="57">
        <v>8.4</v>
      </c>
      <c r="T15" s="25">
        <v>0</v>
      </c>
      <c r="U15" s="17">
        <f>T15-G15</f>
        <v>-20</v>
      </c>
      <c r="V15" s="17">
        <f>IF(U15&lt;0,0,T15-G15)</f>
        <v>0</v>
      </c>
      <c r="W15" s="20">
        <f>V15*I15/100</f>
        <v>0</v>
      </c>
      <c r="X15" s="57">
        <v>8.4</v>
      </c>
      <c r="Y15" s="25">
        <v>0</v>
      </c>
      <c r="Z15" s="17">
        <f>Y15-G15</f>
        <v>-20</v>
      </c>
      <c r="AA15" s="17">
        <f>IF(Z15&lt;0,0,Y15-G15)</f>
        <v>0</v>
      </c>
      <c r="AB15" s="20">
        <f>AA15*I15/100</f>
        <v>0</v>
      </c>
      <c r="AC15" s="57">
        <v>8.4</v>
      </c>
      <c r="AD15" s="25">
        <v>1</v>
      </c>
      <c r="AE15" s="17">
        <f>AD15-G15</f>
        <v>-19</v>
      </c>
      <c r="AF15" s="17">
        <f>IF(AE15&lt;0,0,AD15-G15)</f>
        <v>0</v>
      </c>
      <c r="AG15" s="20">
        <f>AF15*I15/100</f>
        <v>0</v>
      </c>
      <c r="AH15" s="49">
        <v>8.4</v>
      </c>
      <c r="AI15" s="42">
        <f>AF15+AA15+V15+Q15+L15</f>
        <v>5</v>
      </c>
      <c r="AJ15" s="35">
        <f>AG15*AH15+AB15*AC15+W15*X15+R15*S15+M15*N15</f>
        <v>2.7300000000000004</v>
      </c>
      <c r="AM15" s="1" t="s">
        <v>268</v>
      </c>
    </row>
    <row r="16" spans="1:39" x14ac:dyDescent="0.25">
      <c r="A16" s="25" t="s">
        <v>47</v>
      </c>
      <c r="B16" s="17" t="s">
        <v>32</v>
      </c>
      <c r="C16" s="17">
        <v>308</v>
      </c>
      <c r="D16" s="17" t="s">
        <v>12</v>
      </c>
      <c r="E16" s="17" t="s">
        <v>48</v>
      </c>
      <c r="F16" s="17" t="s">
        <v>14</v>
      </c>
      <c r="G16" s="17">
        <v>20</v>
      </c>
      <c r="H16" s="17" t="s">
        <v>15</v>
      </c>
      <c r="I16" s="39">
        <v>6.5</v>
      </c>
      <c r="J16" s="25">
        <v>0</v>
      </c>
      <c r="K16" s="17">
        <f>J16-G16</f>
        <v>-20</v>
      </c>
      <c r="L16" s="17">
        <f>IF(K16&lt;0,0,J16-G16)</f>
        <v>0</v>
      </c>
      <c r="M16" s="20">
        <f>L16*I16/100</f>
        <v>0</v>
      </c>
      <c r="N16" s="57">
        <v>8.4</v>
      </c>
      <c r="O16" s="25">
        <v>0</v>
      </c>
      <c r="P16" s="17">
        <f>O16-G16</f>
        <v>-20</v>
      </c>
      <c r="Q16" s="17">
        <f>IF(P16&lt;0,0,O16-G16)</f>
        <v>0</v>
      </c>
      <c r="R16" s="20">
        <f>Q16*I16/100</f>
        <v>0</v>
      </c>
      <c r="S16" s="57">
        <v>8.4</v>
      </c>
      <c r="T16" s="25">
        <v>0</v>
      </c>
      <c r="U16" s="17">
        <f>T16-G16</f>
        <v>-20</v>
      </c>
      <c r="V16" s="17">
        <f>IF(U16&lt;0,0,T16-G16)</f>
        <v>0</v>
      </c>
      <c r="W16" s="20">
        <f>V16*I16/100</f>
        <v>0</v>
      </c>
      <c r="X16" s="57">
        <v>8.4</v>
      </c>
      <c r="Y16" s="25">
        <v>0</v>
      </c>
      <c r="Z16" s="17">
        <f>Y16-G16</f>
        <v>-20</v>
      </c>
      <c r="AA16" s="17">
        <f>IF(Z16&lt;0,0,Y16-G16)</f>
        <v>0</v>
      </c>
      <c r="AB16" s="20">
        <f>AA16*I16/100</f>
        <v>0</v>
      </c>
      <c r="AC16" s="57">
        <v>8.4</v>
      </c>
      <c r="AD16" s="25">
        <v>0</v>
      </c>
      <c r="AE16" s="17">
        <f>AD16-G16</f>
        <v>-20</v>
      </c>
      <c r="AF16" s="17">
        <f>IF(AE16&lt;0,0,AD16-G16)</f>
        <v>0</v>
      </c>
      <c r="AG16" s="20">
        <f>AF16*I16/100</f>
        <v>0</v>
      </c>
      <c r="AH16" s="49">
        <v>8.4</v>
      </c>
      <c r="AI16" s="42">
        <f>AF16+AA16+V16+Q16+L16</f>
        <v>0</v>
      </c>
      <c r="AJ16" s="35">
        <f>AG16*AH16+AB16*AC16+W16*X16+R16*S16+M16*N16</f>
        <v>0</v>
      </c>
      <c r="AM16" s="1" t="s">
        <v>269</v>
      </c>
    </row>
    <row r="17" spans="1:39" x14ac:dyDescent="0.25">
      <c r="A17" s="25" t="s">
        <v>49</v>
      </c>
      <c r="B17" s="17" t="s">
        <v>17</v>
      </c>
      <c r="C17" s="17" t="s">
        <v>18</v>
      </c>
      <c r="D17" s="17" t="s">
        <v>12</v>
      </c>
      <c r="E17" s="18" t="s">
        <v>50</v>
      </c>
      <c r="F17" s="17" t="s">
        <v>14</v>
      </c>
      <c r="G17" s="17">
        <v>20</v>
      </c>
      <c r="H17" s="17" t="s">
        <v>15</v>
      </c>
      <c r="I17" s="39">
        <v>6.5</v>
      </c>
      <c r="J17" s="45"/>
      <c r="K17" s="18"/>
      <c r="L17" s="18"/>
      <c r="M17" s="19"/>
      <c r="N17" s="58"/>
      <c r="O17" s="25">
        <v>0</v>
      </c>
      <c r="P17" s="17">
        <f>O17-G17</f>
        <v>-20</v>
      </c>
      <c r="Q17" s="17">
        <f>IF(P17&lt;0,0,O17-G17)</f>
        <v>0</v>
      </c>
      <c r="R17" s="20">
        <f>Q17*I17/100</f>
        <v>0</v>
      </c>
      <c r="S17" s="57">
        <v>8.4</v>
      </c>
      <c r="T17" s="25">
        <v>0</v>
      </c>
      <c r="U17" s="17">
        <f>T17-G17</f>
        <v>-20</v>
      </c>
      <c r="V17" s="17">
        <f>IF(U17&lt;0,0,T17-G17)</f>
        <v>0</v>
      </c>
      <c r="W17" s="20">
        <f>V17*I17/100</f>
        <v>0</v>
      </c>
      <c r="X17" s="57">
        <v>8.4</v>
      </c>
      <c r="Y17" s="45"/>
      <c r="Z17" s="18"/>
      <c r="AA17" s="18"/>
      <c r="AB17" s="19"/>
      <c r="AC17" s="58"/>
      <c r="AD17" s="25">
        <v>0</v>
      </c>
      <c r="AE17" s="17">
        <f>AD17-G17</f>
        <v>-20</v>
      </c>
      <c r="AF17" s="17">
        <f>IF(AE17&lt;0,0,AD17-G17)</f>
        <v>0</v>
      </c>
      <c r="AG17" s="20">
        <f>AF17*I17/100</f>
        <v>0</v>
      </c>
      <c r="AH17" s="49">
        <v>8.4</v>
      </c>
      <c r="AI17" s="42">
        <f>AF17+AA17+V17+Q17+L17</f>
        <v>0</v>
      </c>
      <c r="AJ17" s="35">
        <f>AG17*AH17+AB17*AC17+W17*X17+R17*S17+M17*N17</f>
        <v>0</v>
      </c>
      <c r="AM17" s="1" t="s">
        <v>270</v>
      </c>
    </row>
    <row r="18" spans="1:39" x14ac:dyDescent="0.25">
      <c r="A18" s="25" t="s">
        <v>51</v>
      </c>
      <c r="B18" s="17" t="s">
        <v>32</v>
      </c>
      <c r="C18" s="17" t="s">
        <v>52</v>
      </c>
      <c r="D18" s="17" t="s">
        <v>12</v>
      </c>
      <c r="E18" s="17" t="s">
        <v>53</v>
      </c>
      <c r="F18" s="17" t="s">
        <v>14</v>
      </c>
      <c r="G18" s="17">
        <v>20</v>
      </c>
      <c r="H18" s="17" t="s">
        <v>15</v>
      </c>
      <c r="I18" s="39">
        <v>11</v>
      </c>
      <c r="J18" s="25">
        <v>0</v>
      </c>
      <c r="K18" s="17">
        <f>J18-G18</f>
        <v>-20</v>
      </c>
      <c r="L18" s="17">
        <f>IF(K18&lt;0,0,J18-G18)</f>
        <v>0</v>
      </c>
      <c r="M18" s="20">
        <f>L18*I18/100</f>
        <v>0</v>
      </c>
      <c r="N18" s="57">
        <v>8.4</v>
      </c>
      <c r="O18" s="25">
        <v>0</v>
      </c>
      <c r="P18" s="17">
        <f>O18-G18</f>
        <v>-20</v>
      </c>
      <c r="Q18" s="17">
        <f>IF(P18&lt;0,0,O18-G18)</f>
        <v>0</v>
      </c>
      <c r="R18" s="20">
        <f>Q18*I18/100</f>
        <v>0</v>
      </c>
      <c r="S18" s="57">
        <v>8.4</v>
      </c>
      <c r="T18" s="25">
        <v>0</v>
      </c>
      <c r="U18" s="17">
        <f>T18-G18</f>
        <v>-20</v>
      </c>
      <c r="V18" s="17">
        <f>IF(U18&lt;0,0,T18-G18)</f>
        <v>0</v>
      </c>
      <c r="W18" s="20">
        <f>V18*I18/100</f>
        <v>0</v>
      </c>
      <c r="X18" s="57">
        <v>8.4</v>
      </c>
      <c r="Y18" s="25">
        <v>0</v>
      </c>
      <c r="Z18" s="17">
        <f>Y18-G18</f>
        <v>-20</v>
      </c>
      <c r="AA18" s="17">
        <f>IF(Z18&lt;0,0,Y18-G18)</f>
        <v>0</v>
      </c>
      <c r="AB18" s="20">
        <f>AA18*I18/100</f>
        <v>0</v>
      </c>
      <c r="AC18" s="57">
        <v>8.4</v>
      </c>
      <c r="AD18" s="25">
        <v>0</v>
      </c>
      <c r="AE18" s="17">
        <f>AD18-G18</f>
        <v>-20</v>
      </c>
      <c r="AF18" s="17">
        <f>IF(AE18&lt;0,0,AD18-G18)</f>
        <v>0</v>
      </c>
      <c r="AG18" s="20">
        <f>AF18*I18/100</f>
        <v>0</v>
      </c>
      <c r="AH18" s="49">
        <v>8.4</v>
      </c>
      <c r="AI18" s="42">
        <f>AF18+AA18+V18+Q18+L18</f>
        <v>0</v>
      </c>
      <c r="AJ18" s="35">
        <f>AG18*AH18+AB18*AC18+W18*X18+R18*S18+M18*N18</f>
        <v>0</v>
      </c>
      <c r="AM18" s="1" t="s">
        <v>271</v>
      </c>
    </row>
    <row r="19" spans="1:39" x14ac:dyDescent="0.25">
      <c r="A19" s="25" t="s">
        <v>54</v>
      </c>
      <c r="B19" s="17" t="s">
        <v>10</v>
      </c>
      <c r="C19" s="17" t="s">
        <v>22</v>
      </c>
      <c r="D19" s="17" t="s">
        <v>12</v>
      </c>
      <c r="E19" s="17" t="s">
        <v>55</v>
      </c>
      <c r="F19" s="17" t="s">
        <v>14</v>
      </c>
      <c r="G19" s="17">
        <v>20</v>
      </c>
      <c r="H19" s="17" t="s">
        <v>15</v>
      </c>
      <c r="I19" s="39">
        <v>11</v>
      </c>
      <c r="J19" s="25">
        <v>0</v>
      </c>
      <c r="K19" s="17">
        <f>J19-G19</f>
        <v>-20</v>
      </c>
      <c r="L19" s="17">
        <f>IF(K19&lt;0,0,J19-G19)</f>
        <v>0</v>
      </c>
      <c r="M19" s="20">
        <f>L19*I19/100</f>
        <v>0</v>
      </c>
      <c r="N19" s="57">
        <v>8.4</v>
      </c>
      <c r="O19" s="25">
        <v>0</v>
      </c>
      <c r="P19" s="17">
        <f>O19-G19</f>
        <v>-20</v>
      </c>
      <c r="Q19" s="17">
        <f>IF(P19&lt;0,0,O19-G19)</f>
        <v>0</v>
      </c>
      <c r="R19" s="20">
        <f>Q19*I19/100</f>
        <v>0</v>
      </c>
      <c r="S19" s="57">
        <v>8.4</v>
      </c>
      <c r="T19" s="25">
        <v>0</v>
      </c>
      <c r="U19" s="17">
        <f>T19-G19</f>
        <v>-20</v>
      </c>
      <c r="V19" s="17">
        <f>IF(U19&lt;0,0,T19-G19)</f>
        <v>0</v>
      </c>
      <c r="W19" s="20">
        <f>V19*I19/100</f>
        <v>0</v>
      </c>
      <c r="X19" s="57">
        <v>8.4</v>
      </c>
      <c r="Y19" s="25">
        <v>0</v>
      </c>
      <c r="Z19" s="17">
        <f>Y19-G19</f>
        <v>-20</v>
      </c>
      <c r="AA19" s="17">
        <f>IF(Z19&lt;0,0,Y19-G19)</f>
        <v>0</v>
      </c>
      <c r="AB19" s="20">
        <f>AA19*I19/100</f>
        <v>0</v>
      </c>
      <c r="AC19" s="57">
        <v>8.4</v>
      </c>
      <c r="AD19" s="25">
        <v>0</v>
      </c>
      <c r="AE19" s="17">
        <f>AD19-G19</f>
        <v>-20</v>
      </c>
      <c r="AF19" s="17">
        <f>IF(AE19&lt;0,0,AD19-G19)</f>
        <v>0</v>
      </c>
      <c r="AG19" s="20">
        <f>AF19*I19/100</f>
        <v>0</v>
      </c>
      <c r="AH19" s="49">
        <v>8.4</v>
      </c>
      <c r="AI19" s="42">
        <f>AF19+AA19+V19+Q19+L19</f>
        <v>0</v>
      </c>
      <c r="AJ19" s="35">
        <f>AG19*AH19+AB19*AC19+W19*X19+R19*S19+M19*N19</f>
        <v>0</v>
      </c>
      <c r="AM19" s="1" t="s">
        <v>272</v>
      </c>
    </row>
    <row r="20" spans="1:39" x14ac:dyDescent="0.25">
      <c r="A20" s="25" t="s">
        <v>56</v>
      </c>
      <c r="B20" s="17" t="s">
        <v>10</v>
      </c>
      <c r="C20" s="17" t="s">
        <v>22</v>
      </c>
      <c r="D20" s="17" t="s">
        <v>12</v>
      </c>
      <c r="E20" s="18" t="s">
        <v>57</v>
      </c>
      <c r="F20" s="17" t="s">
        <v>14</v>
      </c>
      <c r="G20" s="17">
        <v>20</v>
      </c>
      <c r="H20" s="17" t="s">
        <v>15</v>
      </c>
      <c r="I20" s="39">
        <v>11</v>
      </c>
      <c r="J20" s="25">
        <v>0</v>
      </c>
      <c r="K20" s="17">
        <f>J20-G20</f>
        <v>-20</v>
      </c>
      <c r="L20" s="17">
        <f>IF(K20&lt;0,0,J20-G20)</f>
        <v>0</v>
      </c>
      <c r="M20" s="20">
        <f>L20*I20/100</f>
        <v>0</v>
      </c>
      <c r="N20" s="57">
        <v>8.4</v>
      </c>
      <c r="O20" s="45"/>
      <c r="P20" s="18"/>
      <c r="Q20" s="18"/>
      <c r="R20" s="19"/>
      <c r="S20" s="58"/>
      <c r="T20" s="25">
        <v>22</v>
      </c>
      <c r="U20" s="17">
        <f>T20-G20</f>
        <v>2</v>
      </c>
      <c r="V20" s="17">
        <f>IF(U20&lt;0,0,T20-G20)</f>
        <v>2</v>
      </c>
      <c r="W20" s="20">
        <f>V20*I20/100</f>
        <v>0.22</v>
      </c>
      <c r="X20" s="57">
        <v>8.4</v>
      </c>
      <c r="Y20" s="25">
        <v>0</v>
      </c>
      <c r="Z20" s="17">
        <f>Y20-G20</f>
        <v>-20</v>
      </c>
      <c r="AA20" s="17">
        <f>IF(Z20&lt;0,0,Y20-G20)</f>
        <v>0</v>
      </c>
      <c r="AB20" s="20">
        <f>AA20*I20/100</f>
        <v>0</v>
      </c>
      <c r="AC20" s="57">
        <v>8.4</v>
      </c>
      <c r="AD20" s="25">
        <v>0</v>
      </c>
      <c r="AE20" s="17">
        <f>AD20-G20</f>
        <v>-20</v>
      </c>
      <c r="AF20" s="17">
        <f>IF(AE20&lt;0,0,AD20-G20)</f>
        <v>0</v>
      </c>
      <c r="AG20" s="20">
        <f>AF20*I20/100</f>
        <v>0</v>
      </c>
      <c r="AH20" s="49">
        <v>8.4</v>
      </c>
      <c r="AI20" s="42">
        <f>AF20+AA20+V20+Q20+L20</f>
        <v>2</v>
      </c>
      <c r="AJ20" s="35">
        <f>AG20*AH20+AB20*AC20+W20*X20+R20*S20+M20*N20</f>
        <v>1.8480000000000001</v>
      </c>
      <c r="AM20" s="1" t="s">
        <v>273</v>
      </c>
    </row>
    <row r="21" spans="1:39" x14ac:dyDescent="0.25">
      <c r="A21" s="25" t="s">
        <v>56</v>
      </c>
      <c r="B21" s="17" t="s">
        <v>10</v>
      </c>
      <c r="C21" s="17" t="s">
        <v>22</v>
      </c>
      <c r="D21" s="17" t="s">
        <v>12</v>
      </c>
      <c r="E21" s="18" t="s">
        <v>58</v>
      </c>
      <c r="F21" s="17" t="s">
        <v>14</v>
      </c>
      <c r="G21" s="17">
        <v>20</v>
      </c>
      <c r="H21" s="17" t="s">
        <v>15</v>
      </c>
      <c r="I21" s="39">
        <v>11</v>
      </c>
      <c r="J21" s="45"/>
      <c r="K21" s="18"/>
      <c r="L21" s="18"/>
      <c r="M21" s="19"/>
      <c r="N21" s="58"/>
      <c r="O21" s="25">
        <v>37</v>
      </c>
      <c r="P21" s="17">
        <f>O21-G21</f>
        <v>17</v>
      </c>
      <c r="Q21" s="17">
        <f>IF(P21&lt;0,0,O21-G21)</f>
        <v>17</v>
      </c>
      <c r="R21" s="20">
        <f>Q21*I21/100</f>
        <v>1.87</v>
      </c>
      <c r="S21" s="57">
        <v>8.4</v>
      </c>
      <c r="T21" s="45"/>
      <c r="U21" s="18"/>
      <c r="V21" s="18"/>
      <c r="W21" s="19"/>
      <c r="X21" s="58"/>
      <c r="Y21" s="45"/>
      <c r="Z21" s="18"/>
      <c r="AA21" s="18"/>
      <c r="AB21" s="19"/>
      <c r="AC21" s="58"/>
      <c r="AD21" s="45"/>
      <c r="AE21" s="18"/>
      <c r="AF21" s="18"/>
      <c r="AG21" s="19"/>
      <c r="AH21" s="50"/>
      <c r="AI21" s="42">
        <f>AF21+AA21+V21+Q21+L21</f>
        <v>17</v>
      </c>
      <c r="AJ21" s="35">
        <f>AG21*AH21+AB21*AC21+W21*X21+R21*S21+M21*N21</f>
        <v>15.708000000000002</v>
      </c>
      <c r="AM21" s="1" t="s">
        <v>274</v>
      </c>
    </row>
    <row r="22" spans="1:39" x14ac:dyDescent="0.25">
      <c r="A22" s="25" t="s">
        <v>59</v>
      </c>
      <c r="B22" s="17" t="s">
        <v>32</v>
      </c>
      <c r="C22" s="17">
        <v>308</v>
      </c>
      <c r="D22" s="17" t="s">
        <v>12</v>
      </c>
      <c r="E22" s="18" t="s">
        <v>60</v>
      </c>
      <c r="F22" s="17" t="s">
        <v>14</v>
      </c>
      <c r="G22" s="17">
        <v>20</v>
      </c>
      <c r="H22" s="17" t="s">
        <v>15</v>
      </c>
      <c r="I22" s="39">
        <v>6.5</v>
      </c>
      <c r="J22" s="25">
        <v>85</v>
      </c>
      <c r="K22" s="17">
        <f>J22-G22</f>
        <v>65</v>
      </c>
      <c r="L22" s="17">
        <f>IF(K22&lt;0,0,J22-G22)</f>
        <v>65</v>
      </c>
      <c r="M22" s="20">
        <f>L22*I22/100</f>
        <v>4.2249999999999996</v>
      </c>
      <c r="N22" s="57">
        <v>8.4</v>
      </c>
      <c r="O22" s="25">
        <v>59</v>
      </c>
      <c r="P22" s="17">
        <f>O22-G22</f>
        <v>39</v>
      </c>
      <c r="Q22" s="17">
        <f>IF(P22&lt;0,0,O22-G22)</f>
        <v>39</v>
      </c>
      <c r="R22" s="20">
        <f>Q22*I22/100</f>
        <v>2.5350000000000001</v>
      </c>
      <c r="S22" s="57">
        <v>8.4</v>
      </c>
      <c r="T22" s="25">
        <v>17</v>
      </c>
      <c r="U22" s="17">
        <f>T22-G22</f>
        <v>-3</v>
      </c>
      <c r="V22" s="17">
        <f>IF(U22&lt;0,0,T22-G22)</f>
        <v>0</v>
      </c>
      <c r="W22" s="20">
        <f>V22*I22/100</f>
        <v>0</v>
      </c>
      <c r="X22" s="57">
        <v>8.4</v>
      </c>
      <c r="Y22" s="25">
        <v>17</v>
      </c>
      <c r="Z22" s="17">
        <f>Y22-G22</f>
        <v>-3</v>
      </c>
      <c r="AA22" s="17">
        <f>IF(Z22&lt;0,0,Y22-G22)</f>
        <v>0</v>
      </c>
      <c r="AB22" s="20">
        <f>AA22*I22/100</f>
        <v>0</v>
      </c>
      <c r="AC22" s="57">
        <v>8.4</v>
      </c>
      <c r="AD22" s="25">
        <v>0</v>
      </c>
      <c r="AE22" s="17">
        <f>AD22-G22</f>
        <v>-20</v>
      </c>
      <c r="AF22" s="17">
        <f>IF(AE22&lt;0,0,AD22-G22)</f>
        <v>0</v>
      </c>
      <c r="AG22" s="20">
        <f>AF22*I22/100</f>
        <v>0</v>
      </c>
      <c r="AH22" s="49">
        <v>8.4</v>
      </c>
      <c r="AI22" s="42">
        <f>AF22+AA22+V22+Q22+L22</f>
        <v>104</v>
      </c>
      <c r="AJ22" s="35">
        <f>AG22*AH22+AB22*AC22+W22*X22+R22*S22+M22*N22</f>
        <v>56.784000000000006</v>
      </c>
      <c r="AM22" s="1" t="s">
        <v>275</v>
      </c>
    </row>
    <row r="23" spans="1:39" x14ac:dyDescent="0.25">
      <c r="A23" s="25" t="s">
        <v>61</v>
      </c>
      <c r="B23" s="17" t="s">
        <v>10</v>
      </c>
      <c r="C23" s="17" t="s">
        <v>22</v>
      </c>
      <c r="D23" s="17" t="s">
        <v>12</v>
      </c>
      <c r="E23" s="18" t="s">
        <v>62</v>
      </c>
      <c r="F23" s="17" t="s">
        <v>14</v>
      </c>
      <c r="G23" s="17">
        <v>20</v>
      </c>
      <c r="H23" s="17" t="s">
        <v>15</v>
      </c>
      <c r="I23" s="39">
        <v>11</v>
      </c>
      <c r="J23" s="25">
        <v>0</v>
      </c>
      <c r="K23" s="17">
        <f>J23-G23</f>
        <v>-20</v>
      </c>
      <c r="L23" s="17">
        <f>IF(K23&lt;0,0,J23-G23)</f>
        <v>0</v>
      </c>
      <c r="M23" s="20">
        <f>L23*I23/100</f>
        <v>0</v>
      </c>
      <c r="N23" s="57">
        <v>8.4</v>
      </c>
      <c r="O23" s="25">
        <v>0</v>
      </c>
      <c r="P23" s="17">
        <f>O23-G23</f>
        <v>-20</v>
      </c>
      <c r="Q23" s="17">
        <f>IF(P23&lt;0,0,O23-G23)</f>
        <v>0</v>
      </c>
      <c r="R23" s="20">
        <f>Q23*I23/100</f>
        <v>0</v>
      </c>
      <c r="S23" s="57">
        <v>8.4</v>
      </c>
      <c r="T23" s="25">
        <v>0</v>
      </c>
      <c r="U23" s="17">
        <f>T23-G23</f>
        <v>-20</v>
      </c>
      <c r="V23" s="17">
        <f>IF(U23&lt;0,0,T23-G23)</f>
        <v>0</v>
      </c>
      <c r="W23" s="20">
        <f>V23*I23/100</f>
        <v>0</v>
      </c>
      <c r="X23" s="57">
        <v>8.4</v>
      </c>
      <c r="Y23" s="25">
        <v>0</v>
      </c>
      <c r="Z23" s="17">
        <f>Y23-G23</f>
        <v>-20</v>
      </c>
      <c r="AA23" s="17">
        <f>IF(Z23&lt;0,0,Y23-G23)</f>
        <v>0</v>
      </c>
      <c r="AB23" s="20">
        <f>AA23*I23/100</f>
        <v>0</v>
      </c>
      <c r="AC23" s="57">
        <v>8.4</v>
      </c>
      <c r="AD23" s="25">
        <v>0</v>
      </c>
      <c r="AE23" s="17">
        <f>AD23-G23</f>
        <v>-20</v>
      </c>
      <c r="AF23" s="17">
        <f>IF(AE23&lt;0,0,AD23-G23)</f>
        <v>0</v>
      </c>
      <c r="AG23" s="20">
        <f>AF23*I23/100</f>
        <v>0</v>
      </c>
      <c r="AH23" s="49">
        <v>8.4</v>
      </c>
      <c r="AI23" s="42">
        <f>AF23+AA23+V23+Q23+L23</f>
        <v>0</v>
      </c>
      <c r="AJ23" s="35">
        <f>AG23*AH23+AB23*AC23+W23*X23+R23*S23+M23*N23</f>
        <v>0</v>
      </c>
      <c r="AM23" s="1" t="s">
        <v>276</v>
      </c>
    </row>
    <row r="24" spans="1:39" x14ac:dyDescent="0.25">
      <c r="A24" s="25" t="s">
        <v>63</v>
      </c>
      <c r="B24" s="17" t="s">
        <v>32</v>
      </c>
      <c r="C24" s="17" t="s">
        <v>33</v>
      </c>
      <c r="D24" s="17" t="s">
        <v>12</v>
      </c>
      <c r="E24" s="18" t="s">
        <v>64</v>
      </c>
      <c r="F24" s="17" t="s">
        <v>14</v>
      </c>
      <c r="G24" s="17">
        <v>20</v>
      </c>
      <c r="H24" s="17" t="s">
        <v>15</v>
      </c>
      <c r="I24" s="39">
        <v>9</v>
      </c>
      <c r="J24" s="45"/>
      <c r="K24" s="18"/>
      <c r="L24" s="18"/>
      <c r="M24" s="19"/>
      <c r="N24" s="58"/>
      <c r="O24" s="25">
        <v>0</v>
      </c>
      <c r="P24" s="17">
        <f>O24-G24</f>
        <v>-20</v>
      </c>
      <c r="Q24" s="17">
        <f>IF(P24&lt;0,0,O24-G24)</f>
        <v>0</v>
      </c>
      <c r="R24" s="20">
        <f>Q24*I24/100</f>
        <v>0</v>
      </c>
      <c r="S24" s="57">
        <v>8.4</v>
      </c>
      <c r="T24" s="25">
        <v>0</v>
      </c>
      <c r="U24" s="17">
        <f>T24-G24</f>
        <v>-20</v>
      </c>
      <c r="V24" s="17">
        <f>IF(U24&lt;0,0,T24-G24)</f>
        <v>0</v>
      </c>
      <c r="W24" s="20">
        <f>V24*I24/100</f>
        <v>0</v>
      </c>
      <c r="X24" s="57">
        <v>8.4</v>
      </c>
      <c r="Y24" s="25">
        <v>0</v>
      </c>
      <c r="Z24" s="17">
        <f>Y24-G24</f>
        <v>-20</v>
      </c>
      <c r="AA24" s="17">
        <f>IF(Z24&lt;0,0,Y24-G24)</f>
        <v>0</v>
      </c>
      <c r="AB24" s="20">
        <f>AA24*I24/100</f>
        <v>0</v>
      </c>
      <c r="AC24" s="57">
        <v>8.4</v>
      </c>
      <c r="AD24" s="25">
        <v>0</v>
      </c>
      <c r="AE24" s="17">
        <f>AD24-G24</f>
        <v>-20</v>
      </c>
      <c r="AF24" s="17">
        <f>IF(AE24&lt;0,0,AD24-G24)</f>
        <v>0</v>
      </c>
      <c r="AG24" s="20">
        <f>AF24*I24/100</f>
        <v>0</v>
      </c>
      <c r="AH24" s="49">
        <v>8.4</v>
      </c>
      <c r="AI24" s="42">
        <f>AF24+AA24+V24+Q24+L24</f>
        <v>0</v>
      </c>
      <c r="AJ24" s="35">
        <f>AG24*AH24+AB24*AC24+W24*X24+R24*S24+M24*N24</f>
        <v>0</v>
      </c>
      <c r="AM24" s="1" t="s">
        <v>277</v>
      </c>
    </row>
    <row r="25" spans="1:39" x14ac:dyDescent="0.25">
      <c r="A25" s="25" t="s">
        <v>65</v>
      </c>
      <c r="B25" s="17" t="s">
        <v>17</v>
      </c>
      <c r="C25" s="17" t="s">
        <v>66</v>
      </c>
      <c r="D25" s="17" t="s">
        <v>12</v>
      </c>
      <c r="E25" s="18" t="s">
        <v>67</v>
      </c>
      <c r="F25" s="17" t="s">
        <v>14</v>
      </c>
      <c r="G25" s="17">
        <v>20</v>
      </c>
      <c r="H25" s="17" t="s">
        <v>38</v>
      </c>
      <c r="I25" s="39">
        <v>6.5</v>
      </c>
      <c r="J25" s="25">
        <v>340</v>
      </c>
      <c r="K25" s="17">
        <f>J25-G25</f>
        <v>320</v>
      </c>
      <c r="L25" s="17">
        <f>IF(K25&lt;0,0,J25-G25)</f>
        <v>320</v>
      </c>
      <c r="M25" s="20">
        <f>L25*I25/100</f>
        <v>20.8</v>
      </c>
      <c r="N25" s="57">
        <v>7.3</v>
      </c>
      <c r="O25" s="25">
        <v>198</v>
      </c>
      <c r="P25" s="17">
        <f>O25-G25</f>
        <v>178</v>
      </c>
      <c r="Q25" s="17">
        <f>IF(P25&lt;0,0,O25-G25)</f>
        <v>178</v>
      </c>
      <c r="R25" s="20">
        <f>Q25*I25/100</f>
        <v>11.57</v>
      </c>
      <c r="S25" s="57">
        <v>7.2</v>
      </c>
      <c r="T25" s="45"/>
      <c r="U25" s="18"/>
      <c r="V25" s="18"/>
      <c r="W25" s="19"/>
      <c r="X25" s="58"/>
      <c r="Y25" s="45"/>
      <c r="Z25" s="18"/>
      <c r="AA25" s="18"/>
      <c r="AB25" s="19"/>
      <c r="AC25" s="58"/>
      <c r="AD25" s="25">
        <v>327</v>
      </c>
      <c r="AE25" s="17">
        <f>AD25-G25</f>
        <v>307</v>
      </c>
      <c r="AF25" s="17">
        <f>IF(AE25&lt;0,0,AD25-G25)</f>
        <v>307</v>
      </c>
      <c r="AG25" s="20">
        <f>AF25*I25/100</f>
        <v>19.954999999999998</v>
      </c>
      <c r="AH25" s="49">
        <v>7.2</v>
      </c>
      <c r="AI25" s="42">
        <f>AF25+AA25+V25+Q25+L25</f>
        <v>805</v>
      </c>
      <c r="AJ25" s="35">
        <f>AG25*AH25+AB25*AC25+W25*X25+R25*S25+M25*N25</f>
        <v>378.82</v>
      </c>
      <c r="AM25" s="1" t="s">
        <v>278</v>
      </c>
    </row>
    <row r="26" spans="1:39" x14ac:dyDescent="0.25">
      <c r="A26" s="25" t="s">
        <v>68</v>
      </c>
      <c r="B26" s="17" t="s">
        <v>10</v>
      </c>
      <c r="C26" s="17" t="s">
        <v>22</v>
      </c>
      <c r="D26" s="17" t="s">
        <v>12</v>
      </c>
      <c r="E26" s="18" t="s">
        <v>69</v>
      </c>
      <c r="F26" s="17" t="s">
        <v>14</v>
      </c>
      <c r="G26" s="17">
        <v>20</v>
      </c>
      <c r="H26" s="17" t="s">
        <v>15</v>
      </c>
      <c r="I26" s="39">
        <v>11</v>
      </c>
      <c r="J26" s="25">
        <v>0</v>
      </c>
      <c r="K26" s="17">
        <f>J26-G26</f>
        <v>-20</v>
      </c>
      <c r="L26" s="17">
        <f>IF(K26&lt;0,0,J26-G26)</f>
        <v>0</v>
      </c>
      <c r="M26" s="20">
        <f>L26*I26/100</f>
        <v>0</v>
      </c>
      <c r="N26" s="57">
        <v>8.4</v>
      </c>
      <c r="O26" s="25">
        <v>0</v>
      </c>
      <c r="P26" s="17">
        <f>O26-G26</f>
        <v>-20</v>
      </c>
      <c r="Q26" s="17">
        <f>IF(P26&lt;0,0,O26-G26)</f>
        <v>0</v>
      </c>
      <c r="R26" s="20">
        <f>Q26*I26/100</f>
        <v>0</v>
      </c>
      <c r="S26" s="57">
        <v>8.4</v>
      </c>
      <c r="T26" s="25">
        <v>0</v>
      </c>
      <c r="U26" s="17">
        <f>T26-G26</f>
        <v>-20</v>
      </c>
      <c r="V26" s="17">
        <f>IF(U26&lt;0,0,T26-G26)</f>
        <v>0</v>
      </c>
      <c r="W26" s="20">
        <f>V26*I26/100</f>
        <v>0</v>
      </c>
      <c r="X26" s="57">
        <v>8.4</v>
      </c>
      <c r="Y26" s="25">
        <v>0</v>
      </c>
      <c r="Z26" s="17">
        <f>Y26-G26</f>
        <v>-20</v>
      </c>
      <c r="AA26" s="17">
        <f>IF(Z26&lt;0,0,Y26-G26)</f>
        <v>0</v>
      </c>
      <c r="AB26" s="20">
        <f>AA26*I26/100</f>
        <v>0</v>
      </c>
      <c r="AC26" s="57">
        <v>8.4</v>
      </c>
      <c r="AD26" s="45"/>
      <c r="AE26" s="18"/>
      <c r="AF26" s="18"/>
      <c r="AG26" s="19"/>
      <c r="AH26" s="50"/>
      <c r="AI26" s="42">
        <f>AF26+AA26+V26+Q26+L26</f>
        <v>0</v>
      </c>
      <c r="AJ26" s="35">
        <f>AG26*AH26+AB26*AC26+W26*X26+R26*S26+M26*N26</f>
        <v>0</v>
      </c>
    </row>
    <row r="27" spans="1:39" x14ac:dyDescent="0.25">
      <c r="A27" s="25" t="s">
        <v>70</v>
      </c>
      <c r="B27" s="17" t="s">
        <v>10</v>
      </c>
      <c r="C27" s="17" t="s">
        <v>22</v>
      </c>
      <c r="D27" s="17" t="s">
        <v>12</v>
      </c>
      <c r="E27" s="18" t="s">
        <v>71</v>
      </c>
      <c r="F27" s="17" t="s">
        <v>14</v>
      </c>
      <c r="G27" s="17">
        <v>20</v>
      </c>
      <c r="H27" s="17" t="s">
        <v>15</v>
      </c>
      <c r="I27" s="39">
        <v>11</v>
      </c>
      <c r="J27" s="45"/>
      <c r="K27" s="18"/>
      <c r="L27" s="18"/>
      <c r="M27" s="19"/>
      <c r="N27" s="58"/>
      <c r="O27" s="45"/>
      <c r="P27" s="18"/>
      <c r="Q27" s="18"/>
      <c r="R27" s="19"/>
      <c r="S27" s="58"/>
      <c r="T27" s="45"/>
      <c r="U27" s="18"/>
      <c r="V27" s="18"/>
      <c r="W27" s="19"/>
      <c r="X27" s="58"/>
      <c r="Y27" s="45"/>
      <c r="Z27" s="18"/>
      <c r="AA27" s="18"/>
      <c r="AB27" s="19"/>
      <c r="AC27" s="58"/>
      <c r="AD27" s="25">
        <v>0</v>
      </c>
      <c r="AE27" s="17">
        <f>AD27-G27</f>
        <v>-20</v>
      </c>
      <c r="AF27" s="17">
        <f>IF(AE27&lt;0,0,AD27-G27)</f>
        <v>0</v>
      </c>
      <c r="AG27" s="20">
        <f>AF27*I27/100</f>
        <v>0</v>
      </c>
      <c r="AH27" s="49">
        <v>8.4</v>
      </c>
      <c r="AI27" s="42">
        <f>AF27+AA27+V27+Q27+L27</f>
        <v>0</v>
      </c>
      <c r="AJ27" s="35">
        <f>AG27*AH27+AB27*AC27+W27*X27+R27*S27+M27*N27</f>
        <v>0</v>
      </c>
    </row>
    <row r="28" spans="1:39" x14ac:dyDescent="0.25">
      <c r="A28" s="25" t="s">
        <v>70</v>
      </c>
      <c r="B28" s="17" t="s">
        <v>10</v>
      </c>
      <c r="C28" s="17" t="s">
        <v>22</v>
      </c>
      <c r="D28" s="17" t="s">
        <v>12</v>
      </c>
      <c r="E28" s="18" t="s">
        <v>58</v>
      </c>
      <c r="F28" s="17" t="s">
        <v>14</v>
      </c>
      <c r="G28" s="17">
        <v>20</v>
      </c>
      <c r="H28" s="17" t="s">
        <v>15</v>
      </c>
      <c r="I28" s="39">
        <v>11</v>
      </c>
      <c r="J28" s="45"/>
      <c r="K28" s="18"/>
      <c r="L28" s="18"/>
      <c r="M28" s="19"/>
      <c r="N28" s="58"/>
      <c r="O28" s="45"/>
      <c r="P28" s="18"/>
      <c r="Q28" s="18"/>
      <c r="R28" s="19"/>
      <c r="S28" s="58"/>
      <c r="T28" s="25">
        <v>24</v>
      </c>
      <c r="U28" s="17">
        <f>T28-G28</f>
        <v>4</v>
      </c>
      <c r="V28" s="17">
        <f>IF(U28&lt;0,0,T28-G28)</f>
        <v>4</v>
      </c>
      <c r="W28" s="20">
        <f>V28*I28/100</f>
        <v>0.44</v>
      </c>
      <c r="X28" s="57">
        <v>8.4</v>
      </c>
      <c r="Y28" s="45"/>
      <c r="Z28" s="18"/>
      <c r="AA28" s="18"/>
      <c r="AB28" s="19"/>
      <c r="AC28" s="58"/>
      <c r="AD28" s="45"/>
      <c r="AE28" s="18"/>
      <c r="AF28" s="18"/>
      <c r="AG28" s="19"/>
      <c r="AH28" s="50"/>
      <c r="AI28" s="42">
        <f>AF28+AA28+V28+Q28+L28</f>
        <v>4</v>
      </c>
      <c r="AJ28" s="35">
        <f>AG28*AH28+AB28*AC28+W28*X28+R28*S28+M28*N28</f>
        <v>3.6960000000000002</v>
      </c>
    </row>
    <row r="29" spans="1:39" x14ac:dyDescent="0.25">
      <c r="A29" s="25" t="s">
        <v>72</v>
      </c>
      <c r="B29" s="17" t="s">
        <v>10</v>
      </c>
      <c r="C29" s="17" t="s">
        <v>22</v>
      </c>
      <c r="D29" s="17" t="s">
        <v>12</v>
      </c>
      <c r="E29" s="18" t="s">
        <v>73</v>
      </c>
      <c r="F29" s="17" t="s">
        <v>14</v>
      </c>
      <c r="G29" s="17">
        <v>20</v>
      </c>
      <c r="H29" s="17" t="s">
        <v>15</v>
      </c>
      <c r="I29" s="39">
        <v>11</v>
      </c>
      <c r="J29" s="25">
        <v>0</v>
      </c>
      <c r="K29" s="17">
        <f>J29-G29</f>
        <v>-20</v>
      </c>
      <c r="L29" s="17">
        <f>IF(K29&lt;0,0,J29-G29)</f>
        <v>0</v>
      </c>
      <c r="M29" s="20">
        <f>L29*I29/100</f>
        <v>0</v>
      </c>
      <c r="N29" s="57">
        <v>8.4</v>
      </c>
      <c r="O29" s="25">
        <v>0</v>
      </c>
      <c r="P29" s="17">
        <f>O29-G29</f>
        <v>-20</v>
      </c>
      <c r="Q29" s="17">
        <f>IF(P29&lt;0,0,O29-G29)</f>
        <v>0</v>
      </c>
      <c r="R29" s="20">
        <f>Q29*I29/100</f>
        <v>0</v>
      </c>
      <c r="S29" s="57">
        <v>8.4</v>
      </c>
      <c r="T29" s="25">
        <v>0</v>
      </c>
      <c r="U29" s="17">
        <f>T29-G29</f>
        <v>-20</v>
      </c>
      <c r="V29" s="17">
        <f>IF(U29&lt;0,0,T29-G29)</f>
        <v>0</v>
      </c>
      <c r="W29" s="20">
        <f>V29*I29/100</f>
        <v>0</v>
      </c>
      <c r="X29" s="57">
        <v>8.4</v>
      </c>
      <c r="Y29" s="45"/>
      <c r="Z29" s="18"/>
      <c r="AA29" s="18"/>
      <c r="AB29" s="19"/>
      <c r="AC29" s="58"/>
      <c r="AD29" s="25">
        <v>0</v>
      </c>
      <c r="AE29" s="17">
        <f>AD29-G29</f>
        <v>-20</v>
      </c>
      <c r="AF29" s="17">
        <f>IF(AE29&lt;0,0,AD29-G29)</f>
        <v>0</v>
      </c>
      <c r="AG29" s="20">
        <f>AF29*I29/100</f>
        <v>0</v>
      </c>
      <c r="AH29" s="49">
        <v>8.4</v>
      </c>
      <c r="AI29" s="42">
        <f>AF29+AA29+V29+Q29+L29</f>
        <v>0</v>
      </c>
      <c r="AJ29" s="35">
        <f>AG29*AH29+AB29*AC29+W29*X29+R29*S29+M29*N29</f>
        <v>0</v>
      </c>
    </row>
    <row r="30" spans="1:39" x14ac:dyDescent="0.25">
      <c r="A30" s="25" t="s">
        <v>74</v>
      </c>
      <c r="B30" s="17" t="s">
        <v>10</v>
      </c>
      <c r="C30" s="17" t="s">
        <v>22</v>
      </c>
      <c r="D30" s="17" t="s">
        <v>12</v>
      </c>
      <c r="E30" s="18" t="s">
        <v>75</v>
      </c>
      <c r="F30" s="17" t="s">
        <v>14</v>
      </c>
      <c r="G30" s="17">
        <v>20</v>
      </c>
      <c r="H30" s="17" t="s">
        <v>15</v>
      </c>
      <c r="I30" s="39">
        <v>11</v>
      </c>
      <c r="J30" s="45"/>
      <c r="K30" s="18"/>
      <c r="L30" s="18"/>
      <c r="M30" s="19"/>
      <c r="N30" s="58"/>
      <c r="O30" s="45"/>
      <c r="P30" s="18"/>
      <c r="Q30" s="18"/>
      <c r="R30" s="19"/>
      <c r="S30" s="58"/>
      <c r="T30" s="25">
        <v>0</v>
      </c>
      <c r="U30" s="17">
        <f>T30-G30</f>
        <v>-20</v>
      </c>
      <c r="V30" s="17">
        <f>IF(U30&lt;0,0,T30-G30)</f>
        <v>0</v>
      </c>
      <c r="W30" s="20">
        <f>V30*I30/100</f>
        <v>0</v>
      </c>
      <c r="X30" s="57">
        <v>8.4</v>
      </c>
      <c r="Y30" s="25">
        <v>0</v>
      </c>
      <c r="Z30" s="17">
        <f>Y30-G30</f>
        <v>-20</v>
      </c>
      <c r="AA30" s="17">
        <f>IF(Z30&lt;0,0,Y30-G30)</f>
        <v>0</v>
      </c>
      <c r="AB30" s="20">
        <f>AA30*I30/100</f>
        <v>0</v>
      </c>
      <c r="AC30" s="57">
        <v>8.4</v>
      </c>
      <c r="AD30" s="25">
        <v>0</v>
      </c>
      <c r="AE30" s="17">
        <f>AD30-G30</f>
        <v>-20</v>
      </c>
      <c r="AF30" s="17">
        <f>IF(AE30&lt;0,0,AD30-G30)</f>
        <v>0</v>
      </c>
      <c r="AG30" s="20">
        <f>AF30*I30/100</f>
        <v>0</v>
      </c>
      <c r="AH30" s="49">
        <v>8.4</v>
      </c>
      <c r="AI30" s="42">
        <f>AF30+AA30+V30+Q30+L30</f>
        <v>0</v>
      </c>
      <c r="AJ30" s="35">
        <f>AG30*AH30+AB30*AC30+W30*X30+R30*S30+M30*N30</f>
        <v>0</v>
      </c>
    </row>
    <row r="31" spans="1:39" x14ac:dyDescent="0.25">
      <c r="A31" s="25" t="s">
        <v>76</v>
      </c>
      <c r="B31" s="17" t="s">
        <v>10</v>
      </c>
      <c r="C31" s="17" t="s">
        <v>22</v>
      </c>
      <c r="D31" s="17" t="s">
        <v>12</v>
      </c>
      <c r="E31" s="18" t="s">
        <v>73</v>
      </c>
      <c r="F31" s="17" t="s">
        <v>14</v>
      </c>
      <c r="G31" s="17">
        <v>20</v>
      </c>
      <c r="H31" s="17" t="s">
        <v>15</v>
      </c>
      <c r="I31" s="39">
        <v>11</v>
      </c>
      <c r="J31" s="45"/>
      <c r="K31" s="18"/>
      <c r="L31" s="18"/>
      <c r="M31" s="19"/>
      <c r="N31" s="58"/>
      <c r="O31" s="45"/>
      <c r="P31" s="18"/>
      <c r="Q31" s="18"/>
      <c r="R31" s="19"/>
      <c r="S31" s="58"/>
      <c r="T31" s="45"/>
      <c r="U31" s="18"/>
      <c r="V31" s="18"/>
      <c r="W31" s="19"/>
      <c r="X31" s="58"/>
      <c r="Y31" s="25">
        <v>0</v>
      </c>
      <c r="Z31" s="17">
        <f>Y31-G31</f>
        <v>-20</v>
      </c>
      <c r="AA31" s="17">
        <f>IF(Z31&lt;0,0,Y31-G31)</f>
        <v>0</v>
      </c>
      <c r="AB31" s="20">
        <f>AA31*I31/100</f>
        <v>0</v>
      </c>
      <c r="AC31" s="57">
        <v>8.4</v>
      </c>
      <c r="AD31" s="45"/>
      <c r="AE31" s="18"/>
      <c r="AF31" s="18"/>
      <c r="AG31" s="19"/>
      <c r="AH31" s="50"/>
      <c r="AI31" s="42">
        <f>AF31+AA31+V31+Q31+L31</f>
        <v>0</v>
      </c>
      <c r="AJ31" s="35">
        <f>AG31*AH31+AB31*AC31+W31*X31+R31*S31+M31*N31</f>
        <v>0</v>
      </c>
    </row>
    <row r="32" spans="1:39" x14ac:dyDescent="0.25">
      <c r="A32" s="25" t="s">
        <v>76</v>
      </c>
      <c r="B32" s="17" t="s">
        <v>10</v>
      </c>
      <c r="C32" s="17" t="s">
        <v>22</v>
      </c>
      <c r="D32" s="17" t="s">
        <v>12</v>
      </c>
      <c r="E32" s="18" t="s">
        <v>77</v>
      </c>
      <c r="F32" s="17" t="s">
        <v>14</v>
      </c>
      <c r="G32" s="17">
        <v>20</v>
      </c>
      <c r="H32" s="17" t="s">
        <v>15</v>
      </c>
      <c r="I32" s="39">
        <v>11</v>
      </c>
      <c r="J32" s="25">
        <v>0</v>
      </c>
      <c r="K32" s="17">
        <f>J32-G32</f>
        <v>-20</v>
      </c>
      <c r="L32" s="17">
        <f>IF(K32&lt;0,0,J32-G32)</f>
        <v>0</v>
      </c>
      <c r="M32" s="20">
        <f>L32*I32/100</f>
        <v>0</v>
      </c>
      <c r="N32" s="57">
        <v>8.4</v>
      </c>
      <c r="O32" s="25">
        <v>0</v>
      </c>
      <c r="P32" s="17">
        <f>O32-G32</f>
        <v>-20</v>
      </c>
      <c r="Q32" s="17">
        <f>IF(P32&lt;0,0,O32-G32)</f>
        <v>0</v>
      </c>
      <c r="R32" s="20">
        <f>Q32*I32/100</f>
        <v>0</v>
      </c>
      <c r="S32" s="57">
        <v>8.4</v>
      </c>
      <c r="T32" s="45"/>
      <c r="U32" s="18"/>
      <c r="V32" s="18"/>
      <c r="W32" s="19"/>
      <c r="X32" s="58"/>
      <c r="Y32" s="45"/>
      <c r="Z32" s="18"/>
      <c r="AA32" s="18"/>
      <c r="AB32" s="19"/>
      <c r="AC32" s="58"/>
      <c r="AD32" s="45"/>
      <c r="AE32" s="18"/>
      <c r="AF32" s="18"/>
      <c r="AG32" s="19"/>
      <c r="AH32" s="50"/>
      <c r="AI32" s="42">
        <f>AF32+AA32+V32+Q32+L32</f>
        <v>0</v>
      </c>
      <c r="AJ32" s="35">
        <f>AG32*AH32+AB32*AC32+W32*X32+R32*S32+M32*N32</f>
        <v>0</v>
      </c>
    </row>
    <row r="33" spans="1:36" x14ac:dyDescent="0.25">
      <c r="A33" s="25" t="s">
        <v>78</v>
      </c>
      <c r="B33" s="17" t="s">
        <v>10</v>
      </c>
      <c r="C33" s="17" t="s">
        <v>22</v>
      </c>
      <c r="D33" s="17" t="s">
        <v>12</v>
      </c>
      <c r="E33" s="18" t="s">
        <v>79</v>
      </c>
      <c r="F33" s="17" t="s">
        <v>14</v>
      </c>
      <c r="G33" s="17">
        <v>20</v>
      </c>
      <c r="H33" s="17" t="s">
        <v>15</v>
      </c>
      <c r="I33" s="39">
        <v>11</v>
      </c>
      <c r="J33" s="25">
        <v>134</v>
      </c>
      <c r="K33" s="17">
        <f>J33-G33</f>
        <v>114</v>
      </c>
      <c r="L33" s="17">
        <f>IF(K33&lt;0,0,J33-G33)</f>
        <v>114</v>
      </c>
      <c r="M33" s="20">
        <f>L33*I33/100</f>
        <v>12.54</v>
      </c>
      <c r="N33" s="57">
        <v>8.4</v>
      </c>
      <c r="O33" s="25">
        <v>0</v>
      </c>
      <c r="P33" s="17">
        <f>O33-G33</f>
        <v>-20</v>
      </c>
      <c r="Q33" s="17">
        <f>IF(P33&lt;0,0,O33-G33)</f>
        <v>0</v>
      </c>
      <c r="R33" s="20">
        <f>Q33*I33/100</f>
        <v>0</v>
      </c>
      <c r="S33" s="57">
        <v>8.4</v>
      </c>
      <c r="T33" s="45"/>
      <c r="U33" s="18"/>
      <c r="V33" s="18"/>
      <c r="W33" s="19"/>
      <c r="X33" s="58"/>
      <c r="Y33" s="45"/>
      <c r="Z33" s="18"/>
      <c r="AA33" s="18"/>
      <c r="AB33" s="19"/>
      <c r="AC33" s="58"/>
      <c r="AD33" s="45"/>
      <c r="AE33" s="18"/>
      <c r="AF33" s="18"/>
      <c r="AG33" s="19"/>
      <c r="AH33" s="50"/>
      <c r="AI33" s="42">
        <f>AF33+AA33+V33+Q33+L33</f>
        <v>114</v>
      </c>
      <c r="AJ33" s="35">
        <f>AG33*AH33+AB33*AC33+W33*X33+R33*S33+M33*N33</f>
        <v>105.336</v>
      </c>
    </row>
    <row r="34" spans="1:36" x14ac:dyDescent="0.25">
      <c r="A34" s="25" t="s">
        <v>80</v>
      </c>
      <c r="B34" s="17" t="s">
        <v>10</v>
      </c>
      <c r="C34" s="17" t="s">
        <v>22</v>
      </c>
      <c r="D34" s="17" t="s">
        <v>12</v>
      </c>
      <c r="E34" s="18" t="s">
        <v>81</v>
      </c>
      <c r="F34" s="17" t="s">
        <v>14</v>
      </c>
      <c r="G34" s="17">
        <v>20</v>
      </c>
      <c r="H34" s="17" t="s">
        <v>15</v>
      </c>
      <c r="I34" s="39">
        <v>11</v>
      </c>
      <c r="J34" s="25">
        <v>0</v>
      </c>
      <c r="K34" s="17">
        <f>J34-G34</f>
        <v>-20</v>
      </c>
      <c r="L34" s="17">
        <f>IF(K34&lt;0,0,J34-G34)</f>
        <v>0</v>
      </c>
      <c r="M34" s="20">
        <f>L34*I34/100</f>
        <v>0</v>
      </c>
      <c r="N34" s="57">
        <v>8.4</v>
      </c>
      <c r="O34" s="25">
        <v>0</v>
      </c>
      <c r="P34" s="17">
        <f>O34-G34</f>
        <v>-20</v>
      </c>
      <c r="Q34" s="17">
        <f>IF(P34&lt;0,0,O34-G34)</f>
        <v>0</v>
      </c>
      <c r="R34" s="20">
        <f>Q34*I34/100</f>
        <v>0</v>
      </c>
      <c r="S34" s="57">
        <v>8.4</v>
      </c>
      <c r="T34" s="45"/>
      <c r="U34" s="18"/>
      <c r="V34" s="18"/>
      <c r="W34" s="19"/>
      <c r="X34" s="58"/>
      <c r="Y34" s="45"/>
      <c r="Z34" s="18"/>
      <c r="AA34" s="18"/>
      <c r="AB34" s="19"/>
      <c r="AC34" s="58"/>
      <c r="AD34" s="25">
        <v>0</v>
      </c>
      <c r="AE34" s="17">
        <f>AD34-G34</f>
        <v>-20</v>
      </c>
      <c r="AF34" s="17">
        <f>IF(AE34&lt;0,0,AD34-G34)</f>
        <v>0</v>
      </c>
      <c r="AG34" s="20">
        <f>AF34*I34/100</f>
        <v>0</v>
      </c>
      <c r="AH34" s="49">
        <v>8.4</v>
      </c>
      <c r="AI34" s="42">
        <f>AF34+AA34+V34+Q34+L34</f>
        <v>0</v>
      </c>
      <c r="AJ34" s="35">
        <f>AG34*AH34+AB34*AC34+W34*X34+R34*S34+M34*N34</f>
        <v>0</v>
      </c>
    </row>
    <row r="35" spans="1:36" x14ac:dyDescent="0.25">
      <c r="A35" s="25" t="s">
        <v>82</v>
      </c>
      <c r="B35" s="17" t="s">
        <v>10</v>
      </c>
      <c r="C35" s="17" t="s">
        <v>11</v>
      </c>
      <c r="D35" s="17" t="s">
        <v>12</v>
      </c>
      <c r="E35" s="18" t="s">
        <v>83</v>
      </c>
      <c r="F35" s="17" t="s">
        <v>14</v>
      </c>
      <c r="G35" s="17">
        <v>20</v>
      </c>
      <c r="H35" s="17" t="s">
        <v>15</v>
      </c>
      <c r="I35" s="39">
        <v>6.5</v>
      </c>
      <c r="J35" s="25">
        <v>0</v>
      </c>
      <c r="K35" s="17">
        <f>J35-G35</f>
        <v>-20</v>
      </c>
      <c r="L35" s="17">
        <f>IF(K35&lt;0,0,J35-G35)</f>
        <v>0</v>
      </c>
      <c r="M35" s="20">
        <f>L35*I35/100</f>
        <v>0</v>
      </c>
      <c r="N35" s="57">
        <v>8.4</v>
      </c>
      <c r="O35" s="25">
        <v>81</v>
      </c>
      <c r="P35" s="17">
        <f>O35-G35</f>
        <v>61</v>
      </c>
      <c r="Q35" s="17">
        <f>IF(P35&lt;0,0,O35-G35)</f>
        <v>61</v>
      </c>
      <c r="R35" s="20">
        <f>Q35*I35/100</f>
        <v>3.9649999999999999</v>
      </c>
      <c r="S35" s="57">
        <v>8.4</v>
      </c>
      <c r="T35" s="25">
        <v>0</v>
      </c>
      <c r="U35" s="17">
        <f>T35-G35</f>
        <v>-20</v>
      </c>
      <c r="V35" s="17">
        <f>IF(U35&lt;0,0,T35-G35)</f>
        <v>0</v>
      </c>
      <c r="W35" s="20">
        <f>V35*I35/100</f>
        <v>0</v>
      </c>
      <c r="X35" s="57">
        <v>8.4</v>
      </c>
      <c r="Y35" s="25">
        <v>9</v>
      </c>
      <c r="Z35" s="17">
        <f>Y35-G35</f>
        <v>-11</v>
      </c>
      <c r="AA35" s="17">
        <f>IF(Z35&lt;0,0,Y35-G35)</f>
        <v>0</v>
      </c>
      <c r="AB35" s="20">
        <f>AA35*I35/100</f>
        <v>0</v>
      </c>
      <c r="AC35" s="57">
        <v>8.4</v>
      </c>
      <c r="AD35" s="25">
        <v>9</v>
      </c>
      <c r="AE35" s="17">
        <f>AD35-G35</f>
        <v>-11</v>
      </c>
      <c r="AF35" s="17">
        <f>IF(AE35&lt;0,0,AD35-G35)</f>
        <v>0</v>
      </c>
      <c r="AG35" s="20">
        <f>AF35*I35/100</f>
        <v>0</v>
      </c>
      <c r="AH35" s="49">
        <v>8.4</v>
      </c>
      <c r="AI35" s="42">
        <f>AF35+AA35+V35+Q35+L35</f>
        <v>61</v>
      </c>
      <c r="AJ35" s="35">
        <f>AG35*AH35+AB35*AC35+W35*X35+R35*S35+M35*N35</f>
        <v>33.305999999999997</v>
      </c>
    </row>
    <row r="36" spans="1:36" x14ac:dyDescent="0.25">
      <c r="A36" s="25" t="s">
        <v>84</v>
      </c>
      <c r="B36" s="17" t="s">
        <v>32</v>
      </c>
      <c r="C36" s="17">
        <v>508</v>
      </c>
      <c r="D36" s="17" t="s">
        <v>12</v>
      </c>
      <c r="E36" s="18" t="s">
        <v>85</v>
      </c>
      <c r="F36" s="17" t="s">
        <v>14</v>
      </c>
      <c r="G36" s="17">
        <v>20</v>
      </c>
      <c r="H36" s="17" t="s">
        <v>15</v>
      </c>
      <c r="I36" s="39">
        <v>6.5</v>
      </c>
      <c r="J36" s="25">
        <v>60</v>
      </c>
      <c r="K36" s="17">
        <f>J36-G36</f>
        <v>40</v>
      </c>
      <c r="L36" s="17">
        <f>IF(K36&lt;0,0,J36-G36)</f>
        <v>40</v>
      </c>
      <c r="M36" s="20">
        <f>L36*I36/100</f>
        <v>2.6</v>
      </c>
      <c r="N36" s="57">
        <v>8.4</v>
      </c>
      <c r="O36" s="25">
        <v>118</v>
      </c>
      <c r="P36" s="17">
        <f>O36-G36</f>
        <v>98</v>
      </c>
      <c r="Q36" s="17">
        <f>IF(P36&lt;0,0,O36-G36)</f>
        <v>98</v>
      </c>
      <c r="R36" s="20">
        <f>Q36*I36/100</f>
        <v>6.37</v>
      </c>
      <c r="S36" s="57">
        <v>8.4</v>
      </c>
      <c r="T36" s="25">
        <v>75</v>
      </c>
      <c r="U36" s="17">
        <f>T36-G36</f>
        <v>55</v>
      </c>
      <c r="V36" s="17">
        <f>IF(U36&lt;0,0,T36-G36)</f>
        <v>55</v>
      </c>
      <c r="W36" s="20">
        <f>V36*I36/100</f>
        <v>3.5750000000000002</v>
      </c>
      <c r="X36" s="57">
        <v>8.4</v>
      </c>
      <c r="Y36" s="45"/>
      <c r="Z36" s="18"/>
      <c r="AA36" s="18"/>
      <c r="AB36" s="19"/>
      <c r="AC36" s="58"/>
      <c r="AD36" s="45"/>
      <c r="AE36" s="18"/>
      <c r="AF36" s="18"/>
      <c r="AG36" s="19"/>
      <c r="AH36" s="50"/>
      <c r="AI36" s="42">
        <f>AF36+AA36+V36+Q36+L36</f>
        <v>193</v>
      </c>
      <c r="AJ36" s="35">
        <f>AG36*AH36+AB36*AC36+W36*X36+R36*S36+M36*N36</f>
        <v>105.37800000000001</v>
      </c>
    </row>
    <row r="37" spans="1:36" x14ac:dyDescent="0.25">
      <c r="A37" s="25" t="s">
        <v>86</v>
      </c>
      <c r="B37" s="17" t="s">
        <v>10</v>
      </c>
      <c r="C37" s="17" t="s">
        <v>11</v>
      </c>
      <c r="D37" s="17" t="s">
        <v>12</v>
      </c>
      <c r="E37" s="17" t="s">
        <v>87</v>
      </c>
      <c r="F37" s="17" t="s">
        <v>14</v>
      </c>
      <c r="G37" s="17">
        <v>50</v>
      </c>
      <c r="H37" s="17" t="s">
        <v>15</v>
      </c>
      <c r="I37" s="39">
        <v>6.5</v>
      </c>
      <c r="J37" s="52">
        <v>0</v>
      </c>
      <c r="K37" s="21">
        <f>J37-G37</f>
        <v>-50</v>
      </c>
      <c r="L37" s="21">
        <f>IF(K37&lt;0,0,J37-G37)</f>
        <v>0</v>
      </c>
      <c r="M37" s="22">
        <f>L37*I37/100</f>
        <v>0</v>
      </c>
      <c r="N37" s="61">
        <v>8.4</v>
      </c>
      <c r="O37" s="25">
        <v>17</v>
      </c>
      <c r="P37" s="17">
        <f>O37-G37</f>
        <v>-33</v>
      </c>
      <c r="Q37" s="17">
        <f>IF(P37&lt;0,0,O37-G37)</f>
        <v>0</v>
      </c>
      <c r="R37" s="20">
        <f>Q37*I37/100</f>
        <v>0</v>
      </c>
      <c r="S37" s="57">
        <v>8.4</v>
      </c>
      <c r="T37" s="25">
        <v>17</v>
      </c>
      <c r="U37" s="17">
        <f>T37-G37</f>
        <v>-33</v>
      </c>
      <c r="V37" s="17">
        <f>IF(U37&lt;0,0,T37-G37)</f>
        <v>0</v>
      </c>
      <c r="W37" s="20">
        <f>V37*I37/100</f>
        <v>0</v>
      </c>
      <c r="X37" s="57">
        <v>8.4</v>
      </c>
      <c r="Y37" s="25">
        <v>16</v>
      </c>
      <c r="Z37" s="17">
        <f>Y37-G37</f>
        <v>-34</v>
      </c>
      <c r="AA37" s="17">
        <f>IF(Z37&lt;0,0,Y37-G37)</f>
        <v>0</v>
      </c>
      <c r="AB37" s="20">
        <f>AA37*I37/100</f>
        <v>0</v>
      </c>
      <c r="AC37" s="57">
        <v>8.4</v>
      </c>
      <c r="AD37" s="25">
        <v>17</v>
      </c>
      <c r="AE37" s="17">
        <f>AD37-G37</f>
        <v>-33</v>
      </c>
      <c r="AF37" s="17">
        <f>IF(AE37&lt;0,0,AD37-G37)</f>
        <v>0</v>
      </c>
      <c r="AG37" s="20">
        <f>AF37*I37/100</f>
        <v>0</v>
      </c>
      <c r="AH37" s="49">
        <v>8.4</v>
      </c>
      <c r="AI37" s="42">
        <f>AF37+AA37+V37+Q37+L37</f>
        <v>0</v>
      </c>
      <c r="AJ37" s="35">
        <f>AG37*AH37+AB37*AC37+W37*X37+R37*S37+M37*N37</f>
        <v>0</v>
      </c>
    </row>
    <row r="38" spans="1:36" x14ac:dyDescent="0.25">
      <c r="A38" s="25" t="s">
        <v>88</v>
      </c>
      <c r="B38" s="17" t="s">
        <v>10</v>
      </c>
      <c r="C38" s="17" t="s">
        <v>11</v>
      </c>
      <c r="D38" s="17" t="s">
        <v>12</v>
      </c>
      <c r="E38" s="18" t="s">
        <v>89</v>
      </c>
      <c r="F38" s="17" t="s">
        <v>14</v>
      </c>
      <c r="G38" s="17">
        <v>20</v>
      </c>
      <c r="H38" s="17" t="s">
        <v>15</v>
      </c>
      <c r="I38" s="39">
        <v>6.5</v>
      </c>
      <c r="J38" s="25">
        <v>5</v>
      </c>
      <c r="K38" s="17">
        <f>J38-G38</f>
        <v>-15</v>
      </c>
      <c r="L38" s="17">
        <f>IF(K38&lt;0,0,J38-G38)</f>
        <v>0</v>
      </c>
      <c r="M38" s="20">
        <f>L38*I38/100</f>
        <v>0</v>
      </c>
      <c r="N38" s="57">
        <v>8.4</v>
      </c>
      <c r="O38" s="25">
        <v>0</v>
      </c>
      <c r="P38" s="17">
        <f>O38-G38</f>
        <v>-20</v>
      </c>
      <c r="Q38" s="17">
        <f>IF(P38&lt;0,0,O38-G38)</f>
        <v>0</v>
      </c>
      <c r="R38" s="20">
        <f>Q38*I38/100</f>
        <v>0</v>
      </c>
      <c r="S38" s="57">
        <v>8.4</v>
      </c>
      <c r="T38" s="25">
        <v>3</v>
      </c>
      <c r="U38" s="17">
        <f>T38-G38</f>
        <v>-17</v>
      </c>
      <c r="V38" s="17">
        <f>IF(U38&lt;0,0,T38-G38)</f>
        <v>0</v>
      </c>
      <c r="W38" s="20">
        <f>V38*I38/100</f>
        <v>0</v>
      </c>
      <c r="X38" s="57">
        <v>8.4</v>
      </c>
      <c r="Y38" s="25">
        <v>0</v>
      </c>
      <c r="Z38" s="17">
        <f>Y38-G38</f>
        <v>-20</v>
      </c>
      <c r="AA38" s="17">
        <f>IF(Z38&lt;0,0,Y38-G38)</f>
        <v>0</v>
      </c>
      <c r="AB38" s="20">
        <f>AA38*I38/100</f>
        <v>0</v>
      </c>
      <c r="AC38" s="57">
        <v>8.4</v>
      </c>
      <c r="AD38" s="25">
        <v>3</v>
      </c>
      <c r="AE38" s="17">
        <f>AD38-G38</f>
        <v>-17</v>
      </c>
      <c r="AF38" s="17">
        <f>IF(AE38&lt;0,0,AD38-G38)</f>
        <v>0</v>
      </c>
      <c r="AG38" s="20">
        <f>AF38*I38/100</f>
        <v>0</v>
      </c>
      <c r="AH38" s="49">
        <v>8.4</v>
      </c>
      <c r="AI38" s="42">
        <f>AF38+AA38+V38+Q38+L38</f>
        <v>0</v>
      </c>
      <c r="AJ38" s="35">
        <f>AG38*AH38+AB38*AC38+W38*X38+R38*S38+M38*N38</f>
        <v>0</v>
      </c>
    </row>
    <row r="39" spans="1:36" x14ac:dyDescent="0.25">
      <c r="A39" s="25" t="s">
        <v>90</v>
      </c>
      <c r="B39" s="17" t="s">
        <v>10</v>
      </c>
      <c r="C39" s="17" t="s">
        <v>11</v>
      </c>
      <c r="D39" s="17" t="s">
        <v>12</v>
      </c>
      <c r="E39" s="18" t="s">
        <v>91</v>
      </c>
      <c r="F39" s="17" t="s">
        <v>14</v>
      </c>
      <c r="G39" s="17">
        <v>20</v>
      </c>
      <c r="H39" s="17" t="s">
        <v>15</v>
      </c>
      <c r="I39" s="39">
        <v>6.5</v>
      </c>
      <c r="J39" s="25">
        <v>0</v>
      </c>
      <c r="K39" s="17">
        <f>J39-G39</f>
        <v>-20</v>
      </c>
      <c r="L39" s="17">
        <f>IF(K39&lt;0,0,J39-G39)</f>
        <v>0</v>
      </c>
      <c r="M39" s="20">
        <f>L39*I39/100</f>
        <v>0</v>
      </c>
      <c r="N39" s="57">
        <v>8.4</v>
      </c>
      <c r="O39" s="25">
        <v>8</v>
      </c>
      <c r="P39" s="17">
        <f>O39-G39</f>
        <v>-12</v>
      </c>
      <c r="Q39" s="17">
        <f>IF(P39&lt;0,0,O39-G39)</f>
        <v>0</v>
      </c>
      <c r="R39" s="20">
        <f>Q39*I39/100</f>
        <v>0</v>
      </c>
      <c r="S39" s="57">
        <v>8.4</v>
      </c>
      <c r="T39" s="25">
        <v>15</v>
      </c>
      <c r="U39" s="17">
        <f>T39-G39</f>
        <v>-5</v>
      </c>
      <c r="V39" s="17">
        <f>IF(U39&lt;0,0,T39-G39)</f>
        <v>0</v>
      </c>
      <c r="W39" s="20">
        <f>V39*I39/100</f>
        <v>0</v>
      </c>
      <c r="X39" s="57">
        <v>8.4</v>
      </c>
      <c r="Y39" s="25">
        <v>412</v>
      </c>
      <c r="Z39" s="17">
        <f>Y39-G39</f>
        <v>392</v>
      </c>
      <c r="AA39" s="17">
        <f>IF(Z39&lt;0,0,Y39-G39)</f>
        <v>392</v>
      </c>
      <c r="AB39" s="20">
        <f>AA39*I39/100</f>
        <v>25.48</v>
      </c>
      <c r="AC39" s="57">
        <v>8.4</v>
      </c>
      <c r="AD39" s="25">
        <v>64</v>
      </c>
      <c r="AE39" s="17">
        <f>AD39-G39</f>
        <v>44</v>
      </c>
      <c r="AF39" s="17">
        <f>IF(AE39&lt;0,0,AD39-G39)</f>
        <v>44</v>
      </c>
      <c r="AG39" s="20">
        <f>AF39*I39/100</f>
        <v>2.86</v>
      </c>
      <c r="AH39" s="49">
        <v>8.4</v>
      </c>
      <c r="AI39" s="42">
        <f>AF39+AA39+V39+Q39+L39</f>
        <v>436</v>
      </c>
      <c r="AJ39" s="35">
        <f>AG39*AH39+AB39*AC39+W39*X39+R39*S39+M39*N39</f>
        <v>238.05600000000001</v>
      </c>
    </row>
    <row r="40" spans="1:36" x14ac:dyDescent="0.25">
      <c r="A40" s="25" t="s">
        <v>92</v>
      </c>
      <c r="B40" s="17" t="s">
        <v>32</v>
      </c>
      <c r="C40" s="17">
        <v>208</v>
      </c>
      <c r="D40" s="17" t="s">
        <v>12</v>
      </c>
      <c r="E40" s="17" t="s">
        <v>93</v>
      </c>
      <c r="F40" s="17" t="s">
        <v>14</v>
      </c>
      <c r="G40" s="17">
        <v>20</v>
      </c>
      <c r="H40" s="17" t="s">
        <v>15</v>
      </c>
      <c r="I40" s="39">
        <v>6.5</v>
      </c>
      <c r="J40" s="25">
        <v>17</v>
      </c>
      <c r="K40" s="17">
        <f>J40-G40</f>
        <v>-3</v>
      </c>
      <c r="L40" s="17">
        <f>IF(K40&lt;0,0,J40-G40)</f>
        <v>0</v>
      </c>
      <c r="M40" s="20">
        <f>L40*I40/100</f>
        <v>0</v>
      </c>
      <c r="N40" s="57">
        <v>8.4</v>
      </c>
      <c r="O40" s="25">
        <v>496</v>
      </c>
      <c r="P40" s="17">
        <f>O40-G40</f>
        <v>476</v>
      </c>
      <c r="Q40" s="17">
        <f>IF(P40&lt;0,0,O40-G40)</f>
        <v>476</v>
      </c>
      <c r="R40" s="20">
        <f>Q40*I40/100</f>
        <v>30.94</v>
      </c>
      <c r="S40" s="57">
        <v>8.4</v>
      </c>
      <c r="T40" s="25">
        <v>297</v>
      </c>
      <c r="U40" s="17">
        <f>T40-G40</f>
        <v>277</v>
      </c>
      <c r="V40" s="17">
        <f>IF(U40&lt;0,0,T40-G40)</f>
        <v>277</v>
      </c>
      <c r="W40" s="20">
        <f>V40*I40/100</f>
        <v>18.004999999999999</v>
      </c>
      <c r="X40" s="57">
        <v>8.4</v>
      </c>
      <c r="Y40" s="25">
        <v>18</v>
      </c>
      <c r="Z40" s="17">
        <f>Y40-G40</f>
        <v>-2</v>
      </c>
      <c r="AA40" s="17">
        <f>IF(Z40&lt;0,0,Y40-G40)</f>
        <v>0</v>
      </c>
      <c r="AB40" s="20">
        <f>AA40*I40/100</f>
        <v>0</v>
      </c>
      <c r="AC40" s="57">
        <v>8.4</v>
      </c>
      <c r="AD40" s="25">
        <v>46</v>
      </c>
      <c r="AE40" s="17">
        <f>AD40-G40</f>
        <v>26</v>
      </c>
      <c r="AF40" s="17">
        <f>IF(AE40&lt;0,0,AD40-G40)</f>
        <v>26</v>
      </c>
      <c r="AG40" s="20">
        <f>AF40*I40/100</f>
        <v>1.69</v>
      </c>
      <c r="AH40" s="49">
        <v>8.4</v>
      </c>
      <c r="AI40" s="42">
        <f>AF40+AA40+V40+Q40+L40</f>
        <v>779</v>
      </c>
      <c r="AJ40" s="35">
        <f>AG40*AH40+AB40*AC40+W40*X40+R40*S40+M40*N40</f>
        <v>425.334</v>
      </c>
    </row>
    <row r="41" spans="1:36" x14ac:dyDescent="0.25">
      <c r="A41" s="25" t="s">
        <v>94</v>
      </c>
      <c r="B41" s="17" t="s">
        <v>17</v>
      </c>
      <c r="C41" s="17" t="s">
        <v>18</v>
      </c>
      <c r="D41" s="17" t="s">
        <v>12</v>
      </c>
      <c r="E41" s="18" t="s">
        <v>95</v>
      </c>
      <c r="F41" s="17" t="s">
        <v>14</v>
      </c>
      <c r="G41" s="17">
        <v>20</v>
      </c>
      <c r="H41" s="17" t="s">
        <v>15</v>
      </c>
      <c r="I41" s="39">
        <v>6.5</v>
      </c>
      <c r="J41" s="45"/>
      <c r="K41" s="18"/>
      <c r="L41" s="18"/>
      <c r="M41" s="19"/>
      <c r="N41" s="58"/>
      <c r="O41" s="45"/>
      <c r="P41" s="18"/>
      <c r="Q41" s="18"/>
      <c r="R41" s="19"/>
      <c r="S41" s="58"/>
      <c r="T41" s="25">
        <v>2</v>
      </c>
      <c r="U41" s="17">
        <f>T41-G41</f>
        <v>-18</v>
      </c>
      <c r="V41" s="17">
        <f>IF(U41&lt;0,0,T41-G41)</f>
        <v>0</v>
      </c>
      <c r="W41" s="20">
        <f>V41*I41/100</f>
        <v>0</v>
      </c>
      <c r="X41" s="57">
        <v>8.4</v>
      </c>
      <c r="Y41" s="25">
        <v>63</v>
      </c>
      <c r="Z41" s="17">
        <f>Y41-G41</f>
        <v>43</v>
      </c>
      <c r="AA41" s="17">
        <f>IF(Z41&lt;0,0,Y41-G41)</f>
        <v>43</v>
      </c>
      <c r="AB41" s="20">
        <f>AA41*I41/100</f>
        <v>2.7949999999999999</v>
      </c>
      <c r="AC41" s="57">
        <v>8.4</v>
      </c>
      <c r="AD41" s="25">
        <v>90</v>
      </c>
      <c r="AE41" s="17">
        <f>AD41-G41</f>
        <v>70</v>
      </c>
      <c r="AF41" s="17">
        <f>IF(AE41&lt;0,0,AD41-G41)</f>
        <v>70</v>
      </c>
      <c r="AG41" s="20">
        <f>AF41*I41/100</f>
        <v>4.55</v>
      </c>
      <c r="AH41" s="49">
        <v>8.4</v>
      </c>
      <c r="AI41" s="42">
        <f>AF41+AA41+V41+Q41+L41</f>
        <v>113</v>
      </c>
      <c r="AJ41" s="35">
        <f>AG41*AH41+AB41*AC41+W41*X41+R41*S41+M41*N41</f>
        <v>61.698</v>
      </c>
    </row>
    <row r="42" spans="1:36" x14ac:dyDescent="0.25">
      <c r="A42" s="25" t="s">
        <v>96</v>
      </c>
      <c r="B42" s="17" t="s">
        <v>17</v>
      </c>
      <c r="C42" s="17" t="s">
        <v>18</v>
      </c>
      <c r="D42" s="17" t="s">
        <v>12</v>
      </c>
      <c r="E42" s="18" t="s">
        <v>97</v>
      </c>
      <c r="F42" s="17" t="s">
        <v>14</v>
      </c>
      <c r="G42" s="17">
        <v>20</v>
      </c>
      <c r="H42" s="17" t="s">
        <v>15</v>
      </c>
      <c r="I42" s="39">
        <v>6.5</v>
      </c>
      <c r="J42" s="45"/>
      <c r="K42" s="18"/>
      <c r="L42" s="18"/>
      <c r="M42" s="19"/>
      <c r="N42" s="58"/>
      <c r="O42" s="25">
        <v>0</v>
      </c>
      <c r="P42" s="17">
        <f>O42-G42</f>
        <v>-20</v>
      </c>
      <c r="Q42" s="17">
        <f>IF(P42&lt;0,0,O42-G42)</f>
        <v>0</v>
      </c>
      <c r="R42" s="20">
        <f>Q42*I42/100</f>
        <v>0</v>
      </c>
      <c r="S42" s="57">
        <v>8.4</v>
      </c>
      <c r="T42" s="25">
        <v>14</v>
      </c>
      <c r="U42" s="17">
        <f>T42-G42</f>
        <v>-6</v>
      </c>
      <c r="V42" s="17">
        <f>IF(U42&lt;0,0,T42-G42)</f>
        <v>0</v>
      </c>
      <c r="W42" s="20">
        <f>V42*I42/100</f>
        <v>0</v>
      </c>
      <c r="X42" s="57">
        <v>8.4</v>
      </c>
      <c r="Y42" s="25">
        <v>7</v>
      </c>
      <c r="Z42" s="17">
        <f>Y42-G42</f>
        <v>-13</v>
      </c>
      <c r="AA42" s="17">
        <f>IF(Z42&lt;0,0,Y42-G42)</f>
        <v>0</v>
      </c>
      <c r="AB42" s="20">
        <f>AA42*I42/100</f>
        <v>0</v>
      </c>
      <c r="AC42" s="57">
        <v>8.4</v>
      </c>
      <c r="AD42" s="25">
        <v>36</v>
      </c>
      <c r="AE42" s="17">
        <f>AD42-G42</f>
        <v>16</v>
      </c>
      <c r="AF42" s="17">
        <f>IF(AE42&lt;0,0,AD42-G42)</f>
        <v>16</v>
      </c>
      <c r="AG42" s="20">
        <f>AF42*I42/100</f>
        <v>1.04</v>
      </c>
      <c r="AH42" s="49">
        <v>8.4</v>
      </c>
      <c r="AI42" s="42">
        <f>AF42+AA42+V42+Q42+L42</f>
        <v>16</v>
      </c>
      <c r="AJ42" s="35">
        <f>AG42*AH42+AB42*AC42+W42*X42+R42*S42+M42*N42</f>
        <v>8.7360000000000007</v>
      </c>
    </row>
    <row r="43" spans="1:36" x14ac:dyDescent="0.25">
      <c r="A43" s="25" t="s">
        <v>98</v>
      </c>
      <c r="B43" s="17" t="s">
        <v>17</v>
      </c>
      <c r="C43" s="17" t="s">
        <v>99</v>
      </c>
      <c r="D43" s="17" t="s">
        <v>12</v>
      </c>
      <c r="E43" s="17" t="s">
        <v>100</v>
      </c>
      <c r="F43" s="17" t="s">
        <v>14</v>
      </c>
      <c r="G43" s="17">
        <v>20</v>
      </c>
      <c r="H43" s="17" t="s">
        <v>38</v>
      </c>
      <c r="I43" s="39">
        <v>6.5</v>
      </c>
      <c r="J43" s="25">
        <v>20</v>
      </c>
      <c r="K43" s="17">
        <f>J43-G43</f>
        <v>0</v>
      </c>
      <c r="L43" s="17">
        <f>IF(K43&lt;0,0,J43-G43)</f>
        <v>0</v>
      </c>
      <c r="M43" s="20">
        <f>L43*I43/100</f>
        <v>0</v>
      </c>
      <c r="N43" s="57">
        <v>7.3</v>
      </c>
      <c r="O43" s="25">
        <v>18</v>
      </c>
      <c r="P43" s="17">
        <f>O43-G43</f>
        <v>-2</v>
      </c>
      <c r="Q43" s="17">
        <f>IF(P43&lt;0,0,O43-G43)</f>
        <v>0</v>
      </c>
      <c r="R43" s="20">
        <f>Q43*I43/100</f>
        <v>0</v>
      </c>
      <c r="S43" s="57">
        <v>7.2</v>
      </c>
      <c r="T43" s="25">
        <v>16</v>
      </c>
      <c r="U43" s="17">
        <f>T43-G43</f>
        <v>-4</v>
      </c>
      <c r="V43" s="17">
        <f>IF(U43&lt;0,0,T43-G43)</f>
        <v>0</v>
      </c>
      <c r="W43" s="20">
        <f>V43*I43/100</f>
        <v>0</v>
      </c>
      <c r="X43" s="57">
        <v>7.2</v>
      </c>
      <c r="Y43" s="25">
        <v>17</v>
      </c>
      <c r="Z43" s="17">
        <f>Y43-G43</f>
        <v>-3</v>
      </c>
      <c r="AA43" s="17">
        <f>IF(Z43&lt;0,0,Y43-G43)</f>
        <v>0</v>
      </c>
      <c r="AB43" s="20">
        <f>AA43*I43/100</f>
        <v>0</v>
      </c>
      <c r="AC43" s="57">
        <v>7.2</v>
      </c>
      <c r="AD43" s="25">
        <v>18</v>
      </c>
      <c r="AE43" s="17">
        <f>AD43-G43</f>
        <v>-2</v>
      </c>
      <c r="AF43" s="17">
        <f>IF(AE43&lt;0,0,AD43-G43)</f>
        <v>0</v>
      </c>
      <c r="AG43" s="20">
        <f>AF43*I43/100</f>
        <v>0</v>
      </c>
      <c r="AH43" s="49">
        <v>7.2</v>
      </c>
      <c r="AI43" s="42">
        <f>AF43+AA43+V43+Q43+L43</f>
        <v>0</v>
      </c>
      <c r="AJ43" s="35">
        <f>AG43*AH43+AB43*AC43+W43*X43+R43*S43+M43*N43</f>
        <v>0</v>
      </c>
    </row>
    <row r="44" spans="1:36" x14ac:dyDescent="0.25">
      <c r="A44" s="25" t="s">
        <v>101</v>
      </c>
      <c r="B44" s="17" t="s">
        <v>10</v>
      </c>
      <c r="C44" s="17" t="s">
        <v>11</v>
      </c>
      <c r="D44" s="17" t="s">
        <v>102</v>
      </c>
      <c r="E44" s="17" t="s">
        <v>103</v>
      </c>
      <c r="F44" s="17" t="s">
        <v>14</v>
      </c>
      <c r="G44" s="17">
        <v>35</v>
      </c>
      <c r="H44" s="17" t="s">
        <v>15</v>
      </c>
      <c r="I44" s="39">
        <v>6.5</v>
      </c>
      <c r="J44" s="25">
        <v>76</v>
      </c>
      <c r="K44" s="17">
        <f>J44-G44</f>
        <v>41</v>
      </c>
      <c r="L44" s="17">
        <f>IF(K44&lt;0,0,J44-G44)</f>
        <v>41</v>
      </c>
      <c r="M44" s="20">
        <f>L44*I44/100</f>
        <v>2.665</v>
      </c>
      <c r="N44" s="57">
        <v>8.4</v>
      </c>
      <c r="O44" s="25">
        <v>312</v>
      </c>
      <c r="P44" s="17">
        <f>O44-G44</f>
        <v>277</v>
      </c>
      <c r="Q44" s="17">
        <f>IF(P44&lt;0,0,O44-G44)</f>
        <v>277</v>
      </c>
      <c r="R44" s="20">
        <f>Q44*I44/100</f>
        <v>18.004999999999999</v>
      </c>
      <c r="S44" s="57">
        <v>8.4</v>
      </c>
      <c r="T44" s="25">
        <v>46</v>
      </c>
      <c r="U44" s="17">
        <f>T44-G44</f>
        <v>11</v>
      </c>
      <c r="V44" s="17">
        <f>IF(U44&lt;0,0,T44-G44)</f>
        <v>11</v>
      </c>
      <c r="W44" s="20">
        <f>V44*I44/100</f>
        <v>0.71499999999999997</v>
      </c>
      <c r="X44" s="57">
        <v>8.4</v>
      </c>
      <c r="Y44" s="25">
        <v>100</v>
      </c>
      <c r="Z44" s="17">
        <f>Y44-G44</f>
        <v>65</v>
      </c>
      <c r="AA44" s="17">
        <f>IF(Z44&lt;0,0,Y44-G44)</f>
        <v>65</v>
      </c>
      <c r="AB44" s="20">
        <f>AA44*I44/100</f>
        <v>4.2249999999999996</v>
      </c>
      <c r="AC44" s="57">
        <v>8.4</v>
      </c>
      <c r="AD44" s="25">
        <v>89</v>
      </c>
      <c r="AE44" s="17">
        <f>AD44-G44</f>
        <v>54</v>
      </c>
      <c r="AF44" s="17">
        <f>IF(AE44&lt;0,0,AD44-G44)</f>
        <v>54</v>
      </c>
      <c r="AG44" s="20">
        <f>AF44*I44/100</f>
        <v>3.51</v>
      </c>
      <c r="AH44" s="49">
        <v>8.4</v>
      </c>
      <c r="AI44" s="42">
        <f>AF44+AA44+V44+Q44+L44</f>
        <v>448</v>
      </c>
      <c r="AJ44" s="35">
        <f>AG44*AH44+AB44*AC44+W44*X44+R44*S44+M44*N44</f>
        <v>244.60799999999998</v>
      </c>
    </row>
    <row r="45" spans="1:36" x14ac:dyDescent="0.25">
      <c r="A45" s="25" t="s">
        <v>104</v>
      </c>
      <c r="B45" s="17" t="s">
        <v>10</v>
      </c>
      <c r="C45" s="17" t="s">
        <v>105</v>
      </c>
      <c r="D45" s="17" t="s">
        <v>102</v>
      </c>
      <c r="E45" s="17" t="s">
        <v>106</v>
      </c>
      <c r="F45" s="17" t="s">
        <v>14</v>
      </c>
      <c r="G45" s="17">
        <v>30</v>
      </c>
      <c r="H45" s="17" t="s">
        <v>15</v>
      </c>
      <c r="I45" s="39">
        <v>6.5</v>
      </c>
      <c r="J45" s="25">
        <v>21</v>
      </c>
      <c r="K45" s="17">
        <f>J45-G45</f>
        <v>-9</v>
      </c>
      <c r="L45" s="17">
        <f>IF(K45&lt;0,0,J45-G45)</f>
        <v>0</v>
      </c>
      <c r="M45" s="20">
        <f>L45*I45/100</f>
        <v>0</v>
      </c>
      <c r="N45" s="57">
        <v>8.4</v>
      </c>
      <c r="O45" s="25">
        <v>57</v>
      </c>
      <c r="P45" s="17">
        <f>O45-G45</f>
        <v>27</v>
      </c>
      <c r="Q45" s="17">
        <f>IF(P45&lt;0,0,O45-G45)</f>
        <v>27</v>
      </c>
      <c r="R45" s="20">
        <f>Q45*I45/100</f>
        <v>1.7549999999999999</v>
      </c>
      <c r="S45" s="57">
        <v>8.4</v>
      </c>
      <c r="T45" s="25">
        <v>22</v>
      </c>
      <c r="U45" s="17">
        <f>T45-G45</f>
        <v>-8</v>
      </c>
      <c r="V45" s="17">
        <f>IF(U45&lt;0,0,T45-G45)</f>
        <v>0</v>
      </c>
      <c r="W45" s="20">
        <f>V45*I45/100</f>
        <v>0</v>
      </c>
      <c r="X45" s="57">
        <v>8.4</v>
      </c>
      <c r="Y45" s="25">
        <v>24</v>
      </c>
      <c r="Z45" s="17">
        <f>Y45-G45</f>
        <v>-6</v>
      </c>
      <c r="AA45" s="17">
        <f>IF(Z45&lt;0,0,Y45-G45)</f>
        <v>0</v>
      </c>
      <c r="AB45" s="20">
        <f>AA45*I45/100</f>
        <v>0</v>
      </c>
      <c r="AC45" s="57">
        <v>8.4</v>
      </c>
      <c r="AD45" s="25">
        <v>28</v>
      </c>
      <c r="AE45" s="17">
        <f>AD45-G45</f>
        <v>-2</v>
      </c>
      <c r="AF45" s="17">
        <f>IF(AE45&lt;0,0,AD45-G45)</f>
        <v>0</v>
      </c>
      <c r="AG45" s="20">
        <f>AF45*I45/100</f>
        <v>0</v>
      </c>
      <c r="AH45" s="49">
        <v>8.4</v>
      </c>
      <c r="AI45" s="42">
        <f>AF45+AA45+V45+Q45+L45</f>
        <v>27</v>
      </c>
      <c r="AJ45" s="35">
        <f>AG45*AH45+AB45*AC45+W45*X45+R45*S45+M45*N45</f>
        <v>14.741999999999999</v>
      </c>
    </row>
    <row r="46" spans="1:36" x14ac:dyDescent="0.25">
      <c r="A46" s="25" t="s">
        <v>107</v>
      </c>
      <c r="B46" s="17" t="s">
        <v>10</v>
      </c>
      <c r="C46" s="17" t="s">
        <v>11</v>
      </c>
      <c r="D46" s="17" t="s">
        <v>102</v>
      </c>
      <c r="E46" s="18" t="s">
        <v>108</v>
      </c>
      <c r="F46" s="17" t="s">
        <v>14</v>
      </c>
      <c r="G46" s="17">
        <v>20</v>
      </c>
      <c r="H46" s="17" t="s">
        <v>15</v>
      </c>
      <c r="I46" s="39">
        <v>6.5</v>
      </c>
      <c r="J46" s="45"/>
      <c r="K46" s="18"/>
      <c r="L46" s="18"/>
      <c r="M46" s="19"/>
      <c r="N46" s="58"/>
      <c r="O46" s="45"/>
      <c r="P46" s="18"/>
      <c r="Q46" s="18"/>
      <c r="R46" s="19"/>
      <c r="S46" s="58"/>
      <c r="T46" s="25">
        <v>30</v>
      </c>
      <c r="U46" s="17">
        <f>T46-G46</f>
        <v>10</v>
      </c>
      <c r="V46" s="17">
        <f>IF(U46&lt;0,0,T46-G46)</f>
        <v>10</v>
      </c>
      <c r="W46" s="20">
        <f>V46*I46/100</f>
        <v>0.65</v>
      </c>
      <c r="X46" s="57">
        <v>8.4</v>
      </c>
      <c r="Y46" s="25">
        <v>138</v>
      </c>
      <c r="Z46" s="17">
        <f>Y46-G46</f>
        <v>118</v>
      </c>
      <c r="AA46" s="17">
        <f>IF(Z46&lt;0,0,Y46-G46)</f>
        <v>118</v>
      </c>
      <c r="AB46" s="20">
        <f>AA46*I46/100</f>
        <v>7.67</v>
      </c>
      <c r="AC46" s="57">
        <v>8.4</v>
      </c>
      <c r="AD46" s="25">
        <v>0</v>
      </c>
      <c r="AE46" s="17">
        <f>AD46-G46</f>
        <v>-20</v>
      </c>
      <c r="AF46" s="17">
        <f>IF(AE46&lt;0,0,AD46-G46)</f>
        <v>0</v>
      </c>
      <c r="AG46" s="20">
        <f>AF46*I46/100</f>
        <v>0</v>
      </c>
      <c r="AH46" s="49">
        <v>8.4</v>
      </c>
      <c r="AI46" s="42">
        <f>AF46+AA46+V46+Q46+L46</f>
        <v>128</v>
      </c>
      <c r="AJ46" s="35">
        <f>AG46*AH46+AB46*AC46+W46*X46+R46*S46+M46*N46</f>
        <v>69.888000000000005</v>
      </c>
    </row>
    <row r="47" spans="1:36" x14ac:dyDescent="0.25">
      <c r="A47" s="25" t="s">
        <v>109</v>
      </c>
      <c r="B47" s="17" t="s">
        <v>10</v>
      </c>
      <c r="C47" s="17" t="s">
        <v>11</v>
      </c>
      <c r="D47" s="17" t="s">
        <v>102</v>
      </c>
      <c r="E47" s="17" t="s">
        <v>110</v>
      </c>
      <c r="F47" s="17" t="s">
        <v>14</v>
      </c>
      <c r="G47" s="17">
        <v>20</v>
      </c>
      <c r="H47" s="17" t="s">
        <v>15</v>
      </c>
      <c r="I47" s="39">
        <v>6.5</v>
      </c>
      <c r="J47" s="25">
        <v>0</v>
      </c>
      <c r="K47" s="17">
        <f>J47-G47</f>
        <v>-20</v>
      </c>
      <c r="L47" s="17">
        <f>IF(K47&lt;0,0,J47-G47)</f>
        <v>0</v>
      </c>
      <c r="M47" s="20">
        <f>L47*I47/100</f>
        <v>0</v>
      </c>
      <c r="N47" s="57">
        <v>8.4</v>
      </c>
      <c r="O47" s="25">
        <v>23</v>
      </c>
      <c r="P47" s="17">
        <f>O47-G47</f>
        <v>3</v>
      </c>
      <c r="Q47" s="17">
        <f>IF(P47&lt;0,0,O47-G47)</f>
        <v>3</v>
      </c>
      <c r="R47" s="20">
        <f>Q47*I47/100</f>
        <v>0.19500000000000001</v>
      </c>
      <c r="S47" s="57">
        <v>8.4</v>
      </c>
      <c r="T47" s="25">
        <v>5</v>
      </c>
      <c r="U47" s="17">
        <f>T47-G47</f>
        <v>-15</v>
      </c>
      <c r="V47" s="17">
        <f>IF(U47&lt;0,0,T47-G47)</f>
        <v>0</v>
      </c>
      <c r="W47" s="20">
        <f>V47*I47/100</f>
        <v>0</v>
      </c>
      <c r="X47" s="57">
        <v>8.4</v>
      </c>
      <c r="Y47" s="25">
        <v>15</v>
      </c>
      <c r="Z47" s="17">
        <f>Y47-G47</f>
        <v>-5</v>
      </c>
      <c r="AA47" s="17">
        <f>IF(Z47&lt;0,0,Y47-G47)</f>
        <v>0</v>
      </c>
      <c r="AB47" s="20">
        <f>AA47*I47/100</f>
        <v>0</v>
      </c>
      <c r="AC47" s="57">
        <v>8.4</v>
      </c>
      <c r="AD47" s="25">
        <v>0</v>
      </c>
      <c r="AE47" s="17">
        <f>AD47-G47</f>
        <v>-20</v>
      </c>
      <c r="AF47" s="17">
        <f>IF(AE47&lt;0,0,AD47-G47)</f>
        <v>0</v>
      </c>
      <c r="AG47" s="20">
        <f>AF47*I47/100</f>
        <v>0</v>
      </c>
      <c r="AH47" s="49">
        <v>8.4</v>
      </c>
      <c r="AI47" s="42">
        <f>AF47+AA47+V47+Q47+L47</f>
        <v>3</v>
      </c>
      <c r="AJ47" s="35">
        <f>AG47*AH47+AB47*AC47+W47*X47+R47*S47+M47*N47</f>
        <v>1.6380000000000001</v>
      </c>
    </row>
    <row r="48" spans="1:36" x14ac:dyDescent="0.25">
      <c r="A48" s="25" t="s">
        <v>111</v>
      </c>
      <c r="B48" s="17" t="s">
        <v>10</v>
      </c>
      <c r="C48" s="17" t="s">
        <v>11</v>
      </c>
      <c r="D48" s="17" t="s">
        <v>102</v>
      </c>
      <c r="E48" s="17" t="s">
        <v>112</v>
      </c>
      <c r="F48" s="17" t="s">
        <v>14</v>
      </c>
      <c r="G48" s="17">
        <v>20</v>
      </c>
      <c r="H48" s="17" t="s">
        <v>15</v>
      </c>
      <c r="I48" s="39">
        <v>6.5</v>
      </c>
      <c r="J48" s="25">
        <v>43</v>
      </c>
      <c r="K48" s="17">
        <f>J48-G48</f>
        <v>23</v>
      </c>
      <c r="L48" s="17">
        <f>IF(K48&lt;0,0,J48-G48)</f>
        <v>23</v>
      </c>
      <c r="M48" s="20">
        <f>L48*I48/100</f>
        <v>1.4950000000000001</v>
      </c>
      <c r="N48" s="57">
        <v>8.4</v>
      </c>
      <c r="O48" s="25">
        <v>203</v>
      </c>
      <c r="P48" s="17">
        <f>O48-G48</f>
        <v>183</v>
      </c>
      <c r="Q48" s="17">
        <f>IF(P48&lt;0,0,O48-G48)</f>
        <v>183</v>
      </c>
      <c r="R48" s="20">
        <f>Q48*I48/100</f>
        <v>11.895</v>
      </c>
      <c r="S48" s="57">
        <v>8.4</v>
      </c>
      <c r="T48" s="25">
        <v>303</v>
      </c>
      <c r="U48" s="17">
        <f>T48-G48</f>
        <v>283</v>
      </c>
      <c r="V48" s="17">
        <f>IF(U48&lt;0,0,T48-G48)</f>
        <v>283</v>
      </c>
      <c r="W48" s="20">
        <f>V48*I48/100</f>
        <v>18.395</v>
      </c>
      <c r="X48" s="57">
        <v>8.4</v>
      </c>
      <c r="Y48" s="25">
        <v>2</v>
      </c>
      <c r="Z48" s="17">
        <f>Y48-G48</f>
        <v>-18</v>
      </c>
      <c r="AA48" s="17">
        <f>IF(Z48&lt;0,0,Y48-G48)</f>
        <v>0</v>
      </c>
      <c r="AB48" s="20">
        <f>AA48*I48/100</f>
        <v>0</v>
      </c>
      <c r="AC48" s="57">
        <v>8.4</v>
      </c>
      <c r="AD48" s="25">
        <v>210</v>
      </c>
      <c r="AE48" s="17">
        <f>AD48-G48</f>
        <v>190</v>
      </c>
      <c r="AF48" s="17">
        <f>IF(AE48&lt;0,0,AD48-G48)</f>
        <v>190</v>
      </c>
      <c r="AG48" s="20">
        <f>AF48*I48/100</f>
        <v>12.35</v>
      </c>
      <c r="AH48" s="49">
        <v>8.4</v>
      </c>
      <c r="AI48" s="42">
        <f>AF48+AA48+V48+Q48+L48</f>
        <v>679</v>
      </c>
      <c r="AJ48" s="35">
        <f>AG48*AH48+AB48*AC48+W48*X48+R48*S48+M48*N48</f>
        <v>370.73399999999998</v>
      </c>
    </row>
    <row r="49" spans="1:36" x14ac:dyDescent="0.25">
      <c r="A49" s="25" t="s">
        <v>113</v>
      </c>
      <c r="B49" s="17" t="s">
        <v>10</v>
      </c>
      <c r="C49" s="17" t="s">
        <v>22</v>
      </c>
      <c r="D49" s="17" t="s">
        <v>102</v>
      </c>
      <c r="E49" s="18" t="s">
        <v>114</v>
      </c>
      <c r="F49" s="17" t="s">
        <v>14</v>
      </c>
      <c r="G49" s="17">
        <v>20</v>
      </c>
      <c r="H49" s="17" t="s">
        <v>15</v>
      </c>
      <c r="I49" s="39">
        <v>11</v>
      </c>
      <c r="J49" s="25">
        <v>0</v>
      </c>
      <c r="K49" s="17">
        <f>J49-G49</f>
        <v>-20</v>
      </c>
      <c r="L49" s="17">
        <f>IF(K49&lt;0,0,J49-G49)</f>
        <v>0</v>
      </c>
      <c r="M49" s="20">
        <f>L49*I49/100</f>
        <v>0</v>
      </c>
      <c r="N49" s="57">
        <v>8.4</v>
      </c>
      <c r="O49" s="25">
        <v>1</v>
      </c>
      <c r="P49" s="17">
        <f>O49-G49</f>
        <v>-19</v>
      </c>
      <c r="Q49" s="17">
        <f>IF(P49&lt;0,0,O49-G49)</f>
        <v>0</v>
      </c>
      <c r="R49" s="20">
        <f>Q49*I49/100</f>
        <v>0</v>
      </c>
      <c r="S49" s="57">
        <v>8.4</v>
      </c>
      <c r="T49" s="25">
        <v>0</v>
      </c>
      <c r="U49" s="17">
        <f>T49-G49</f>
        <v>-20</v>
      </c>
      <c r="V49" s="17">
        <f>IF(U49&lt;0,0,T49-G49)</f>
        <v>0</v>
      </c>
      <c r="W49" s="20">
        <f>V49*I49/100</f>
        <v>0</v>
      </c>
      <c r="X49" s="57">
        <v>8.4</v>
      </c>
      <c r="Y49" s="25">
        <v>0</v>
      </c>
      <c r="Z49" s="17">
        <f>Y49-G49</f>
        <v>-20</v>
      </c>
      <c r="AA49" s="17">
        <f>IF(Z49&lt;0,0,Y49-G49)</f>
        <v>0</v>
      </c>
      <c r="AB49" s="20">
        <f>AA49*I49/100</f>
        <v>0</v>
      </c>
      <c r="AC49" s="57">
        <v>8.4</v>
      </c>
      <c r="AD49" s="25">
        <v>0</v>
      </c>
      <c r="AE49" s="17">
        <f>AD49-G49</f>
        <v>-20</v>
      </c>
      <c r="AF49" s="17">
        <f>IF(AE49&lt;0,0,AD49-G49)</f>
        <v>0</v>
      </c>
      <c r="AG49" s="20">
        <f>AF49*I49/100</f>
        <v>0</v>
      </c>
      <c r="AH49" s="49">
        <v>8.4</v>
      </c>
      <c r="AI49" s="42">
        <f>AF49+AA49+V49+Q49+L49</f>
        <v>0</v>
      </c>
      <c r="AJ49" s="35">
        <f>AG49*AH49+AB49*AC49+W49*X49+R49*S49+M49*N49</f>
        <v>0</v>
      </c>
    </row>
    <row r="50" spans="1:36" x14ac:dyDescent="0.25">
      <c r="A50" s="25" t="s">
        <v>115</v>
      </c>
      <c r="B50" s="17" t="s">
        <v>17</v>
      </c>
      <c r="C50" s="17" t="s">
        <v>36</v>
      </c>
      <c r="D50" s="17" t="s">
        <v>102</v>
      </c>
      <c r="E50" s="18" t="s">
        <v>108</v>
      </c>
      <c r="F50" s="17" t="s">
        <v>14</v>
      </c>
      <c r="G50" s="17">
        <v>20</v>
      </c>
      <c r="H50" s="17" t="s">
        <v>38</v>
      </c>
      <c r="I50" s="39">
        <v>6.5</v>
      </c>
      <c r="J50" s="25">
        <v>0</v>
      </c>
      <c r="K50" s="17">
        <f>J50-G50</f>
        <v>-20</v>
      </c>
      <c r="L50" s="17">
        <f>IF(K50&lt;0,0,J50-G50)</f>
        <v>0</v>
      </c>
      <c r="M50" s="20">
        <f>L50*I50/100</f>
        <v>0</v>
      </c>
      <c r="N50" s="57">
        <v>7.3</v>
      </c>
      <c r="O50" s="25">
        <v>0</v>
      </c>
      <c r="P50" s="17">
        <f>O50-G50</f>
        <v>-20</v>
      </c>
      <c r="Q50" s="17">
        <f>IF(P50&lt;0,0,O50-G50)</f>
        <v>0</v>
      </c>
      <c r="R50" s="20">
        <f>Q50*I50/100</f>
        <v>0</v>
      </c>
      <c r="S50" s="57">
        <v>7.2</v>
      </c>
      <c r="T50" s="45"/>
      <c r="U50" s="18"/>
      <c r="V50" s="18"/>
      <c r="W50" s="19"/>
      <c r="X50" s="58"/>
      <c r="Y50" s="45"/>
      <c r="Z50" s="18"/>
      <c r="AA50" s="18"/>
      <c r="AB50" s="19"/>
      <c r="AC50" s="58"/>
      <c r="AD50" s="45"/>
      <c r="AE50" s="18"/>
      <c r="AF50" s="18"/>
      <c r="AG50" s="19"/>
      <c r="AH50" s="50"/>
      <c r="AI50" s="42">
        <f>AF50+AA50+V50+Q50+L50</f>
        <v>0</v>
      </c>
      <c r="AJ50" s="35">
        <f>AG50*AH50+AB50*AC50+W50*X50+R50*S50+M50*N50</f>
        <v>0</v>
      </c>
    </row>
    <row r="51" spans="1:36" x14ac:dyDescent="0.25">
      <c r="A51" s="25" t="s">
        <v>116</v>
      </c>
      <c r="B51" s="17" t="s">
        <v>10</v>
      </c>
      <c r="C51" s="17" t="s">
        <v>22</v>
      </c>
      <c r="D51" s="17" t="s">
        <v>102</v>
      </c>
      <c r="E51" s="18" t="s">
        <v>117</v>
      </c>
      <c r="F51" s="17" t="s">
        <v>14</v>
      </c>
      <c r="G51" s="17">
        <v>20</v>
      </c>
      <c r="H51" s="17" t="s">
        <v>15</v>
      </c>
      <c r="I51" s="39">
        <v>11</v>
      </c>
      <c r="J51" s="25">
        <v>0</v>
      </c>
      <c r="K51" s="17">
        <f>J51-G51</f>
        <v>-20</v>
      </c>
      <c r="L51" s="17">
        <f>IF(K51&lt;0,0,J51-G51)</f>
        <v>0</v>
      </c>
      <c r="M51" s="20">
        <f>L51*I51/100</f>
        <v>0</v>
      </c>
      <c r="N51" s="57">
        <v>8.4</v>
      </c>
      <c r="O51" s="25">
        <v>0</v>
      </c>
      <c r="P51" s="17">
        <f>O51-G51</f>
        <v>-20</v>
      </c>
      <c r="Q51" s="17">
        <f>IF(P51&lt;0,0,O51-G51)</f>
        <v>0</v>
      </c>
      <c r="R51" s="20">
        <f>Q51*I51/100</f>
        <v>0</v>
      </c>
      <c r="S51" s="57">
        <v>8.4</v>
      </c>
      <c r="T51" s="25">
        <v>0</v>
      </c>
      <c r="U51" s="17">
        <f>T51-G51</f>
        <v>-20</v>
      </c>
      <c r="V51" s="17">
        <f>IF(U51&lt;0,0,T51-G51)</f>
        <v>0</v>
      </c>
      <c r="W51" s="20">
        <f>V51*I51/100</f>
        <v>0</v>
      </c>
      <c r="X51" s="57">
        <v>8.4</v>
      </c>
      <c r="Y51" s="25">
        <v>29</v>
      </c>
      <c r="Z51" s="17">
        <f>Y51-G51</f>
        <v>9</v>
      </c>
      <c r="AA51" s="17">
        <f>IF(Z51&lt;0,0,Y51-G51)</f>
        <v>9</v>
      </c>
      <c r="AB51" s="20">
        <f>AA51*I51/100</f>
        <v>0.99</v>
      </c>
      <c r="AC51" s="57">
        <v>8.4</v>
      </c>
      <c r="AD51" s="25">
        <v>10</v>
      </c>
      <c r="AE51" s="17">
        <f>AD51-G51</f>
        <v>-10</v>
      </c>
      <c r="AF51" s="17">
        <f>IF(AE51&lt;0,0,AD51-G51)</f>
        <v>0</v>
      </c>
      <c r="AG51" s="20">
        <f>AF51*I51/100</f>
        <v>0</v>
      </c>
      <c r="AH51" s="49">
        <v>8.4</v>
      </c>
      <c r="AI51" s="42">
        <f>AF51+AA51+V51+Q51+L51</f>
        <v>9</v>
      </c>
      <c r="AJ51" s="35">
        <f>AG51*AH51+AB51*AC51+W51*X51+R51*S51+M51*N51</f>
        <v>8.3160000000000007</v>
      </c>
    </row>
    <row r="52" spans="1:36" x14ac:dyDescent="0.25">
      <c r="A52" s="25" t="s">
        <v>118</v>
      </c>
      <c r="B52" s="17" t="s">
        <v>10</v>
      </c>
      <c r="C52" s="17" t="s">
        <v>105</v>
      </c>
      <c r="D52" s="17" t="s">
        <v>102</v>
      </c>
      <c r="E52" s="18" t="s">
        <v>103</v>
      </c>
      <c r="F52" s="17" t="s">
        <v>14</v>
      </c>
      <c r="G52" s="17">
        <v>35</v>
      </c>
      <c r="H52" s="17" t="s">
        <v>15</v>
      </c>
      <c r="I52" s="39">
        <v>6.5</v>
      </c>
      <c r="J52" s="45"/>
      <c r="K52" s="18"/>
      <c r="L52" s="18"/>
      <c r="M52" s="19"/>
      <c r="N52" s="58"/>
      <c r="O52" s="25">
        <v>109</v>
      </c>
      <c r="P52" s="17">
        <f>O52-G52</f>
        <v>74</v>
      </c>
      <c r="Q52" s="17">
        <f>IF(P52&lt;0,0,O52-G52)</f>
        <v>74</v>
      </c>
      <c r="R52" s="20">
        <f>Q52*I52/100</f>
        <v>4.8099999999999996</v>
      </c>
      <c r="S52" s="57">
        <v>8.4</v>
      </c>
      <c r="T52" s="45"/>
      <c r="U52" s="18"/>
      <c r="V52" s="18"/>
      <c r="W52" s="19"/>
      <c r="X52" s="58"/>
      <c r="Y52" s="45"/>
      <c r="Z52" s="18"/>
      <c r="AA52" s="18"/>
      <c r="AB52" s="19"/>
      <c r="AC52" s="58"/>
      <c r="AD52" s="45"/>
      <c r="AE52" s="18"/>
      <c r="AF52" s="18"/>
      <c r="AG52" s="19"/>
      <c r="AH52" s="50"/>
      <c r="AI52" s="42">
        <f>AF52+AA52+V52+Q52+L52</f>
        <v>74</v>
      </c>
      <c r="AJ52" s="35">
        <f>AG52*AH52+AB52*AC52+W52*X52+R52*S52+M52*N52</f>
        <v>40.403999999999996</v>
      </c>
    </row>
    <row r="53" spans="1:36" x14ac:dyDescent="0.25">
      <c r="A53" s="25" t="s">
        <v>119</v>
      </c>
      <c r="B53" s="17" t="s">
        <v>10</v>
      </c>
      <c r="C53" s="17" t="s">
        <v>22</v>
      </c>
      <c r="D53" s="17" t="s">
        <v>120</v>
      </c>
      <c r="E53" s="17" t="s">
        <v>121</v>
      </c>
      <c r="F53" s="17" t="s">
        <v>14</v>
      </c>
      <c r="G53" s="17">
        <v>20</v>
      </c>
      <c r="H53" s="17" t="s">
        <v>15</v>
      </c>
      <c r="I53" s="39">
        <v>11</v>
      </c>
      <c r="J53" s="25">
        <v>0</v>
      </c>
      <c r="K53" s="17">
        <f>J53-G53</f>
        <v>-20</v>
      </c>
      <c r="L53" s="17">
        <f>IF(K53&lt;0,0,J53-G53)</f>
        <v>0</v>
      </c>
      <c r="M53" s="20">
        <f>L53*I53/100</f>
        <v>0</v>
      </c>
      <c r="N53" s="57">
        <v>8.4</v>
      </c>
      <c r="O53" s="25">
        <v>0</v>
      </c>
      <c r="P53" s="17">
        <f>O53-G53</f>
        <v>-20</v>
      </c>
      <c r="Q53" s="17">
        <f>IF(P53&lt;0,0,O53-G53)</f>
        <v>0</v>
      </c>
      <c r="R53" s="20">
        <f>Q53*I53/100</f>
        <v>0</v>
      </c>
      <c r="S53" s="57">
        <v>8.4</v>
      </c>
      <c r="T53" s="25">
        <v>40</v>
      </c>
      <c r="U53" s="17">
        <f>T53-G53</f>
        <v>20</v>
      </c>
      <c r="V53" s="17">
        <f>IF(U53&lt;0,0,T53-G53)</f>
        <v>20</v>
      </c>
      <c r="W53" s="20">
        <f>V53*I53/100</f>
        <v>2.2000000000000002</v>
      </c>
      <c r="X53" s="57">
        <v>8.4</v>
      </c>
      <c r="Y53" s="25">
        <v>5</v>
      </c>
      <c r="Z53" s="17">
        <f>Y53-G53</f>
        <v>-15</v>
      </c>
      <c r="AA53" s="17">
        <f>IF(Z53&lt;0,0,Y53-G53)</f>
        <v>0</v>
      </c>
      <c r="AB53" s="20">
        <f>AA53*I53/100</f>
        <v>0</v>
      </c>
      <c r="AC53" s="57">
        <v>8.4</v>
      </c>
      <c r="AD53" s="25">
        <v>22</v>
      </c>
      <c r="AE53" s="17">
        <f>AD53-G53</f>
        <v>2</v>
      </c>
      <c r="AF53" s="17">
        <f>IF(AE53&lt;0,0,AD53-G53)</f>
        <v>2</v>
      </c>
      <c r="AG53" s="20">
        <f>AF53*I53/100</f>
        <v>0.22</v>
      </c>
      <c r="AH53" s="49">
        <v>8.4</v>
      </c>
      <c r="AI53" s="42">
        <f>AF53+AA53+V53+Q53+L53</f>
        <v>22</v>
      </c>
      <c r="AJ53" s="35">
        <f>AG53*AH53+AB53*AC53+W53*X53+R53*S53+M53*N53</f>
        <v>20.328000000000003</v>
      </c>
    </row>
    <row r="54" spans="1:36" x14ac:dyDescent="0.25">
      <c r="A54" s="25" t="s">
        <v>122</v>
      </c>
      <c r="B54" s="17" t="s">
        <v>10</v>
      </c>
      <c r="C54" s="17" t="s">
        <v>11</v>
      </c>
      <c r="D54" s="17" t="s">
        <v>120</v>
      </c>
      <c r="E54" s="18" t="s">
        <v>123</v>
      </c>
      <c r="F54" s="17" t="s">
        <v>14</v>
      </c>
      <c r="G54" s="17">
        <v>20</v>
      </c>
      <c r="H54" s="17" t="s">
        <v>15</v>
      </c>
      <c r="I54" s="39">
        <v>6.5</v>
      </c>
      <c r="J54" s="45"/>
      <c r="K54" s="18"/>
      <c r="L54" s="18"/>
      <c r="M54" s="19"/>
      <c r="N54" s="58"/>
      <c r="O54" s="45"/>
      <c r="P54" s="18"/>
      <c r="Q54" s="18"/>
      <c r="R54" s="19"/>
      <c r="S54" s="58"/>
      <c r="T54" s="45"/>
      <c r="U54" s="18"/>
      <c r="V54" s="18"/>
      <c r="W54" s="19"/>
      <c r="X54" s="58"/>
      <c r="Y54" s="45"/>
      <c r="Z54" s="18"/>
      <c r="AA54" s="18"/>
      <c r="AB54" s="19"/>
      <c r="AC54" s="58"/>
      <c r="AD54" s="25">
        <v>0</v>
      </c>
      <c r="AE54" s="17">
        <f>AD54-G54</f>
        <v>-20</v>
      </c>
      <c r="AF54" s="17">
        <f>IF(AE54&lt;0,0,AD54-G54)</f>
        <v>0</v>
      </c>
      <c r="AG54" s="20">
        <f>AF54*I54/100</f>
        <v>0</v>
      </c>
      <c r="AH54" s="49">
        <v>8.4</v>
      </c>
      <c r="AI54" s="42">
        <f>AF54+AA54+V54+Q54+L54</f>
        <v>0</v>
      </c>
      <c r="AJ54" s="35">
        <f>AG54*AH54+AB54*AC54+W54*X54+R54*S54+M54*N54</f>
        <v>0</v>
      </c>
    </row>
    <row r="55" spans="1:36" x14ac:dyDescent="0.25">
      <c r="A55" s="25" t="s">
        <v>122</v>
      </c>
      <c r="B55" s="17" t="s">
        <v>10</v>
      </c>
      <c r="C55" s="17" t="s">
        <v>11</v>
      </c>
      <c r="D55" s="17" t="s">
        <v>120</v>
      </c>
      <c r="E55" s="17" t="s">
        <v>124</v>
      </c>
      <c r="F55" s="17" t="s">
        <v>14</v>
      </c>
      <c r="G55" s="17">
        <v>20</v>
      </c>
      <c r="H55" s="17" t="s">
        <v>15</v>
      </c>
      <c r="I55" s="39">
        <v>6.5</v>
      </c>
      <c r="J55" s="25">
        <v>4</v>
      </c>
      <c r="K55" s="17">
        <f>J55-G55</f>
        <v>-16</v>
      </c>
      <c r="L55" s="17">
        <f>IF(K55&lt;0,0,J55-G55)</f>
        <v>0</v>
      </c>
      <c r="M55" s="20">
        <f>L55*I55/100</f>
        <v>0</v>
      </c>
      <c r="N55" s="57">
        <v>8.4</v>
      </c>
      <c r="O55" s="25">
        <v>12</v>
      </c>
      <c r="P55" s="17">
        <f>O55-G55</f>
        <v>-8</v>
      </c>
      <c r="Q55" s="17">
        <f>IF(P55&lt;0,0,O55-G55)</f>
        <v>0</v>
      </c>
      <c r="R55" s="20">
        <f>Q55*I55/100</f>
        <v>0</v>
      </c>
      <c r="S55" s="57">
        <v>8.4</v>
      </c>
      <c r="T55" s="25">
        <v>5</v>
      </c>
      <c r="U55" s="17">
        <f>T55-G55</f>
        <v>-15</v>
      </c>
      <c r="V55" s="17">
        <f>IF(U55&lt;0,0,T55-G55)</f>
        <v>0</v>
      </c>
      <c r="W55" s="20">
        <f>V55*I55/100</f>
        <v>0</v>
      </c>
      <c r="X55" s="57">
        <v>8.4</v>
      </c>
      <c r="Y55" s="25">
        <v>0</v>
      </c>
      <c r="Z55" s="17">
        <f>Y55-G55</f>
        <v>-20</v>
      </c>
      <c r="AA55" s="17">
        <f>IF(Z55&lt;0,0,Y55-G55)</f>
        <v>0</v>
      </c>
      <c r="AB55" s="20">
        <f>AA55*I55/100</f>
        <v>0</v>
      </c>
      <c r="AC55" s="57">
        <v>8.4</v>
      </c>
      <c r="AD55" s="25">
        <v>120</v>
      </c>
      <c r="AE55" s="17">
        <f>AD55-G55</f>
        <v>100</v>
      </c>
      <c r="AF55" s="17">
        <f>IF(AE55&lt;0,0,AD55-G55)</f>
        <v>100</v>
      </c>
      <c r="AG55" s="20">
        <f>AF55*I55/100</f>
        <v>6.5</v>
      </c>
      <c r="AH55" s="49">
        <v>8.4</v>
      </c>
      <c r="AI55" s="42">
        <f>AF55+AA55+V55+Q55+L55</f>
        <v>100</v>
      </c>
      <c r="AJ55" s="35">
        <f>AG55*AH55+AB55*AC55+W55*X55+R55*S55+M55*N55</f>
        <v>54.6</v>
      </c>
    </row>
    <row r="56" spans="1:36" x14ac:dyDescent="0.25">
      <c r="A56" s="25" t="s">
        <v>125</v>
      </c>
      <c r="B56" s="17" t="s">
        <v>17</v>
      </c>
      <c r="C56" s="17" t="s">
        <v>18</v>
      </c>
      <c r="D56" s="17" t="s">
        <v>120</v>
      </c>
      <c r="E56" s="17" t="s">
        <v>126</v>
      </c>
      <c r="F56" s="17" t="s">
        <v>14</v>
      </c>
      <c r="G56" s="17">
        <v>20</v>
      </c>
      <c r="H56" s="17" t="s">
        <v>15</v>
      </c>
      <c r="I56" s="39">
        <v>6.5</v>
      </c>
      <c r="J56" s="25">
        <v>114</v>
      </c>
      <c r="K56" s="17">
        <f>J56-G56</f>
        <v>94</v>
      </c>
      <c r="L56" s="17">
        <f>IF(K56&lt;0,0,J56-G56)</f>
        <v>94</v>
      </c>
      <c r="M56" s="20">
        <f>L56*I56/100</f>
        <v>6.11</v>
      </c>
      <c r="N56" s="57">
        <v>8.4</v>
      </c>
      <c r="O56" s="25">
        <v>71</v>
      </c>
      <c r="P56" s="17">
        <f>O56-G56</f>
        <v>51</v>
      </c>
      <c r="Q56" s="17">
        <f>IF(P56&lt;0,0,O56-G56)</f>
        <v>51</v>
      </c>
      <c r="R56" s="20">
        <f>Q56*I56/100</f>
        <v>3.3149999999999999</v>
      </c>
      <c r="S56" s="57">
        <v>8.4</v>
      </c>
      <c r="T56" s="25">
        <v>0</v>
      </c>
      <c r="U56" s="17">
        <f>T56-G56</f>
        <v>-20</v>
      </c>
      <c r="V56" s="17">
        <f>IF(U56&lt;0,0,T56-G56)</f>
        <v>0</v>
      </c>
      <c r="W56" s="20">
        <f>V56*I56/100</f>
        <v>0</v>
      </c>
      <c r="X56" s="57">
        <v>8.4</v>
      </c>
      <c r="Y56" s="25">
        <v>150</v>
      </c>
      <c r="Z56" s="17">
        <f>Y56-G56</f>
        <v>130</v>
      </c>
      <c r="AA56" s="17">
        <f>IF(Z56&lt;0,0,Y56-G56)</f>
        <v>130</v>
      </c>
      <c r="AB56" s="20">
        <f>AA56*I56/100</f>
        <v>8.4499999999999993</v>
      </c>
      <c r="AC56" s="57">
        <v>8.4</v>
      </c>
      <c r="AD56" s="25">
        <v>94</v>
      </c>
      <c r="AE56" s="17">
        <f>AD56-G56</f>
        <v>74</v>
      </c>
      <c r="AF56" s="17">
        <f>IF(AE56&lt;0,0,AD56-G56)</f>
        <v>74</v>
      </c>
      <c r="AG56" s="20">
        <f>AF56*I56/100</f>
        <v>4.8099999999999996</v>
      </c>
      <c r="AH56" s="49">
        <v>8.4</v>
      </c>
      <c r="AI56" s="42">
        <f>AF56+AA56+V56+Q56+L56</f>
        <v>349</v>
      </c>
      <c r="AJ56" s="35">
        <f>AG56*AH56+AB56*AC56+W56*X56+R56*S56+M56*N56</f>
        <v>190.554</v>
      </c>
    </row>
    <row r="57" spans="1:36" x14ac:dyDescent="0.25">
      <c r="A57" s="25" t="s">
        <v>127</v>
      </c>
      <c r="B57" s="17" t="s">
        <v>10</v>
      </c>
      <c r="C57" s="17" t="s">
        <v>11</v>
      </c>
      <c r="D57" s="17" t="s">
        <v>120</v>
      </c>
      <c r="E57" s="17" t="s">
        <v>123</v>
      </c>
      <c r="F57" s="17" t="s">
        <v>14</v>
      </c>
      <c r="G57" s="17">
        <v>20</v>
      </c>
      <c r="H57" s="17" t="s">
        <v>15</v>
      </c>
      <c r="I57" s="39">
        <v>6.5</v>
      </c>
      <c r="J57" s="25">
        <v>14</v>
      </c>
      <c r="K57" s="17">
        <f>J57-G57</f>
        <v>-6</v>
      </c>
      <c r="L57" s="17">
        <f>IF(K57&lt;0,0,J57-G57)</f>
        <v>0</v>
      </c>
      <c r="M57" s="20">
        <f>L57*I57/100</f>
        <v>0</v>
      </c>
      <c r="N57" s="57">
        <v>8.4</v>
      </c>
      <c r="O57" s="25">
        <v>0</v>
      </c>
      <c r="P57" s="17">
        <f>O57-G57</f>
        <v>-20</v>
      </c>
      <c r="Q57" s="17">
        <f>IF(P57&lt;0,0,O57-G57)</f>
        <v>0</v>
      </c>
      <c r="R57" s="20">
        <f>Q57*I57/100</f>
        <v>0</v>
      </c>
      <c r="S57" s="57">
        <v>8.4</v>
      </c>
      <c r="T57" s="25">
        <v>0</v>
      </c>
      <c r="U57" s="17">
        <f>T57-G57</f>
        <v>-20</v>
      </c>
      <c r="V57" s="17">
        <f>IF(U57&lt;0,0,T57-G57)</f>
        <v>0</v>
      </c>
      <c r="W57" s="20">
        <f>V57*I57/100</f>
        <v>0</v>
      </c>
      <c r="X57" s="57">
        <v>8.4</v>
      </c>
      <c r="Y57" s="25">
        <v>0</v>
      </c>
      <c r="Z57" s="17">
        <f>Y57-G57</f>
        <v>-20</v>
      </c>
      <c r="AA57" s="17">
        <f>IF(Z57&lt;0,0,Y57-G57)</f>
        <v>0</v>
      </c>
      <c r="AB57" s="20">
        <f>AA57*I57/100</f>
        <v>0</v>
      </c>
      <c r="AC57" s="57">
        <v>8.4</v>
      </c>
      <c r="AD57" s="25">
        <v>0</v>
      </c>
      <c r="AE57" s="17">
        <f>AD57-G57</f>
        <v>-20</v>
      </c>
      <c r="AF57" s="17">
        <f>IF(AE57&lt;0,0,AD57-G57)</f>
        <v>0</v>
      </c>
      <c r="AG57" s="20">
        <f>AF57*I57/100</f>
        <v>0</v>
      </c>
      <c r="AH57" s="49">
        <v>8.4</v>
      </c>
      <c r="AI57" s="42">
        <f>AF57+AA57+V57+Q57+L57</f>
        <v>0</v>
      </c>
      <c r="AJ57" s="35">
        <f>AG57*AH57+AB57*AC57+W57*X57+R57*S57+M57*N57</f>
        <v>0</v>
      </c>
    </row>
    <row r="58" spans="1:36" x14ac:dyDescent="0.25">
      <c r="A58" s="25" t="s">
        <v>128</v>
      </c>
      <c r="B58" s="17" t="s">
        <v>17</v>
      </c>
      <c r="C58" s="17" t="s">
        <v>36</v>
      </c>
      <c r="D58" s="17" t="s">
        <v>129</v>
      </c>
      <c r="E58" s="17" t="s">
        <v>130</v>
      </c>
      <c r="F58" s="17" t="s">
        <v>14</v>
      </c>
      <c r="G58" s="17">
        <v>20</v>
      </c>
      <c r="H58" s="17" t="s">
        <v>38</v>
      </c>
      <c r="I58" s="39">
        <v>6.5</v>
      </c>
      <c r="J58" s="25">
        <v>30</v>
      </c>
      <c r="K58" s="17">
        <f>J58-G58</f>
        <v>10</v>
      </c>
      <c r="L58" s="17">
        <f>IF(K58&lt;0,0,J58-G58)</f>
        <v>10</v>
      </c>
      <c r="M58" s="20">
        <f>L58*I58/100</f>
        <v>0.65</v>
      </c>
      <c r="N58" s="57">
        <v>7.3</v>
      </c>
      <c r="O58" s="25">
        <v>48</v>
      </c>
      <c r="P58" s="17">
        <f>O58-G58</f>
        <v>28</v>
      </c>
      <c r="Q58" s="17">
        <f>IF(P58&lt;0,0,O58-G58)</f>
        <v>28</v>
      </c>
      <c r="R58" s="20">
        <f>Q58*I58/100</f>
        <v>1.82</v>
      </c>
      <c r="S58" s="57">
        <v>7.2</v>
      </c>
      <c r="T58" s="25">
        <v>40</v>
      </c>
      <c r="U58" s="17">
        <f>T58-G58</f>
        <v>20</v>
      </c>
      <c r="V58" s="17">
        <f>IF(U58&lt;0,0,T58-G58)</f>
        <v>20</v>
      </c>
      <c r="W58" s="20">
        <f>V58*I58/100</f>
        <v>1.3</v>
      </c>
      <c r="X58" s="57">
        <v>7.2</v>
      </c>
      <c r="Y58" s="25">
        <v>514</v>
      </c>
      <c r="Z58" s="17">
        <f>Y58-G58</f>
        <v>494</v>
      </c>
      <c r="AA58" s="17">
        <f>IF(Z58&lt;0,0,Y58-G58)</f>
        <v>494</v>
      </c>
      <c r="AB58" s="20">
        <f>AA58*I58/100</f>
        <v>32.11</v>
      </c>
      <c r="AC58" s="57">
        <v>7.2</v>
      </c>
      <c r="AD58" s="25">
        <v>39</v>
      </c>
      <c r="AE58" s="17">
        <f>AD58-G58</f>
        <v>19</v>
      </c>
      <c r="AF58" s="17">
        <f>IF(AE58&lt;0,0,AD58-G58)</f>
        <v>19</v>
      </c>
      <c r="AG58" s="20">
        <f>AF58*I58/100</f>
        <v>1.2350000000000001</v>
      </c>
      <c r="AH58" s="49">
        <v>7.2</v>
      </c>
      <c r="AI58" s="42">
        <f>AF58+AA58+V58+Q58+L58</f>
        <v>571</v>
      </c>
      <c r="AJ58" s="35">
        <f>AG58*AH58+AB58*AC58+W58*X58+R58*S58+M58*N58</f>
        <v>267.29300000000001</v>
      </c>
    </row>
    <row r="59" spans="1:36" x14ac:dyDescent="0.25">
      <c r="A59" s="25" t="s">
        <v>131</v>
      </c>
      <c r="B59" s="17" t="s">
        <v>17</v>
      </c>
      <c r="C59" s="17" t="s">
        <v>99</v>
      </c>
      <c r="D59" s="17" t="s">
        <v>129</v>
      </c>
      <c r="E59" s="17" t="s">
        <v>132</v>
      </c>
      <c r="F59" s="17" t="s">
        <v>14</v>
      </c>
      <c r="G59" s="17">
        <v>20</v>
      </c>
      <c r="H59" s="17" t="s">
        <v>15</v>
      </c>
      <c r="I59" s="39">
        <v>6.5</v>
      </c>
      <c r="J59" s="25">
        <v>7</v>
      </c>
      <c r="K59" s="17">
        <f>J59-G59</f>
        <v>-13</v>
      </c>
      <c r="L59" s="17">
        <f>IF(K59&lt;0,0,J59-G59)</f>
        <v>0</v>
      </c>
      <c r="M59" s="20">
        <f>L59*I59/100</f>
        <v>0</v>
      </c>
      <c r="N59" s="57">
        <v>8.4</v>
      </c>
      <c r="O59" s="25">
        <v>216</v>
      </c>
      <c r="P59" s="17">
        <f>O59-G59</f>
        <v>196</v>
      </c>
      <c r="Q59" s="17">
        <f>IF(P59&lt;0,0,O59-G59)</f>
        <v>196</v>
      </c>
      <c r="R59" s="20">
        <f>Q59*I59/100</f>
        <v>12.74</v>
      </c>
      <c r="S59" s="57">
        <v>8.4</v>
      </c>
      <c r="T59" s="25">
        <v>72</v>
      </c>
      <c r="U59" s="17">
        <f>T59-G59</f>
        <v>52</v>
      </c>
      <c r="V59" s="17">
        <f>IF(U59&lt;0,0,T59-G59)</f>
        <v>52</v>
      </c>
      <c r="W59" s="20">
        <f>V59*I59/100</f>
        <v>3.38</v>
      </c>
      <c r="X59" s="57">
        <v>8.4</v>
      </c>
      <c r="Y59" s="25">
        <v>161</v>
      </c>
      <c r="Z59" s="17">
        <f>Y59-G59</f>
        <v>141</v>
      </c>
      <c r="AA59" s="17">
        <f>IF(Z59&lt;0,0,Y59-G59)</f>
        <v>141</v>
      </c>
      <c r="AB59" s="20">
        <f>AA59*I59/100</f>
        <v>9.1649999999999991</v>
      </c>
      <c r="AC59" s="57">
        <v>8.4</v>
      </c>
      <c r="AD59" s="25">
        <v>162</v>
      </c>
      <c r="AE59" s="17">
        <f>AD59-G59</f>
        <v>142</v>
      </c>
      <c r="AF59" s="17">
        <f>IF(AE59&lt;0,0,AD59-G59)</f>
        <v>142</v>
      </c>
      <c r="AG59" s="20">
        <f>AF59*I59/100</f>
        <v>9.23</v>
      </c>
      <c r="AH59" s="49">
        <v>8.4</v>
      </c>
      <c r="AI59" s="42">
        <f>AF59+AA59+V59+Q59+L59</f>
        <v>531</v>
      </c>
      <c r="AJ59" s="35">
        <f>AG59*AH59+AB59*AC59+W59*X59+R59*S59+M59*N59</f>
        <v>289.92599999999999</v>
      </c>
    </row>
    <row r="60" spans="1:36" x14ac:dyDescent="0.25">
      <c r="A60" s="25" t="s">
        <v>133</v>
      </c>
      <c r="B60" s="17" t="s">
        <v>10</v>
      </c>
      <c r="C60" s="17" t="s">
        <v>11</v>
      </c>
      <c r="D60" s="17" t="s">
        <v>129</v>
      </c>
      <c r="E60" s="17" t="s">
        <v>134</v>
      </c>
      <c r="F60" s="17" t="s">
        <v>14</v>
      </c>
      <c r="G60" s="17">
        <v>20</v>
      </c>
      <c r="H60" s="17" t="s">
        <v>15</v>
      </c>
      <c r="I60" s="39">
        <v>6.5</v>
      </c>
      <c r="J60" s="25">
        <v>120</v>
      </c>
      <c r="K60" s="17">
        <f>J60-G60</f>
        <v>100</v>
      </c>
      <c r="L60" s="17">
        <f>IF(K60&lt;0,0,J60-G60)</f>
        <v>100</v>
      </c>
      <c r="M60" s="20">
        <f>L60*I60/100</f>
        <v>6.5</v>
      </c>
      <c r="N60" s="57">
        <v>8.4</v>
      </c>
      <c r="O60" s="25">
        <v>41</v>
      </c>
      <c r="P60" s="17">
        <f>O60-G60</f>
        <v>21</v>
      </c>
      <c r="Q60" s="17">
        <f>IF(P60&lt;0,0,O60-G60)</f>
        <v>21</v>
      </c>
      <c r="R60" s="20">
        <f>Q60*I60/100</f>
        <v>1.365</v>
      </c>
      <c r="S60" s="57">
        <v>8.4</v>
      </c>
      <c r="T60" s="25">
        <v>181</v>
      </c>
      <c r="U60" s="17">
        <f>T60-G60</f>
        <v>161</v>
      </c>
      <c r="V60" s="17">
        <f>IF(U60&lt;0,0,T60-G60)</f>
        <v>161</v>
      </c>
      <c r="W60" s="20">
        <f>V60*I60/100</f>
        <v>10.465</v>
      </c>
      <c r="X60" s="57">
        <v>8.4</v>
      </c>
      <c r="Y60" s="25">
        <v>68</v>
      </c>
      <c r="Z60" s="17">
        <f>Y60-G60</f>
        <v>48</v>
      </c>
      <c r="AA60" s="17">
        <f>IF(Z60&lt;0,0,Y60-G60)</f>
        <v>48</v>
      </c>
      <c r="AB60" s="20">
        <f>AA60*I60/100</f>
        <v>3.12</v>
      </c>
      <c r="AC60" s="57">
        <v>8.4</v>
      </c>
      <c r="AD60" s="25">
        <v>68</v>
      </c>
      <c r="AE60" s="17">
        <f>AD60-G60</f>
        <v>48</v>
      </c>
      <c r="AF60" s="17">
        <f>IF(AE60&lt;0,0,AD60-G60)</f>
        <v>48</v>
      </c>
      <c r="AG60" s="20">
        <f>AF60*I60/100</f>
        <v>3.12</v>
      </c>
      <c r="AH60" s="49">
        <v>8.4</v>
      </c>
      <c r="AI60" s="42">
        <f>AF60+AA60+V60+Q60+L60</f>
        <v>378</v>
      </c>
      <c r="AJ60" s="35">
        <f>AG60*AH60+AB60*AC60+W60*X60+R60*S60+M60*N60</f>
        <v>206.38800000000001</v>
      </c>
    </row>
    <row r="61" spans="1:36" x14ac:dyDescent="0.25">
      <c r="A61" s="25" t="s">
        <v>135</v>
      </c>
      <c r="B61" s="17" t="s">
        <v>32</v>
      </c>
      <c r="C61" s="17" t="s">
        <v>33</v>
      </c>
      <c r="D61" s="17" t="s">
        <v>129</v>
      </c>
      <c r="E61" s="17" t="s">
        <v>136</v>
      </c>
      <c r="F61" s="17" t="s">
        <v>14</v>
      </c>
      <c r="G61" s="17">
        <v>50</v>
      </c>
      <c r="H61" s="17" t="s">
        <v>15</v>
      </c>
      <c r="I61" s="39">
        <v>9</v>
      </c>
      <c r="J61" s="25">
        <v>34</v>
      </c>
      <c r="K61" s="17">
        <f>J61-G61</f>
        <v>-16</v>
      </c>
      <c r="L61" s="17">
        <f>IF(K61&lt;0,0,J61-G61)</f>
        <v>0</v>
      </c>
      <c r="M61" s="20">
        <f>L61*I61/100</f>
        <v>0</v>
      </c>
      <c r="N61" s="57">
        <v>8.4</v>
      </c>
      <c r="O61" s="25">
        <v>58</v>
      </c>
      <c r="P61" s="17">
        <f>O61-G61</f>
        <v>8</v>
      </c>
      <c r="Q61" s="17">
        <f>IF(P61&lt;0,0,O61-G61)</f>
        <v>8</v>
      </c>
      <c r="R61" s="20">
        <f>Q61*I61/100</f>
        <v>0.72</v>
      </c>
      <c r="S61" s="57">
        <v>8.4</v>
      </c>
      <c r="T61" s="25">
        <v>3</v>
      </c>
      <c r="U61" s="17">
        <f>T61-G61</f>
        <v>-47</v>
      </c>
      <c r="V61" s="17">
        <f>IF(U61&lt;0,0,T61-G61)</f>
        <v>0</v>
      </c>
      <c r="W61" s="20">
        <f>V61*I61/100</f>
        <v>0</v>
      </c>
      <c r="X61" s="57">
        <v>8.4</v>
      </c>
      <c r="Y61" s="25">
        <v>15</v>
      </c>
      <c r="Z61" s="17">
        <f>Y61-G61</f>
        <v>-35</v>
      </c>
      <c r="AA61" s="17">
        <f>IF(Z61&lt;0,0,Y61-G61)</f>
        <v>0</v>
      </c>
      <c r="AB61" s="20">
        <f>AA61*I61/100</f>
        <v>0</v>
      </c>
      <c r="AC61" s="57">
        <v>8.4</v>
      </c>
      <c r="AD61" s="25">
        <v>33</v>
      </c>
      <c r="AE61" s="17">
        <f>AD61-G61</f>
        <v>-17</v>
      </c>
      <c r="AF61" s="17">
        <f>IF(AE61&lt;0,0,AD61-G61)</f>
        <v>0</v>
      </c>
      <c r="AG61" s="20">
        <f>AF61*I61/100</f>
        <v>0</v>
      </c>
      <c r="AH61" s="49">
        <v>8.4</v>
      </c>
      <c r="AI61" s="42">
        <f>AF61+AA61+V61+Q61+L61</f>
        <v>8</v>
      </c>
      <c r="AJ61" s="35">
        <f>AG61*AH61+AB61*AC61+W61*X61+R61*S61+M61*N61</f>
        <v>6.048</v>
      </c>
    </row>
    <row r="62" spans="1:36" x14ac:dyDescent="0.25">
      <c r="A62" s="25" t="s">
        <v>137</v>
      </c>
      <c r="B62" s="17" t="s">
        <v>10</v>
      </c>
      <c r="C62" s="17" t="s">
        <v>11</v>
      </c>
      <c r="D62" s="17" t="s">
        <v>129</v>
      </c>
      <c r="E62" s="18" t="s">
        <v>138</v>
      </c>
      <c r="F62" s="17" t="s">
        <v>14</v>
      </c>
      <c r="G62" s="17">
        <v>20</v>
      </c>
      <c r="H62" s="17" t="s">
        <v>15</v>
      </c>
      <c r="I62" s="39">
        <v>6.5</v>
      </c>
      <c r="J62" s="25">
        <v>30</v>
      </c>
      <c r="K62" s="17">
        <f>J62-G62</f>
        <v>10</v>
      </c>
      <c r="L62" s="17">
        <f>IF(K62&lt;0,0,J62-G62)</f>
        <v>10</v>
      </c>
      <c r="M62" s="20">
        <f>L62*I62/100</f>
        <v>0.65</v>
      </c>
      <c r="N62" s="57">
        <v>8.4</v>
      </c>
      <c r="O62" s="25">
        <v>34</v>
      </c>
      <c r="P62" s="17">
        <f>O62-G62</f>
        <v>14</v>
      </c>
      <c r="Q62" s="17">
        <f>IF(P62&lt;0,0,O62-G62)</f>
        <v>14</v>
      </c>
      <c r="R62" s="20">
        <f>Q62*I62/100</f>
        <v>0.91</v>
      </c>
      <c r="S62" s="57">
        <v>8.4</v>
      </c>
      <c r="T62" s="25">
        <v>0</v>
      </c>
      <c r="U62" s="17">
        <f>T62-G62</f>
        <v>-20</v>
      </c>
      <c r="V62" s="17">
        <f>IF(U62&lt;0,0,T62-G62)</f>
        <v>0</v>
      </c>
      <c r="W62" s="20">
        <f>V62*I62/100</f>
        <v>0</v>
      </c>
      <c r="X62" s="57">
        <v>8.4</v>
      </c>
      <c r="Y62" s="25">
        <v>5</v>
      </c>
      <c r="Z62" s="17">
        <f>Y62-G62</f>
        <v>-15</v>
      </c>
      <c r="AA62" s="17">
        <f>IF(Z62&lt;0,0,Y62-G62)</f>
        <v>0</v>
      </c>
      <c r="AB62" s="20">
        <f>AA62*I62/100</f>
        <v>0</v>
      </c>
      <c r="AC62" s="57">
        <v>8.4</v>
      </c>
      <c r="AD62" s="25">
        <v>5</v>
      </c>
      <c r="AE62" s="17">
        <f>AD62-G62</f>
        <v>-15</v>
      </c>
      <c r="AF62" s="17">
        <f>IF(AE62&lt;0,0,AD62-G62)</f>
        <v>0</v>
      </c>
      <c r="AG62" s="20">
        <f>AF62*I62/100</f>
        <v>0</v>
      </c>
      <c r="AH62" s="49">
        <v>8.4</v>
      </c>
      <c r="AI62" s="42">
        <f>AF62+AA62+V62+Q62+L62</f>
        <v>24</v>
      </c>
      <c r="AJ62" s="35">
        <f>AG62*AH62+AB62*AC62+W62*X62+R62*S62+M62*N62</f>
        <v>13.104000000000003</v>
      </c>
    </row>
    <row r="63" spans="1:36" x14ac:dyDescent="0.25">
      <c r="A63" s="25" t="s">
        <v>139</v>
      </c>
      <c r="B63" s="17" t="s">
        <v>10</v>
      </c>
      <c r="C63" s="17" t="s">
        <v>11</v>
      </c>
      <c r="D63" s="17" t="s">
        <v>129</v>
      </c>
      <c r="E63" s="17" t="s">
        <v>140</v>
      </c>
      <c r="F63" s="17" t="s">
        <v>14</v>
      </c>
      <c r="G63" s="17">
        <v>80</v>
      </c>
      <c r="H63" s="17" t="s">
        <v>15</v>
      </c>
      <c r="I63" s="39">
        <v>6.5</v>
      </c>
      <c r="J63" s="25">
        <v>84</v>
      </c>
      <c r="K63" s="17">
        <f>J63-G63</f>
        <v>4</v>
      </c>
      <c r="L63" s="17">
        <f>IF(K63&lt;0,0,J63-G63)</f>
        <v>4</v>
      </c>
      <c r="M63" s="20">
        <f>L63*I63/100</f>
        <v>0.26</v>
      </c>
      <c r="N63" s="57">
        <v>8.4</v>
      </c>
      <c r="O63" s="25">
        <v>83</v>
      </c>
      <c r="P63" s="17">
        <f>O63-G63</f>
        <v>3</v>
      </c>
      <c r="Q63" s="17">
        <f>IF(P63&lt;0,0,O63-G63)</f>
        <v>3</v>
      </c>
      <c r="R63" s="20">
        <f>Q63*I63/100</f>
        <v>0.19500000000000001</v>
      </c>
      <c r="S63" s="57">
        <v>8.4</v>
      </c>
      <c r="T63" s="25">
        <v>83</v>
      </c>
      <c r="U63" s="17">
        <f>T63-G63</f>
        <v>3</v>
      </c>
      <c r="V63" s="17">
        <f>IF(U63&lt;0,0,T63-G63)</f>
        <v>3</v>
      </c>
      <c r="W63" s="20">
        <f>V63*I63/100</f>
        <v>0.19500000000000001</v>
      </c>
      <c r="X63" s="57">
        <v>8.4</v>
      </c>
      <c r="Y63" s="25">
        <v>82</v>
      </c>
      <c r="Z63" s="17">
        <f>Y63-G63</f>
        <v>2</v>
      </c>
      <c r="AA63" s="17">
        <f>IF(Z63&lt;0,0,Y63-G63)</f>
        <v>2</v>
      </c>
      <c r="AB63" s="20">
        <f>AA63*I63/100</f>
        <v>0.13</v>
      </c>
      <c r="AC63" s="57">
        <v>8.4</v>
      </c>
      <c r="AD63" s="25">
        <v>83</v>
      </c>
      <c r="AE63" s="17">
        <f>AD63-G63</f>
        <v>3</v>
      </c>
      <c r="AF63" s="17">
        <f>IF(AE63&lt;0,0,AD63-G63)</f>
        <v>3</v>
      </c>
      <c r="AG63" s="20">
        <f>AF63*I63/100</f>
        <v>0.19500000000000001</v>
      </c>
      <c r="AH63" s="49">
        <v>8.4</v>
      </c>
      <c r="AI63" s="42">
        <f>AF63+AA63+V63+Q63+L63</f>
        <v>15</v>
      </c>
      <c r="AJ63" s="35">
        <f>AG63*AH63+AB63*AC63+W63*X63+R63*S63+M63*N63</f>
        <v>8.1900000000000013</v>
      </c>
    </row>
    <row r="64" spans="1:36" x14ac:dyDescent="0.25">
      <c r="A64" s="25" t="s">
        <v>141</v>
      </c>
      <c r="B64" s="17" t="s">
        <v>10</v>
      </c>
      <c r="C64" s="17" t="s">
        <v>105</v>
      </c>
      <c r="D64" s="17" t="s">
        <v>129</v>
      </c>
      <c r="E64" s="18" t="s">
        <v>142</v>
      </c>
      <c r="F64" s="17" t="s">
        <v>14</v>
      </c>
      <c r="G64" s="17">
        <v>20</v>
      </c>
      <c r="H64" s="17" t="s">
        <v>15</v>
      </c>
      <c r="I64" s="39">
        <v>6.5</v>
      </c>
      <c r="J64" s="25">
        <v>0</v>
      </c>
      <c r="K64" s="17">
        <f>J64-G64</f>
        <v>-20</v>
      </c>
      <c r="L64" s="17">
        <f>IF(K64&lt;0,0,J64-G64)</f>
        <v>0</v>
      </c>
      <c r="M64" s="20">
        <f>L64*I64/100</f>
        <v>0</v>
      </c>
      <c r="N64" s="57">
        <v>8.4</v>
      </c>
      <c r="O64" s="25">
        <v>0</v>
      </c>
      <c r="P64" s="17">
        <f>O64-G64</f>
        <v>-20</v>
      </c>
      <c r="Q64" s="17">
        <f>IF(P64&lt;0,0,O64-G64)</f>
        <v>0</v>
      </c>
      <c r="R64" s="20">
        <f>Q64*I64/100</f>
        <v>0</v>
      </c>
      <c r="S64" s="57">
        <v>8.4</v>
      </c>
      <c r="T64" s="25">
        <v>0</v>
      </c>
      <c r="U64" s="17">
        <f>T64-G64</f>
        <v>-20</v>
      </c>
      <c r="V64" s="17">
        <f>IF(U64&lt;0,0,T64-G64)</f>
        <v>0</v>
      </c>
      <c r="W64" s="20">
        <f>V64*I64/100</f>
        <v>0</v>
      </c>
      <c r="X64" s="57">
        <v>8.4</v>
      </c>
      <c r="Y64" s="25">
        <v>0</v>
      </c>
      <c r="Z64" s="17">
        <f>Y64-G64</f>
        <v>-20</v>
      </c>
      <c r="AA64" s="17">
        <f>IF(Z64&lt;0,0,Y64-G64)</f>
        <v>0</v>
      </c>
      <c r="AB64" s="20">
        <f>AA64*I64/100</f>
        <v>0</v>
      </c>
      <c r="AC64" s="57">
        <v>8.4</v>
      </c>
      <c r="AD64" s="25">
        <v>0</v>
      </c>
      <c r="AE64" s="17">
        <f>AD64-G64</f>
        <v>-20</v>
      </c>
      <c r="AF64" s="17">
        <f>IF(AE64&lt;0,0,AD64-G64)</f>
        <v>0</v>
      </c>
      <c r="AG64" s="20">
        <f>AF64*I64/100</f>
        <v>0</v>
      </c>
      <c r="AH64" s="49">
        <v>8.4</v>
      </c>
      <c r="AI64" s="42">
        <f>AF64+AA64+V64+Q64+L64</f>
        <v>0</v>
      </c>
      <c r="AJ64" s="35">
        <f>AG64*AH64+AB64*AC64+W64*X64+R64*S64+M64*N64</f>
        <v>0</v>
      </c>
    </row>
    <row r="65" spans="1:36" x14ac:dyDescent="0.25">
      <c r="A65" s="25" t="s">
        <v>143</v>
      </c>
      <c r="B65" s="17" t="s">
        <v>17</v>
      </c>
      <c r="C65" s="17" t="s">
        <v>99</v>
      </c>
      <c r="D65" s="17" t="s">
        <v>129</v>
      </c>
      <c r="E65" s="18" t="s">
        <v>144</v>
      </c>
      <c r="F65" s="17" t="s">
        <v>14</v>
      </c>
      <c r="G65" s="17">
        <v>20</v>
      </c>
      <c r="H65" s="17" t="s">
        <v>38</v>
      </c>
      <c r="I65" s="39">
        <v>6.5</v>
      </c>
      <c r="J65" s="25">
        <v>21</v>
      </c>
      <c r="K65" s="17">
        <f>J65-G65</f>
        <v>1</v>
      </c>
      <c r="L65" s="17">
        <f>IF(K65&lt;0,0,J65-G65)</f>
        <v>1</v>
      </c>
      <c r="M65" s="20">
        <f>L65*I65/100</f>
        <v>6.5000000000000002E-2</v>
      </c>
      <c r="N65" s="57">
        <v>7.3</v>
      </c>
      <c r="O65" s="25">
        <v>0</v>
      </c>
      <c r="P65" s="17">
        <f>O65-G65</f>
        <v>-20</v>
      </c>
      <c r="Q65" s="17">
        <f>IF(P65&lt;0,0,O65-G65)</f>
        <v>0</v>
      </c>
      <c r="R65" s="20">
        <f>Q65*I65/100</f>
        <v>0</v>
      </c>
      <c r="S65" s="57">
        <v>7.2</v>
      </c>
      <c r="T65" s="25">
        <v>345</v>
      </c>
      <c r="U65" s="17">
        <f>T65-G65</f>
        <v>325</v>
      </c>
      <c r="V65" s="17">
        <f>IF(U65&lt;0,0,T65-G65)</f>
        <v>325</v>
      </c>
      <c r="W65" s="20">
        <f>V65*I65/100</f>
        <v>21.125</v>
      </c>
      <c r="X65" s="57">
        <v>7.2</v>
      </c>
      <c r="Y65" s="25">
        <v>38</v>
      </c>
      <c r="Z65" s="17">
        <f>Y65-G65</f>
        <v>18</v>
      </c>
      <c r="AA65" s="17">
        <f>IF(Z65&lt;0,0,Y65-G65)</f>
        <v>18</v>
      </c>
      <c r="AB65" s="20">
        <f>AA65*I65/100</f>
        <v>1.17</v>
      </c>
      <c r="AC65" s="57">
        <v>7.2</v>
      </c>
      <c r="AD65" s="25">
        <v>38</v>
      </c>
      <c r="AE65" s="17">
        <f>AD65-G65</f>
        <v>18</v>
      </c>
      <c r="AF65" s="17">
        <f>IF(AE65&lt;0,0,AD65-G65)</f>
        <v>18</v>
      </c>
      <c r="AG65" s="20">
        <f>AF65*I65/100</f>
        <v>1.17</v>
      </c>
      <c r="AH65" s="49">
        <v>7.2</v>
      </c>
      <c r="AI65" s="42">
        <f>AF65+AA65+V65+Q65+L65</f>
        <v>362</v>
      </c>
      <c r="AJ65" s="35">
        <f>AG65*AH65+AB65*AC65+W65*X65+R65*S65+M65*N65</f>
        <v>169.42249999999999</v>
      </c>
    </row>
    <row r="66" spans="1:36" x14ac:dyDescent="0.25">
      <c r="A66" s="25" t="s">
        <v>145</v>
      </c>
      <c r="B66" s="17" t="s">
        <v>17</v>
      </c>
      <c r="C66" s="17" t="s">
        <v>18</v>
      </c>
      <c r="D66" s="17" t="s">
        <v>129</v>
      </c>
      <c r="E66" s="17" t="s">
        <v>146</v>
      </c>
      <c r="F66" s="17" t="s">
        <v>14</v>
      </c>
      <c r="G66" s="17">
        <v>20</v>
      </c>
      <c r="H66" s="17" t="s">
        <v>15</v>
      </c>
      <c r="I66" s="39">
        <v>6.5</v>
      </c>
      <c r="J66" s="25">
        <v>5</v>
      </c>
      <c r="K66" s="17">
        <f>J66-G66</f>
        <v>-15</v>
      </c>
      <c r="L66" s="17">
        <f>IF(K66&lt;0,0,J66-G66)</f>
        <v>0</v>
      </c>
      <c r="M66" s="20">
        <f>L66*I66/100</f>
        <v>0</v>
      </c>
      <c r="N66" s="57">
        <v>8.4</v>
      </c>
      <c r="O66" s="25">
        <v>0</v>
      </c>
      <c r="P66" s="17">
        <f>O66-G66</f>
        <v>-20</v>
      </c>
      <c r="Q66" s="17">
        <f>IF(P66&lt;0,0,O66-G66)</f>
        <v>0</v>
      </c>
      <c r="R66" s="20">
        <f>Q66*I66/100</f>
        <v>0</v>
      </c>
      <c r="S66" s="57">
        <v>8.4</v>
      </c>
      <c r="T66" s="25">
        <v>16</v>
      </c>
      <c r="U66" s="17">
        <f>T66-G66</f>
        <v>-4</v>
      </c>
      <c r="V66" s="17">
        <f>IF(U66&lt;0,0,T66-G66)</f>
        <v>0</v>
      </c>
      <c r="W66" s="20">
        <f>V66*I66/100</f>
        <v>0</v>
      </c>
      <c r="X66" s="57">
        <v>8.4</v>
      </c>
      <c r="Y66" s="25">
        <v>30</v>
      </c>
      <c r="Z66" s="17">
        <f>Y66-G66</f>
        <v>10</v>
      </c>
      <c r="AA66" s="17">
        <f>IF(Z66&lt;0,0,Y66-G66)</f>
        <v>10</v>
      </c>
      <c r="AB66" s="20">
        <f>AA66*I66/100</f>
        <v>0.65</v>
      </c>
      <c r="AC66" s="57">
        <v>8.4</v>
      </c>
      <c r="AD66" s="25">
        <v>35</v>
      </c>
      <c r="AE66" s="17">
        <f>AD66-G66</f>
        <v>15</v>
      </c>
      <c r="AF66" s="17">
        <f>IF(AE66&lt;0,0,AD66-G66)</f>
        <v>15</v>
      </c>
      <c r="AG66" s="20">
        <f>AF66*I66/100</f>
        <v>0.97499999999999998</v>
      </c>
      <c r="AH66" s="49">
        <v>8.4</v>
      </c>
      <c r="AI66" s="42">
        <f>AF66+AA66+V66+Q66+L66</f>
        <v>25</v>
      </c>
      <c r="AJ66" s="35">
        <f>AG66*AH66+AB66*AC66+W66*X66+R66*S66+M66*N66</f>
        <v>13.65</v>
      </c>
    </row>
    <row r="67" spans="1:36" x14ac:dyDescent="0.25">
      <c r="A67" s="25" t="s">
        <v>147</v>
      </c>
      <c r="B67" s="17" t="s">
        <v>10</v>
      </c>
      <c r="C67" s="17" t="s">
        <v>22</v>
      </c>
      <c r="D67" s="17" t="s">
        <v>129</v>
      </c>
      <c r="E67" s="18" t="s">
        <v>148</v>
      </c>
      <c r="F67" s="17" t="s">
        <v>14</v>
      </c>
      <c r="G67" s="17">
        <v>20</v>
      </c>
      <c r="H67" s="17" t="s">
        <v>15</v>
      </c>
      <c r="I67" s="39">
        <v>11</v>
      </c>
      <c r="J67" s="25">
        <v>0</v>
      </c>
      <c r="K67" s="17">
        <f>J67-G67</f>
        <v>-20</v>
      </c>
      <c r="L67" s="17">
        <f>IF(K67&lt;0,0,J67-G67)</f>
        <v>0</v>
      </c>
      <c r="M67" s="20">
        <f>L67*I67/100</f>
        <v>0</v>
      </c>
      <c r="N67" s="57">
        <v>8.4</v>
      </c>
      <c r="O67" s="25">
        <v>0</v>
      </c>
      <c r="P67" s="17">
        <f>O67-G67</f>
        <v>-20</v>
      </c>
      <c r="Q67" s="17">
        <f>IF(P67&lt;0,0,O67-G67)</f>
        <v>0</v>
      </c>
      <c r="R67" s="20">
        <f>Q67*I67/100</f>
        <v>0</v>
      </c>
      <c r="S67" s="57">
        <v>8.4</v>
      </c>
      <c r="T67" s="25">
        <v>0</v>
      </c>
      <c r="U67" s="17">
        <f>T67-G67</f>
        <v>-20</v>
      </c>
      <c r="V67" s="17">
        <f>IF(U67&lt;0,0,T67-G67)</f>
        <v>0</v>
      </c>
      <c r="W67" s="20">
        <f>V67*I67/100</f>
        <v>0</v>
      </c>
      <c r="X67" s="57">
        <v>8.4</v>
      </c>
      <c r="Y67" s="25">
        <v>0</v>
      </c>
      <c r="Z67" s="17">
        <f>Y67-G67</f>
        <v>-20</v>
      </c>
      <c r="AA67" s="17">
        <f>IF(Z67&lt;0,0,Y67-G67)</f>
        <v>0</v>
      </c>
      <c r="AB67" s="20">
        <f>AA67*I67/100</f>
        <v>0</v>
      </c>
      <c r="AC67" s="57">
        <v>8.4</v>
      </c>
      <c r="AD67" s="25">
        <v>0</v>
      </c>
      <c r="AE67" s="17">
        <f>AD67-G67</f>
        <v>-20</v>
      </c>
      <c r="AF67" s="17">
        <f>IF(AE67&lt;0,0,AD67-G67)</f>
        <v>0</v>
      </c>
      <c r="AG67" s="20">
        <f>AF67*I67/100</f>
        <v>0</v>
      </c>
      <c r="AH67" s="49">
        <v>8.4</v>
      </c>
      <c r="AI67" s="42">
        <f>AF67+AA67+V67+Q67+L67</f>
        <v>0</v>
      </c>
      <c r="AJ67" s="35">
        <f>AG67*AH67+AB67*AC67+W67*X67+R67*S67+M67*N67</f>
        <v>0</v>
      </c>
    </row>
    <row r="68" spans="1:36" x14ac:dyDescent="0.25">
      <c r="A68" s="25" t="s">
        <v>149</v>
      </c>
      <c r="B68" s="17" t="s">
        <v>10</v>
      </c>
      <c r="C68" s="17" t="s">
        <v>22</v>
      </c>
      <c r="D68" s="17" t="s">
        <v>129</v>
      </c>
      <c r="E68" s="18" t="s">
        <v>148</v>
      </c>
      <c r="F68" s="17" t="s">
        <v>14</v>
      </c>
      <c r="G68" s="17">
        <v>20</v>
      </c>
      <c r="H68" s="17" t="s">
        <v>15</v>
      </c>
      <c r="I68" s="39">
        <v>11</v>
      </c>
      <c r="J68" s="45"/>
      <c r="K68" s="18"/>
      <c r="L68" s="18"/>
      <c r="M68" s="19"/>
      <c r="N68" s="58"/>
      <c r="O68" s="45"/>
      <c r="P68" s="18"/>
      <c r="Q68" s="18"/>
      <c r="R68" s="19"/>
      <c r="S68" s="58"/>
      <c r="T68" s="45"/>
      <c r="U68" s="18"/>
      <c r="V68" s="18"/>
      <c r="W68" s="19"/>
      <c r="X68" s="58"/>
      <c r="Y68" s="45"/>
      <c r="Z68" s="18"/>
      <c r="AA68" s="18"/>
      <c r="AB68" s="19"/>
      <c r="AC68" s="58"/>
      <c r="AD68" s="25">
        <v>0</v>
      </c>
      <c r="AE68" s="17">
        <f>AD68-G68</f>
        <v>-20</v>
      </c>
      <c r="AF68" s="17">
        <f>IF(AE68&lt;0,0,AD68-G68)</f>
        <v>0</v>
      </c>
      <c r="AG68" s="20">
        <f>AF68*I68/100</f>
        <v>0</v>
      </c>
      <c r="AH68" s="49">
        <v>8.4</v>
      </c>
      <c r="AI68" s="42">
        <f>AF68+AA68+V68+Q68+L68</f>
        <v>0</v>
      </c>
      <c r="AJ68" s="35">
        <f>AG68*AH68+AB68*AC68+W68*X68+R68*S68+M68*N68</f>
        <v>0</v>
      </c>
    </row>
    <row r="69" spans="1:36" x14ac:dyDescent="0.25">
      <c r="A69" s="25" t="s">
        <v>149</v>
      </c>
      <c r="B69" s="17" t="s">
        <v>10</v>
      </c>
      <c r="C69" s="17" t="s">
        <v>22</v>
      </c>
      <c r="D69" s="17" t="s">
        <v>129</v>
      </c>
      <c r="E69" s="18" t="s">
        <v>136</v>
      </c>
      <c r="F69" s="17" t="s">
        <v>14</v>
      </c>
      <c r="G69" s="17">
        <v>50</v>
      </c>
      <c r="H69" s="17" t="s">
        <v>15</v>
      </c>
      <c r="I69" s="39">
        <v>11</v>
      </c>
      <c r="J69" s="25">
        <v>0</v>
      </c>
      <c r="K69" s="17">
        <f>J69-G69</f>
        <v>-50</v>
      </c>
      <c r="L69" s="17">
        <f>IF(K69&lt;0,0,J69-G69)</f>
        <v>0</v>
      </c>
      <c r="M69" s="20">
        <f>L69*I69/100</f>
        <v>0</v>
      </c>
      <c r="N69" s="57">
        <v>8.4</v>
      </c>
      <c r="O69" s="45"/>
      <c r="P69" s="18"/>
      <c r="Q69" s="18"/>
      <c r="R69" s="19"/>
      <c r="S69" s="58"/>
      <c r="T69" s="45"/>
      <c r="U69" s="18"/>
      <c r="V69" s="18"/>
      <c r="W69" s="19"/>
      <c r="X69" s="58"/>
      <c r="Y69" s="45"/>
      <c r="Z69" s="18"/>
      <c r="AA69" s="18"/>
      <c r="AB69" s="19"/>
      <c r="AC69" s="58"/>
      <c r="AD69" s="45"/>
      <c r="AE69" s="18"/>
      <c r="AF69" s="18"/>
      <c r="AG69" s="19"/>
      <c r="AH69" s="50"/>
      <c r="AI69" s="42">
        <f>AF69+AA69+V69+Q69+L69</f>
        <v>0</v>
      </c>
      <c r="AJ69" s="35">
        <f>AG69*AH69+AB69*AC69+W69*X69+R69*S69+M69*N69</f>
        <v>0</v>
      </c>
    </row>
    <row r="70" spans="1:36" x14ac:dyDescent="0.25">
      <c r="A70" s="25" t="s">
        <v>149</v>
      </c>
      <c r="B70" s="17" t="s">
        <v>10</v>
      </c>
      <c r="C70" s="17" t="s">
        <v>22</v>
      </c>
      <c r="D70" s="17" t="s">
        <v>129</v>
      </c>
      <c r="E70" s="18" t="s">
        <v>150</v>
      </c>
      <c r="F70" s="17" t="s">
        <v>14</v>
      </c>
      <c r="G70" s="17">
        <v>20</v>
      </c>
      <c r="H70" s="17" t="s">
        <v>15</v>
      </c>
      <c r="I70" s="39">
        <v>11</v>
      </c>
      <c r="J70" s="25">
        <v>0</v>
      </c>
      <c r="K70" s="17">
        <f>J70-G70</f>
        <v>-20</v>
      </c>
      <c r="L70" s="17">
        <f>IF(K70&lt;0,0,J70-G70)</f>
        <v>0</v>
      </c>
      <c r="M70" s="20">
        <f>L70*I70/100</f>
        <v>0</v>
      </c>
      <c r="N70" s="57">
        <v>8.4</v>
      </c>
      <c r="O70" s="25">
        <v>0</v>
      </c>
      <c r="P70" s="17">
        <f>O70-G70</f>
        <v>-20</v>
      </c>
      <c r="Q70" s="17">
        <f>IF(P70&lt;0,0,O70-G70)</f>
        <v>0</v>
      </c>
      <c r="R70" s="20">
        <f>Q70*I70/100</f>
        <v>0</v>
      </c>
      <c r="S70" s="57">
        <v>8.4</v>
      </c>
      <c r="T70" s="25">
        <v>0</v>
      </c>
      <c r="U70" s="17">
        <f>T70-G70</f>
        <v>-20</v>
      </c>
      <c r="V70" s="17">
        <f>IF(U70&lt;0,0,T70-G70)</f>
        <v>0</v>
      </c>
      <c r="W70" s="20">
        <f>V70*I70/100</f>
        <v>0</v>
      </c>
      <c r="X70" s="57">
        <v>8.4</v>
      </c>
      <c r="Y70" s="25">
        <v>0</v>
      </c>
      <c r="Z70" s="17">
        <f>Y70-G70</f>
        <v>-20</v>
      </c>
      <c r="AA70" s="17">
        <f>IF(Z70&lt;0,0,Y70-G70)</f>
        <v>0</v>
      </c>
      <c r="AB70" s="20">
        <f>AA70*I70/100</f>
        <v>0</v>
      </c>
      <c r="AC70" s="57">
        <v>8.4</v>
      </c>
      <c r="AD70" s="25">
        <v>0</v>
      </c>
      <c r="AE70" s="17">
        <f>AD70-G70</f>
        <v>-20</v>
      </c>
      <c r="AF70" s="17">
        <f>IF(AE70&lt;0,0,AD70-G70)</f>
        <v>0</v>
      </c>
      <c r="AG70" s="20">
        <f>AF70*I70/100</f>
        <v>0</v>
      </c>
      <c r="AH70" s="49">
        <v>8.4</v>
      </c>
      <c r="AI70" s="42">
        <f>AF70+AA70+V70+Q70+L70</f>
        <v>0</v>
      </c>
      <c r="AJ70" s="35">
        <f>AG70*AH70+AB70*AC70+W70*X70+R70*S70+M70*N70</f>
        <v>0</v>
      </c>
    </row>
    <row r="71" spans="1:36" x14ac:dyDescent="0.25">
      <c r="A71" s="25" t="s">
        <v>151</v>
      </c>
      <c r="B71" s="17" t="s">
        <v>10</v>
      </c>
      <c r="C71" s="17" t="s">
        <v>11</v>
      </c>
      <c r="D71" s="17" t="s">
        <v>129</v>
      </c>
      <c r="E71" s="18" t="s">
        <v>152</v>
      </c>
      <c r="F71" s="17" t="s">
        <v>14</v>
      </c>
      <c r="G71" s="17">
        <v>20</v>
      </c>
      <c r="H71" s="17" t="s">
        <v>15</v>
      </c>
      <c r="I71" s="39">
        <v>6.5</v>
      </c>
      <c r="J71" s="25">
        <v>2</v>
      </c>
      <c r="K71" s="17">
        <f>J71-G71</f>
        <v>-18</v>
      </c>
      <c r="L71" s="17">
        <f>IF(K71&lt;0,0,J71-G71)</f>
        <v>0</v>
      </c>
      <c r="M71" s="20">
        <f>L71*I71/100</f>
        <v>0</v>
      </c>
      <c r="N71" s="57">
        <v>8.4</v>
      </c>
      <c r="O71" s="25">
        <v>0</v>
      </c>
      <c r="P71" s="17">
        <f>O71-G71</f>
        <v>-20</v>
      </c>
      <c r="Q71" s="17">
        <f>IF(P71&lt;0,0,O71-G71)</f>
        <v>0</v>
      </c>
      <c r="R71" s="20">
        <f>Q71*I71/100</f>
        <v>0</v>
      </c>
      <c r="S71" s="57">
        <v>8.4</v>
      </c>
      <c r="T71" s="25">
        <v>228</v>
      </c>
      <c r="U71" s="17">
        <f>T71-G71</f>
        <v>208</v>
      </c>
      <c r="V71" s="17">
        <f>IF(U71&lt;0,0,T71-G71)</f>
        <v>208</v>
      </c>
      <c r="W71" s="20">
        <f>V71*I71/100</f>
        <v>13.52</v>
      </c>
      <c r="X71" s="57">
        <v>8.4</v>
      </c>
      <c r="Y71" s="25">
        <v>329</v>
      </c>
      <c r="Z71" s="17">
        <f>Y71-G71</f>
        <v>309</v>
      </c>
      <c r="AA71" s="17">
        <f>IF(Z71&lt;0,0,Y71-G71)</f>
        <v>309</v>
      </c>
      <c r="AB71" s="20">
        <f>AA71*I71/100</f>
        <v>20.085000000000001</v>
      </c>
      <c r="AC71" s="57">
        <v>8.4</v>
      </c>
      <c r="AD71" s="25">
        <v>42</v>
      </c>
      <c r="AE71" s="17">
        <f>AD71-G71</f>
        <v>22</v>
      </c>
      <c r="AF71" s="17">
        <f>IF(AE71&lt;0,0,AD71-G71)</f>
        <v>22</v>
      </c>
      <c r="AG71" s="20">
        <f>AF71*I71/100</f>
        <v>1.43</v>
      </c>
      <c r="AH71" s="49">
        <v>8.4</v>
      </c>
      <c r="AI71" s="42">
        <f>AF71+AA71+V71+Q71+L71</f>
        <v>539</v>
      </c>
      <c r="AJ71" s="35">
        <f>AG71*AH71+AB71*AC71+W71*X71+R71*S71+M71*N71</f>
        <v>294.29400000000004</v>
      </c>
    </row>
    <row r="72" spans="1:36" x14ac:dyDescent="0.25">
      <c r="A72" s="25" t="s">
        <v>153</v>
      </c>
      <c r="B72" s="17" t="s">
        <v>10</v>
      </c>
      <c r="C72" s="17" t="s">
        <v>11</v>
      </c>
      <c r="D72" s="17" t="s">
        <v>129</v>
      </c>
      <c r="E72" s="17" t="s">
        <v>154</v>
      </c>
      <c r="F72" s="17" t="s">
        <v>14</v>
      </c>
      <c r="G72" s="17">
        <v>20</v>
      </c>
      <c r="H72" s="17" t="s">
        <v>15</v>
      </c>
      <c r="I72" s="39">
        <v>6.5</v>
      </c>
      <c r="J72" s="25">
        <v>35</v>
      </c>
      <c r="K72" s="17">
        <f>J72-G72</f>
        <v>15</v>
      </c>
      <c r="L72" s="17">
        <f>IF(K72&lt;0,0,J72-G72)</f>
        <v>15</v>
      </c>
      <c r="M72" s="20">
        <f>L72*I72/100</f>
        <v>0.97499999999999998</v>
      </c>
      <c r="N72" s="57">
        <v>8.4</v>
      </c>
      <c r="O72" s="25">
        <v>51</v>
      </c>
      <c r="P72" s="17">
        <f>O72-G72</f>
        <v>31</v>
      </c>
      <c r="Q72" s="17">
        <f>IF(P72&lt;0,0,O72-G72)</f>
        <v>31</v>
      </c>
      <c r="R72" s="20">
        <f>Q72*I72/100</f>
        <v>2.0150000000000001</v>
      </c>
      <c r="S72" s="57">
        <v>8.4</v>
      </c>
      <c r="T72" s="25">
        <v>74</v>
      </c>
      <c r="U72" s="17">
        <f>T72-G72</f>
        <v>54</v>
      </c>
      <c r="V72" s="17">
        <f>IF(U72&lt;0,0,T72-G72)</f>
        <v>54</v>
      </c>
      <c r="W72" s="20">
        <f>V72*I72/100</f>
        <v>3.51</v>
      </c>
      <c r="X72" s="57">
        <v>8.4</v>
      </c>
      <c r="Y72" s="25">
        <v>34</v>
      </c>
      <c r="Z72" s="17">
        <f>Y72-G72</f>
        <v>14</v>
      </c>
      <c r="AA72" s="17">
        <f>IF(Z72&lt;0,0,Y72-G72)</f>
        <v>14</v>
      </c>
      <c r="AB72" s="20">
        <f>AA72*I72/100</f>
        <v>0.91</v>
      </c>
      <c r="AC72" s="57">
        <v>8.4</v>
      </c>
      <c r="AD72" s="25">
        <v>47</v>
      </c>
      <c r="AE72" s="17">
        <f>AD72-G72</f>
        <v>27</v>
      </c>
      <c r="AF72" s="17">
        <f>IF(AE72&lt;0,0,AD72-G72)</f>
        <v>27</v>
      </c>
      <c r="AG72" s="20">
        <f>AF72*I72/100</f>
        <v>1.7549999999999999</v>
      </c>
      <c r="AH72" s="49">
        <v>8.4</v>
      </c>
      <c r="AI72" s="42">
        <f>AF72+AA72+V72+Q72+L72</f>
        <v>141</v>
      </c>
      <c r="AJ72" s="35">
        <f>AG72*AH72+AB72*AC72+W72*X72+R72*S72+M72*N72</f>
        <v>76.98599999999999</v>
      </c>
    </row>
    <row r="73" spans="1:36" x14ac:dyDescent="0.25">
      <c r="A73" s="25" t="s">
        <v>155</v>
      </c>
      <c r="B73" s="17" t="s">
        <v>10</v>
      </c>
      <c r="C73" s="17" t="s">
        <v>22</v>
      </c>
      <c r="D73" s="17" t="s">
        <v>129</v>
      </c>
      <c r="E73" s="17" t="s">
        <v>150</v>
      </c>
      <c r="F73" s="17" t="s">
        <v>14</v>
      </c>
      <c r="G73" s="17">
        <v>20</v>
      </c>
      <c r="H73" s="17" t="s">
        <v>15</v>
      </c>
      <c r="I73" s="39">
        <v>11</v>
      </c>
      <c r="J73" s="25">
        <v>0</v>
      </c>
      <c r="K73" s="17">
        <f>J73-G73</f>
        <v>-20</v>
      </c>
      <c r="L73" s="17">
        <f>IF(K73&lt;0,0,J73-G73)</f>
        <v>0</v>
      </c>
      <c r="M73" s="20">
        <f>L73*I73/100</f>
        <v>0</v>
      </c>
      <c r="N73" s="57">
        <v>8.4</v>
      </c>
      <c r="O73" s="25">
        <v>0</v>
      </c>
      <c r="P73" s="17">
        <f>O73-G73</f>
        <v>-20</v>
      </c>
      <c r="Q73" s="17">
        <f>IF(P73&lt;0,0,O73-G73)</f>
        <v>0</v>
      </c>
      <c r="R73" s="20">
        <f>Q73*I73/100</f>
        <v>0</v>
      </c>
      <c r="S73" s="57">
        <v>8.4</v>
      </c>
      <c r="T73" s="25">
        <v>0</v>
      </c>
      <c r="U73" s="17">
        <f>T73-G73</f>
        <v>-20</v>
      </c>
      <c r="V73" s="17">
        <f>IF(U73&lt;0,0,T73-G73)</f>
        <v>0</v>
      </c>
      <c r="W73" s="20">
        <f>V73*I73/100</f>
        <v>0</v>
      </c>
      <c r="X73" s="57">
        <v>8.4</v>
      </c>
      <c r="Y73" s="25">
        <v>0</v>
      </c>
      <c r="Z73" s="17">
        <f>Y73-G73</f>
        <v>-20</v>
      </c>
      <c r="AA73" s="17">
        <f>IF(Z73&lt;0,0,Y73-G73)</f>
        <v>0</v>
      </c>
      <c r="AB73" s="20">
        <f>AA73*I73/100</f>
        <v>0</v>
      </c>
      <c r="AC73" s="57">
        <v>8.4</v>
      </c>
      <c r="AD73" s="25">
        <v>0</v>
      </c>
      <c r="AE73" s="17">
        <f>AD73-G73</f>
        <v>-20</v>
      </c>
      <c r="AF73" s="17">
        <f>IF(AE73&lt;0,0,AD73-G73)</f>
        <v>0</v>
      </c>
      <c r="AG73" s="20">
        <f>AF73*I73/100</f>
        <v>0</v>
      </c>
      <c r="AH73" s="49">
        <v>8.4</v>
      </c>
      <c r="AI73" s="42">
        <f>AF73+AA73+V73+Q73+L73</f>
        <v>0</v>
      </c>
      <c r="AJ73" s="35">
        <f>AG73*AH73+AB73*AC73+W73*X73+R73*S73+M73*N73</f>
        <v>0</v>
      </c>
    </row>
    <row r="74" spans="1:36" x14ac:dyDescent="0.25">
      <c r="A74" s="25" t="s">
        <v>156</v>
      </c>
      <c r="B74" s="17" t="s">
        <v>10</v>
      </c>
      <c r="C74" s="17" t="s">
        <v>11</v>
      </c>
      <c r="D74" s="17" t="s">
        <v>157</v>
      </c>
      <c r="E74" s="18" t="s">
        <v>158</v>
      </c>
      <c r="F74" s="17" t="s">
        <v>14</v>
      </c>
      <c r="G74" s="17">
        <v>20</v>
      </c>
      <c r="H74" s="17" t="s">
        <v>15</v>
      </c>
      <c r="I74" s="39">
        <v>6.5</v>
      </c>
      <c r="J74" s="25">
        <v>43</v>
      </c>
      <c r="K74" s="17">
        <f>J74-G74</f>
        <v>23</v>
      </c>
      <c r="L74" s="17">
        <f>IF(K74&lt;0,0,J74-G74)</f>
        <v>23</v>
      </c>
      <c r="M74" s="20">
        <f>L74*I74/100</f>
        <v>1.4950000000000001</v>
      </c>
      <c r="N74" s="57">
        <v>8.4</v>
      </c>
      <c r="O74" s="25">
        <v>166</v>
      </c>
      <c r="P74" s="17">
        <f>O74-G74</f>
        <v>146</v>
      </c>
      <c r="Q74" s="17">
        <f>IF(P74&lt;0,0,O74-G74)</f>
        <v>146</v>
      </c>
      <c r="R74" s="20">
        <f>Q74*I74/100</f>
        <v>9.49</v>
      </c>
      <c r="S74" s="57">
        <v>8.4</v>
      </c>
      <c r="T74" s="25">
        <v>42</v>
      </c>
      <c r="U74" s="17">
        <f>T74-G74</f>
        <v>22</v>
      </c>
      <c r="V74" s="17">
        <f>IF(U74&lt;0,0,T74-G74)</f>
        <v>22</v>
      </c>
      <c r="W74" s="20">
        <f>V74*I74/100</f>
        <v>1.43</v>
      </c>
      <c r="X74" s="57">
        <v>8.4</v>
      </c>
      <c r="Y74" s="25">
        <v>0</v>
      </c>
      <c r="Z74" s="17">
        <f>Y74-G74</f>
        <v>-20</v>
      </c>
      <c r="AA74" s="17">
        <f>IF(Z74&lt;0,0,Y74-G74)</f>
        <v>0</v>
      </c>
      <c r="AB74" s="20">
        <f>AA74*I74/100</f>
        <v>0</v>
      </c>
      <c r="AC74" s="57">
        <v>8.4</v>
      </c>
      <c r="AD74" s="45"/>
      <c r="AE74" s="18"/>
      <c r="AF74" s="18"/>
      <c r="AG74" s="19"/>
      <c r="AH74" s="50"/>
      <c r="AI74" s="42">
        <f>AF74+AA74+V74+Q74+L74</f>
        <v>191</v>
      </c>
      <c r="AJ74" s="35">
        <f>AG74*AH74+AB74*AC74+W74*X74+R74*S74+M74*N74</f>
        <v>104.28600000000002</v>
      </c>
    </row>
    <row r="75" spans="1:36" x14ac:dyDescent="0.25">
      <c r="A75" s="25" t="s">
        <v>159</v>
      </c>
      <c r="B75" s="17" t="s">
        <v>17</v>
      </c>
      <c r="C75" s="17" t="s">
        <v>36</v>
      </c>
      <c r="D75" s="17" t="s">
        <v>157</v>
      </c>
      <c r="E75" s="17" t="s">
        <v>160</v>
      </c>
      <c r="F75" s="17" t="s">
        <v>14</v>
      </c>
      <c r="G75" s="17">
        <v>20</v>
      </c>
      <c r="H75" s="17" t="s">
        <v>38</v>
      </c>
      <c r="I75" s="39">
        <v>6.5</v>
      </c>
      <c r="J75" s="25">
        <v>15</v>
      </c>
      <c r="K75" s="17">
        <f>J75-G75</f>
        <v>-5</v>
      </c>
      <c r="L75" s="17">
        <f>IF(K75&lt;0,0,J75-G75)</f>
        <v>0</v>
      </c>
      <c r="M75" s="20">
        <f>L75*I75/100</f>
        <v>0</v>
      </c>
      <c r="N75" s="57">
        <v>7.3</v>
      </c>
      <c r="O75" s="25">
        <v>11</v>
      </c>
      <c r="P75" s="17">
        <f>O75-G75</f>
        <v>-9</v>
      </c>
      <c r="Q75" s="17">
        <f>IF(P75&lt;0,0,O75-G75)</f>
        <v>0</v>
      </c>
      <c r="R75" s="20">
        <f>Q75*I75/100</f>
        <v>0</v>
      </c>
      <c r="S75" s="57">
        <v>7.2</v>
      </c>
      <c r="T75" s="25">
        <v>18</v>
      </c>
      <c r="U75" s="17">
        <f>T75-G75</f>
        <v>-2</v>
      </c>
      <c r="V75" s="17">
        <f>IF(U75&lt;0,0,T75-G75)</f>
        <v>0</v>
      </c>
      <c r="W75" s="20">
        <f>V75*I75/100</f>
        <v>0</v>
      </c>
      <c r="X75" s="57">
        <v>7.2</v>
      </c>
      <c r="Y75" s="25">
        <v>18</v>
      </c>
      <c r="Z75" s="17">
        <f>Y75-G75</f>
        <v>-2</v>
      </c>
      <c r="AA75" s="17">
        <f>IF(Z75&lt;0,0,Y75-G75)</f>
        <v>0</v>
      </c>
      <c r="AB75" s="20">
        <f>AA75*I75/100</f>
        <v>0</v>
      </c>
      <c r="AC75" s="57">
        <v>7.2</v>
      </c>
      <c r="AD75" s="25">
        <v>18</v>
      </c>
      <c r="AE75" s="17">
        <f>AD75-G75</f>
        <v>-2</v>
      </c>
      <c r="AF75" s="17">
        <f>IF(AE75&lt;0,0,AD75-G75)</f>
        <v>0</v>
      </c>
      <c r="AG75" s="20">
        <f>AF75*I75/100</f>
        <v>0</v>
      </c>
      <c r="AH75" s="49">
        <v>7.2</v>
      </c>
      <c r="AI75" s="42">
        <f>AF75+AA75+V75+Q75+L75</f>
        <v>0</v>
      </c>
      <c r="AJ75" s="35">
        <f>AG75*AH75+AB75*AC75+W75*X75+R75*S75+M75*N75</f>
        <v>0</v>
      </c>
    </row>
    <row r="76" spans="1:36" x14ac:dyDescent="0.25">
      <c r="A76" s="25" t="s">
        <v>161</v>
      </c>
      <c r="B76" s="17" t="s">
        <v>10</v>
      </c>
      <c r="C76" s="17" t="s">
        <v>11</v>
      </c>
      <c r="D76" s="17" t="s">
        <v>157</v>
      </c>
      <c r="E76" s="17" t="s">
        <v>162</v>
      </c>
      <c r="F76" s="17" t="s">
        <v>14</v>
      </c>
      <c r="G76" s="17">
        <v>20</v>
      </c>
      <c r="H76" s="17" t="s">
        <v>15</v>
      </c>
      <c r="I76" s="39">
        <v>6.5</v>
      </c>
      <c r="J76" s="25">
        <v>5</v>
      </c>
      <c r="K76" s="17">
        <f>J76-G76</f>
        <v>-15</v>
      </c>
      <c r="L76" s="17">
        <f>IF(K76&lt;0,0,J76-G76)</f>
        <v>0</v>
      </c>
      <c r="M76" s="20">
        <f>L76*I76/100</f>
        <v>0</v>
      </c>
      <c r="N76" s="57">
        <v>8.4</v>
      </c>
      <c r="O76" s="25">
        <v>23</v>
      </c>
      <c r="P76" s="17">
        <f>O76-G76</f>
        <v>3</v>
      </c>
      <c r="Q76" s="17">
        <f>IF(P76&lt;0,0,O76-G76)</f>
        <v>3</v>
      </c>
      <c r="R76" s="20">
        <f>Q76*I76/100</f>
        <v>0.19500000000000001</v>
      </c>
      <c r="S76" s="57">
        <v>8.4</v>
      </c>
      <c r="T76" s="25">
        <v>28</v>
      </c>
      <c r="U76" s="17">
        <f>T76-G76</f>
        <v>8</v>
      </c>
      <c r="V76" s="17">
        <f>IF(U76&lt;0,0,T76-G76)</f>
        <v>8</v>
      </c>
      <c r="W76" s="20">
        <f>V76*I76/100</f>
        <v>0.52</v>
      </c>
      <c r="X76" s="57">
        <v>8.4</v>
      </c>
      <c r="Y76" s="25">
        <v>8</v>
      </c>
      <c r="Z76" s="17">
        <f>Y76-G76</f>
        <v>-12</v>
      </c>
      <c r="AA76" s="17">
        <f>IF(Z76&lt;0,0,Y76-G76)</f>
        <v>0</v>
      </c>
      <c r="AB76" s="20">
        <f>AA76*I76/100</f>
        <v>0</v>
      </c>
      <c r="AC76" s="57">
        <v>8.4</v>
      </c>
      <c r="AD76" s="25">
        <v>32</v>
      </c>
      <c r="AE76" s="17">
        <f>AD76-G76</f>
        <v>12</v>
      </c>
      <c r="AF76" s="17">
        <f>IF(AE76&lt;0,0,AD76-G76)</f>
        <v>12</v>
      </c>
      <c r="AG76" s="20">
        <f>AF76*I76/100</f>
        <v>0.78</v>
      </c>
      <c r="AH76" s="49">
        <v>8.4</v>
      </c>
      <c r="AI76" s="42">
        <f>AF76+AA76+V76+Q76+L76</f>
        <v>23</v>
      </c>
      <c r="AJ76" s="35">
        <f>AG76*AH76+AB76*AC76+W76*X76+R76*S76+M76*N76</f>
        <v>12.558000000000002</v>
      </c>
    </row>
    <row r="77" spans="1:36" x14ac:dyDescent="0.25">
      <c r="A77" s="25" t="s">
        <v>163</v>
      </c>
      <c r="B77" s="17" t="s">
        <v>10</v>
      </c>
      <c r="C77" s="17" t="s">
        <v>11</v>
      </c>
      <c r="D77" s="17" t="s">
        <v>157</v>
      </c>
      <c r="E77" s="18" t="s">
        <v>164</v>
      </c>
      <c r="F77" s="17" t="s">
        <v>14</v>
      </c>
      <c r="G77" s="17">
        <v>20</v>
      </c>
      <c r="H77" s="17" t="s">
        <v>15</v>
      </c>
      <c r="I77" s="39">
        <v>6.5</v>
      </c>
      <c r="J77" s="25">
        <v>34</v>
      </c>
      <c r="K77" s="17">
        <f>J77-G77</f>
        <v>14</v>
      </c>
      <c r="L77" s="17">
        <f>IF(K77&lt;0,0,J77-G77)</f>
        <v>14</v>
      </c>
      <c r="M77" s="20">
        <f>L77*I77/100</f>
        <v>0.91</v>
      </c>
      <c r="N77" s="57">
        <v>8.4</v>
      </c>
      <c r="O77" s="25">
        <v>9</v>
      </c>
      <c r="P77" s="17">
        <f>O77-G77</f>
        <v>-11</v>
      </c>
      <c r="Q77" s="17">
        <f>IF(P77&lt;0,0,O77-G77)</f>
        <v>0</v>
      </c>
      <c r="R77" s="20">
        <f>Q77*I77/100</f>
        <v>0</v>
      </c>
      <c r="S77" s="57">
        <v>8.4</v>
      </c>
      <c r="T77" s="25">
        <v>0</v>
      </c>
      <c r="U77" s="17">
        <f>T77-G77</f>
        <v>-20</v>
      </c>
      <c r="V77" s="17">
        <f>IF(U77&lt;0,0,T77-G77)</f>
        <v>0</v>
      </c>
      <c r="W77" s="20">
        <f>V77*I77/100</f>
        <v>0</v>
      </c>
      <c r="X77" s="57">
        <v>8.4</v>
      </c>
      <c r="Y77" s="45"/>
      <c r="Z77" s="18"/>
      <c r="AA77" s="18"/>
      <c r="AB77" s="19"/>
      <c r="AC77" s="58"/>
      <c r="AD77" s="45"/>
      <c r="AE77" s="18"/>
      <c r="AF77" s="18"/>
      <c r="AG77" s="19"/>
      <c r="AH77" s="50"/>
      <c r="AI77" s="42">
        <f>AF77+AA77+V77+Q77+L77</f>
        <v>14</v>
      </c>
      <c r="AJ77" s="35">
        <f>AG77*AH77+AB77*AC77+W77*X77+R77*S77+M77*N77</f>
        <v>7.644000000000001</v>
      </c>
    </row>
    <row r="78" spans="1:36" x14ac:dyDescent="0.25">
      <c r="A78" s="25" t="s">
        <v>165</v>
      </c>
      <c r="B78" s="17" t="s">
        <v>32</v>
      </c>
      <c r="C78" s="17" t="s">
        <v>52</v>
      </c>
      <c r="D78" s="17" t="s">
        <v>157</v>
      </c>
      <c r="E78" s="18" t="s">
        <v>166</v>
      </c>
      <c r="F78" s="17" t="s">
        <v>14</v>
      </c>
      <c r="G78" s="17">
        <v>20</v>
      </c>
      <c r="H78" s="17" t="s">
        <v>15</v>
      </c>
      <c r="I78" s="39">
        <v>11</v>
      </c>
      <c r="J78" s="25">
        <v>0</v>
      </c>
      <c r="K78" s="17">
        <f>J78-G78</f>
        <v>-20</v>
      </c>
      <c r="L78" s="17">
        <f>IF(K78&lt;0,0,J78-G78)</f>
        <v>0</v>
      </c>
      <c r="M78" s="20">
        <f>L78*I78/100</f>
        <v>0</v>
      </c>
      <c r="N78" s="57">
        <v>8.4</v>
      </c>
      <c r="O78" s="25">
        <v>0</v>
      </c>
      <c r="P78" s="17">
        <f>O78-G78</f>
        <v>-20</v>
      </c>
      <c r="Q78" s="17">
        <f>IF(P78&lt;0,0,O78-G78)</f>
        <v>0</v>
      </c>
      <c r="R78" s="20">
        <f>Q78*I78/100</f>
        <v>0</v>
      </c>
      <c r="S78" s="57">
        <v>8.4</v>
      </c>
      <c r="T78" s="25">
        <v>0</v>
      </c>
      <c r="U78" s="17">
        <f>T78-G78</f>
        <v>-20</v>
      </c>
      <c r="V78" s="17">
        <f>IF(U78&lt;0,0,T78-G78)</f>
        <v>0</v>
      </c>
      <c r="W78" s="20">
        <f>V78*I78/100</f>
        <v>0</v>
      </c>
      <c r="X78" s="57">
        <v>8.4</v>
      </c>
      <c r="Y78" s="25">
        <v>0</v>
      </c>
      <c r="Z78" s="17">
        <f>Y78-G78</f>
        <v>-20</v>
      </c>
      <c r="AA78" s="17">
        <f>IF(Z78&lt;0,0,Y78-G78)</f>
        <v>0</v>
      </c>
      <c r="AB78" s="20">
        <f>AA78*I78/100</f>
        <v>0</v>
      </c>
      <c r="AC78" s="57">
        <v>8.4</v>
      </c>
      <c r="AD78" s="25">
        <v>0</v>
      </c>
      <c r="AE78" s="17">
        <f>AD78-G78</f>
        <v>-20</v>
      </c>
      <c r="AF78" s="17">
        <f>IF(AE78&lt;0,0,AD78-G78)</f>
        <v>0</v>
      </c>
      <c r="AG78" s="20">
        <f>AF78*I78/100</f>
        <v>0</v>
      </c>
      <c r="AH78" s="49">
        <v>8.4</v>
      </c>
      <c r="AI78" s="42">
        <f>AF78+AA78+V78+Q78+L78</f>
        <v>0</v>
      </c>
      <c r="AJ78" s="35">
        <f>AG78*AH78+AB78*AC78+W78*X78+R78*S78+M78*N78</f>
        <v>0</v>
      </c>
    </row>
    <row r="79" spans="1:36" x14ac:dyDescent="0.25">
      <c r="A79" s="25" t="s">
        <v>167</v>
      </c>
      <c r="B79" s="17" t="s">
        <v>17</v>
      </c>
      <c r="C79" s="17" t="s">
        <v>18</v>
      </c>
      <c r="D79" s="17" t="s">
        <v>157</v>
      </c>
      <c r="E79" s="18" t="s">
        <v>168</v>
      </c>
      <c r="F79" s="17" t="s">
        <v>14</v>
      </c>
      <c r="G79" s="17">
        <v>20</v>
      </c>
      <c r="H79" s="17" t="s">
        <v>15</v>
      </c>
      <c r="I79" s="39">
        <v>6.5</v>
      </c>
      <c r="J79" s="25">
        <v>0</v>
      </c>
      <c r="K79" s="17">
        <f>J79-G79</f>
        <v>-20</v>
      </c>
      <c r="L79" s="17">
        <f>IF(K79&lt;0,0,J79-G79)</f>
        <v>0</v>
      </c>
      <c r="M79" s="20">
        <f>L79*I79/100</f>
        <v>0</v>
      </c>
      <c r="N79" s="57">
        <v>8.4</v>
      </c>
      <c r="O79" s="25">
        <v>312</v>
      </c>
      <c r="P79" s="17">
        <f>O79-G79</f>
        <v>292</v>
      </c>
      <c r="Q79" s="17">
        <f>IF(P79&lt;0,0,O79-G79)</f>
        <v>292</v>
      </c>
      <c r="R79" s="20">
        <f>Q79*I79/100</f>
        <v>18.98</v>
      </c>
      <c r="S79" s="57">
        <v>8.4</v>
      </c>
      <c r="T79" s="25">
        <v>42</v>
      </c>
      <c r="U79" s="17">
        <f>T79-G79</f>
        <v>22</v>
      </c>
      <c r="V79" s="17">
        <f>IF(U79&lt;0,0,T79-G79)</f>
        <v>22</v>
      </c>
      <c r="W79" s="20">
        <f>V79*I79/100</f>
        <v>1.43</v>
      </c>
      <c r="X79" s="57">
        <v>8.4</v>
      </c>
      <c r="Y79" s="25">
        <v>187</v>
      </c>
      <c r="Z79" s="17">
        <f>Y79-G79</f>
        <v>167</v>
      </c>
      <c r="AA79" s="17">
        <f>IF(Z79&lt;0,0,Y79-G79)</f>
        <v>167</v>
      </c>
      <c r="AB79" s="20">
        <f>AA79*I79/100</f>
        <v>10.855</v>
      </c>
      <c r="AC79" s="57">
        <v>8.4</v>
      </c>
      <c r="AD79" s="25">
        <v>253</v>
      </c>
      <c r="AE79" s="17">
        <f>AD79-G79</f>
        <v>233</v>
      </c>
      <c r="AF79" s="17">
        <f>IF(AE79&lt;0,0,AD79-G79)</f>
        <v>233</v>
      </c>
      <c r="AG79" s="20">
        <f>AF79*I79/100</f>
        <v>15.145</v>
      </c>
      <c r="AH79" s="49">
        <v>8.4</v>
      </c>
      <c r="AI79" s="42">
        <f>AF79+AA79+V79+Q79+L79</f>
        <v>714</v>
      </c>
      <c r="AJ79" s="35">
        <f>AG79*AH79+AB79*AC79+W79*X79+R79*S79+M79*N79</f>
        <v>389.84400000000005</v>
      </c>
    </row>
    <row r="80" spans="1:36" x14ac:dyDescent="0.25">
      <c r="A80" s="25" t="s">
        <v>169</v>
      </c>
      <c r="B80" s="17" t="s">
        <v>10</v>
      </c>
      <c r="C80" s="17" t="s">
        <v>22</v>
      </c>
      <c r="D80" s="17" t="s">
        <v>157</v>
      </c>
      <c r="E80" s="18" t="s">
        <v>170</v>
      </c>
      <c r="F80" s="17" t="s">
        <v>14</v>
      </c>
      <c r="G80" s="17">
        <v>20</v>
      </c>
      <c r="H80" s="17" t="s">
        <v>15</v>
      </c>
      <c r="I80" s="39">
        <v>11</v>
      </c>
      <c r="J80" s="25">
        <v>0</v>
      </c>
      <c r="K80" s="17">
        <f>J80-G80</f>
        <v>-20</v>
      </c>
      <c r="L80" s="17">
        <f>IF(K80&lt;0,0,J80-G80)</f>
        <v>0</v>
      </c>
      <c r="M80" s="20">
        <f>L80*I80/100</f>
        <v>0</v>
      </c>
      <c r="N80" s="57">
        <v>8.4</v>
      </c>
      <c r="O80" s="25">
        <v>0</v>
      </c>
      <c r="P80" s="17">
        <f>O80-G80</f>
        <v>-20</v>
      </c>
      <c r="Q80" s="17">
        <f>IF(P80&lt;0,0,O80-G80)</f>
        <v>0</v>
      </c>
      <c r="R80" s="20">
        <f>Q80*I80/100</f>
        <v>0</v>
      </c>
      <c r="S80" s="57">
        <v>8.4</v>
      </c>
      <c r="T80" s="25">
        <v>0</v>
      </c>
      <c r="U80" s="17">
        <f>T80-G80</f>
        <v>-20</v>
      </c>
      <c r="V80" s="17">
        <f>IF(U80&lt;0,0,T80-G80)</f>
        <v>0</v>
      </c>
      <c r="W80" s="20">
        <f>V80*I80/100</f>
        <v>0</v>
      </c>
      <c r="X80" s="57">
        <v>8.4</v>
      </c>
      <c r="Y80" s="25">
        <v>0</v>
      </c>
      <c r="Z80" s="17">
        <f>Y80-G80</f>
        <v>-20</v>
      </c>
      <c r="AA80" s="17">
        <f>IF(Z80&lt;0,0,Y80-G80)</f>
        <v>0</v>
      </c>
      <c r="AB80" s="20">
        <f>AA80*I80/100</f>
        <v>0</v>
      </c>
      <c r="AC80" s="57">
        <v>8.4</v>
      </c>
      <c r="AD80" s="25">
        <v>0</v>
      </c>
      <c r="AE80" s="17">
        <f>AD80-G80</f>
        <v>-20</v>
      </c>
      <c r="AF80" s="17">
        <f>IF(AE80&lt;0,0,AD80-G80)</f>
        <v>0</v>
      </c>
      <c r="AG80" s="20">
        <f>AF80*I80/100</f>
        <v>0</v>
      </c>
      <c r="AH80" s="49">
        <v>8.4</v>
      </c>
      <c r="AI80" s="42">
        <f>AF80+AA80+V80+Q80+L80</f>
        <v>0</v>
      </c>
      <c r="AJ80" s="35">
        <f>AG80*AH80+AB80*AC80+W80*X80+R80*S80+M80*N80</f>
        <v>0</v>
      </c>
    </row>
    <row r="81" spans="1:36" x14ac:dyDescent="0.25">
      <c r="A81" s="25" t="s">
        <v>171</v>
      </c>
      <c r="B81" s="17" t="s">
        <v>10</v>
      </c>
      <c r="C81" s="17" t="s">
        <v>11</v>
      </c>
      <c r="D81" s="17" t="s">
        <v>157</v>
      </c>
      <c r="E81" s="18" t="s">
        <v>172</v>
      </c>
      <c r="F81" s="17" t="s">
        <v>14</v>
      </c>
      <c r="G81" s="17">
        <v>20</v>
      </c>
      <c r="H81" s="17" t="s">
        <v>15</v>
      </c>
      <c r="I81" s="39">
        <v>6.5</v>
      </c>
      <c r="J81" s="25">
        <v>317</v>
      </c>
      <c r="K81" s="17">
        <f>J81-G81</f>
        <v>297</v>
      </c>
      <c r="L81" s="17">
        <f>IF(K81&lt;0,0,J81-G81)</f>
        <v>297</v>
      </c>
      <c r="M81" s="20">
        <f>L81*I81/100</f>
        <v>19.305</v>
      </c>
      <c r="N81" s="57">
        <v>8.4</v>
      </c>
      <c r="O81" s="25">
        <v>32</v>
      </c>
      <c r="P81" s="17">
        <f>O81-G81</f>
        <v>12</v>
      </c>
      <c r="Q81" s="17">
        <f>IF(P81&lt;0,0,O81-G81)</f>
        <v>12</v>
      </c>
      <c r="R81" s="20">
        <f>Q81*I81/100</f>
        <v>0.78</v>
      </c>
      <c r="S81" s="57">
        <v>8.4</v>
      </c>
      <c r="T81" s="25">
        <v>0</v>
      </c>
      <c r="U81" s="17">
        <f>T81-G81</f>
        <v>-20</v>
      </c>
      <c r="V81" s="17">
        <f>IF(U81&lt;0,0,T81-G81)</f>
        <v>0</v>
      </c>
      <c r="W81" s="20">
        <f>V81*I81/100</f>
        <v>0</v>
      </c>
      <c r="X81" s="57">
        <v>8.4</v>
      </c>
      <c r="Y81" s="25">
        <v>13</v>
      </c>
      <c r="Z81" s="17">
        <f>Y81-G81</f>
        <v>-7</v>
      </c>
      <c r="AA81" s="17">
        <f>IF(Z81&lt;0,0,Y81-G81)</f>
        <v>0</v>
      </c>
      <c r="AB81" s="20">
        <f>AA81*I81/100</f>
        <v>0</v>
      </c>
      <c r="AC81" s="57">
        <v>8.4</v>
      </c>
      <c r="AD81" s="25">
        <v>0</v>
      </c>
      <c r="AE81" s="17">
        <f>AD81-G81</f>
        <v>-20</v>
      </c>
      <c r="AF81" s="17">
        <f>IF(AE81&lt;0,0,AD81-G81)</f>
        <v>0</v>
      </c>
      <c r="AG81" s="20">
        <f>AF81*I81/100</f>
        <v>0</v>
      </c>
      <c r="AH81" s="49">
        <v>8.4</v>
      </c>
      <c r="AI81" s="42">
        <f>AF81+AA81+V81+Q81+L81</f>
        <v>309</v>
      </c>
      <c r="AJ81" s="35">
        <f>AG81*AH81+AB81*AC81+W81*X81+R81*S81+M81*N81</f>
        <v>168.714</v>
      </c>
    </row>
    <row r="82" spans="1:36" x14ac:dyDescent="0.25">
      <c r="A82" s="25" t="s">
        <v>173</v>
      </c>
      <c r="B82" s="17" t="s">
        <v>10</v>
      </c>
      <c r="C82" s="17" t="s">
        <v>11</v>
      </c>
      <c r="D82" s="17" t="s">
        <v>174</v>
      </c>
      <c r="E82" s="17" t="s">
        <v>175</v>
      </c>
      <c r="F82" s="17" t="s">
        <v>14</v>
      </c>
      <c r="G82" s="17">
        <v>20</v>
      </c>
      <c r="H82" s="17" t="s">
        <v>15</v>
      </c>
      <c r="I82" s="39">
        <v>6.5</v>
      </c>
      <c r="J82" s="25">
        <v>70</v>
      </c>
      <c r="K82" s="17">
        <f>J82-G82</f>
        <v>50</v>
      </c>
      <c r="L82" s="17">
        <f>IF(K82&lt;0,0,J82-G82)</f>
        <v>50</v>
      </c>
      <c r="M82" s="20">
        <f>L82*I82/100</f>
        <v>3.25</v>
      </c>
      <c r="N82" s="57">
        <v>8.4</v>
      </c>
      <c r="O82" s="25">
        <v>81</v>
      </c>
      <c r="P82" s="17">
        <f>O82-G82</f>
        <v>61</v>
      </c>
      <c r="Q82" s="17">
        <f>IF(P82&lt;0,0,O82-G82)</f>
        <v>61</v>
      </c>
      <c r="R82" s="20">
        <f>Q82*I82/100</f>
        <v>3.9649999999999999</v>
      </c>
      <c r="S82" s="57">
        <v>8.4</v>
      </c>
      <c r="T82" s="25">
        <v>48</v>
      </c>
      <c r="U82" s="17">
        <f>T82-G82</f>
        <v>28</v>
      </c>
      <c r="V82" s="17">
        <f>IF(U82&lt;0,0,T82-G82)</f>
        <v>28</v>
      </c>
      <c r="W82" s="20">
        <f>V82*I82/100</f>
        <v>1.82</v>
      </c>
      <c r="X82" s="57">
        <v>8.4</v>
      </c>
      <c r="Y82" s="25">
        <v>14</v>
      </c>
      <c r="Z82" s="17">
        <f>Y82-G82</f>
        <v>-6</v>
      </c>
      <c r="AA82" s="17">
        <f>IF(Z82&lt;0,0,Y82-G82)</f>
        <v>0</v>
      </c>
      <c r="AB82" s="20">
        <f>AA82*I82/100</f>
        <v>0</v>
      </c>
      <c r="AC82" s="57">
        <v>8.4</v>
      </c>
      <c r="AD82" s="25">
        <v>238</v>
      </c>
      <c r="AE82" s="17">
        <f>AD82-G82</f>
        <v>218</v>
      </c>
      <c r="AF82" s="17">
        <f>IF(AE82&lt;0,0,AD82-G82)</f>
        <v>218</v>
      </c>
      <c r="AG82" s="20">
        <f>AF82*I82/100</f>
        <v>14.17</v>
      </c>
      <c r="AH82" s="49">
        <v>8.4</v>
      </c>
      <c r="AI82" s="42">
        <f>AF82+AA82+V82+Q82+L82</f>
        <v>357</v>
      </c>
      <c r="AJ82" s="35">
        <f>AG82*AH82+AB82*AC82+W82*X82+R82*S82+M82*N82</f>
        <v>194.92200000000003</v>
      </c>
    </row>
    <row r="83" spans="1:36" x14ac:dyDescent="0.25">
      <c r="A83" s="25" t="s">
        <v>176</v>
      </c>
      <c r="B83" s="17" t="s">
        <v>10</v>
      </c>
      <c r="C83" s="17" t="s">
        <v>11</v>
      </c>
      <c r="D83" s="17" t="s">
        <v>174</v>
      </c>
      <c r="E83" s="18" t="s">
        <v>177</v>
      </c>
      <c r="F83" s="17" t="s">
        <v>14</v>
      </c>
      <c r="G83" s="17">
        <v>20</v>
      </c>
      <c r="H83" s="17" t="s">
        <v>15</v>
      </c>
      <c r="I83" s="39">
        <v>6.5</v>
      </c>
      <c r="J83" s="45"/>
      <c r="K83" s="18"/>
      <c r="L83" s="18"/>
      <c r="M83" s="19"/>
      <c r="N83" s="58"/>
      <c r="O83" s="45"/>
      <c r="P83" s="18"/>
      <c r="Q83" s="18"/>
      <c r="R83" s="19"/>
      <c r="S83" s="58"/>
      <c r="T83" s="25">
        <v>0</v>
      </c>
      <c r="U83" s="17">
        <f>T83-G83</f>
        <v>-20</v>
      </c>
      <c r="V83" s="17">
        <f>IF(U83&lt;0,0,T83-G83)</f>
        <v>0</v>
      </c>
      <c r="W83" s="20">
        <f>V83*I83/100</f>
        <v>0</v>
      </c>
      <c r="X83" s="57">
        <v>8.4</v>
      </c>
      <c r="Y83" s="25">
        <v>0</v>
      </c>
      <c r="Z83" s="17">
        <f>Y83-G83</f>
        <v>-20</v>
      </c>
      <c r="AA83" s="17">
        <f>IF(Z83&lt;0,0,Y83-G83)</f>
        <v>0</v>
      </c>
      <c r="AB83" s="20">
        <f>AA83*I83/100</f>
        <v>0</v>
      </c>
      <c r="AC83" s="57">
        <v>8.4</v>
      </c>
      <c r="AD83" s="25">
        <v>0</v>
      </c>
      <c r="AE83" s="17">
        <f>AD83-G83</f>
        <v>-20</v>
      </c>
      <c r="AF83" s="17">
        <f>IF(AE83&lt;0,0,AD83-G83)</f>
        <v>0</v>
      </c>
      <c r="AG83" s="20">
        <f>AF83*I83/100</f>
        <v>0</v>
      </c>
      <c r="AH83" s="49">
        <v>8.4</v>
      </c>
      <c r="AI83" s="42">
        <f>AF83+AA83+V83+Q83+L83</f>
        <v>0</v>
      </c>
      <c r="AJ83" s="35">
        <f>AG83*AH83+AB83*AC83+W83*X83+R83*S83+M83*N83</f>
        <v>0</v>
      </c>
    </row>
    <row r="84" spans="1:36" x14ac:dyDescent="0.25">
      <c r="A84" s="25" t="s">
        <v>176</v>
      </c>
      <c r="B84" s="17" t="s">
        <v>10</v>
      </c>
      <c r="C84" s="17" t="s">
        <v>11</v>
      </c>
      <c r="D84" s="17" t="s">
        <v>174</v>
      </c>
      <c r="E84" s="18" t="s">
        <v>178</v>
      </c>
      <c r="F84" s="17" t="s">
        <v>14</v>
      </c>
      <c r="G84" s="17">
        <v>20</v>
      </c>
      <c r="H84" s="17" t="s">
        <v>15</v>
      </c>
      <c r="I84" s="39">
        <v>6.5</v>
      </c>
      <c r="J84" s="25">
        <v>0</v>
      </c>
      <c r="K84" s="17">
        <f>J84-G84</f>
        <v>-20</v>
      </c>
      <c r="L84" s="17">
        <f>IF(K84&lt;0,0,J84-G84)</f>
        <v>0</v>
      </c>
      <c r="M84" s="20">
        <f>L84*I84/100</f>
        <v>0</v>
      </c>
      <c r="N84" s="57">
        <v>8.4</v>
      </c>
      <c r="O84" s="25">
        <v>0</v>
      </c>
      <c r="P84" s="17">
        <f>O84-G84</f>
        <v>-20</v>
      </c>
      <c r="Q84" s="17">
        <f>IF(P84&lt;0,0,O84-G84)</f>
        <v>0</v>
      </c>
      <c r="R84" s="20">
        <f>Q84*I84/100</f>
        <v>0</v>
      </c>
      <c r="S84" s="57">
        <v>8.4</v>
      </c>
      <c r="T84" s="45"/>
      <c r="U84" s="18"/>
      <c r="V84" s="18"/>
      <c r="W84" s="19"/>
      <c r="X84" s="58"/>
      <c r="Y84" s="45"/>
      <c r="Z84" s="18"/>
      <c r="AA84" s="18"/>
      <c r="AB84" s="19"/>
      <c r="AC84" s="58"/>
      <c r="AD84" s="45"/>
      <c r="AE84" s="18"/>
      <c r="AF84" s="18"/>
      <c r="AG84" s="19"/>
      <c r="AH84" s="50"/>
      <c r="AI84" s="42">
        <f>AF84+AA84+V84+Q84+L84</f>
        <v>0</v>
      </c>
      <c r="AJ84" s="35">
        <f>AG84*AH84+AB84*AC84+W84*X84+R84*S84+M84*N84</f>
        <v>0</v>
      </c>
    </row>
    <row r="85" spans="1:36" x14ac:dyDescent="0.25">
      <c r="A85" s="25" t="s">
        <v>179</v>
      </c>
      <c r="B85" s="17" t="s">
        <v>17</v>
      </c>
      <c r="C85" s="17" t="s">
        <v>18</v>
      </c>
      <c r="D85" s="17" t="s">
        <v>174</v>
      </c>
      <c r="E85" s="17" t="s">
        <v>177</v>
      </c>
      <c r="F85" s="17" t="s">
        <v>14</v>
      </c>
      <c r="G85" s="17">
        <v>20</v>
      </c>
      <c r="H85" s="17" t="s">
        <v>15</v>
      </c>
      <c r="I85" s="39">
        <v>6.5</v>
      </c>
      <c r="J85" s="25">
        <v>0</v>
      </c>
      <c r="K85" s="17">
        <f>J85-G85</f>
        <v>-20</v>
      </c>
      <c r="L85" s="17">
        <f>IF(K85&lt;0,0,J85-G85)</f>
        <v>0</v>
      </c>
      <c r="M85" s="20">
        <f>L85*I85/100</f>
        <v>0</v>
      </c>
      <c r="N85" s="57">
        <v>8.4</v>
      </c>
      <c r="O85" s="25">
        <v>271</v>
      </c>
      <c r="P85" s="17">
        <f>O85-G85</f>
        <v>251</v>
      </c>
      <c r="Q85" s="17">
        <f>IF(P85&lt;0,0,O85-G85)</f>
        <v>251</v>
      </c>
      <c r="R85" s="20">
        <f>Q85*I85/100</f>
        <v>16.315000000000001</v>
      </c>
      <c r="S85" s="57">
        <v>8.4</v>
      </c>
      <c r="T85" s="25">
        <v>43</v>
      </c>
      <c r="U85" s="17">
        <f>T85-G85</f>
        <v>23</v>
      </c>
      <c r="V85" s="17">
        <f>IF(U85&lt;0,0,T85-G85)</f>
        <v>23</v>
      </c>
      <c r="W85" s="20">
        <f>V85*I85/100</f>
        <v>1.4950000000000001</v>
      </c>
      <c r="X85" s="57">
        <v>8.4</v>
      </c>
      <c r="Y85" s="25">
        <v>236</v>
      </c>
      <c r="Z85" s="17">
        <f>Y85-G85</f>
        <v>216</v>
      </c>
      <c r="AA85" s="17">
        <f>IF(Z85&lt;0,0,Y85-G85)</f>
        <v>216</v>
      </c>
      <c r="AB85" s="20">
        <f>AA85*I85/100</f>
        <v>14.04</v>
      </c>
      <c r="AC85" s="57">
        <v>8.4</v>
      </c>
      <c r="AD85" s="25">
        <v>48</v>
      </c>
      <c r="AE85" s="17">
        <f>AD85-G85</f>
        <v>28</v>
      </c>
      <c r="AF85" s="17">
        <f>IF(AE85&lt;0,0,AD85-G85)</f>
        <v>28</v>
      </c>
      <c r="AG85" s="20">
        <f>AF85*I85/100</f>
        <v>1.82</v>
      </c>
      <c r="AH85" s="49">
        <v>8.4</v>
      </c>
      <c r="AI85" s="42">
        <f>AF85+AA85+V85+Q85+L85</f>
        <v>518</v>
      </c>
      <c r="AJ85" s="35">
        <f>AG85*AH85+AB85*AC85+W85*X85+R85*S85+M85*N85</f>
        <v>282.82799999999997</v>
      </c>
    </row>
    <row r="86" spans="1:36" x14ac:dyDescent="0.25">
      <c r="A86" s="25" t="s">
        <v>180</v>
      </c>
      <c r="B86" s="17" t="s">
        <v>32</v>
      </c>
      <c r="C86" s="17" t="s">
        <v>52</v>
      </c>
      <c r="D86" s="17" t="s">
        <v>174</v>
      </c>
      <c r="E86" s="17" t="s">
        <v>181</v>
      </c>
      <c r="F86" s="17" t="s">
        <v>14</v>
      </c>
      <c r="G86" s="17">
        <v>20</v>
      </c>
      <c r="H86" s="17" t="s">
        <v>15</v>
      </c>
      <c r="I86" s="39">
        <v>11</v>
      </c>
      <c r="J86" s="25">
        <v>0</v>
      </c>
      <c r="K86" s="17">
        <f>J86-G86</f>
        <v>-20</v>
      </c>
      <c r="L86" s="17">
        <f>IF(K86&lt;0,0,J86-G86)</f>
        <v>0</v>
      </c>
      <c r="M86" s="20">
        <f>L86*I86/100</f>
        <v>0</v>
      </c>
      <c r="N86" s="57">
        <v>8.4</v>
      </c>
      <c r="O86" s="25">
        <v>0</v>
      </c>
      <c r="P86" s="17">
        <f>O86-G86</f>
        <v>-20</v>
      </c>
      <c r="Q86" s="17">
        <f>IF(P86&lt;0,0,O86-G86)</f>
        <v>0</v>
      </c>
      <c r="R86" s="20">
        <f>Q86*I86/100</f>
        <v>0</v>
      </c>
      <c r="S86" s="57">
        <v>8.4</v>
      </c>
      <c r="T86" s="25">
        <v>0</v>
      </c>
      <c r="U86" s="17">
        <f>T86-G86</f>
        <v>-20</v>
      </c>
      <c r="V86" s="17">
        <f>IF(U86&lt;0,0,T86-G86)</f>
        <v>0</v>
      </c>
      <c r="W86" s="20">
        <f>V86*I86/100</f>
        <v>0</v>
      </c>
      <c r="X86" s="57">
        <v>8.4</v>
      </c>
      <c r="Y86" s="25">
        <v>0</v>
      </c>
      <c r="Z86" s="17">
        <f>Y86-G86</f>
        <v>-20</v>
      </c>
      <c r="AA86" s="17">
        <f>IF(Z86&lt;0,0,Y86-G86)</f>
        <v>0</v>
      </c>
      <c r="AB86" s="20">
        <f>AA86*I86/100</f>
        <v>0</v>
      </c>
      <c r="AC86" s="57">
        <v>8.4</v>
      </c>
      <c r="AD86" s="25">
        <v>0</v>
      </c>
      <c r="AE86" s="17">
        <f>AD86-G86</f>
        <v>-20</v>
      </c>
      <c r="AF86" s="17">
        <f>IF(AE86&lt;0,0,AD86-G86)</f>
        <v>0</v>
      </c>
      <c r="AG86" s="20">
        <f>AF86*I86/100</f>
        <v>0</v>
      </c>
      <c r="AH86" s="49">
        <v>8.4</v>
      </c>
      <c r="AI86" s="42">
        <f>AF86+AA86+V86+Q86+L86</f>
        <v>0</v>
      </c>
      <c r="AJ86" s="35">
        <f>AG86*AH86+AB86*AC86+W86*X86+R86*S86+M86*N86</f>
        <v>0</v>
      </c>
    </row>
    <row r="87" spans="1:36" x14ac:dyDescent="0.25">
      <c r="A87" s="25" t="s">
        <v>182</v>
      </c>
      <c r="B87" s="17" t="s">
        <v>32</v>
      </c>
      <c r="C87" s="17">
        <v>308</v>
      </c>
      <c r="D87" s="17" t="s">
        <v>174</v>
      </c>
      <c r="E87" s="17" t="s">
        <v>183</v>
      </c>
      <c r="F87" s="17" t="s">
        <v>14</v>
      </c>
      <c r="G87" s="17">
        <v>20</v>
      </c>
      <c r="H87" s="17" t="s">
        <v>15</v>
      </c>
      <c r="I87" s="39">
        <v>6.5</v>
      </c>
      <c r="J87" s="25">
        <v>20</v>
      </c>
      <c r="K87" s="17">
        <f>J87-G87</f>
        <v>0</v>
      </c>
      <c r="L87" s="17">
        <f>IF(K87&lt;0,0,J87-G87)</f>
        <v>0</v>
      </c>
      <c r="M87" s="20">
        <f>L87*I87/100</f>
        <v>0</v>
      </c>
      <c r="N87" s="57">
        <v>8.4</v>
      </c>
      <c r="O87" s="25">
        <v>0</v>
      </c>
      <c r="P87" s="17">
        <f>O87-G87</f>
        <v>-20</v>
      </c>
      <c r="Q87" s="17">
        <f>IF(P87&lt;0,0,O87-G87)</f>
        <v>0</v>
      </c>
      <c r="R87" s="20">
        <f>Q87*I87/100</f>
        <v>0</v>
      </c>
      <c r="S87" s="57">
        <v>8.4</v>
      </c>
      <c r="T87" s="25">
        <v>0</v>
      </c>
      <c r="U87" s="17">
        <f>T87-G87</f>
        <v>-20</v>
      </c>
      <c r="V87" s="17">
        <f>IF(U87&lt;0,0,T87-G87)</f>
        <v>0</v>
      </c>
      <c r="W87" s="20">
        <f>V87*I87/100</f>
        <v>0</v>
      </c>
      <c r="X87" s="57">
        <v>8.4</v>
      </c>
      <c r="Y87" s="25">
        <v>0</v>
      </c>
      <c r="Z87" s="17">
        <f>Y87-G87</f>
        <v>-20</v>
      </c>
      <c r="AA87" s="17">
        <f>IF(Z87&lt;0,0,Y87-G87)</f>
        <v>0</v>
      </c>
      <c r="AB87" s="20">
        <f>AA87*I87/100</f>
        <v>0</v>
      </c>
      <c r="AC87" s="57">
        <v>8.4</v>
      </c>
      <c r="AD87" s="25">
        <v>0</v>
      </c>
      <c r="AE87" s="17">
        <f>AD87-G87</f>
        <v>-20</v>
      </c>
      <c r="AF87" s="17">
        <f>IF(AE87&lt;0,0,AD87-G87)</f>
        <v>0</v>
      </c>
      <c r="AG87" s="20">
        <f>AF87*I87/100</f>
        <v>0</v>
      </c>
      <c r="AH87" s="49">
        <v>8.4</v>
      </c>
      <c r="AI87" s="42">
        <f>AF87+AA87+V87+Q87+L87</f>
        <v>0</v>
      </c>
      <c r="AJ87" s="35">
        <f>AG87*AH87+AB87*AC87+W87*X87+R87*S87+M87*N87</f>
        <v>0</v>
      </c>
    </row>
    <row r="88" spans="1:36" x14ac:dyDescent="0.25">
      <c r="A88" s="25" t="s">
        <v>184</v>
      </c>
      <c r="B88" s="17" t="s">
        <v>10</v>
      </c>
      <c r="C88" s="17" t="s">
        <v>11</v>
      </c>
      <c r="D88" s="17" t="s">
        <v>174</v>
      </c>
      <c r="E88" s="17" t="s">
        <v>185</v>
      </c>
      <c r="F88" s="17" t="s">
        <v>14</v>
      </c>
      <c r="G88" s="17">
        <v>20</v>
      </c>
      <c r="H88" s="17" t="s">
        <v>15</v>
      </c>
      <c r="I88" s="39">
        <v>6.5</v>
      </c>
      <c r="J88" s="25">
        <v>20</v>
      </c>
      <c r="K88" s="17">
        <f>J88-G88</f>
        <v>0</v>
      </c>
      <c r="L88" s="17">
        <f>IF(K88&lt;0,0,J88-G88)</f>
        <v>0</v>
      </c>
      <c r="M88" s="20">
        <f>L88*I88/100</f>
        <v>0</v>
      </c>
      <c r="N88" s="57">
        <v>8.4</v>
      </c>
      <c r="O88" s="25">
        <v>21</v>
      </c>
      <c r="P88" s="17">
        <f>O88-G88</f>
        <v>1</v>
      </c>
      <c r="Q88" s="17">
        <f>IF(P88&lt;0,0,O88-G88)</f>
        <v>1</v>
      </c>
      <c r="R88" s="20">
        <f>Q88*I88/100</f>
        <v>6.5000000000000002E-2</v>
      </c>
      <c r="S88" s="57">
        <v>8.4</v>
      </c>
      <c r="T88" s="25">
        <v>18</v>
      </c>
      <c r="U88" s="17">
        <f>T88-G88</f>
        <v>-2</v>
      </c>
      <c r="V88" s="17">
        <f>IF(U88&lt;0,0,T88-G88)</f>
        <v>0</v>
      </c>
      <c r="W88" s="20">
        <f>V88*I88/100</f>
        <v>0</v>
      </c>
      <c r="X88" s="57">
        <v>8.4</v>
      </c>
      <c r="Y88" s="25">
        <v>16</v>
      </c>
      <c r="Z88" s="17">
        <f>Y88-G88</f>
        <v>-4</v>
      </c>
      <c r="AA88" s="17">
        <f>IF(Z88&lt;0,0,Y88-G88)</f>
        <v>0</v>
      </c>
      <c r="AB88" s="20">
        <f>AA88*I88/100</f>
        <v>0</v>
      </c>
      <c r="AC88" s="57">
        <v>8.4</v>
      </c>
      <c r="AD88" s="25">
        <v>4</v>
      </c>
      <c r="AE88" s="17">
        <f>AD88-G88</f>
        <v>-16</v>
      </c>
      <c r="AF88" s="17">
        <f>IF(AE88&lt;0,0,AD88-G88)</f>
        <v>0</v>
      </c>
      <c r="AG88" s="20">
        <f>AF88*I88/100</f>
        <v>0</v>
      </c>
      <c r="AH88" s="49">
        <v>8.4</v>
      </c>
      <c r="AI88" s="42">
        <f>AF88+AA88+V88+Q88+L88</f>
        <v>1</v>
      </c>
      <c r="AJ88" s="35">
        <f>AG88*AH88+AB88*AC88+W88*X88+R88*S88+M88*N88</f>
        <v>0.54600000000000004</v>
      </c>
    </row>
    <row r="89" spans="1:36" x14ac:dyDescent="0.25">
      <c r="A89" s="25" t="s">
        <v>186</v>
      </c>
      <c r="B89" s="17" t="s">
        <v>10</v>
      </c>
      <c r="C89" s="17" t="s">
        <v>11</v>
      </c>
      <c r="D89" s="17" t="s">
        <v>187</v>
      </c>
      <c r="E89" s="17" t="s">
        <v>188</v>
      </c>
      <c r="F89" s="17" t="s">
        <v>14</v>
      </c>
      <c r="G89" s="17">
        <v>20</v>
      </c>
      <c r="H89" s="17" t="s">
        <v>15</v>
      </c>
      <c r="I89" s="39">
        <v>6.5</v>
      </c>
      <c r="J89" s="25">
        <v>20</v>
      </c>
      <c r="K89" s="17">
        <f>J89-G89</f>
        <v>0</v>
      </c>
      <c r="L89" s="17">
        <f>IF(K89&lt;0,0,J89-G89)</f>
        <v>0</v>
      </c>
      <c r="M89" s="20">
        <f>L89*I89/100</f>
        <v>0</v>
      </c>
      <c r="N89" s="57">
        <v>8.4</v>
      </c>
      <c r="O89" s="25">
        <v>6</v>
      </c>
      <c r="P89" s="17">
        <f>O89-G89</f>
        <v>-14</v>
      </c>
      <c r="Q89" s="17">
        <f>IF(P89&lt;0,0,O89-G89)</f>
        <v>0</v>
      </c>
      <c r="R89" s="20">
        <f>Q89*I89/100</f>
        <v>0</v>
      </c>
      <c r="S89" s="57">
        <v>8.4</v>
      </c>
      <c r="T89" s="25">
        <v>14</v>
      </c>
      <c r="U89" s="17">
        <f>T89-G89</f>
        <v>-6</v>
      </c>
      <c r="V89" s="17">
        <f>IF(U89&lt;0,0,T89-G89)</f>
        <v>0</v>
      </c>
      <c r="W89" s="20">
        <f>V89*I89/100</f>
        <v>0</v>
      </c>
      <c r="X89" s="57">
        <v>8.4</v>
      </c>
      <c r="Y89" s="25">
        <v>30</v>
      </c>
      <c r="Z89" s="17">
        <f>Y89-G89</f>
        <v>10</v>
      </c>
      <c r="AA89" s="17">
        <f>IF(Z89&lt;0,0,Y89-G89)</f>
        <v>10</v>
      </c>
      <c r="AB89" s="20">
        <f>AA89*I89/100</f>
        <v>0.65</v>
      </c>
      <c r="AC89" s="57">
        <v>8.4</v>
      </c>
      <c r="AD89" s="25">
        <v>0</v>
      </c>
      <c r="AE89" s="17">
        <f>AD89-G89</f>
        <v>-20</v>
      </c>
      <c r="AF89" s="17">
        <f>IF(AE89&lt;0,0,AD89-G89)</f>
        <v>0</v>
      </c>
      <c r="AG89" s="20">
        <f>AF89*I89/100</f>
        <v>0</v>
      </c>
      <c r="AH89" s="49">
        <v>8.4</v>
      </c>
      <c r="AI89" s="42">
        <f>AF89+AA89+V89+Q89+L89</f>
        <v>10</v>
      </c>
      <c r="AJ89" s="35">
        <f>AG89*AH89+AB89*AC89+W89*X89+R89*S89+M89*N89</f>
        <v>5.4600000000000009</v>
      </c>
    </row>
    <row r="90" spans="1:36" x14ac:dyDescent="0.25">
      <c r="A90" s="25" t="s">
        <v>189</v>
      </c>
      <c r="B90" s="17" t="s">
        <v>17</v>
      </c>
      <c r="C90" s="17" t="s">
        <v>18</v>
      </c>
      <c r="D90" s="17" t="s">
        <v>187</v>
      </c>
      <c r="E90" s="17" t="s">
        <v>190</v>
      </c>
      <c r="F90" s="17" t="s">
        <v>14</v>
      </c>
      <c r="G90" s="17">
        <v>20</v>
      </c>
      <c r="H90" s="17" t="s">
        <v>15</v>
      </c>
      <c r="I90" s="39">
        <v>6.5</v>
      </c>
      <c r="J90" s="25">
        <v>8</v>
      </c>
      <c r="K90" s="17">
        <f>J90-G90</f>
        <v>-12</v>
      </c>
      <c r="L90" s="17">
        <f>IF(K90&lt;0,0,J90-G90)</f>
        <v>0</v>
      </c>
      <c r="M90" s="20">
        <f>L90*I90/100</f>
        <v>0</v>
      </c>
      <c r="N90" s="57">
        <v>8.4</v>
      </c>
      <c r="O90" s="25">
        <v>12</v>
      </c>
      <c r="P90" s="17">
        <f>O90-G90</f>
        <v>-8</v>
      </c>
      <c r="Q90" s="17">
        <f>IF(P90&lt;0,0,O90-G90)</f>
        <v>0</v>
      </c>
      <c r="R90" s="20">
        <f>Q90*I90/100</f>
        <v>0</v>
      </c>
      <c r="S90" s="57">
        <v>8.4</v>
      </c>
      <c r="T90" s="25">
        <v>10</v>
      </c>
      <c r="U90" s="17">
        <f>T90-G90</f>
        <v>-10</v>
      </c>
      <c r="V90" s="17">
        <f>IF(U90&lt;0,0,T90-G90)</f>
        <v>0</v>
      </c>
      <c r="W90" s="20">
        <f>V90*I90/100</f>
        <v>0</v>
      </c>
      <c r="X90" s="57">
        <v>8.4</v>
      </c>
      <c r="Y90" s="25">
        <v>4</v>
      </c>
      <c r="Z90" s="17">
        <f>Y90-G90</f>
        <v>-16</v>
      </c>
      <c r="AA90" s="17">
        <f>IF(Z90&lt;0,0,Y90-G90)</f>
        <v>0</v>
      </c>
      <c r="AB90" s="20">
        <f>AA90*I90/100</f>
        <v>0</v>
      </c>
      <c r="AC90" s="57">
        <v>8.4</v>
      </c>
      <c r="AD90" s="25">
        <v>15</v>
      </c>
      <c r="AE90" s="17">
        <f>AD90-G90</f>
        <v>-5</v>
      </c>
      <c r="AF90" s="17">
        <f>IF(AE90&lt;0,0,AD90-G90)</f>
        <v>0</v>
      </c>
      <c r="AG90" s="20">
        <f>AF90*I90/100</f>
        <v>0</v>
      </c>
      <c r="AH90" s="49">
        <v>8.4</v>
      </c>
      <c r="AI90" s="42">
        <f>AF90+AA90+V90+Q90+L90</f>
        <v>0</v>
      </c>
      <c r="AJ90" s="35">
        <f>AG90*AH90+AB90*AC90+W90*X90+R90*S90+M90*N90</f>
        <v>0</v>
      </c>
    </row>
    <row r="91" spans="1:36" x14ac:dyDescent="0.25">
      <c r="A91" s="25" t="s">
        <v>191</v>
      </c>
      <c r="B91" s="17" t="s">
        <v>10</v>
      </c>
      <c r="C91" s="17" t="s">
        <v>22</v>
      </c>
      <c r="D91" s="17" t="s">
        <v>187</v>
      </c>
      <c r="E91" s="18" t="s">
        <v>192</v>
      </c>
      <c r="F91" s="17" t="s">
        <v>14</v>
      </c>
      <c r="G91" s="17">
        <v>20</v>
      </c>
      <c r="H91" s="17" t="s">
        <v>15</v>
      </c>
      <c r="I91" s="39">
        <v>11</v>
      </c>
      <c r="J91" s="25">
        <v>0</v>
      </c>
      <c r="K91" s="17">
        <f>J91-G91</f>
        <v>-20</v>
      </c>
      <c r="L91" s="17">
        <f>IF(K91&lt;0,0,J91-G91)</f>
        <v>0</v>
      </c>
      <c r="M91" s="20">
        <f>L91*I91/100</f>
        <v>0</v>
      </c>
      <c r="N91" s="57">
        <v>8.4</v>
      </c>
      <c r="O91" s="25">
        <v>0</v>
      </c>
      <c r="P91" s="17">
        <f>O91-G91</f>
        <v>-20</v>
      </c>
      <c r="Q91" s="17">
        <f>IF(P91&lt;0,0,O91-G91)</f>
        <v>0</v>
      </c>
      <c r="R91" s="20">
        <f>Q91*I91/100</f>
        <v>0</v>
      </c>
      <c r="S91" s="57">
        <v>8.4</v>
      </c>
      <c r="T91" s="25">
        <v>0</v>
      </c>
      <c r="U91" s="17">
        <f>T91-G91</f>
        <v>-20</v>
      </c>
      <c r="V91" s="17">
        <f>IF(U91&lt;0,0,T91-G91)</f>
        <v>0</v>
      </c>
      <c r="W91" s="20">
        <f>V91*I91/100</f>
        <v>0</v>
      </c>
      <c r="X91" s="57">
        <v>8.4</v>
      </c>
      <c r="Y91" s="25">
        <v>0</v>
      </c>
      <c r="Z91" s="17">
        <f>Y91-G91</f>
        <v>-20</v>
      </c>
      <c r="AA91" s="17">
        <f>IF(Z91&lt;0,0,Y91-G91)</f>
        <v>0</v>
      </c>
      <c r="AB91" s="20">
        <f>AA91*I91/100</f>
        <v>0</v>
      </c>
      <c r="AC91" s="57">
        <v>8.4</v>
      </c>
      <c r="AD91" s="25">
        <v>0</v>
      </c>
      <c r="AE91" s="17">
        <f>AD91-G91</f>
        <v>-20</v>
      </c>
      <c r="AF91" s="17">
        <f>IF(AE91&lt;0,0,AD91-G91)</f>
        <v>0</v>
      </c>
      <c r="AG91" s="20">
        <f>AF91*I91/100</f>
        <v>0</v>
      </c>
      <c r="AH91" s="49">
        <v>8.4</v>
      </c>
      <c r="AI91" s="42">
        <f>AF91+AA91+V91+Q91+L91</f>
        <v>0</v>
      </c>
      <c r="AJ91" s="35">
        <f>AG91*AH91+AB91*AC91+W91*X91+R91*S91+M91*N91</f>
        <v>0</v>
      </c>
    </row>
    <row r="92" spans="1:36" x14ac:dyDescent="0.25">
      <c r="A92" s="25" t="s">
        <v>193</v>
      </c>
      <c r="B92" s="17" t="s">
        <v>32</v>
      </c>
      <c r="C92" s="17" t="s">
        <v>33</v>
      </c>
      <c r="D92" s="17" t="s">
        <v>187</v>
      </c>
      <c r="E92" s="17" t="s">
        <v>194</v>
      </c>
      <c r="F92" s="17" t="s">
        <v>14</v>
      </c>
      <c r="G92" s="17">
        <v>20</v>
      </c>
      <c r="H92" s="17" t="s">
        <v>15</v>
      </c>
      <c r="I92" s="39">
        <v>9</v>
      </c>
      <c r="J92" s="25">
        <v>0</v>
      </c>
      <c r="K92" s="17">
        <f>J92-G92</f>
        <v>-20</v>
      </c>
      <c r="L92" s="17">
        <f>IF(K92&lt;0,0,J92-G92)</f>
        <v>0</v>
      </c>
      <c r="M92" s="20">
        <f>L92*I92/100</f>
        <v>0</v>
      </c>
      <c r="N92" s="57">
        <v>8.4</v>
      </c>
      <c r="O92" s="25">
        <v>0</v>
      </c>
      <c r="P92" s="17">
        <f>O92-G92</f>
        <v>-20</v>
      </c>
      <c r="Q92" s="17">
        <f>IF(P92&lt;0,0,O92-G92)</f>
        <v>0</v>
      </c>
      <c r="R92" s="20">
        <f>Q92*I92/100</f>
        <v>0</v>
      </c>
      <c r="S92" s="57">
        <v>8.4</v>
      </c>
      <c r="T92" s="25">
        <v>33</v>
      </c>
      <c r="U92" s="17">
        <f>T92-G92</f>
        <v>13</v>
      </c>
      <c r="V92" s="17">
        <f>IF(U92&lt;0,0,T92-G92)</f>
        <v>13</v>
      </c>
      <c r="W92" s="20">
        <f>V92*I92/100</f>
        <v>1.17</v>
      </c>
      <c r="X92" s="57">
        <v>8.4</v>
      </c>
      <c r="Y92" s="25">
        <v>4</v>
      </c>
      <c r="Z92" s="17">
        <f>Y92-G92</f>
        <v>-16</v>
      </c>
      <c r="AA92" s="17">
        <f>IF(Z92&lt;0,0,Y92-G92)</f>
        <v>0</v>
      </c>
      <c r="AB92" s="20">
        <f>AA92*I92/100</f>
        <v>0</v>
      </c>
      <c r="AC92" s="57">
        <v>8.4</v>
      </c>
      <c r="AD92" s="25">
        <v>0</v>
      </c>
      <c r="AE92" s="17">
        <f>AD92-G92</f>
        <v>-20</v>
      </c>
      <c r="AF92" s="17">
        <f>IF(AE92&lt;0,0,AD92-G92)</f>
        <v>0</v>
      </c>
      <c r="AG92" s="20">
        <f>AF92*I92/100</f>
        <v>0</v>
      </c>
      <c r="AH92" s="49">
        <v>8.4</v>
      </c>
      <c r="AI92" s="42">
        <f>AF92+AA92+V92+Q92+L92</f>
        <v>13</v>
      </c>
      <c r="AJ92" s="35">
        <f>AG92*AH92+AB92*AC92+W92*X92+R92*S92+M92*N92</f>
        <v>9.8279999999999994</v>
      </c>
    </row>
    <row r="93" spans="1:36" x14ac:dyDescent="0.25">
      <c r="A93" s="25" t="s">
        <v>195</v>
      </c>
      <c r="B93" s="17" t="s">
        <v>32</v>
      </c>
      <c r="C93" s="17">
        <v>301</v>
      </c>
      <c r="D93" s="17" t="s">
        <v>187</v>
      </c>
      <c r="E93" s="18" t="s">
        <v>192</v>
      </c>
      <c r="F93" s="17" t="s">
        <v>14</v>
      </c>
      <c r="G93" s="17">
        <v>20</v>
      </c>
      <c r="H93" s="17" t="s">
        <v>15</v>
      </c>
      <c r="I93" s="39">
        <v>6.5</v>
      </c>
      <c r="J93" s="25">
        <v>0</v>
      </c>
      <c r="K93" s="17">
        <f>J93-G93</f>
        <v>-20</v>
      </c>
      <c r="L93" s="17">
        <f>IF(K93&lt;0,0,J93-G93)</f>
        <v>0</v>
      </c>
      <c r="M93" s="20">
        <f>L93*I93/100</f>
        <v>0</v>
      </c>
      <c r="N93" s="57">
        <v>8.4</v>
      </c>
      <c r="O93" s="25">
        <v>58</v>
      </c>
      <c r="P93" s="17">
        <f>O93-G93</f>
        <v>38</v>
      </c>
      <c r="Q93" s="17">
        <f>IF(P93&lt;0,0,O93-G93)</f>
        <v>38</v>
      </c>
      <c r="R93" s="20">
        <f>Q93*I93/100</f>
        <v>2.4700000000000002</v>
      </c>
      <c r="S93" s="57">
        <v>8.4</v>
      </c>
      <c r="T93" s="25">
        <v>90</v>
      </c>
      <c r="U93" s="17">
        <f>T93-G93</f>
        <v>70</v>
      </c>
      <c r="V93" s="17">
        <f>IF(U93&lt;0,0,T93-G93)</f>
        <v>70</v>
      </c>
      <c r="W93" s="20">
        <f>V93*I93/100</f>
        <v>4.55</v>
      </c>
      <c r="X93" s="57">
        <v>8.4</v>
      </c>
      <c r="Y93" s="25">
        <v>5</v>
      </c>
      <c r="Z93" s="17">
        <f>Y93-G93</f>
        <v>-15</v>
      </c>
      <c r="AA93" s="17">
        <f>IF(Z93&lt;0,0,Y93-G93)</f>
        <v>0</v>
      </c>
      <c r="AB93" s="20">
        <f>AA93*I93/100</f>
        <v>0</v>
      </c>
      <c r="AC93" s="57">
        <v>8.4</v>
      </c>
      <c r="AD93" s="25">
        <v>0</v>
      </c>
      <c r="AE93" s="17">
        <f>AD93-G93</f>
        <v>-20</v>
      </c>
      <c r="AF93" s="17">
        <f>IF(AE93&lt;0,0,AD93-G93)</f>
        <v>0</v>
      </c>
      <c r="AG93" s="20">
        <f>AF93*I93/100</f>
        <v>0</v>
      </c>
      <c r="AH93" s="49">
        <v>8.4</v>
      </c>
      <c r="AI93" s="42">
        <f>AF93+AA93+V93+Q93+L93</f>
        <v>108</v>
      </c>
      <c r="AJ93" s="35">
        <f>AG93*AH93+AB93*AC93+W93*X93+R93*S93+M93*N93</f>
        <v>58.968000000000004</v>
      </c>
    </row>
    <row r="94" spans="1:36" x14ac:dyDescent="0.25">
      <c r="A94" s="25" t="s">
        <v>196</v>
      </c>
      <c r="B94" s="17" t="s">
        <v>32</v>
      </c>
      <c r="C94" s="17" t="s">
        <v>52</v>
      </c>
      <c r="D94" s="17" t="s">
        <v>187</v>
      </c>
      <c r="E94" s="17" t="s">
        <v>197</v>
      </c>
      <c r="F94" s="17" t="s">
        <v>14</v>
      </c>
      <c r="G94" s="17">
        <v>20</v>
      </c>
      <c r="H94" s="17" t="s">
        <v>15</v>
      </c>
      <c r="I94" s="39">
        <v>11</v>
      </c>
      <c r="J94" s="25">
        <v>0</v>
      </c>
      <c r="K94" s="17">
        <f>J94-G94</f>
        <v>-20</v>
      </c>
      <c r="L94" s="17">
        <f>IF(K94&lt;0,0,J94-G94)</f>
        <v>0</v>
      </c>
      <c r="M94" s="20">
        <f>L94*I94/100</f>
        <v>0</v>
      </c>
      <c r="N94" s="57">
        <v>8.4</v>
      </c>
      <c r="O94" s="25">
        <v>1</v>
      </c>
      <c r="P94" s="17">
        <f>O94-G94</f>
        <v>-19</v>
      </c>
      <c r="Q94" s="17">
        <f>IF(P94&lt;0,0,O94-G94)</f>
        <v>0</v>
      </c>
      <c r="R94" s="20">
        <f>Q94*I94/100</f>
        <v>0</v>
      </c>
      <c r="S94" s="57">
        <v>8.4</v>
      </c>
      <c r="T94" s="25">
        <v>0</v>
      </c>
      <c r="U94" s="17">
        <f>T94-G94</f>
        <v>-20</v>
      </c>
      <c r="V94" s="17">
        <f>IF(U94&lt;0,0,T94-G94)</f>
        <v>0</v>
      </c>
      <c r="W94" s="20">
        <f>V94*I94/100</f>
        <v>0</v>
      </c>
      <c r="X94" s="57">
        <v>8.4</v>
      </c>
      <c r="Y94" s="25">
        <v>0</v>
      </c>
      <c r="Z94" s="17">
        <f>Y94-G94</f>
        <v>-20</v>
      </c>
      <c r="AA94" s="17">
        <f>IF(Z94&lt;0,0,Y94-G94)</f>
        <v>0</v>
      </c>
      <c r="AB94" s="20">
        <f>AA94*I94/100</f>
        <v>0</v>
      </c>
      <c r="AC94" s="57">
        <v>8.4</v>
      </c>
      <c r="AD94" s="25">
        <v>0</v>
      </c>
      <c r="AE94" s="17">
        <f>AD94-G94</f>
        <v>-20</v>
      </c>
      <c r="AF94" s="17">
        <f>IF(AE94&lt;0,0,AD94-G94)</f>
        <v>0</v>
      </c>
      <c r="AG94" s="20">
        <f>AF94*I94/100</f>
        <v>0</v>
      </c>
      <c r="AH94" s="49">
        <v>8.4</v>
      </c>
      <c r="AI94" s="42">
        <f>AF94+AA94+V94+Q94+L94</f>
        <v>0</v>
      </c>
      <c r="AJ94" s="35">
        <f>AG94*AH94+AB94*AC94+W94*X94+R94*S94+M94*N94</f>
        <v>0</v>
      </c>
    </row>
    <row r="95" spans="1:36" x14ac:dyDescent="0.25">
      <c r="A95" s="25" t="s">
        <v>198</v>
      </c>
      <c r="B95" s="17" t="s">
        <v>17</v>
      </c>
      <c r="C95" s="17" t="s">
        <v>18</v>
      </c>
      <c r="D95" s="17" t="s">
        <v>199</v>
      </c>
      <c r="E95" s="18" t="s">
        <v>200</v>
      </c>
      <c r="F95" s="17" t="s">
        <v>14</v>
      </c>
      <c r="G95" s="17">
        <v>20</v>
      </c>
      <c r="H95" s="17" t="s">
        <v>15</v>
      </c>
      <c r="I95" s="39">
        <v>6.5</v>
      </c>
      <c r="J95" s="25">
        <v>80</v>
      </c>
      <c r="K95" s="17">
        <f>J95-G95</f>
        <v>60</v>
      </c>
      <c r="L95" s="17">
        <f>IF(K95&lt;0,0,J95-G95)</f>
        <v>60</v>
      </c>
      <c r="M95" s="20">
        <f>L95*I95/100</f>
        <v>3.9</v>
      </c>
      <c r="N95" s="57">
        <v>8.4</v>
      </c>
      <c r="O95" s="25">
        <v>20</v>
      </c>
      <c r="P95" s="17">
        <f>O95-G95</f>
        <v>0</v>
      </c>
      <c r="Q95" s="17">
        <f>IF(P95&lt;0,0,O95-G95)</f>
        <v>0</v>
      </c>
      <c r="R95" s="20">
        <f>Q95*I95/100</f>
        <v>0</v>
      </c>
      <c r="S95" s="57">
        <v>8.4</v>
      </c>
      <c r="T95" s="25">
        <v>0</v>
      </c>
      <c r="U95" s="17">
        <f>T95-G95</f>
        <v>-20</v>
      </c>
      <c r="V95" s="17">
        <f>IF(U95&lt;0,0,T95-G95)</f>
        <v>0</v>
      </c>
      <c r="W95" s="20">
        <f>V95*I95/100</f>
        <v>0</v>
      </c>
      <c r="X95" s="57">
        <v>8.4</v>
      </c>
      <c r="Y95" s="25">
        <v>25</v>
      </c>
      <c r="Z95" s="17">
        <f>Y95-G95</f>
        <v>5</v>
      </c>
      <c r="AA95" s="17">
        <f>IF(Z95&lt;0,0,Y95-G95)</f>
        <v>5</v>
      </c>
      <c r="AB95" s="20">
        <f>AA95*I95/100</f>
        <v>0.32500000000000001</v>
      </c>
      <c r="AC95" s="57">
        <v>8.4</v>
      </c>
      <c r="AD95" s="25">
        <v>469</v>
      </c>
      <c r="AE95" s="17">
        <f>AD95-G95</f>
        <v>449</v>
      </c>
      <c r="AF95" s="17">
        <f>IF(AE95&lt;0,0,AD95-G95)</f>
        <v>449</v>
      </c>
      <c r="AG95" s="20">
        <f>AF95*I95/100</f>
        <v>29.184999999999999</v>
      </c>
      <c r="AH95" s="49">
        <v>8.4</v>
      </c>
      <c r="AI95" s="42">
        <f>AF95+AA95+V95+Q95+L95</f>
        <v>514</v>
      </c>
      <c r="AJ95" s="35">
        <f>AG95*AH95+AB95*AC95+W95*X95+R95*S95+M95*N95</f>
        <v>280.64400000000001</v>
      </c>
    </row>
    <row r="96" spans="1:36" x14ac:dyDescent="0.25">
      <c r="A96" s="25" t="s">
        <v>201</v>
      </c>
      <c r="B96" s="17" t="s">
        <v>10</v>
      </c>
      <c r="C96" s="17" t="s">
        <v>105</v>
      </c>
      <c r="D96" s="17" t="s">
        <v>199</v>
      </c>
      <c r="E96" s="18" t="s">
        <v>202</v>
      </c>
      <c r="F96" s="17" t="s">
        <v>14</v>
      </c>
      <c r="G96" s="17">
        <v>20</v>
      </c>
      <c r="H96" s="17" t="s">
        <v>15</v>
      </c>
      <c r="I96" s="39">
        <v>6.5</v>
      </c>
      <c r="J96" s="45"/>
      <c r="K96" s="18"/>
      <c r="L96" s="18"/>
      <c r="M96" s="19"/>
      <c r="N96" s="58"/>
      <c r="O96" s="25">
        <v>314</v>
      </c>
      <c r="P96" s="17">
        <f>O96-G96</f>
        <v>294</v>
      </c>
      <c r="Q96" s="17">
        <f>IF(P96&lt;0,0,O96-G96)</f>
        <v>294</v>
      </c>
      <c r="R96" s="20">
        <f>Q96*I96/100</f>
        <v>19.11</v>
      </c>
      <c r="S96" s="57">
        <v>8.4</v>
      </c>
      <c r="T96" s="25">
        <v>8</v>
      </c>
      <c r="U96" s="17">
        <f>T96-G96</f>
        <v>-12</v>
      </c>
      <c r="V96" s="17">
        <f>IF(U96&lt;0,0,T96-G96)</f>
        <v>0</v>
      </c>
      <c r="W96" s="20">
        <f>V96*I96/100</f>
        <v>0</v>
      </c>
      <c r="X96" s="57">
        <v>8.4</v>
      </c>
      <c r="Y96" s="25">
        <v>256</v>
      </c>
      <c r="Z96" s="17">
        <f>Y96-G96</f>
        <v>236</v>
      </c>
      <c r="AA96" s="17">
        <f>IF(Z96&lt;0,0,Y96-G96)</f>
        <v>236</v>
      </c>
      <c r="AB96" s="20">
        <f>AA96*I96/100</f>
        <v>15.34</v>
      </c>
      <c r="AC96" s="57">
        <v>8.4</v>
      </c>
      <c r="AD96" s="45"/>
      <c r="AE96" s="18"/>
      <c r="AF96" s="18"/>
      <c r="AG96" s="19"/>
      <c r="AH96" s="50"/>
      <c r="AI96" s="42">
        <f>AF96+AA96+V96+Q96+L96</f>
        <v>530</v>
      </c>
      <c r="AJ96" s="35">
        <f>AG96*AH96+AB96*AC96+W96*X96+R96*S96+M96*N96</f>
        <v>289.38</v>
      </c>
    </row>
    <row r="97" spans="1:36" x14ac:dyDescent="0.25">
      <c r="A97" s="25" t="s">
        <v>203</v>
      </c>
      <c r="B97" s="17" t="s">
        <v>10</v>
      </c>
      <c r="C97" s="17" t="s">
        <v>11</v>
      </c>
      <c r="D97" s="17" t="s">
        <v>199</v>
      </c>
      <c r="E97" s="17" t="s">
        <v>204</v>
      </c>
      <c r="F97" s="17" t="s">
        <v>14</v>
      </c>
      <c r="G97" s="17">
        <v>20</v>
      </c>
      <c r="H97" s="17" t="s">
        <v>15</v>
      </c>
      <c r="I97" s="39">
        <v>6.5</v>
      </c>
      <c r="J97" s="25">
        <v>12</v>
      </c>
      <c r="K97" s="17">
        <f>J97-G97</f>
        <v>-8</v>
      </c>
      <c r="L97" s="17">
        <f>IF(K97&lt;0,0,J97-G97)</f>
        <v>0</v>
      </c>
      <c r="M97" s="20">
        <f>L97*I97/100</f>
        <v>0</v>
      </c>
      <c r="N97" s="57">
        <v>8.4</v>
      </c>
      <c r="O97" s="25">
        <v>176</v>
      </c>
      <c r="P97" s="17">
        <f>O97-G97</f>
        <v>156</v>
      </c>
      <c r="Q97" s="17">
        <f>IF(P97&lt;0,0,O97-G97)</f>
        <v>156</v>
      </c>
      <c r="R97" s="20">
        <f>Q97*I97/100</f>
        <v>10.14</v>
      </c>
      <c r="S97" s="57">
        <v>8.4</v>
      </c>
      <c r="T97" s="25">
        <v>26</v>
      </c>
      <c r="U97" s="17">
        <f>T97-G97</f>
        <v>6</v>
      </c>
      <c r="V97" s="17">
        <f>IF(U97&lt;0,0,T97-G97)</f>
        <v>6</v>
      </c>
      <c r="W97" s="20">
        <f>V97*I97/100</f>
        <v>0.39</v>
      </c>
      <c r="X97" s="57">
        <v>8.4</v>
      </c>
      <c r="Y97" s="25">
        <v>5</v>
      </c>
      <c r="Z97" s="17">
        <f>Y97-G97</f>
        <v>-15</v>
      </c>
      <c r="AA97" s="17">
        <f>IF(Z97&lt;0,0,Y97-G97)</f>
        <v>0</v>
      </c>
      <c r="AB97" s="20">
        <f>AA97*I97/100</f>
        <v>0</v>
      </c>
      <c r="AC97" s="57">
        <v>8.4</v>
      </c>
      <c r="AD97" s="25">
        <v>7</v>
      </c>
      <c r="AE97" s="17">
        <f>AD97-G97</f>
        <v>-13</v>
      </c>
      <c r="AF97" s="17">
        <f>IF(AE97&lt;0,0,AD97-G97)</f>
        <v>0</v>
      </c>
      <c r="AG97" s="20">
        <f>AF97*I97/100</f>
        <v>0</v>
      </c>
      <c r="AH97" s="49">
        <v>8.4</v>
      </c>
      <c r="AI97" s="42">
        <f>AF97+AA97+V97+Q97+L97</f>
        <v>162</v>
      </c>
      <c r="AJ97" s="35">
        <f>AG97*AH97+AB97*AC97+W97*X97+R97*S97+M97*N97</f>
        <v>88.451999999999998</v>
      </c>
    </row>
    <row r="98" spans="1:36" x14ac:dyDescent="0.25">
      <c r="A98" s="25" t="s">
        <v>205</v>
      </c>
      <c r="B98" s="17" t="s">
        <v>17</v>
      </c>
      <c r="C98" s="17" t="s">
        <v>36</v>
      </c>
      <c r="D98" s="17" t="s">
        <v>199</v>
      </c>
      <c r="E98" s="17" t="s">
        <v>206</v>
      </c>
      <c r="F98" s="17" t="s">
        <v>14</v>
      </c>
      <c r="G98" s="17">
        <v>20</v>
      </c>
      <c r="H98" s="17" t="s">
        <v>38</v>
      </c>
      <c r="I98" s="39">
        <v>6.5</v>
      </c>
      <c r="J98" s="25">
        <v>0</v>
      </c>
      <c r="K98" s="17">
        <f>J98-G98</f>
        <v>-20</v>
      </c>
      <c r="L98" s="17">
        <f>IF(K98&lt;0,0,J98-G98)</f>
        <v>0</v>
      </c>
      <c r="M98" s="20">
        <f>L98*I98/100</f>
        <v>0</v>
      </c>
      <c r="N98" s="57">
        <v>7.3</v>
      </c>
      <c r="O98" s="25">
        <v>329</v>
      </c>
      <c r="P98" s="17">
        <f>O98-G98</f>
        <v>309</v>
      </c>
      <c r="Q98" s="17">
        <f>IF(P98&lt;0,0,O98-G98)</f>
        <v>309</v>
      </c>
      <c r="R98" s="20">
        <f>Q98*I98/100</f>
        <v>20.085000000000001</v>
      </c>
      <c r="S98" s="57">
        <v>7.2</v>
      </c>
      <c r="T98" s="25">
        <v>204</v>
      </c>
      <c r="U98" s="17">
        <f>T98-G98</f>
        <v>184</v>
      </c>
      <c r="V98" s="17">
        <f>IF(U98&lt;0,0,T98-G98)</f>
        <v>184</v>
      </c>
      <c r="W98" s="20">
        <f>V98*I98/100</f>
        <v>11.96</v>
      </c>
      <c r="X98" s="57">
        <v>7.2</v>
      </c>
      <c r="Y98" s="25">
        <v>24</v>
      </c>
      <c r="Z98" s="17">
        <f>Y98-G98</f>
        <v>4</v>
      </c>
      <c r="AA98" s="17">
        <f>IF(Z98&lt;0,0,Y98-G98)</f>
        <v>4</v>
      </c>
      <c r="AB98" s="20">
        <f>AA98*I98/100</f>
        <v>0.26</v>
      </c>
      <c r="AC98" s="57">
        <v>7.2</v>
      </c>
      <c r="AD98" s="25">
        <v>128</v>
      </c>
      <c r="AE98" s="17">
        <f>AD98-G98</f>
        <v>108</v>
      </c>
      <c r="AF98" s="17">
        <f>IF(AE98&lt;0,0,AD98-G98)</f>
        <v>108</v>
      </c>
      <c r="AG98" s="20">
        <f>AF98*I98/100</f>
        <v>7.02</v>
      </c>
      <c r="AH98" s="49">
        <v>7.2</v>
      </c>
      <c r="AI98" s="42">
        <f>AF98+AA98+V98+Q98+L98</f>
        <v>605</v>
      </c>
      <c r="AJ98" s="35">
        <f>AG98*AH98+AB98*AC98+W98*X98+R98*S98+M98*N98</f>
        <v>283.14000000000004</v>
      </c>
    </row>
    <row r="99" spans="1:36" x14ac:dyDescent="0.25">
      <c r="A99" s="25" t="s">
        <v>207</v>
      </c>
      <c r="B99" s="17" t="s">
        <v>17</v>
      </c>
      <c r="C99" s="17" t="s">
        <v>36</v>
      </c>
      <c r="D99" s="17" t="s">
        <v>208</v>
      </c>
      <c r="E99" s="18" t="s">
        <v>209</v>
      </c>
      <c r="F99" s="17" t="s">
        <v>14</v>
      </c>
      <c r="G99" s="17">
        <v>20</v>
      </c>
      <c r="H99" s="17" t="s">
        <v>38</v>
      </c>
      <c r="I99" s="39">
        <v>6.5</v>
      </c>
      <c r="J99" s="25">
        <v>44</v>
      </c>
      <c r="K99" s="17">
        <f>J99-G99</f>
        <v>24</v>
      </c>
      <c r="L99" s="17">
        <f>IF(K99&lt;0,0,J99-G99)</f>
        <v>24</v>
      </c>
      <c r="M99" s="20">
        <f>L99*I99/100</f>
        <v>1.56</v>
      </c>
      <c r="N99" s="57">
        <v>7.3</v>
      </c>
      <c r="O99" s="25">
        <v>0</v>
      </c>
      <c r="P99" s="17">
        <f>O99-G99</f>
        <v>-20</v>
      </c>
      <c r="Q99" s="17">
        <f>IF(P99&lt;0,0,O99-G99)</f>
        <v>0</v>
      </c>
      <c r="R99" s="20">
        <f>Q99*I99/100</f>
        <v>0</v>
      </c>
      <c r="S99" s="57">
        <v>7.2</v>
      </c>
      <c r="T99" s="25">
        <v>19</v>
      </c>
      <c r="U99" s="17">
        <f>T99-G99</f>
        <v>-1</v>
      </c>
      <c r="V99" s="17">
        <f>IF(U99&lt;0,0,T99-G99)</f>
        <v>0</v>
      </c>
      <c r="W99" s="20">
        <f>V99*I99/100</f>
        <v>0</v>
      </c>
      <c r="X99" s="57">
        <v>7.2</v>
      </c>
      <c r="Y99" s="25">
        <v>0</v>
      </c>
      <c r="Z99" s="17">
        <f>Y99-G99</f>
        <v>-20</v>
      </c>
      <c r="AA99" s="17">
        <f>IF(Z99&lt;0,0,Y99-G99)</f>
        <v>0</v>
      </c>
      <c r="AB99" s="20">
        <f>AA99*I99/100</f>
        <v>0</v>
      </c>
      <c r="AC99" s="57">
        <v>7.2</v>
      </c>
      <c r="AD99" s="25">
        <v>58</v>
      </c>
      <c r="AE99" s="17">
        <f>AD99-G99</f>
        <v>38</v>
      </c>
      <c r="AF99" s="17">
        <f>IF(AE99&lt;0,0,AD99-G99)</f>
        <v>38</v>
      </c>
      <c r="AG99" s="20">
        <f>AF99*I99/100</f>
        <v>2.4700000000000002</v>
      </c>
      <c r="AH99" s="49">
        <v>7.2</v>
      </c>
      <c r="AI99" s="42">
        <f>AF99+AA99+V99+Q99+L99</f>
        <v>62</v>
      </c>
      <c r="AJ99" s="35">
        <f>AG99*AH99+AB99*AC99+W99*X99+R99*S99+M99*N99</f>
        <v>29.172000000000004</v>
      </c>
    </row>
    <row r="100" spans="1:36" x14ac:dyDescent="0.25">
      <c r="A100" s="25" t="s">
        <v>210</v>
      </c>
      <c r="B100" s="17" t="s">
        <v>10</v>
      </c>
      <c r="C100" s="17" t="s">
        <v>11</v>
      </c>
      <c r="D100" s="17" t="s">
        <v>208</v>
      </c>
      <c r="E100" s="17" t="s">
        <v>211</v>
      </c>
      <c r="F100" s="17" t="s">
        <v>14</v>
      </c>
      <c r="G100" s="17">
        <v>50</v>
      </c>
      <c r="H100" s="17" t="s">
        <v>15</v>
      </c>
      <c r="I100" s="39">
        <v>6.5</v>
      </c>
      <c r="J100" s="25">
        <v>41</v>
      </c>
      <c r="K100" s="17">
        <f>J100-G100</f>
        <v>-9</v>
      </c>
      <c r="L100" s="17">
        <f>IF(K100&lt;0,0,J100-G100)</f>
        <v>0</v>
      </c>
      <c r="M100" s="20">
        <f>L100*I100/100</f>
        <v>0</v>
      </c>
      <c r="N100" s="57">
        <v>8.4</v>
      </c>
      <c r="O100" s="25">
        <v>39</v>
      </c>
      <c r="P100" s="17">
        <f>O100-G100</f>
        <v>-11</v>
      </c>
      <c r="Q100" s="17">
        <f>IF(P100&lt;0,0,O100-G100)</f>
        <v>0</v>
      </c>
      <c r="R100" s="20">
        <f>Q100*I100/100</f>
        <v>0</v>
      </c>
      <c r="S100" s="57">
        <v>8.4</v>
      </c>
      <c r="T100" s="25">
        <v>112</v>
      </c>
      <c r="U100" s="17">
        <f>T100-G100</f>
        <v>62</v>
      </c>
      <c r="V100" s="17">
        <f>IF(U100&lt;0,0,T100-G100)</f>
        <v>62</v>
      </c>
      <c r="W100" s="20">
        <f>V100*I100/100</f>
        <v>4.03</v>
      </c>
      <c r="X100" s="57">
        <v>8.4</v>
      </c>
      <c r="Y100" s="25">
        <v>39</v>
      </c>
      <c r="Z100" s="17">
        <f>Y100-G100</f>
        <v>-11</v>
      </c>
      <c r="AA100" s="17">
        <f>IF(Z100&lt;0,0,Y100-G100)</f>
        <v>0</v>
      </c>
      <c r="AB100" s="20">
        <f>AA100*I100/100</f>
        <v>0</v>
      </c>
      <c r="AC100" s="57">
        <v>8.4</v>
      </c>
      <c r="AD100" s="25">
        <v>73</v>
      </c>
      <c r="AE100" s="17">
        <f>AD100-G100</f>
        <v>23</v>
      </c>
      <c r="AF100" s="17">
        <f>IF(AE100&lt;0,0,AD100-G100)</f>
        <v>23</v>
      </c>
      <c r="AG100" s="20">
        <f>AF100*I100/100</f>
        <v>1.4950000000000001</v>
      </c>
      <c r="AH100" s="49">
        <v>8.4</v>
      </c>
      <c r="AI100" s="42">
        <f>AF100+AA100+V100+Q100+L100</f>
        <v>85</v>
      </c>
      <c r="AJ100" s="35">
        <f>AG100*AH100+AB100*AC100+W100*X100+R100*S100+M100*N100</f>
        <v>46.410000000000004</v>
      </c>
    </row>
    <row r="101" spans="1:36" x14ac:dyDescent="0.25">
      <c r="A101" s="25" t="s">
        <v>212</v>
      </c>
      <c r="B101" s="17" t="s">
        <v>10</v>
      </c>
      <c r="C101" s="17" t="s">
        <v>11</v>
      </c>
      <c r="D101" s="17" t="s">
        <v>208</v>
      </c>
      <c r="E101" s="18" t="s">
        <v>213</v>
      </c>
      <c r="F101" s="17" t="s">
        <v>14</v>
      </c>
      <c r="G101" s="17">
        <v>50</v>
      </c>
      <c r="H101" s="17" t="s">
        <v>15</v>
      </c>
      <c r="I101" s="39">
        <v>6.5</v>
      </c>
      <c r="J101" s="25">
        <v>5</v>
      </c>
      <c r="K101" s="17">
        <f>J101-G101</f>
        <v>-45</v>
      </c>
      <c r="L101" s="17">
        <f>IF(K101&lt;0,0,J101-G101)</f>
        <v>0</v>
      </c>
      <c r="M101" s="20">
        <f>L101*I101/100</f>
        <v>0</v>
      </c>
      <c r="N101" s="57">
        <v>8.4</v>
      </c>
      <c r="O101" s="53">
        <v>852</v>
      </c>
      <c r="P101" s="23">
        <f>O101-G101</f>
        <v>802</v>
      </c>
      <c r="Q101" s="23">
        <f>IF(P101&lt;0,0,O101-G101)</f>
        <v>802</v>
      </c>
      <c r="R101" s="24">
        <f>Q101*I101/100</f>
        <v>52.13</v>
      </c>
      <c r="S101" s="62">
        <v>8.4</v>
      </c>
      <c r="T101" s="25">
        <v>73</v>
      </c>
      <c r="U101" s="17">
        <f>T101-G101</f>
        <v>23</v>
      </c>
      <c r="V101" s="17">
        <f>IF(U101&lt;0,0,T101-G101)</f>
        <v>23</v>
      </c>
      <c r="W101" s="20">
        <f>V101*I101/100</f>
        <v>1.4950000000000001</v>
      </c>
      <c r="X101" s="57">
        <v>8.4</v>
      </c>
      <c r="Y101" s="25">
        <v>18</v>
      </c>
      <c r="Z101" s="17">
        <f>Y101-G101</f>
        <v>-32</v>
      </c>
      <c r="AA101" s="17">
        <f>IF(Z101&lt;0,0,Y101-G101)</f>
        <v>0</v>
      </c>
      <c r="AB101" s="20">
        <f>AA101*I101/100</f>
        <v>0</v>
      </c>
      <c r="AC101" s="57">
        <v>8.4</v>
      </c>
      <c r="AD101" s="25">
        <v>3</v>
      </c>
      <c r="AE101" s="17">
        <f>AD101-G101</f>
        <v>-47</v>
      </c>
      <c r="AF101" s="17">
        <f>IF(AE101&lt;0,0,AD101-G101)</f>
        <v>0</v>
      </c>
      <c r="AG101" s="20">
        <f>AF101*I101/100</f>
        <v>0</v>
      </c>
      <c r="AH101" s="49">
        <v>8.4</v>
      </c>
      <c r="AI101" s="42">
        <f>AF101+AA101+V101+Q101+L101</f>
        <v>825</v>
      </c>
      <c r="AJ101" s="35">
        <f>AG101*AH101+AB101*AC101+W101*X101+R101*S101+M101*N101</f>
        <v>450.45000000000005</v>
      </c>
    </row>
    <row r="102" spans="1:36" x14ac:dyDescent="0.25">
      <c r="A102" s="25" t="s">
        <v>214</v>
      </c>
      <c r="B102" s="17" t="s">
        <v>17</v>
      </c>
      <c r="C102" s="17" t="s">
        <v>18</v>
      </c>
      <c r="D102" s="17" t="s">
        <v>208</v>
      </c>
      <c r="E102" s="18" t="s">
        <v>215</v>
      </c>
      <c r="F102" s="17" t="s">
        <v>14</v>
      </c>
      <c r="G102" s="17">
        <v>50</v>
      </c>
      <c r="H102" s="17" t="s">
        <v>15</v>
      </c>
      <c r="I102" s="39">
        <v>6.5</v>
      </c>
      <c r="J102" s="25">
        <v>349</v>
      </c>
      <c r="K102" s="17">
        <f>J102-G102</f>
        <v>299</v>
      </c>
      <c r="L102" s="17">
        <f>IF(K102&lt;0,0,J102-G102)</f>
        <v>299</v>
      </c>
      <c r="M102" s="20">
        <f>L102*I102/100</f>
        <v>19.434999999999999</v>
      </c>
      <c r="N102" s="57">
        <v>8.4</v>
      </c>
      <c r="O102" s="25">
        <v>0</v>
      </c>
      <c r="P102" s="17">
        <f>O102-G102</f>
        <v>-50</v>
      </c>
      <c r="Q102" s="17">
        <f>IF(P102&lt;0,0,O102-G102)</f>
        <v>0</v>
      </c>
      <c r="R102" s="20">
        <f>Q102*I102/100</f>
        <v>0</v>
      </c>
      <c r="S102" s="57">
        <v>8.4</v>
      </c>
      <c r="T102" s="25">
        <v>0</v>
      </c>
      <c r="U102" s="17">
        <f>T102-G102</f>
        <v>-50</v>
      </c>
      <c r="V102" s="17">
        <f>IF(U102&lt;0,0,T102-G102)</f>
        <v>0</v>
      </c>
      <c r="W102" s="20">
        <f>V102*I102/100</f>
        <v>0</v>
      </c>
      <c r="X102" s="57">
        <v>8.4</v>
      </c>
      <c r="Y102" s="25">
        <v>194</v>
      </c>
      <c r="Z102" s="17">
        <f>Y102-G102</f>
        <v>144</v>
      </c>
      <c r="AA102" s="17">
        <f>IF(Z102&lt;0,0,Y102-G102)</f>
        <v>144</v>
      </c>
      <c r="AB102" s="20">
        <f>AA102*I102/100</f>
        <v>9.36</v>
      </c>
      <c r="AC102" s="57">
        <v>8.4</v>
      </c>
      <c r="AD102" s="25">
        <v>157</v>
      </c>
      <c r="AE102" s="17">
        <f>AD102-G102</f>
        <v>107</v>
      </c>
      <c r="AF102" s="17">
        <f>IF(AE102&lt;0,0,AD102-G102)</f>
        <v>107</v>
      </c>
      <c r="AG102" s="20">
        <f>AF102*I102/100</f>
        <v>6.9550000000000001</v>
      </c>
      <c r="AH102" s="49">
        <v>8.4</v>
      </c>
      <c r="AI102" s="42">
        <f>AF102+AA102+V102+Q102+L102</f>
        <v>550</v>
      </c>
      <c r="AJ102" s="35">
        <f>AG102*AH102+AB102*AC102+W102*X102+R102*S102+M102*N102</f>
        <v>300.29999999999995</v>
      </c>
    </row>
    <row r="103" spans="1:36" x14ac:dyDescent="0.25">
      <c r="A103" s="25" t="s">
        <v>216</v>
      </c>
      <c r="B103" s="17" t="s">
        <v>17</v>
      </c>
      <c r="C103" s="17" t="s">
        <v>99</v>
      </c>
      <c r="D103" s="17" t="s">
        <v>208</v>
      </c>
      <c r="E103" s="17" t="s">
        <v>217</v>
      </c>
      <c r="F103" s="17" t="s">
        <v>14</v>
      </c>
      <c r="G103" s="17">
        <v>20</v>
      </c>
      <c r="H103" s="17" t="s">
        <v>38</v>
      </c>
      <c r="I103" s="39">
        <v>6.5</v>
      </c>
      <c r="J103" s="25">
        <v>3</v>
      </c>
      <c r="K103" s="17">
        <f>J103-G103</f>
        <v>-17</v>
      </c>
      <c r="L103" s="17">
        <f>IF(K103&lt;0,0,J103-G103)</f>
        <v>0</v>
      </c>
      <c r="M103" s="20">
        <f>L103*I103/100</f>
        <v>0</v>
      </c>
      <c r="N103" s="57">
        <v>7.3</v>
      </c>
      <c r="O103" s="25">
        <v>0</v>
      </c>
      <c r="P103" s="17">
        <f>O103-G103</f>
        <v>-20</v>
      </c>
      <c r="Q103" s="17">
        <f>IF(P103&lt;0,0,O103-G103)</f>
        <v>0</v>
      </c>
      <c r="R103" s="20">
        <f>Q103*I103/100</f>
        <v>0</v>
      </c>
      <c r="S103" s="57">
        <v>7.2</v>
      </c>
      <c r="T103" s="25">
        <v>0</v>
      </c>
      <c r="U103" s="17">
        <f>T103-G103</f>
        <v>-20</v>
      </c>
      <c r="V103" s="17">
        <f>IF(U103&lt;0,0,T103-G103)</f>
        <v>0</v>
      </c>
      <c r="W103" s="20">
        <f>V103*I103/100</f>
        <v>0</v>
      </c>
      <c r="X103" s="57">
        <v>7.2</v>
      </c>
      <c r="Y103" s="25">
        <v>0</v>
      </c>
      <c r="Z103" s="17">
        <f>Y103-G103</f>
        <v>-20</v>
      </c>
      <c r="AA103" s="17">
        <f>IF(Z103&lt;0,0,Y103-G103)</f>
        <v>0</v>
      </c>
      <c r="AB103" s="20">
        <f>AA103*I103/100</f>
        <v>0</v>
      </c>
      <c r="AC103" s="57">
        <v>7.2</v>
      </c>
      <c r="AD103" s="25">
        <v>6</v>
      </c>
      <c r="AE103" s="17">
        <f>AD103-G103</f>
        <v>-14</v>
      </c>
      <c r="AF103" s="17">
        <f>IF(AE103&lt;0,0,AD103-G103)</f>
        <v>0</v>
      </c>
      <c r="AG103" s="20">
        <f>AF103*I103/100</f>
        <v>0</v>
      </c>
      <c r="AH103" s="49">
        <v>7.2</v>
      </c>
      <c r="AI103" s="42">
        <f>AF103+AA103+V103+Q103+L103</f>
        <v>0</v>
      </c>
      <c r="AJ103" s="35">
        <f>AG103*AH103+AB103*AC103+W103*X103+R103*S103+M103*N103</f>
        <v>0</v>
      </c>
    </row>
    <row r="104" spans="1:36" x14ac:dyDescent="0.25">
      <c r="A104" s="25" t="s">
        <v>218</v>
      </c>
      <c r="B104" s="17" t="s">
        <v>10</v>
      </c>
      <c r="C104" s="17" t="s">
        <v>22</v>
      </c>
      <c r="D104" s="17" t="s">
        <v>208</v>
      </c>
      <c r="E104" s="18" t="s">
        <v>219</v>
      </c>
      <c r="F104" s="17" t="s">
        <v>14</v>
      </c>
      <c r="G104" s="17">
        <v>20</v>
      </c>
      <c r="H104" s="17" t="s">
        <v>15</v>
      </c>
      <c r="I104" s="39">
        <v>11</v>
      </c>
      <c r="J104" s="45"/>
      <c r="K104" s="18"/>
      <c r="L104" s="18"/>
      <c r="M104" s="19"/>
      <c r="N104" s="58"/>
      <c r="O104" s="45"/>
      <c r="P104" s="18"/>
      <c r="Q104" s="18"/>
      <c r="R104" s="19"/>
      <c r="S104" s="58"/>
      <c r="T104" s="25">
        <v>1</v>
      </c>
      <c r="U104" s="17">
        <f>T104-G104</f>
        <v>-19</v>
      </c>
      <c r="V104" s="17">
        <f>IF(U104&lt;0,0,T104-G104)</f>
        <v>0</v>
      </c>
      <c r="W104" s="20">
        <f>V104*I104/100</f>
        <v>0</v>
      </c>
      <c r="X104" s="57">
        <v>8.4</v>
      </c>
      <c r="Y104" s="25">
        <v>0</v>
      </c>
      <c r="Z104" s="17">
        <f>Y104-G104</f>
        <v>-20</v>
      </c>
      <c r="AA104" s="17">
        <f>IF(Z104&lt;0,0,Y104-G104)</f>
        <v>0</v>
      </c>
      <c r="AB104" s="20">
        <f>AA104*I104/100</f>
        <v>0</v>
      </c>
      <c r="AC104" s="57">
        <v>8.4</v>
      </c>
      <c r="AD104" s="45"/>
      <c r="AE104" s="18"/>
      <c r="AF104" s="18"/>
      <c r="AG104" s="19"/>
      <c r="AH104" s="50"/>
      <c r="AI104" s="42">
        <f>AF104+AA104+V104+Q104+L104</f>
        <v>0</v>
      </c>
      <c r="AJ104" s="35">
        <f>AG104*AH104+AB104*AC104+W104*X104+R104*S104+M104*N104</f>
        <v>0</v>
      </c>
    </row>
    <row r="105" spans="1:36" x14ac:dyDescent="0.25">
      <c r="A105" s="25" t="s">
        <v>218</v>
      </c>
      <c r="B105" s="17" t="s">
        <v>10</v>
      </c>
      <c r="C105" s="17" t="s">
        <v>22</v>
      </c>
      <c r="D105" s="17" t="s">
        <v>208</v>
      </c>
      <c r="E105" s="18" t="s">
        <v>58</v>
      </c>
      <c r="F105" s="17" t="s">
        <v>14</v>
      </c>
      <c r="G105" s="17">
        <v>20</v>
      </c>
      <c r="H105" s="17" t="s">
        <v>15</v>
      </c>
      <c r="I105" s="39">
        <v>11</v>
      </c>
      <c r="J105" s="45"/>
      <c r="K105" s="18"/>
      <c r="L105" s="18"/>
      <c r="M105" s="19"/>
      <c r="N105" s="58"/>
      <c r="O105" s="45"/>
      <c r="P105" s="18"/>
      <c r="Q105" s="18"/>
      <c r="R105" s="19"/>
      <c r="S105" s="58"/>
      <c r="T105" s="45"/>
      <c r="U105" s="18"/>
      <c r="V105" s="18"/>
      <c r="W105" s="19"/>
      <c r="X105" s="58"/>
      <c r="Y105" s="45"/>
      <c r="Z105" s="18"/>
      <c r="AA105" s="18"/>
      <c r="AB105" s="19"/>
      <c r="AC105" s="58"/>
      <c r="AD105" s="25">
        <v>0</v>
      </c>
      <c r="AE105" s="17">
        <f>AD105-G105</f>
        <v>-20</v>
      </c>
      <c r="AF105" s="17">
        <f>IF(AE105&lt;0,0,AD105-G105)</f>
        <v>0</v>
      </c>
      <c r="AG105" s="20">
        <f>AF105*I105/100</f>
        <v>0</v>
      </c>
      <c r="AH105" s="49">
        <v>8.4</v>
      </c>
      <c r="AI105" s="42">
        <f>AF105+AA105+V105+Q105+L105</f>
        <v>0</v>
      </c>
      <c r="AJ105" s="35">
        <f>AG105*AH105+AB105*AC105+W105*X105+R105*S105+M105*N105</f>
        <v>0</v>
      </c>
    </row>
    <row r="106" spans="1:36" x14ac:dyDescent="0.25">
      <c r="A106" s="25" t="s">
        <v>220</v>
      </c>
      <c r="B106" s="17" t="s">
        <v>10</v>
      </c>
      <c r="C106" s="17" t="s">
        <v>11</v>
      </c>
      <c r="D106" s="17" t="s">
        <v>208</v>
      </c>
      <c r="E106" s="17" t="s">
        <v>221</v>
      </c>
      <c r="F106" s="17" t="s">
        <v>14</v>
      </c>
      <c r="G106" s="17">
        <v>20</v>
      </c>
      <c r="H106" s="17" t="s">
        <v>15</v>
      </c>
      <c r="I106" s="39">
        <v>6.5</v>
      </c>
      <c r="J106" s="25">
        <v>44</v>
      </c>
      <c r="K106" s="17">
        <f>J106-G106</f>
        <v>24</v>
      </c>
      <c r="L106" s="17">
        <f>IF(K106&lt;0,0,J106-G106)</f>
        <v>24</v>
      </c>
      <c r="M106" s="20">
        <f>L106*I106/100</f>
        <v>1.56</v>
      </c>
      <c r="N106" s="57">
        <v>8.4</v>
      </c>
      <c r="O106" s="25">
        <v>53</v>
      </c>
      <c r="P106" s="17">
        <f>O106-G106</f>
        <v>33</v>
      </c>
      <c r="Q106" s="17">
        <f>IF(P106&lt;0,0,O106-G106)</f>
        <v>33</v>
      </c>
      <c r="R106" s="20">
        <f>Q106*I106/100</f>
        <v>2.145</v>
      </c>
      <c r="S106" s="57">
        <v>8.4</v>
      </c>
      <c r="T106" s="25">
        <v>28</v>
      </c>
      <c r="U106" s="17">
        <f>T106-G106</f>
        <v>8</v>
      </c>
      <c r="V106" s="17">
        <f>IF(U106&lt;0,0,T106-G106)</f>
        <v>8</v>
      </c>
      <c r="W106" s="20">
        <f>V106*I106/100</f>
        <v>0.52</v>
      </c>
      <c r="X106" s="57">
        <v>8.4</v>
      </c>
      <c r="Y106" s="25">
        <v>46</v>
      </c>
      <c r="Z106" s="17">
        <f>Y106-G106</f>
        <v>26</v>
      </c>
      <c r="AA106" s="17">
        <f>IF(Z106&lt;0,0,Y106-G106)</f>
        <v>26</v>
      </c>
      <c r="AB106" s="20">
        <f>AA106*I106/100</f>
        <v>1.69</v>
      </c>
      <c r="AC106" s="57">
        <v>8.4</v>
      </c>
      <c r="AD106" s="25">
        <v>109</v>
      </c>
      <c r="AE106" s="17">
        <f>AD106-G106</f>
        <v>89</v>
      </c>
      <c r="AF106" s="17">
        <f>IF(AE106&lt;0,0,AD106-G106)</f>
        <v>89</v>
      </c>
      <c r="AG106" s="20">
        <f>AF106*I106/100</f>
        <v>5.7850000000000001</v>
      </c>
      <c r="AH106" s="49">
        <v>8.4</v>
      </c>
      <c r="AI106" s="42">
        <f>AF106+AA106+V106+Q106+L106</f>
        <v>180</v>
      </c>
      <c r="AJ106" s="35">
        <f>AG106*AH106+AB106*AC106+W106*X106+R106*S106+M106*N106</f>
        <v>98.28</v>
      </c>
    </row>
    <row r="107" spans="1:36" x14ac:dyDescent="0.25">
      <c r="A107" s="25" t="s">
        <v>222</v>
      </c>
      <c r="B107" s="17" t="s">
        <v>10</v>
      </c>
      <c r="C107" s="17" t="s">
        <v>105</v>
      </c>
      <c r="D107" s="17" t="s">
        <v>208</v>
      </c>
      <c r="E107" s="17" t="s">
        <v>223</v>
      </c>
      <c r="F107" s="17" t="s">
        <v>14</v>
      </c>
      <c r="G107" s="17">
        <v>20</v>
      </c>
      <c r="H107" s="17" t="s">
        <v>15</v>
      </c>
      <c r="I107" s="39">
        <v>6.5</v>
      </c>
      <c r="J107" s="25">
        <v>0</v>
      </c>
      <c r="K107" s="17">
        <f>J107-G107</f>
        <v>-20</v>
      </c>
      <c r="L107" s="17">
        <f>IF(K107&lt;0,0,J107-G107)</f>
        <v>0</v>
      </c>
      <c r="M107" s="20">
        <f>L107*I107/100</f>
        <v>0</v>
      </c>
      <c r="N107" s="57">
        <v>8.4</v>
      </c>
      <c r="O107" s="25">
        <v>15</v>
      </c>
      <c r="P107" s="17">
        <f>O107-G107</f>
        <v>-5</v>
      </c>
      <c r="Q107" s="17">
        <f>IF(P107&lt;0,0,O107-G107)</f>
        <v>0</v>
      </c>
      <c r="R107" s="20">
        <f>Q107*I107/100</f>
        <v>0</v>
      </c>
      <c r="S107" s="57">
        <v>8.4</v>
      </c>
      <c r="T107" s="25">
        <v>0</v>
      </c>
      <c r="U107" s="17">
        <f>T107-G107</f>
        <v>-20</v>
      </c>
      <c r="V107" s="17">
        <f>IF(U107&lt;0,0,T107-G107)</f>
        <v>0</v>
      </c>
      <c r="W107" s="20">
        <f>V107*I107/100</f>
        <v>0</v>
      </c>
      <c r="X107" s="57">
        <v>8.4</v>
      </c>
      <c r="Y107" s="25">
        <v>120</v>
      </c>
      <c r="Z107" s="17">
        <f>Y107-G107</f>
        <v>100</v>
      </c>
      <c r="AA107" s="17">
        <f>IF(Z107&lt;0,0,Y107-G107)</f>
        <v>100</v>
      </c>
      <c r="AB107" s="20">
        <f>AA107*I107/100</f>
        <v>6.5</v>
      </c>
      <c r="AC107" s="57">
        <v>8.4</v>
      </c>
      <c r="AD107" s="25">
        <v>0</v>
      </c>
      <c r="AE107" s="17">
        <f>AD107-G107</f>
        <v>-20</v>
      </c>
      <c r="AF107" s="17">
        <f>IF(AE107&lt;0,0,AD107-G107)</f>
        <v>0</v>
      </c>
      <c r="AG107" s="20">
        <f>AF107*I107/100</f>
        <v>0</v>
      </c>
      <c r="AH107" s="49">
        <v>8.4</v>
      </c>
      <c r="AI107" s="42">
        <f>AF107+AA107+V107+Q107+L107</f>
        <v>100</v>
      </c>
      <c r="AJ107" s="35">
        <f>AG107*AH107+AB107*AC107+W107*X107+R107*S107+M107*N107</f>
        <v>54.6</v>
      </c>
    </row>
    <row r="108" spans="1:36" x14ac:dyDescent="0.25">
      <c r="A108" s="25" t="s">
        <v>224</v>
      </c>
      <c r="B108" s="17" t="s">
        <v>32</v>
      </c>
      <c r="C108" s="17" t="s">
        <v>52</v>
      </c>
      <c r="D108" s="17" t="s">
        <v>225</v>
      </c>
      <c r="E108" s="18" t="s">
        <v>79</v>
      </c>
      <c r="F108" s="17" t="s">
        <v>14</v>
      </c>
      <c r="G108" s="17">
        <v>20</v>
      </c>
      <c r="H108" s="17" t="s">
        <v>15</v>
      </c>
      <c r="I108" s="39">
        <v>11</v>
      </c>
      <c r="J108" s="45"/>
      <c r="K108" s="18"/>
      <c r="L108" s="18"/>
      <c r="M108" s="19"/>
      <c r="N108" s="58"/>
      <c r="O108" s="45"/>
      <c r="P108" s="18"/>
      <c r="Q108" s="18"/>
      <c r="R108" s="19"/>
      <c r="S108" s="58"/>
      <c r="T108" s="25">
        <v>0</v>
      </c>
      <c r="U108" s="17">
        <f>T108-G108</f>
        <v>-20</v>
      </c>
      <c r="V108" s="17">
        <f>IF(U108&lt;0,0,T108-G108)</f>
        <v>0</v>
      </c>
      <c r="W108" s="20">
        <f>V108*I108/100</f>
        <v>0</v>
      </c>
      <c r="X108" s="57">
        <v>8.4</v>
      </c>
      <c r="Y108" s="25">
        <v>0</v>
      </c>
      <c r="Z108" s="17">
        <f>Y108-G108</f>
        <v>-20</v>
      </c>
      <c r="AA108" s="17">
        <f>IF(Z108&lt;0,0,Y108-G108)</f>
        <v>0</v>
      </c>
      <c r="AB108" s="20">
        <f>AA108*I108/100</f>
        <v>0</v>
      </c>
      <c r="AC108" s="57">
        <v>8.4</v>
      </c>
      <c r="AD108" s="25">
        <v>0</v>
      </c>
      <c r="AE108" s="17">
        <f>AD108-G108</f>
        <v>-20</v>
      </c>
      <c r="AF108" s="17">
        <f>IF(AE108&lt;0,0,AD108-G108)</f>
        <v>0</v>
      </c>
      <c r="AG108" s="20">
        <f>AF108*I108/100</f>
        <v>0</v>
      </c>
      <c r="AH108" s="49">
        <v>8.4</v>
      </c>
      <c r="AI108" s="42">
        <f>AF108+AA108+V108+Q108+L108</f>
        <v>0</v>
      </c>
      <c r="AJ108" s="35">
        <f>AG108*AH108+AB108*AC108+W108*X108+R108*S108+M108*N108</f>
        <v>0</v>
      </c>
    </row>
    <row r="109" spans="1:36" x14ac:dyDescent="0.25">
      <c r="A109" s="25" t="s">
        <v>226</v>
      </c>
      <c r="B109" s="17" t="s">
        <v>17</v>
      </c>
      <c r="C109" s="17" t="s">
        <v>18</v>
      </c>
      <c r="D109" s="17" t="s">
        <v>225</v>
      </c>
      <c r="E109" s="17" t="s">
        <v>227</v>
      </c>
      <c r="F109" s="17" t="s">
        <v>14</v>
      </c>
      <c r="G109" s="17">
        <v>40</v>
      </c>
      <c r="H109" s="17" t="s">
        <v>15</v>
      </c>
      <c r="I109" s="39">
        <v>6.5</v>
      </c>
      <c r="J109" s="25">
        <v>439</v>
      </c>
      <c r="K109" s="17">
        <f>J109-G109</f>
        <v>399</v>
      </c>
      <c r="L109" s="17">
        <f>IF(K109&lt;0,0,J109-G109)</f>
        <v>399</v>
      </c>
      <c r="M109" s="20">
        <f>L109*I109/100</f>
        <v>25.934999999999999</v>
      </c>
      <c r="N109" s="57">
        <v>8.4</v>
      </c>
      <c r="O109" s="25">
        <v>61</v>
      </c>
      <c r="P109" s="17">
        <f>O109-G109</f>
        <v>21</v>
      </c>
      <c r="Q109" s="17">
        <f>IF(P109&lt;0,0,O109-G109)</f>
        <v>21</v>
      </c>
      <c r="R109" s="20">
        <f>Q109*I109/100</f>
        <v>1.365</v>
      </c>
      <c r="S109" s="57">
        <v>8.4</v>
      </c>
      <c r="T109" s="25">
        <v>7</v>
      </c>
      <c r="U109" s="17">
        <f>T109-G109</f>
        <v>-33</v>
      </c>
      <c r="V109" s="17">
        <f>IF(U109&lt;0,0,T109-G109)</f>
        <v>0</v>
      </c>
      <c r="W109" s="20">
        <f>V109*I109/100</f>
        <v>0</v>
      </c>
      <c r="X109" s="57">
        <v>8.4</v>
      </c>
      <c r="Y109" s="25">
        <v>65</v>
      </c>
      <c r="Z109" s="17">
        <f>Y109-G109</f>
        <v>25</v>
      </c>
      <c r="AA109" s="17">
        <f>IF(Z109&lt;0,0,Y109-G109)</f>
        <v>25</v>
      </c>
      <c r="AB109" s="20">
        <f>AA109*I109/100</f>
        <v>1.625</v>
      </c>
      <c r="AC109" s="57">
        <v>8.4</v>
      </c>
      <c r="AD109" s="25">
        <v>76</v>
      </c>
      <c r="AE109" s="17">
        <f>AD109-G109</f>
        <v>36</v>
      </c>
      <c r="AF109" s="17">
        <f>IF(AE109&lt;0,0,AD109-G109)</f>
        <v>36</v>
      </c>
      <c r="AG109" s="20">
        <f>AF109*I109/100</f>
        <v>2.34</v>
      </c>
      <c r="AH109" s="49">
        <v>8.4</v>
      </c>
      <c r="AI109" s="42">
        <f>AF109+AA109+V109+Q109+L109</f>
        <v>481</v>
      </c>
      <c r="AJ109" s="35">
        <f>AG109*AH109+AB109*AC109+W109*X109+R109*S109+M109*N109</f>
        <v>262.62599999999998</v>
      </c>
    </row>
    <row r="110" spans="1:36" x14ac:dyDescent="0.25">
      <c r="A110" s="25" t="s">
        <v>228</v>
      </c>
      <c r="B110" s="17" t="s">
        <v>10</v>
      </c>
      <c r="C110" s="17" t="s">
        <v>11</v>
      </c>
      <c r="D110" s="17" t="s">
        <v>225</v>
      </c>
      <c r="E110" s="17" t="s">
        <v>227</v>
      </c>
      <c r="F110" s="17" t="s">
        <v>14</v>
      </c>
      <c r="G110" s="17">
        <v>40</v>
      </c>
      <c r="H110" s="17" t="s">
        <v>15</v>
      </c>
      <c r="I110" s="39">
        <v>6.5</v>
      </c>
      <c r="J110" s="25">
        <v>0</v>
      </c>
      <c r="K110" s="17">
        <f>J110-G110</f>
        <v>-40</v>
      </c>
      <c r="L110" s="17">
        <f>IF(K110&lt;0,0,J110-G110)</f>
        <v>0</v>
      </c>
      <c r="M110" s="20">
        <f>L110*I110/100</f>
        <v>0</v>
      </c>
      <c r="N110" s="57">
        <v>8.4</v>
      </c>
      <c r="O110" s="25">
        <v>0</v>
      </c>
      <c r="P110" s="17">
        <f>O110-G110</f>
        <v>-40</v>
      </c>
      <c r="Q110" s="17">
        <f>IF(P110&lt;0,0,O110-G110)</f>
        <v>0</v>
      </c>
      <c r="R110" s="20">
        <f>Q110*I110/100</f>
        <v>0</v>
      </c>
      <c r="S110" s="57">
        <v>8.4</v>
      </c>
      <c r="T110" s="25">
        <v>0</v>
      </c>
      <c r="U110" s="17">
        <f>T110-G110</f>
        <v>-40</v>
      </c>
      <c r="V110" s="17">
        <f>IF(U110&lt;0,0,T110-G110)</f>
        <v>0</v>
      </c>
      <c r="W110" s="20">
        <f>V110*I110/100</f>
        <v>0</v>
      </c>
      <c r="X110" s="57">
        <v>8.4</v>
      </c>
      <c r="Y110" s="25">
        <v>0</v>
      </c>
      <c r="Z110" s="17">
        <f>Y110-G110</f>
        <v>-40</v>
      </c>
      <c r="AA110" s="17">
        <f>IF(Z110&lt;0,0,Y110-G110)</f>
        <v>0</v>
      </c>
      <c r="AB110" s="20">
        <f>AA110*I110/100</f>
        <v>0</v>
      </c>
      <c r="AC110" s="57">
        <v>8.4</v>
      </c>
      <c r="AD110" s="25">
        <v>0</v>
      </c>
      <c r="AE110" s="17">
        <f>AD110-G110</f>
        <v>-40</v>
      </c>
      <c r="AF110" s="17">
        <f>IF(AE110&lt;0,0,AD110-G110)</f>
        <v>0</v>
      </c>
      <c r="AG110" s="20">
        <f>AF110*I110/100</f>
        <v>0</v>
      </c>
      <c r="AH110" s="49">
        <v>8.4</v>
      </c>
      <c r="AI110" s="42">
        <f>AF110+AA110+V110+Q110+L110</f>
        <v>0</v>
      </c>
      <c r="AJ110" s="35">
        <f>AG110*AH110+AB110*AC110+W110*X110+R110*S110+M110*N110</f>
        <v>0</v>
      </c>
    </row>
    <row r="111" spans="1:36" x14ac:dyDescent="0.25">
      <c r="A111" s="25" t="s">
        <v>228</v>
      </c>
      <c r="B111" s="17" t="s">
        <v>10</v>
      </c>
      <c r="C111" s="17" t="s">
        <v>11</v>
      </c>
      <c r="D111" s="17" t="s">
        <v>225</v>
      </c>
      <c r="E111" s="18" t="s">
        <v>79</v>
      </c>
      <c r="F111" s="17" t="s">
        <v>14</v>
      </c>
      <c r="G111" s="17">
        <v>20</v>
      </c>
      <c r="H111" s="17" t="s">
        <v>15</v>
      </c>
      <c r="I111" s="39">
        <v>6.5</v>
      </c>
      <c r="J111" s="25">
        <v>0</v>
      </c>
      <c r="K111" s="17">
        <f>J111-G111</f>
        <v>-20</v>
      </c>
      <c r="L111" s="17">
        <f>IF(K111&lt;0,0,J111-G111)</f>
        <v>0</v>
      </c>
      <c r="M111" s="20">
        <f>L111*I111/100</f>
        <v>0</v>
      </c>
      <c r="N111" s="57">
        <v>8.4</v>
      </c>
      <c r="O111" s="45"/>
      <c r="P111" s="18"/>
      <c r="Q111" s="18"/>
      <c r="R111" s="19"/>
      <c r="S111" s="58"/>
      <c r="T111" s="45"/>
      <c r="U111" s="18"/>
      <c r="V111" s="18"/>
      <c r="W111" s="19"/>
      <c r="X111" s="58"/>
      <c r="Y111" s="45"/>
      <c r="Z111" s="18"/>
      <c r="AA111" s="18"/>
      <c r="AB111" s="19"/>
      <c r="AC111" s="58"/>
      <c r="AD111" s="45"/>
      <c r="AE111" s="18"/>
      <c r="AF111" s="18"/>
      <c r="AG111" s="19"/>
      <c r="AH111" s="50"/>
      <c r="AI111" s="42">
        <f>AF111+AA111+V111+Q111+L111</f>
        <v>0</v>
      </c>
      <c r="AJ111" s="35">
        <f>AG111*AH111+AB111*AC111+W111*X111+R111*S111+M111*N111</f>
        <v>0</v>
      </c>
    </row>
    <row r="112" spans="1:36" x14ac:dyDescent="0.25">
      <c r="A112" s="25" t="s">
        <v>229</v>
      </c>
      <c r="B112" s="17" t="s">
        <v>10</v>
      </c>
      <c r="C112" s="17" t="s">
        <v>11</v>
      </c>
      <c r="D112" s="17" t="s">
        <v>230</v>
      </c>
      <c r="E112" s="18" t="s">
        <v>231</v>
      </c>
      <c r="F112" s="17" t="s">
        <v>14</v>
      </c>
      <c r="G112" s="17">
        <v>20</v>
      </c>
      <c r="H112" s="17" t="s">
        <v>15</v>
      </c>
      <c r="I112" s="39">
        <v>6.5</v>
      </c>
      <c r="J112" s="25">
        <v>324</v>
      </c>
      <c r="K112" s="17">
        <f>J112-G112</f>
        <v>304</v>
      </c>
      <c r="L112" s="17">
        <f>IF(K112&lt;0,0,J112-G112)</f>
        <v>304</v>
      </c>
      <c r="M112" s="20">
        <f>L112*I112/100</f>
        <v>19.760000000000002</v>
      </c>
      <c r="N112" s="57">
        <v>8.4</v>
      </c>
      <c r="O112" s="25">
        <v>0</v>
      </c>
      <c r="P112" s="17">
        <f>O112-G112</f>
        <v>-20</v>
      </c>
      <c r="Q112" s="17">
        <f>IF(P112&lt;0,0,O112-G112)</f>
        <v>0</v>
      </c>
      <c r="R112" s="20">
        <f>Q112*I112/100</f>
        <v>0</v>
      </c>
      <c r="S112" s="57">
        <v>8.4</v>
      </c>
      <c r="T112" s="25">
        <v>0</v>
      </c>
      <c r="U112" s="17">
        <f>T112-G112</f>
        <v>-20</v>
      </c>
      <c r="V112" s="17">
        <f>IF(U112&lt;0,0,T112-G112)</f>
        <v>0</v>
      </c>
      <c r="W112" s="20">
        <f>V112*I112/100</f>
        <v>0</v>
      </c>
      <c r="X112" s="57">
        <v>8.4</v>
      </c>
      <c r="Y112" s="25">
        <v>25</v>
      </c>
      <c r="Z112" s="17">
        <f>Y112-G112</f>
        <v>5</v>
      </c>
      <c r="AA112" s="17">
        <f>IF(Z112&lt;0,0,Y112-G112)</f>
        <v>5</v>
      </c>
      <c r="AB112" s="20">
        <f>AA112*I112/100</f>
        <v>0.32500000000000001</v>
      </c>
      <c r="AC112" s="57">
        <v>8.4</v>
      </c>
      <c r="AD112" s="25">
        <v>3</v>
      </c>
      <c r="AE112" s="17">
        <f>AD112-G112</f>
        <v>-17</v>
      </c>
      <c r="AF112" s="17">
        <f>IF(AE112&lt;0,0,AD112-G112)</f>
        <v>0</v>
      </c>
      <c r="AG112" s="20">
        <f>AF112*I112/100</f>
        <v>0</v>
      </c>
      <c r="AH112" s="49">
        <v>8.4</v>
      </c>
      <c r="AI112" s="42">
        <f>AF112+AA112+V112+Q112+L112</f>
        <v>309</v>
      </c>
      <c r="AJ112" s="35">
        <f>AG112*AH112+AB112*AC112+W112*X112+R112*S112+M112*N112</f>
        <v>168.714</v>
      </c>
    </row>
    <row r="113" spans="1:36" x14ac:dyDescent="0.25">
      <c r="A113" s="25" t="s">
        <v>232</v>
      </c>
      <c r="B113" s="17" t="s">
        <v>32</v>
      </c>
      <c r="C113" s="17" t="s">
        <v>33</v>
      </c>
      <c r="D113" s="17" t="s">
        <v>230</v>
      </c>
      <c r="E113" s="17" t="s">
        <v>233</v>
      </c>
      <c r="F113" s="17" t="s">
        <v>14</v>
      </c>
      <c r="G113" s="17">
        <v>20</v>
      </c>
      <c r="H113" s="17" t="s">
        <v>15</v>
      </c>
      <c r="I113" s="39">
        <v>6.5</v>
      </c>
      <c r="J113" s="25">
        <v>0</v>
      </c>
      <c r="K113" s="17">
        <f>J113-G113</f>
        <v>-20</v>
      </c>
      <c r="L113" s="17">
        <f>IF(K113&lt;0,0,J113-G113)</f>
        <v>0</v>
      </c>
      <c r="M113" s="20">
        <f>L113*I113/100</f>
        <v>0</v>
      </c>
      <c r="N113" s="57">
        <v>8.4</v>
      </c>
      <c r="O113" s="25">
        <v>10</v>
      </c>
      <c r="P113" s="17">
        <f>O113-G113</f>
        <v>-10</v>
      </c>
      <c r="Q113" s="17">
        <f>IF(P113&lt;0,0,O113-G113)</f>
        <v>0</v>
      </c>
      <c r="R113" s="20">
        <f>Q113*I113/100</f>
        <v>0</v>
      </c>
      <c r="S113" s="57">
        <v>8.4</v>
      </c>
      <c r="T113" s="25">
        <v>10</v>
      </c>
      <c r="U113" s="17">
        <f>T113-G113</f>
        <v>-10</v>
      </c>
      <c r="V113" s="17">
        <f>IF(U113&lt;0,0,T113-G113)</f>
        <v>0</v>
      </c>
      <c r="W113" s="20">
        <f>V113*I113/100</f>
        <v>0</v>
      </c>
      <c r="X113" s="57">
        <v>8.4</v>
      </c>
      <c r="Y113" s="25">
        <v>10</v>
      </c>
      <c r="Z113" s="17">
        <f>Y113-G113</f>
        <v>-10</v>
      </c>
      <c r="AA113" s="17">
        <f>IF(Z113&lt;0,0,Y113-G113)</f>
        <v>0</v>
      </c>
      <c r="AB113" s="20">
        <f>AA113*I113/100</f>
        <v>0</v>
      </c>
      <c r="AC113" s="57">
        <v>8.4</v>
      </c>
      <c r="AD113" s="25">
        <v>9</v>
      </c>
      <c r="AE113" s="17">
        <f>AD113-G113</f>
        <v>-11</v>
      </c>
      <c r="AF113" s="17">
        <f>IF(AE113&lt;0,0,AD113-G113)</f>
        <v>0</v>
      </c>
      <c r="AG113" s="20">
        <f>AF113*I113/100</f>
        <v>0</v>
      </c>
      <c r="AH113" s="49">
        <v>8.4</v>
      </c>
      <c r="AI113" s="42">
        <f>AF113+AA113+V113+Q113+L113</f>
        <v>0</v>
      </c>
      <c r="AJ113" s="35">
        <f>AG113*AH113+AB113*AC113+W113*X113+R113*S113+M113*N113</f>
        <v>0</v>
      </c>
    </row>
    <row r="114" spans="1:36" x14ac:dyDescent="0.25">
      <c r="A114" s="25" t="s">
        <v>234</v>
      </c>
      <c r="B114" s="17" t="s">
        <v>17</v>
      </c>
      <c r="C114" s="17" t="s">
        <v>18</v>
      </c>
      <c r="D114" s="17" t="s">
        <v>230</v>
      </c>
      <c r="E114" s="18" t="s">
        <v>235</v>
      </c>
      <c r="F114" s="17" t="s">
        <v>14</v>
      </c>
      <c r="G114" s="17">
        <v>20</v>
      </c>
      <c r="H114" s="17" t="s">
        <v>15</v>
      </c>
      <c r="I114" s="39">
        <v>6.5</v>
      </c>
      <c r="J114" s="25">
        <v>0</v>
      </c>
      <c r="K114" s="17">
        <f>J114-G114</f>
        <v>-20</v>
      </c>
      <c r="L114" s="17">
        <f>IF(K114&lt;0,0,J114-G114)</f>
        <v>0</v>
      </c>
      <c r="M114" s="20">
        <f>L114*I114/100</f>
        <v>0</v>
      </c>
      <c r="N114" s="57">
        <v>8.4</v>
      </c>
      <c r="O114" s="25">
        <v>0</v>
      </c>
      <c r="P114" s="17">
        <f>O114-G114</f>
        <v>-20</v>
      </c>
      <c r="Q114" s="17">
        <f>IF(P114&lt;0,0,O114-G114)</f>
        <v>0</v>
      </c>
      <c r="R114" s="20">
        <f>Q114*I114/100</f>
        <v>0</v>
      </c>
      <c r="S114" s="57">
        <v>8.4</v>
      </c>
      <c r="T114" s="25">
        <v>37</v>
      </c>
      <c r="U114" s="17">
        <f>T114-G114</f>
        <v>17</v>
      </c>
      <c r="V114" s="17">
        <f>IF(U114&lt;0,0,T114-G114)</f>
        <v>17</v>
      </c>
      <c r="W114" s="20">
        <f>V114*I114/100</f>
        <v>1.105</v>
      </c>
      <c r="X114" s="57">
        <v>8.4</v>
      </c>
      <c r="Y114" s="45"/>
      <c r="Z114" s="18"/>
      <c r="AA114" s="18"/>
      <c r="AB114" s="19"/>
      <c r="AC114" s="58"/>
      <c r="AD114" s="25">
        <v>55</v>
      </c>
      <c r="AE114" s="17">
        <f>AD114-G114</f>
        <v>35</v>
      </c>
      <c r="AF114" s="17">
        <f>IF(AE114&lt;0,0,AD114-G114)</f>
        <v>35</v>
      </c>
      <c r="AG114" s="20">
        <f>AF114*I114/100</f>
        <v>2.2749999999999999</v>
      </c>
      <c r="AH114" s="49">
        <v>8.4</v>
      </c>
      <c r="AI114" s="42">
        <f>AF114+AA114+V114+Q114+L114</f>
        <v>52</v>
      </c>
      <c r="AJ114" s="35">
        <f>AG114*AH114+AB114*AC114+W114*X114+R114*S114+M114*N114</f>
        <v>28.391999999999999</v>
      </c>
    </row>
    <row r="115" spans="1:36" x14ac:dyDescent="0.25">
      <c r="A115" s="25" t="s">
        <v>236</v>
      </c>
      <c r="B115" s="17" t="s">
        <v>10</v>
      </c>
      <c r="C115" s="17" t="s">
        <v>11</v>
      </c>
      <c r="D115" s="17" t="s">
        <v>230</v>
      </c>
      <c r="E115" s="18" t="s">
        <v>237</v>
      </c>
      <c r="F115" s="17" t="s">
        <v>14</v>
      </c>
      <c r="G115" s="17">
        <v>20</v>
      </c>
      <c r="H115" s="17" t="s">
        <v>15</v>
      </c>
      <c r="I115" s="39">
        <v>6.5</v>
      </c>
      <c r="J115" s="25">
        <v>0</v>
      </c>
      <c r="K115" s="17">
        <f>J115-G115</f>
        <v>-20</v>
      </c>
      <c r="L115" s="17">
        <f>IF(K115&lt;0,0,J115-G115)</f>
        <v>0</v>
      </c>
      <c r="M115" s="20">
        <f>L115*I115/100</f>
        <v>0</v>
      </c>
      <c r="N115" s="57">
        <v>8.4</v>
      </c>
      <c r="O115" s="25">
        <v>0</v>
      </c>
      <c r="P115" s="17">
        <f>O115-G115</f>
        <v>-20</v>
      </c>
      <c r="Q115" s="17">
        <f>IF(P115&lt;0,0,O115-G115)</f>
        <v>0</v>
      </c>
      <c r="R115" s="20">
        <f>Q115*I115/100</f>
        <v>0</v>
      </c>
      <c r="S115" s="57">
        <v>8.4</v>
      </c>
      <c r="T115" s="25">
        <v>0</v>
      </c>
      <c r="U115" s="17">
        <f>T115-G115</f>
        <v>-20</v>
      </c>
      <c r="V115" s="17">
        <f>IF(U115&lt;0,0,T115-G115)</f>
        <v>0</v>
      </c>
      <c r="W115" s="20">
        <f>V115*I115/100</f>
        <v>0</v>
      </c>
      <c r="X115" s="57">
        <v>8.4</v>
      </c>
      <c r="Y115" s="25">
        <v>30</v>
      </c>
      <c r="Z115" s="17">
        <f>Y115-G115</f>
        <v>10</v>
      </c>
      <c r="AA115" s="17">
        <f>IF(Z115&lt;0,0,Y115-G115)</f>
        <v>10</v>
      </c>
      <c r="AB115" s="20">
        <f>AA115*I115/100</f>
        <v>0.65</v>
      </c>
      <c r="AC115" s="57">
        <v>8.4</v>
      </c>
      <c r="AD115" s="25">
        <v>0</v>
      </c>
      <c r="AE115" s="17">
        <f>AD115-G115</f>
        <v>-20</v>
      </c>
      <c r="AF115" s="17">
        <f>IF(AE115&lt;0,0,AD115-G115)</f>
        <v>0</v>
      </c>
      <c r="AG115" s="20">
        <f>AF115*I115/100</f>
        <v>0</v>
      </c>
      <c r="AH115" s="49">
        <v>8.4</v>
      </c>
      <c r="AI115" s="42">
        <f>AF115+AA115+V115+Q115+L115</f>
        <v>10</v>
      </c>
      <c r="AJ115" s="35">
        <f>AG115*AH115+AB115*AC115+W115*X115+R115*S115+M115*N115</f>
        <v>5.4600000000000009</v>
      </c>
    </row>
    <row r="116" spans="1:36" x14ac:dyDescent="0.25">
      <c r="A116" s="25" t="s">
        <v>238</v>
      </c>
      <c r="B116" s="17" t="s">
        <v>239</v>
      </c>
      <c r="C116" s="17" t="s">
        <v>36</v>
      </c>
      <c r="D116" s="17" t="s">
        <v>230</v>
      </c>
      <c r="E116" s="17" t="s">
        <v>240</v>
      </c>
      <c r="F116" s="17" t="s">
        <v>14</v>
      </c>
      <c r="G116" s="17">
        <v>20</v>
      </c>
      <c r="H116" s="17" t="s">
        <v>38</v>
      </c>
      <c r="I116" s="39">
        <v>6.5</v>
      </c>
      <c r="J116" s="25">
        <v>14</v>
      </c>
      <c r="K116" s="17">
        <f>J116-G116</f>
        <v>-6</v>
      </c>
      <c r="L116" s="17">
        <f>IF(K116&lt;0,0,J116-G116)</f>
        <v>0</v>
      </c>
      <c r="M116" s="20">
        <f>L116*I116/100</f>
        <v>0</v>
      </c>
      <c r="N116" s="57">
        <v>7.3</v>
      </c>
      <c r="O116" s="25">
        <v>19</v>
      </c>
      <c r="P116" s="17">
        <f>O116-G116</f>
        <v>-1</v>
      </c>
      <c r="Q116" s="17">
        <f>IF(P116&lt;0,0,O116-G116)</f>
        <v>0</v>
      </c>
      <c r="R116" s="20">
        <f>Q116*I116/100</f>
        <v>0</v>
      </c>
      <c r="S116" s="57">
        <v>7.2</v>
      </c>
      <c r="T116" s="25">
        <v>12</v>
      </c>
      <c r="U116" s="17">
        <f>T116-G116</f>
        <v>-8</v>
      </c>
      <c r="V116" s="17">
        <f>IF(U116&lt;0,0,T116-G116)</f>
        <v>0</v>
      </c>
      <c r="W116" s="20">
        <f>V116*I116/100</f>
        <v>0</v>
      </c>
      <c r="X116" s="57">
        <v>7.2</v>
      </c>
      <c r="Y116" s="25">
        <v>3</v>
      </c>
      <c r="Z116" s="17">
        <f>Y116-G116</f>
        <v>-17</v>
      </c>
      <c r="AA116" s="17">
        <f>IF(Z116&lt;0,0,Y116-G116)</f>
        <v>0</v>
      </c>
      <c r="AB116" s="20">
        <f>AA116*I116/100</f>
        <v>0</v>
      </c>
      <c r="AC116" s="57">
        <v>7.2</v>
      </c>
      <c r="AD116" s="25">
        <v>173</v>
      </c>
      <c r="AE116" s="17">
        <f>AD116-G116</f>
        <v>153</v>
      </c>
      <c r="AF116" s="17">
        <f>IF(AE116&lt;0,0,AD116-G116)</f>
        <v>153</v>
      </c>
      <c r="AG116" s="20">
        <f>AF116*I116/100</f>
        <v>9.9450000000000003</v>
      </c>
      <c r="AH116" s="49">
        <v>7.2</v>
      </c>
      <c r="AI116" s="42">
        <f>AF116+AA116+V116+Q116+L116</f>
        <v>153</v>
      </c>
      <c r="AJ116" s="35">
        <f>AG116*AH116+AB116*AC116+W116*X116+R116*S116+M116*N116</f>
        <v>71.603999999999999</v>
      </c>
    </row>
    <row r="117" spans="1:36" x14ac:dyDescent="0.25">
      <c r="A117" s="25" t="s">
        <v>241</v>
      </c>
      <c r="B117" s="17" t="s">
        <v>32</v>
      </c>
      <c r="C117" s="17" t="s">
        <v>52</v>
      </c>
      <c r="D117" s="17" t="s">
        <v>230</v>
      </c>
      <c r="E117" s="17" t="s">
        <v>242</v>
      </c>
      <c r="F117" s="17" t="s">
        <v>14</v>
      </c>
      <c r="G117" s="17">
        <v>20</v>
      </c>
      <c r="H117" s="17" t="s">
        <v>15</v>
      </c>
      <c r="I117" s="39">
        <v>11</v>
      </c>
      <c r="J117" s="25">
        <v>0</v>
      </c>
      <c r="K117" s="17">
        <f>J117-G117</f>
        <v>-20</v>
      </c>
      <c r="L117" s="17">
        <f>IF(K117&lt;0,0,J117-G117)</f>
        <v>0</v>
      </c>
      <c r="M117" s="20">
        <f>L117*I117/100</f>
        <v>0</v>
      </c>
      <c r="N117" s="57">
        <v>8.4</v>
      </c>
      <c r="O117" s="25">
        <v>1</v>
      </c>
      <c r="P117" s="17">
        <f>O117-G117</f>
        <v>-19</v>
      </c>
      <c r="Q117" s="17">
        <f>IF(P117&lt;0,0,O117-G117)</f>
        <v>0</v>
      </c>
      <c r="R117" s="20">
        <f>Q117*I117/100</f>
        <v>0</v>
      </c>
      <c r="S117" s="57">
        <v>8.4</v>
      </c>
      <c r="T117" s="25">
        <v>1</v>
      </c>
      <c r="U117" s="17">
        <f>T117-G117</f>
        <v>-19</v>
      </c>
      <c r="V117" s="17">
        <f>IF(U117&lt;0,0,T117-G117)</f>
        <v>0</v>
      </c>
      <c r="W117" s="20">
        <f>V117*I117/100</f>
        <v>0</v>
      </c>
      <c r="X117" s="57">
        <v>8.4</v>
      </c>
      <c r="Y117" s="25">
        <v>1</v>
      </c>
      <c r="Z117" s="17">
        <f>Y117-G117</f>
        <v>-19</v>
      </c>
      <c r="AA117" s="17">
        <f>IF(Z117&lt;0,0,Y117-G117)</f>
        <v>0</v>
      </c>
      <c r="AB117" s="20">
        <f>AA117*I117/100</f>
        <v>0</v>
      </c>
      <c r="AC117" s="57">
        <v>8.4</v>
      </c>
      <c r="AD117" s="25">
        <v>2</v>
      </c>
      <c r="AE117" s="17">
        <f>AD117-G117</f>
        <v>-18</v>
      </c>
      <c r="AF117" s="17">
        <f>IF(AE117&lt;0,0,AD117-G117)</f>
        <v>0</v>
      </c>
      <c r="AG117" s="20">
        <f>AF117*I117/100</f>
        <v>0</v>
      </c>
      <c r="AH117" s="49">
        <v>8.4</v>
      </c>
      <c r="AI117" s="42">
        <f>AF117+AA117+V117+Q117+L117</f>
        <v>0</v>
      </c>
      <c r="AJ117" s="35">
        <f>AG117*AH117+AB117*AC117+W117*X117+R117*S117+M117*N117</f>
        <v>0</v>
      </c>
    </row>
    <row r="118" spans="1:36" ht="15.75" thickBot="1" x14ac:dyDescent="0.3">
      <c r="A118" s="31" t="s">
        <v>243</v>
      </c>
      <c r="B118" s="32" t="s">
        <v>17</v>
      </c>
      <c r="C118" s="32" t="s">
        <v>36</v>
      </c>
      <c r="D118" s="32" t="s">
        <v>230</v>
      </c>
      <c r="E118" s="32" t="s">
        <v>244</v>
      </c>
      <c r="F118" s="32" t="s">
        <v>14</v>
      </c>
      <c r="G118" s="32">
        <v>30</v>
      </c>
      <c r="H118" s="32" t="s">
        <v>38</v>
      </c>
      <c r="I118" s="40">
        <v>6.5</v>
      </c>
      <c r="J118" s="31">
        <v>1</v>
      </c>
      <c r="K118" s="32">
        <f>J118-G118</f>
        <v>-29</v>
      </c>
      <c r="L118" s="32">
        <f>IF(K118&lt;0,0,J118-G118)</f>
        <v>0</v>
      </c>
      <c r="M118" s="33">
        <f>L118*I118/100</f>
        <v>0</v>
      </c>
      <c r="N118" s="59">
        <v>7.3</v>
      </c>
      <c r="O118" s="31">
        <v>1</v>
      </c>
      <c r="P118" s="32">
        <f>O118-G118</f>
        <v>-29</v>
      </c>
      <c r="Q118" s="32">
        <f>IF(P118&lt;0,0,O118-G118)</f>
        <v>0</v>
      </c>
      <c r="R118" s="33">
        <f>Q118*I118/100</f>
        <v>0</v>
      </c>
      <c r="S118" s="59">
        <v>7.2</v>
      </c>
      <c r="T118" s="31">
        <v>2</v>
      </c>
      <c r="U118" s="32">
        <f>T118-G118</f>
        <v>-28</v>
      </c>
      <c r="V118" s="32">
        <f>IF(U118&lt;0,0,T118-G118)</f>
        <v>0</v>
      </c>
      <c r="W118" s="33">
        <f>V118*I118/100</f>
        <v>0</v>
      </c>
      <c r="X118" s="59">
        <v>7.2</v>
      </c>
      <c r="Y118" s="31">
        <v>52</v>
      </c>
      <c r="Z118" s="32">
        <f>Y118-G118</f>
        <v>22</v>
      </c>
      <c r="AA118" s="32">
        <f>IF(Z118&lt;0,0,Y118-G118)</f>
        <v>22</v>
      </c>
      <c r="AB118" s="33">
        <f>AA118*I118/100</f>
        <v>1.43</v>
      </c>
      <c r="AC118" s="59">
        <v>7.2</v>
      </c>
      <c r="AD118" s="31">
        <v>71</v>
      </c>
      <c r="AE118" s="32">
        <f>AD118-G118</f>
        <v>41</v>
      </c>
      <c r="AF118" s="32">
        <f>IF(AE118&lt;0,0,AD118-G118)</f>
        <v>41</v>
      </c>
      <c r="AG118" s="33">
        <f>AF118*I118/100</f>
        <v>2.665</v>
      </c>
      <c r="AH118" s="51">
        <v>7.2</v>
      </c>
      <c r="AI118" s="43">
        <f>AF118+AA118+V118+Q118+L118</f>
        <v>63</v>
      </c>
      <c r="AJ118" s="36">
        <f>AG118*AH118+AB118*AC118+W118*X118+R118*S118+M118*N118</f>
        <v>29.484000000000002</v>
      </c>
    </row>
  </sheetData>
  <autoFilter ref="A1:AE1" xr:uid="{00000000-0001-0000-0000-000000000000}"/>
  <mergeCells count="10">
    <mergeCell ref="G1:G2"/>
    <mergeCell ref="H1:H2"/>
    <mergeCell ref="I1:I2"/>
    <mergeCell ref="AI1:AJ1"/>
    <mergeCell ref="A1:A2"/>
    <mergeCell ref="B1:B2"/>
    <mergeCell ref="C1:C2"/>
    <mergeCell ref="D1:D2"/>
    <mergeCell ref="E1:E2"/>
    <mergeCell ref="F1:F2"/>
  </mergeCells>
  <conditionalFormatting sqref="A3:A1048576 A1:I1">
    <cfRule type="duplicateValues" dxfId="26" priority="1"/>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D181A-8A25-4469-8329-C813CAAB1875}">
  <sheetPr codeName="Sheet71"/>
  <dimension ref="A1:AV2"/>
  <sheetViews>
    <sheetView workbookViewId="0"/>
  </sheetViews>
  <sheetFormatPr defaultRowHeight="15" x14ac:dyDescent="0.25"/>
  <cols>
    <col min="1" max="1" width="5" bestFit="1" customWidth="1"/>
    <col min="2" max="2" width="14" bestFit="1" customWidth="1"/>
    <col min="3" max="3" width="18.7109375" bestFit="1" customWidth="1"/>
    <col min="4" max="4" width="16.7109375" bestFit="1" customWidth="1"/>
    <col min="5" max="5" width="11.5703125" bestFit="1" customWidth="1"/>
    <col min="6" max="6" width="57.140625" bestFit="1" customWidth="1"/>
    <col min="7" max="7" width="10.42578125" bestFit="1" customWidth="1"/>
    <col min="8" max="8" width="29.42578125" bestFit="1" customWidth="1"/>
    <col min="9" max="9" width="24.5703125" bestFit="1" customWidth="1"/>
    <col min="10" max="10" width="14.7109375" bestFit="1" customWidth="1"/>
    <col min="11" max="11" width="24.42578125" bestFit="1" customWidth="1"/>
    <col min="12" max="12" width="11.85546875" bestFit="1" customWidth="1"/>
    <col min="13" max="13" width="22.140625" bestFit="1" customWidth="1"/>
    <col min="14" max="14" width="12.5703125" bestFit="1" customWidth="1"/>
    <col min="15" max="15" width="20.5703125" bestFit="1" customWidth="1"/>
    <col min="16" max="16" width="22.7109375" bestFit="1" customWidth="1"/>
    <col min="17" max="17" width="24.42578125" bestFit="1" customWidth="1"/>
    <col min="18" max="18" width="16.7109375" bestFit="1" customWidth="1"/>
    <col min="19" max="19" width="11" bestFit="1" customWidth="1"/>
    <col min="20" max="20" width="13.42578125" bestFit="1" customWidth="1"/>
    <col min="21" max="21" width="23.140625" bestFit="1" customWidth="1"/>
    <col min="22" max="22" width="81.140625" bestFit="1" customWidth="1"/>
    <col min="23" max="23" width="18.140625" bestFit="1" customWidth="1"/>
    <col min="24" max="24" width="18.5703125" bestFit="1" customWidth="1"/>
    <col min="25" max="25" width="12" bestFit="1" customWidth="1"/>
    <col min="26" max="26" width="22.5703125" bestFit="1" customWidth="1"/>
    <col min="27" max="27" width="18.7109375" bestFit="1" customWidth="1"/>
    <col min="28" max="28" width="24.85546875" bestFit="1" customWidth="1"/>
    <col min="29" max="29" width="23.28515625" bestFit="1" customWidth="1"/>
    <col min="30" max="30" width="13.85546875" bestFit="1" customWidth="1"/>
    <col min="31" max="31" width="15.5703125" bestFit="1" customWidth="1"/>
    <col min="32" max="32" width="25.28515625" bestFit="1" customWidth="1"/>
    <col min="33" max="33" width="20.28515625" bestFit="1" customWidth="1"/>
    <col min="34" max="34" width="20.7109375" bestFit="1" customWidth="1"/>
    <col min="35" max="35" width="20.85546875" bestFit="1" customWidth="1"/>
    <col min="36" max="36" width="21.28515625" bestFit="1" customWidth="1"/>
    <col min="37" max="37" width="9.42578125" bestFit="1" customWidth="1"/>
    <col min="38" max="38" width="22.28515625" bestFit="1" customWidth="1"/>
    <col min="39" max="39" width="22.7109375" bestFit="1" customWidth="1"/>
    <col min="40" max="40" width="31.5703125" bestFit="1" customWidth="1"/>
    <col min="41" max="41" width="29.5703125" bestFit="1" customWidth="1"/>
    <col min="42" max="42" width="38" bestFit="1" customWidth="1"/>
    <col min="43" max="43" width="31.42578125" bestFit="1" customWidth="1"/>
    <col min="44" max="44" width="15.5703125" bestFit="1" customWidth="1"/>
    <col min="45" max="45" width="35.5703125" bestFit="1" customWidth="1"/>
    <col min="46" max="46" width="36.85546875" bestFit="1" customWidth="1"/>
    <col min="47" max="47" width="28.140625" bestFit="1" customWidth="1"/>
    <col min="48" max="48" width="24" bestFit="1" customWidth="1"/>
  </cols>
  <sheetData>
    <row r="1" spans="1:48" x14ac:dyDescent="0.25">
      <c r="A1" t="s">
        <v>294</v>
      </c>
      <c r="B1" t="s">
        <v>295</v>
      </c>
      <c r="C1" t="s">
        <v>296</v>
      </c>
      <c r="D1" t="s">
        <v>297</v>
      </c>
      <c r="E1" t="s">
        <v>298</v>
      </c>
      <c r="F1" t="s">
        <v>299</v>
      </c>
      <c r="G1" t="s">
        <v>300</v>
      </c>
      <c r="H1" t="s">
        <v>301</v>
      </c>
      <c r="I1" t="s">
        <v>302</v>
      </c>
      <c r="J1" t="s">
        <v>303</v>
      </c>
      <c r="K1" t="s">
        <v>304</v>
      </c>
      <c r="L1" t="s">
        <v>305</v>
      </c>
      <c r="M1" t="s">
        <v>306</v>
      </c>
      <c r="N1" t="s">
        <v>307</v>
      </c>
      <c r="O1" t="s">
        <v>308</v>
      </c>
      <c r="P1" t="s">
        <v>309</v>
      </c>
      <c r="Q1" t="s">
        <v>310</v>
      </c>
      <c r="R1" t="s">
        <v>311</v>
      </c>
      <c r="S1" t="s">
        <v>312</v>
      </c>
      <c r="T1" t="s">
        <v>313</v>
      </c>
      <c r="U1" t="s">
        <v>314</v>
      </c>
      <c r="V1" t="s">
        <v>315</v>
      </c>
      <c r="W1" t="s">
        <v>316</v>
      </c>
      <c r="X1" t="s">
        <v>317</v>
      </c>
      <c r="Y1" t="s">
        <v>318</v>
      </c>
      <c r="Z1" t="s">
        <v>319</v>
      </c>
      <c r="AA1" t="s">
        <v>320</v>
      </c>
      <c r="AB1" t="s">
        <v>321</v>
      </c>
      <c r="AC1" t="s">
        <v>322</v>
      </c>
      <c r="AD1" t="s">
        <v>323</v>
      </c>
      <c r="AE1" t="s">
        <v>324</v>
      </c>
      <c r="AF1" t="s">
        <v>325</v>
      </c>
      <c r="AG1" t="s">
        <v>326</v>
      </c>
      <c r="AH1" t="s">
        <v>327</v>
      </c>
      <c r="AI1" t="s">
        <v>328</v>
      </c>
      <c r="AJ1" t="s">
        <v>329</v>
      </c>
      <c r="AK1" t="s">
        <v>330</v>
      </c>
      <c r="AL1" t="s">
        <v>331</v>
      </c>
      <c r="AM1" t="s">
        <v>332</v>
      </c>
      <c r="AN1" t="s">
        <v>333</v>
      </c>
      <c r="AO1" t="s">
        <v>334</v>
      </c>
      <c r="AP1" t="s">
        <v>335</v>
      </c>
      <c r="AQ1" t="s">
        <v>336</v>
      </c>
      <c r="AR1" t="s">
        <v>337</v>
      </c>
      <c r="AS1" t="s">
        <v>338</v>
      </c>
      <c r="AT1" t="s">
        <v>339</v>
      </c>
      <c r="AU1" t="s">
        <v>340</v>
      </c>
      <c r="AV1" t="s">
        <v>341</v>
      </c>
    </row>
    <row r="2" spans="1:48" x14ac:dyDescent="0.25">
      <c r="A2">
        <v>40</v>
      </c>
      <c r="B2" s="7" t="s">
        <v>342</v>
      </c>
      <c r="C2" s="7" t="s">
        <v>343</v>
      </c>
      <c r="D2" s="7" t="s">
        <v>279</v>
      </c>
      <c r="E2" s="7" t="s">
        <v>279</v>
      </c>
      <c r="F2" s="7" t="s">
        <v>344</v>
      </c>
      <c r="G2" s="7" t="s">
        <v>279</v>
      </c>
      <c r="H2" s="7" t="s">
        <v>345</v>
      </c>
      <c r="I2" s="7" t="s">
        <v>279</v>
      </c>
      <c r="J2" s="7" t="s">
        <v>346</v>
      </c>
      <c r="K2" s="7" t="s">
        <v>347</v>
      </c>
      <c r="L2" s="7" t="s">
        <v>280</v>
      </c>
      <c r="M2" t="b">
        <v>0</v>
      </c>
      <c r="N2" t="b">
        <v>0</v>
      </c>
      <c r="O2" t="b">
        <v>1</v>
      </c>
      <c r="P2" t="b">
        <v>1</v>
      </c>
      <c r="Q2" t="b">
        <v>1</v>
      </c>
      <c r="R2" s="7" t="s">
        <v>348</v>
      </c>
      <c r="S2" s="7" t="s">
        <v>279</v>
      </c>
      <c r="T2" t="b">
        <v>1</v>
      </c>
      <c r="U2" s="7" t="s">
        <v>349</v>
      </c>
      <c r="V2" s="7" t="s">
        <v>350</v>
      </c>
      <c r="W2" t="b">
        <v>0</v>
      </c>
      <c r="X2" t="b">
        <v>0</v>
      </c>
      <c r="Y2" t="b">
        <v>0</v>
      </c>
      <c r="Z2" t="b">
        <v>1</v>
      </c>
      <c r="AA2" t="b">
        <v>1</v>
      </c>
      <c r="AB2" t="b">
        <v>1</v>
      </c>
      <c r="AC2" t="b">
        <v>1</v>
      </c>
      <c r="AD2" t="b">
        <v>1</v>
      </c>
      <c r="AE2" t="b">
        <v>1</v>
      </c>
      <c r="AF2" t="b">
        <v>1</v>
      </c>
      <c r="AG2" t="b">
        <v>1</v>
      </c>
      <c r="AH2" t="b">
        <v>1</v>
      </c>
      <c r="AI2" s="7" t="s">
        <v>351</v>
      </c>
      <c r="AJ2" s="7" t="s">
        <v>352</v>
      </c>
      <c r="AK2" s="7" t="s">
        <v>353</v>
      </c>
      <c r="AL2" t="b">
        <v>0</v>
      </c>
      <c r="AM2" t="b">
        <v>0</v>
      </c>
      <c r="AN2" t="b">
        <v>1</v>
      </c>
      <c r="AO2" s="7" t="s">
        <v>354</v>
      </c>
      <c r="AP2" s="7" t="s">
        <v>355</v>
      </c>
      <c r="AQ2" s="7" t="s">
        <v>356</v>
      </c>
      <c r="AR2" s="7" t="s">
        <v>357</v>
      </c>
      <c r="AS2" s="7" t="s">
        <v>358</v>
      </c>
      <c r="AT2" s="7" t="s">
        <v>359</v>
      </c>
      <c r="AU2" s="7" t="s">
        <v>360</v>
      </c>
      <c r="AV2" s="7" t="s">
        <v>361</v>
      </c>
    </row>
  </sheetData>
  <phoneticPr fontId="7"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D33C0-B7D2-4B33-B12E-7CE236AC3DBE}">
  <sheetPr codeName="Sheet3"/>
  <dimension ref="A1:AM118"/>
  <sheetViews>
    <sheetView workbookViewId="0">
      <pane xSplit="1" ySplit="2" topLeftCell="B3" activePane="bottomRight" state="frozen"/>
      <selection pane="topRight" activeCell="B1" sqref="B1"/>
      <selection pane="bottomLeft" activeCell="A3" sqref="A3"/>
      <selection pane="bottomRight" activeCell="T11" sqref="T11"/>
    </sheetView>
  </sheetViews>
  <sheetFormatPr defaultRowHeight="15" x14ac:dyDescent="0.25"/>
  <cols>
    <col min="1" max="1" width="11.5703125" style="1" bestFit="1" customWidth="1"/>
    <col min="2" max="2" width="10.85546875" style="1" bestFit="1" customWidth="1"/>
    <col min="3" max="3" width="11.28515625" style="1" bestFit="1" customWidth="1"/>
    <col min="4" max="4" width="10.85546875" style="1" bestFit="1" customWidth="1"/>
    <col min="5" max="5" width="22.85546875" style="1" bestFit="1" customWidth="1"/>
    <col min="6" max="9" width="4.85546875" style="1" customWidth="1"/>
    <col min="10" max="10" width="5.7109375" style="1" bestFit="1" customWidth="1"/>
    <col min="11" max="11" width="8.85546875" style="1" bestFit="1" customWidth="1"/>
    <col min="12" max="12" width="7.42578125" style="1" bestFit="1" customWidth="1"/>
    <col min="13" max="13" width="8.85546875" style="8" bestFit="1" customWidth="1"/>
    <col min="14" max="14" width="9.140625" style="8"/>
    <col min="15" max="15" width="5.7109375" style="1" bestFit="1" customWidth="1"/>
    <col min="16" max="16" width="8.85546875" style="1" bestFit="1" customWidth="1"/>
    <col min="17" max="17" width="7.42578125" style="1" bestFit="1" customWidth="1"/>
    <col min="18" max="18" width="8.85546875" style="8" bestFit="1" customWidth="1"/>
    <col min="19" max="19" width="9.140625" style="8"/>
    <col min="20" max="20" width="5.7109375" style="1" bestFit="1" customWidth="1"/>
    <col min="21" max="21" width="8.85546875" style="1" bestFit="1" customWidth="1"/>
    <col min="22" max="22" width="7.42578125" style="1" bestFit="1" customWidth="1"/>
    <col min="23" max="23" width="8.85546875" style="8" bestFit="1" customWidth="1"/>
    <col min="24" max="24" width="9.140625" style="8"/>
    <col min="25" max="25" width="5.7109375" style="1" bestFit="1" customWidth="1"/>
    <col min="26" max="26" width="8.85546875" style="1" bestFit="1" customWidth="1"/>
    <col min="27" max="27" width="7.42578125" style="1" bestFit="1" customWidth="1"/>
    <col min="28" max="28" width="8.85546875" style="8" bestFit="1" customWidth="1"/>
    <col min="29" max="29" width="9.140625" style="8"/>
    <col min="30" max="30" width="5.7109375" style="1" bestFit="1" customWidth="1"/>
    <col min="31" max="31" width="8.85546875" style="1" bestFit="1" customWidth="1"/>
    <col min="32" max="32" width="7.42578125" style="1" bestFit="1" customWidth="1"/>
    <col min="33" max="33" width="8.85546875" style="8" bestFit="1" customWidth="1"/>
    <col min="34" max="34" width="9.140625" style="8"/>
    <col min="35" max="35" width="8.5703125" style="1" bestFit="1" customWidth="1"/>
    <col min="36" max="36" width="8.85546875" style="1" bestFit="1" customWidth="1"/>
    <col min="37" max="38" width="9.140625" style="1"/>
    <col min="39" max="39" width="59.140625" style="1" bestFit="1" customWidth="1"/>
    <col min="40" max="16384" width="9.140625" style="1"/>
  </cols>
  <sheetData>
    <row r="1" spans="1:39" ht="30" x14ac:dyDescent="0.25">
      <c r="A1" s="84" t="s">
        <v>0</v>
      </c>
      <c r="B1" s="86" t="s">
        <v>1</v>
      </c>
      <c r="C1" s="86" t="s">
        <v>2</v>
      </c>
      <c r="D1" s="86" t="s">
        <v>3</v>
      </c>
      <c r="E1" s="86" t="s">
        <v>4</v>
      </c>
      <c r="F1" s="86" t="s">
        <v>5</v>
      </c>
      <c r="G1" s="78" t="s">
        <v>6</v>
      </c>
      <c r="H1" s="78" t="s">
        <v>7</v>
      </c>
      <c r="I1" s="80" t="s">
        <v>8</v>
      </c>
      <c r="J1" s="9" t="s">
        <v>245</v>
      </c>
      <c r="K1" s="10"/>
      <c r="L1" s="10"/>
      <c r="M1" s="11"/>
      <c r="N1" s="54"/>
      <c r="O1" s="9" t="s">
        <v>251</v>
      </c>
      <c r="P1" s="10"/>
      <c r="Q1" s="10"/>
      <c r="R1" s="11"/>
      <c r="S1" s="54"/>
      <c r="T1" s="9" t="s">
        <v>252</v>
      </c>
      <c r="U1" s="10"/>
      <c r="V1" s="10"/>
      <c r="W1" s="11"/>
      <c r="X1" s="54"/>
      <c r="Y1" s="9" t="s">
        <v>253</v>
      </c>
      <c r="Z1" s="10"/>
      <c r="AA1" s="10"/>
      <c r="AB1" s="11"/>
      <c r="AC1" s="54"/>
      <c r="AD1" s="9" t="s">
        <v>254</v>
      </c>
      <c r="AE1" s="10"/>
      <c r="AF1" s="10"/>
      <c r="AG1" s="11"/>
      <c r="AH1" s="46"/>
      <c r="AI1" s="82" t="s">
        <v>257</v>
      </c>
      <c r="AJ1" s="83"/>
    </row>
    <row r="2" spans="1:39" ht="60.75" thickBot="1" x14ac:dyDescent="0.3">
      <c r="A2" s="85"/>
      <c r="B2" s="79"/>
      <c r="C2" s="79"/>
      <c r="D2" s="79"/>
      <c r="E2" s="79"/>
      <c r="F2" s="79"/>
      <c r="G2" s="79"/>
      <c r="H2" s="79"/>
      <c r="I2" s="81"/>
      <c r="J2" s="12" t="s">
        <v>246</v>
      </c>
      <c r="K2" s="13" t="s">
        <v>247</v>
      </c>
      <c r="L2" s="13" t="s">
        <v>248</v>
      </c>
      <c r="M2" s="14" t="s">
        <v>249</v>
      </c>
      <c r="N2" s="55" t="s">
        <v>250</v>
      </c>
      <c r="O2" s="12" t="s">
        <v>246</v>
      </c>
      <c r="P2" s="13" t="s">
        <v>247</v>
      </c>
      <c r="Q2" s="13" t="s">
        <v>248</v>
      </c>
      <c r="R2" s="14" t="s">
        <v>249</v>
      </c>
      <c r="S2" s="55" t="s">
        <v>250</v>
      </c>
      <c r="T2" s="12" t="s">
        <v>246</v>
      </c>
      <c r="U2" s="13" t="s">
        <v>247</v>
      </c>
      <c r="V2" s="13" t="s">
        <v>248</v>
      </c>
      <c r="W2" s="14" t="s">
        <v>249</v>
      </c>
      <c r="X2" s="55" t="s">
        <v>250</v>
      </c>
      <c r="Y2" s="12" t="s">
        <v>246</v>
      </c>
      <c r="Z2" s="13" t="s">
        <v>247</v>
      </c>
      <c r="AA2" s="13" t="s">
        <v>248</v>
      </c>
      <c r="AB2" s="14" t="s">
        <v>249</v>
      </c>
      <c r="AC2" s="55" t="s">
        <v>250</v>
      </c>
      <c r="AD2" s="12" t="s">
        <v>246</v>
      </c>
      <c r="AE2" s="13" t="s">
        <v>247</v>
      </c>
      <c r="AF2" s="13" t="s">
        <v>248</v>
      </c>
      <c r="AG2" s="14" t="s">
        <v>249</v>
      </c>
      <c r="AH2" s="47" t="s">
        <v>250</v>
      </c>
      <c r="AI2" s="63" t="s">
        <v>255</v>
      </c>
      <c r="AJ2" s="64" t="s">
        <v>256</v>
      </c>
      <c r="AM2" s="1" t="s">
        <v>258</v>
      </c>
    </row>
    <row r="3" spans="1:39" x14ac:dyDescent="0.25">
      <c r="A3" s="37" t="s">
        <v>9</v>
      </c>
      <c r="B3" s="16" t="s">
        <v>10</v>
      </c>
      <c r="C3" s="16" t="s">
        <v>11</v>
      </c>
      <c r="D3" s="16" t="s">
        <v>12</v>
      </c>
      <c r="E3" s="38" t="s">
        <v>13</v>
      </c>
      <c r="F3" s="16" t="s">
        <v>14</v>
      </c>
      <c r="G3" s="16">
        <v>20</v>
      </c>
      <c r="H3" s="16" t="s">
        <v>15</v>
      </c>
      <c r="I3" s="15">
        <v>6.5</v>
      </c>
      <c r="J3" s="44"/>
      <c r="K3" s="28"/>
      <c r="L3" s="28"/>
      <c r="M3" s="29"/>
      <c r="N3" s="56"/>
      <c r="O3" s="26">
        <v>0</v>
      </c>
      <c r="P3" s="27">
        <f>O3-G3</f>
        <v>-20</v>
      </c>
      <c r="Q3" s="27">
        <f>IF(P3&lt;0,0,O3-G3)</f>
        <v>0</v>
      </c>
      <c r="R3" s="30">
        <f>Q3*I3/100</f>
        <v>0</v>
      </c>
      <c r="S3" s="60">
        <v>8.4</v>
      </c>
      <c r="T3" s="26">
        <v>0</v>
      </c>
      <c r="U3" s="27">
        <f>T3-G3</f>
        <v>-20</v>
      </c>
      <c r="V3" s="27">
        <f>IF(U3&lt;0,0,T3-G3)</f>
        <v>0</v>
      </c>
      <c r="W3" s="30">
        <f>V3*I3/100</f>
        <v>0</v>
      </c>
      <c r="X3" s="60">
        <v>8.4</v>
      </c>
      <c r="Y3" s="26">
        <v>20</v>
      </c>
      <c r="Z3" s="27">
        <f>Y3-G3</f>
        <v>0</v>
      </c>
      <c r="AA3" s="27">
        <f>IF(Z3&lt;0,0,Y3-G3)</f>
        <v>0</v>
      </c>
      <c r="AB3" s="30">
        <f>AA3*I3/100</f>
        <v>0</v>
      </c>
      <c r="AC3" s="60">
        <v>8.4</v>
      </c>
      <c r="AD3" s="44"/>
      <c r="AE3" s="28"/>
      <c r="AF3" s="28"/>
      <c r="AG3" s="29"/>
      <c r="AH3" s="48"/>
      <c r="AI3" s="41">
        <f>AF3+AA3+V3+Q3+L3</f>
        <v>0</v>
      </c>
      <c r="AJ3" s="34">
        <f>AG3*AH3+AB3*AC3+W3*X3+R3*S3+M3*N3</f>
        <v>0</v>
      </c>
      <c r="AM3" s="2" t="s">
        <v>259</v>
      </c>
    </row>
    <row r="4" spans="1:39" x14ac:dyDescent="0.25">
      <c r="A4" s="25" t="s">
        <v>16</v>
      </c>
      <c r="B4" s="17" t="s">
        <v>17</v>
      </c>
      <c r="C4" s="17" t="s">
        <v>18</v>
      </c>
      <c r="D4" s="17" t="s">
        <v>19</v>
      </c>
      <c r="E4" s="18" t="s">
        <v>20</v>
      </c>
      <c r="F4" s="17" t="s">
        <v>14</v>
      </c>
      <c r="G4" s="17">
        <v>20</v>
      </c>
      <c r="H4" s="17" t="s">
        <v>15</v>
      </c>
      <c r="I4" s="39">
        <v>6.5</v>
      </c>
      <c r="J4" s="25">
        <v>145</v>
      </c>
      <c r="K4" s="17">
        <f>J4-G4</f>
        <v>125</v>
      </c>
      <c r="L4" s="17">
        <f>IF(K4&lt;0,0,J4-G4)</f>
        <v>125</v>
      </c>
      <c r="M4" s="20">
        <f>L4*I4/100</f>
        <v>8.125</v>
      </c>
      <c r="N4" s="57">
        <v>8.4</v>
      </c>
      <c r="O4" s="25">
        <v>4</v>
      </c>
      <c r="P4" s="17">
        <f>O4-G4</f>
        <v>-16</v>
      </c>
      <c r="Q4" s="17">
        <f>IF(P4&lt;0,0,O4-G4)</f>
        <v>0</v>
      </c>
      <c r="R4" s="20">
        <f>Q4*I4/100</f>
        <v>0</v>
      </c>
      <c r="S4" s="57">
        <v>8.4</v>
      </c>
      <c r="T4" s="45"/>
      <c r="U4" s="18"/>
      <c r="V4" s="18"/>
      <c r="W4" s="19"/>
      <c r="X4" s="58"/>
      <c r="Y4" s="45"/>
      <c r="Z4" s="18"/>
      <c r="AA4" s="18"/>
      <c r="AB4" s="19"/>
      <c r="AC4" s="58"/>
      <c r="AD4" s="45"/>
      <c r="AE4" s="18"/>
      <c r="AF4" s="18"/>
      <c r="AG4" s="19"/>
      <c r="AH4" s="50"/>
      <c r="AI4" s="42">
        <f>AF4+AA4+V4+Q4+L4</f>
        <v>125</v>
      </c>
      <c r="AJ4" s="35">
        <f>AG4*AH4+AB4*AC4+W4*X4+R4*S4+M4*N4</f>
        <v>68.25</v>
      </c>
      <c r="AM4" s="3" t="s">
        <v>260</v>
      </c>
    </row>
    <row r="5" spans="1:39" x14ac:dyDescent="0.25">
      <c r="A5" s="25" t="s">
        <v>21</v>
      </c>
      <c r="B5" s="17" t="s">
        <v>10</v>
      </c>
      <c r="C5" s="17" t="s">
        <v>22</v>
      </c>
      <c r="D5" s="17" t="s">
        <v>19</v>
      </c>
      <c r="E5" s="17" t="s">
        <v>23</v>
      </c>
      <c r="F5" s="17" t="s">
        <v>14</v>
      </c>
      <c r="G5" s="17">
        <v>20</v>
      </c>
      <c r="H5" s="17" t="s">
        <v>15</v>
      </c>
      <c r="I5" s="39">
        <v>11</v>
      </c>
      <c r="J5" s="25">
        <v>16</v>
      </c>
      <c r="K5" s="17">
        <f>J5-G5</f>
        <v>-4</v>
      </c>
      <c r="L5" s="17">
        <f>IF(K5&lt;0,0,J5-G5)</f>
        <v>0</v>
      </c>
      <c r="M5" s="20">
        <f>L5*I5/100</f>
        <v>0</v>
      </c>
      <c r="N5" s="57">
        <v>8.4</v>
      </c>
      <c r="O5" s="25">
        <v>14</v>
      </c>
      <c r="P5" s="17">
        <f>O5-G5</f>
        <v>-6</v>
      </c>
      <c r="Q5" s="17">
        <f>IF(P5&lt;0,0,O5-G5)</f>
        <v>0</v>
      </c>
      <c r="R5" s="20">
        <f>Q5*I5/100</f>
        <v>0</v>
      </c>
      <c r="S5" s="57">
        <v>8.4</v>
      </c>
      <c r="T5" s="25">
        <v>0</v>
      </c>
      <c r="U5" s="17">
        <f>T5-G5</f>
        <v>-20</v>
      </c>
      <c r="V5" s="17">
        <f>IF(U5&lt;0,0,T5-G5)</f>
        <v>0</v>
      </c>
      <c r="W5" s="20">
        <f>V5*I5/100</f>
        <v>0</v>
      </c>
      <c r="X5" s="57">
        <v>8.4</v>
      </c>
      <c r="Y5" s="25">
        <v>0</v>
      </c>
      <c r="Z5" s="17">
        <f>Y5-G5</f>
        <v>-20</v>
      </c>
      <c r="AA5" s="17">
        <f>IF(Z5&lt;0,0,Y5-G5)</f>
        <v>0</v>
      </c>
      <c r="AB5" s="20">
        <f>AA5*I5/100</f>
        <v>0</v>
      </c>
      <c r="AC5" s="57">
        <v>8.4</v>
      </c>
      <c r="AD5" s="25">
        <v>0</v>
      </c>
      <c r="AE5" s="17">
        <f>AD5-G5</f>
        <v>-20</v>
      </c>
      <c r="AF5" s="17">
        <f>IF(AE5&lt;0,0,AD5-G5)</f>
        <v>0</v>
      </c>
      <c r="AG5" s="20">
        <f>AF5*I5/100</f>
        <v>0</v>
      </c>
      <c r="AH5" s="49">
        <v>8.4</v>
      </c>
      <c r="AI5" s="42">
        <f>AF5+AA5+V5+Q5+L5</f>
        <v>0</v>
      </c>
      <c r="AJ5" s="35">
        <f>AG5*AH5+AB5*AC5+W5*X5+R5*S5+M5*N5</f>
        <v>0</v>
      </c>
      <c r="AM5" s="1" t="s">
        <v>261</v>
      </c>
    </row>
    <row r="6" spans="1:39" x14ac:dyDescent="0.25">
      <c r="A6" s="25" t="s">
        <v>24</v>
      </c>
      <c r="B6" s="17" t="s">
        <v>10</v>
      </c>
      <c r="C6" s="17" t="s">
        <v>11</v>
      </c>
      <c r="D6" s="17" t="s">
        <v>19</v>
      </c>
      <c r="E6" s="18" t="s">
        <v>25</v>
      </c>
      <c r="F6" s="17" t="s">
        <v>14</v>
      </c>
      <c r="G6" s="17">
        <v>20</v>
      </c>
      <c r="H6" s="17" t="s">
        <v>15</v>
      </c>
      <c r="I6" s="39">
        <v>6.5</v>
      </c>
      <c r="J6" s="25">
        <v>11</v>
      </c>
      <c r="K6" s="17">
        <f>J6-G6</f>
        <v>-9</v>
      </c>
      <c r="L6" s="17">
        <f>IF(K6&lt;0,0,J6-G6)</f>
        <v>0</v>
      </c>
      <c r="M6" s="20">
        <f>L6*I6/100</f>
        <v>0</v>
      </c>
      <c r="N6" s="57">
        <v>8.4</v>
      </c>
      <c r="O6" s="25">
        <v>39</v>
      </c>
      <c r="P6" s="17">
        <f>O6-G6</f>
        <v>19</v>
      </c>
      <c r="Q6" s="17">
        <f>IF(P6&lt;0,0,O6-G6)</f>
        <v>19</v>
      </c>
      <c r="R6" s="20">
        <f>Q6*I6/100</f>
        <v>1.2350000000000001</v>
      </c>
      <c r="S6" s="57">
        <v>8.4</v>
      </c>
      <c r="T6" s="25">
        <v>476</v>
      </c>
      <c r="U6" s="17">
        <f>T6-G6</f>
        <v>456</v>
      </c>
      <c r="V6" s="17">
        <f>IF(U6&lt;0,0,T6-G6)</f>
        <v>456</v>
      </c>
      <c r="W6" s="20">
        <f>V6*I6/100</f>
        <v>29.64</v>
      </c>
      <c r="X6" s="57">
        <v>8.4</v>
      </c>
      <c r="Y6" s="25">
        <v>71</v>
      </c>
      <c r="Z6" s="17">
        <f>Y6-G6</f>
        <v>51</v>
      </c>
      <c r="AA6" s="17">
        <f>IF(Z6&lt;0,0,Y6-G6)</f>
        <v>51</v>
      </c>
      <c r="AB6" s="20">
        <f>AA6*I6/100</f>
        <v>3.3149999999999999</v>
      </c>
      <c r="AC6" s="57">
        <v>8.4</v>
      </c>
      <c r="AD6" s="25">
        <v>0</v>
      </c>
      <c r="AE6" s="17">
        <f>AD6-G6</f>
        <v>-20</v>
      </c>
      <c r="AF6" s="17">
        <f>IF(AE6&lt;0,0,AD6-G6)</f>
        <v>0</v>
      </c>
      <c r="AG6" s="20">
        <f>AF6*I6/100</f>
        <v>0</v>
      </c>
      <c r="AH6" s="49">
        <v>8.4</v>
      </c>
      <c r="AI6" s="42">
        <f>AF6+AA6+V6+Q6+L6</f>
        <v>526</v>
      </c>
      <c r="AJ6" s="35">
        <f>AG6*AH6+AB6*AC6+W6*X6+R6*S6+M6*N6</f>
        <v>287.19600000000003</v>
      </c>
      <c r="AM6" s="4" t="s">
        <v>262</v>
      </c>
    </row>
    <row r="7" spans="1:39" x14ac:dyDescent="0.25">
      <c r="A7" s="25" t="s">
        <v>26</v>
      </c>
      <c r="B7" s="17" t="s">
        <v>10</v>
      </c>
      <c r="C7" s="17" t="s">
        <v>11</v>
      </c>
      <c r="D7" s="17" t="s">
        <v>19</v>
      </c>
      <c r="E7" s="17" t="s">
        <v>27</v>
      </c>
      <c r="F7" s="17" t="s">
        <v>14</v>
      </c>
      <c r="G7" s="17">
        <v>20</v>
      </c>
      <c r="H7" s="17" t="s">
        <v>15</v>
      </c>
      <c r="I7" s="39">
        <v>6.5</v>
      </c>
      <c r="J7" s="25">
        <v>52</v>
      </c>
      <c r="K7" s="17">
        <f>J7-G7</f>
        <v>32</v>
      </c>
      <c r="L7" s="17">
        <f>IF(K7&lt;0,0,J7-G7)</f>
        <v>32</v>
      </c>
      <c r="M7" s="20">
        <f>L7*I7/100</f>
        <v>2.08</v>
      </c>
      <c r="N7" s="57">
        <v>8.4</v>
      </c>
      <c r="O7" s="25">
        <v>20</v>
      </c>
      <c r="P7" s="17">
        <f>O7-G7</f>
        <v>0</v>
      </c>
      <c r="Q7" s="17">
        <f>IF(P7&lt;0,0,O7-G7)</f>
        <v>0</v>
      </c>
      <c r="R7" s="20">
        <f>Q7*I7/100</f>
        <v>0</v>
      </c>
      <c r="S7" s="57">
        <v>8.4</v>
      </c>
      <c r="T7" s="25">
        <v>51</v>
      </c>
      <c r="U7" s="17">
        <f>T7-G7</f>
        <v>31</v>
      </c>
      <c r="V7" s="17">
        <f>IF(U7&lt;0,0,T7-G7)</f>
        <v>31</v>
      </c>
      <c r="W7" s="20">
        <f>V7*I7/100</f>
        <v>2.0150000000000001</v>
      </c>
      <c r="X7" s="57">
        <v>8.4</v>
      </c>
      <c r="Y7" s="25">
        <v>389</v>
      </c>
      <c r="Z7" s="17">
        <f>Y7-G7</f>
        <v>369</v>
      </c>
      <c r="AA7" s="17">
        <f>IF(Z7&lt;0,0,Y7-G7)</f>
        <v>369</v>
      </c>
      <c r="AB7" s="20">
        <f>AA7*I7/100</f>
        <v>23.984999999999999</v>
      </c>
      <c r="AC7" s="57">
        <v>8.4</v>
      </c>
      <c r="AD7" s="25">
        <v>4</v>
      </c>
      <c r="AE7" s="17">
        <f>AD7-G7</f>
        <v>-16</v>
      </c>
      <c r="AF7" s="17">
        <f>IF(AE7&lt;0,0,AD7-G7)</f>
        <v>0</v>
      </c>
      <c r="AG7" s="20">
        <f>AF7*I7/100</f>
        <v>0</v>
      </c>
      <c r="AH7" s="49">
        <v>8.4</v>
      </c>
      <c r="AI7" s="42">
        <f>AF7+AA7+V7+Q7+L7</f>
        <v>432</v>
      </c>
      <c r="AJ7" s="35">
        <f>AG7*AH7+AB7*AC7+W7*X7+R7*S7+M7*N7</f>
        <v>235.87199999999999</v>
      </c>
      <c r="AM7" s="5" t="s">
        <v>263</v>
      </c>
    </row>
    <row r="8" spans="1:39" x14ac:dyDescent="0.25">
      <c r="A8" s="25" t="s">
        <v>28</v>
      </c>
      <c r="B8" s="17" t="s">
        <v>17</v>
      </c>
      <c r="C8" s="17" t="s">
        <v>18</v>
      </c>
      <c r="D8" s="17" t="s">
        <v>19</v>
      </c>
      <c r="E8" s="18" t="s">
        <v>20</v>
      </c>
      <c r="F8" s="17" t="s">
        <v>14</v>
      </c>
      <c r="G8" s="17">
        <v>20</v>
      </c>
      <c r="H8" s="17" t="s">
        <v>15</v>
      </c>
      <c r="I8" s="39">
        <v>6.5</v>
      </c>
      <c r="J8" s="45"/>
      <c r="K8" s="18"/>
      <c r="L8" s="18"/>
      <c r="M8" s="19"/>
      <c r="N8" s="58"/>
      <c r="O8" s="45"/>
      <c r="P8" s="18"/>
      <c r="Q8" s="18"/>
      <c r="R8" s="19"/>
      <c r="S8" s="58"/>
      <c r="T8" s="25">
        <v>22</v>
      </c>
      <c r="U8" s="17">
        <f>T8-G8</f>
        <v>2</v>
      </c>
      <c r="V8" s="17">
        <f>IF(U8&lt;0,0,T8-G8)</f>
        <v>2</v>
      </c>
      <c r="W8" s="20">
        <f>V8*I8/100</f>
        <v>0.13</v>
      </c>
      <c r="X8" s="57">
        <v>8.4</v>
      </c>
      <c r="Y8" s="25">
        <v>0</v>
      </c>
      <c r="Z8" s="17">
        <f>Y8-G8</f>
        <v>-20</v>
      </c>
      <c r="AA8" s="17">
        <f>IF(Z8&lt;0,0,Y8-G8)</f>
        <v>0</v>
      </c>
      <c r="AB8" s="20">
        <f>AA8*I8/100</f>
        <v>0</v>
      </c>
      <c r="AC8" s="57">
        <v>8.4</v>
      </c>
      <c r="AD8" s="25">
        <v>0</v>
      </c>
      <c r="AE8" s="17">
        <f>AD8-G8</f>
        <v>-20</v>
      </c>
      <c r="AF8" s="17">
        <f>IF(AE8&lt;0,0,AD8-G8)</f>
        <v>0</v>
      </c>
      <c r="AG8" s="20">
        <f>AF8*I8/100</f>
        <v>0</v>
      </c>
      <c r="AH8" s="49">
        <v>8.4</v>
      </c>
      <c r="AI8" s="42">
        <f>AF8+AA8+V8+Q8+L8</f>
        <v>2</v>
      </c>
      <c r="AJ8" s="35">
        <f>AG8*AH8+AB8*AC8+W8*X8+R8*S8+M8*N8</f>
        <v>1.0920000000000001</v>
      </c>
      <c r="AM8" s="6" t="s">
        <v>264</v>
      </c>
    </row>
    <row r="9" spans="1:39" x14ac:dyDescent="0.25">
      <c r="A9" s="25" t="s">
        <v>29</v>
      </c>
      <c r="B9" s="17" t="s">
        <v>10</v>
      </c>
      <c r="C9" s="17" t="s">
        <v>11</v>
      </c>
      <c r="D9" s="17" t="s">
        <v>19</v>
      </c>
      <c r="E9" s="17" t="s">
        <v>30</v>
      </c>
      <c r="F9" s="17" t="s">
        <v>14</v>
      </c>
      <c r="G9" s="17">
        <v>20</v>
      </c>
      <c r="H9" s="17" t="s">
        <v>15</v>
      </c>
      <c r="I9" s="39">
        <v>6.5</v>
      </c>
      <c r="J9" s="25">
        <v>21</v>
      </c>
      <c r="K9" s="17">
        <f>J9-G9</f>
        <v>1</v>
      </c>
      <c r="L9" s="17">
        <f>IF(K9&lt;0,0,J9-G9)</f>
        <v>1</v>
      </c>
      <c r="M9" s="20">
        <f>L9*I9/100</f>
        <v>6.5000000000000002E-2</v>
      </c>
      <c r="N9" s="57">
        <v>8.4</v>
      </c>
      <c r="O9" s="25">
        <v>20</v>
      </c>
      <c r="P9" s="17">
        <f>O9-G9</f>
        <v>0</v>
      </c>
      <c r="Q9" s="17">
        <f>IF(P9&lt;0,0,O9-G9)</f>
        <v>0</v>
      </c>
      <c r="R9" s="20">
        <f>Q9*I9/100</f>
        <v>0</v>
      </c>
      <c r="S9" s="57">
        <v>8.4</v>
      </c>
      <c r="T9" s="25">
        <v>20</v>
      </c>
      <c r="U9" s="17">
        <f>T9-G9</f>
        <v>0</v>
      </c>
      <c r="V9" s="17">
        <f>IF(U9&lt;0,0,T9-G9)</f>
        <v>0</v>
      </c>
      <c r="W9" s="20">
        <f>V9*I9/100</f>
        <v>0</v>
      </c>
      <c r="X9" s="57">
        <v>8.4</v>
      </c>
      <c r="Y9" s="25">
        <v>17</v>
      </c>
      <c r="Z9" s="17">
        <f>Y9-G9</f>
        <v>-3</v>
      </c>
      <c r="AA9" s="17">
        <f>IF(Z9&lt;0,0,Y9-G9)</f>
        <v>0</v>
      </c>
      <c r="AB9" s="20">
        <f>AA9*I9/100</f>
        <v>0</v>
      </c>
      <c r="AC9" s="57">
        <v>8.4</v>
      </c>
      <c r="AD9" s="25">
        <v>18</v>
      </c>
      <c r="AE9" s="17">
        <f>AD9-G9</f>
        <v>-2</v>
      </c>
      <c r="AF9" s="17">
        <f>IF(AE9&lt;0,0,AD9-G9)</f>
        <v>0</v>
      </c>
      <c r="AG9" s="20">
        <f>AF9*I9/100</f>
        <v>0</v>
      </c>
      <c r="AH9" s="49">
        <v>8.4</v>
      </c>
      <c r="AI9" s="42">
        <f>AF9+AA9+V9+Q9+L9</f>
        <v>1</v>
      </c>
      <c r="AJ9" s="35">
        <f>AG9*AH9+AB9*AC9+W9*X9+R9*S9+M9*N9</f>
        <v>0.54600000000000004</v>
      </c>
    </row>
    <row r="10" spans="1:39" x14ac:dyDescent="0.25">
      <c r="A10" s="25" t="s">
        <v>31</v>
      </c>
      <c r="B10" s="17" t="s">
        <v>32</v>
      </c>
      <c r="C10" s="17" t="s">
        <v>33</v>
      </c>
      <c r="D10" s="17" t="s">
        <v>19</v>
      </c>
      <c r="E10" s="17" t="s">
        <v>34</v>
      </c>
      <c r="F10" s="17" t="s">
        <v>14</v>
      </c>
      <c r="G10" s="17">
        <v>20</v>
      </c>
      <c r="H10" s="17" t="s">
        <v>15</v>
      </c>
      <c r="I10" s="39">
        <v>9</v>
      </c>
      <c r="J10" s="25">
        <v>20</v>
      </c>
      <c r="K10" s="17">
        <f>J10-G10</f>
        <v>0</v>
      </c>
      <c r="L10" s="17">
        <f>IF(K10&lt;0,0,J10-G10)</f>
        <v>0</v>
      </c>
      <c r="M10" s="20">
        <f>L10*I10/100</f>
        <v>0</v>
      </c>
      <c r="N10" s="57">
        <v>8.4</v>
      </c>
      <c r="O10" s="25">
        <v>23</v>
      </c>
      <c r="P10" s="17">
        <f>O10-G10</f>
        <v>3</v>
      </c>
      <c r="Q10" s="17">
        <f>IF(P10&lt;0,0,O10-G10)</f>
        <v>3</v>
      </c>
      <c r="R10" s="20">
        <f>Q10*I10/100</f>
        <v>0.27</v>
      </c>
      <c r="S10" s="57">
        <v>8.4</v>
      </c>
      <c r="T10" s="25">
        <v>2</v>
      </c>
      <c r="U10" s="17">
        <f>T10-G10</f>
        <v>-18</v>
      </c>
      <c r="V10" s="17">
        <f>IF(U10&lt;0,0,T10-G10)</f>
        <v>0</v>
      </c>
      <c r="W10" s="20">
        <f>V10*I10/100</f>
        <v>0</v>
      </c>
      <c r="X10" s="57">
        <v>8.4</v>
      </c>
      <c r="Y10" s="25">
        <v>11</v>
      </c>
      <c r="Z10" s="17">
        <f>Y10-G10</f>
        <v>-9</v>
      </c>
      <c r="AA10" s="17">
        <f>IF(Z10&lt;0,0,Y10-G10)</f>
        <v>0</v>
      </c>
      <c r="AB10" s="20">
        <f>AA10*I10/100</f>
        <v>0</v>
      </c>
      <c r="AC10" s="57">
        <v>8.4</v>
      </c>
      <c r="AD10" s="25">
        <v>22</v>
      </c>
      <c r="AE10" s="17">
        <f>AD10-G10</f>
        <v>2</v>
      </c>
      <c r="AF10" s="17">
        <f>IF(AE10&lt;0,0,AD10-G10)</f>
        <v>2</v>
      </c>
      <c r="AG10" s="20">
        <f>AF10*I10/100</f>
        <v>0.18</v>
      </c>
      <c r="AH10" s="49">
        <v>8.4</v>
      </c>
      <c r="AI10" s="42">
        <f>AF10+AA10+V10+Q10+L10</f>
        <v>5</v>
      </c>
      <c r="AJ10" s="35">
        <f>AG10*AH10+AB10*AC10+W10*X10+R10*S10+M10*N10</f>
        <v>3.7800000000000002</v>
      </c>
    </row>
    <row r="11" spans="1:39" x14ac:dyDescent="0.25">
      <c r="A11" s="25" t="s">
        <v>35</v>
      </c>
      <c r="B11" s="17" t="s">
        <v>17</v>
      </c>
      <c r="C11" s="17" t="s">
        <v>36</v>
      </c>
      <c r="D11" s="17" t="s">
        <v>12</v>
      </c>
      <c r="E11" s="17" t="s">
        <v>37</v>
      </c>
      <c r="F11" s="17" t="s">
        <v>14</v>
      </c>
      <c r="G11" s="17">
        <v>20</v>
      </c>
      <c r="H11" s="17" t="s">
        <v>38</v>
      </c>
      <c r="I11" s="39">
        <v>6.5</v>
      </c>
      <c r="J11" s="25">
        <v>0</v>
      </c>
      <c r="K11" s="17">
        <f>J11-G11</f>
        <v>-20</v>
      </c>
      <c r="L11" s="17">
        <f>IF(K11&lt;0,0,J11-G11)</f>
        <v>0</v>
      </c>
      <c r="M11" s="20">
        <f>L11*I11/100</f>
        <v>0</v>
      </c>
      <c r="N11" s="57">
        <v>7.3</v>
      </c>
      <c r="O11" s="25">
        <v>6</v>
      </c>
      <c r="P11" s="17">
        <f>O11-G11</f>
        <v>-14</v>
      </c>
      <c r="Q11" s="17">
        <f>IF(P11&lt;0,0,O11-G11)</f>
        <v>0</v>
      </c>
      <c r="R11" s="20">
        <f>Q11*I11/100</f>
        <v>0</v>
      </c>
      <c r="S11" s="57">
        <v>7.2</v>
      </c>
      <c r="T11" s="87">
        <v>0</v>
      </c>
      <c r="U11" s="21">
        <f>T11-G11</f>
        <v>-20</v>
      </c>
      <c r="V11" s="21">
        <f>IF(U11&lt;0,0,T11-G11)</f>
        <v>0</v>
      </c>
      <c r="W11" s="22">
        <f>V11*I11/100</f>
        <v>0</v>
      </c>
      <c r="X11" s="61">
        <v>7.2</v>
      </c>
      <c r="Y11" s="25">
        <v>0</v>
      </c>
      <c r="Z11" s="17">
        <f>Y11-G11</f>
        <v>-20</v>
      </c>
      <c r="AA11" s="17">
        <f>IF(Z11&lt;0,0,Y11-G11)</f>
        <v>0</v>
      </c>
      <c r="AB11" s="20">
        <f>AA11*I11/100</f>
        <v>0</v>
      </c>
      <c r="AC11" s="57">
        <v>7.2</v>
      </c>
      <c r="AD11" s="25">
        <v>0</v>
      </c>
      <c r="AE11" s="17">
        <f>AD11-G11</f>
        <v>-20</v>
      </c>
      <c r="AF11" s="17">
        <f>IF(AE11&lt;0,0,AD11-G11)</f>
        <v>0</v>
      </c>
      <c r="AG11" s="20">
        <f>AF11*I11/100</f>
        <v>0</v>
      </c>
      <c r="AH11" s="49">
        <v>7.2</v>
      </c>
      <c r="AI11" s="42">
        <f>AF11+AA11+V11+Q11+L11</f>
        <v>0</v>
      </c>
      <c r="AJ11" s="35">
        <f>AG11*AH11+AB11*AC11+W11*X11+R11*S11+M11*N11</f>
        <v>0</v>
      </c>
    </row>
    <row r="12" spans="1:39" x14ac:dyDescent="0.25">
      <c r="A12" s="25" t="s">
        <v>39</v>
      </c>
      <c r="B12" s="17" t="s">
        <v>17</v>
      </c>
      <c r="C12" s="17" t="s">
        <v>18</v>
      </c>
      <c r="D12" s="17" t="s">
        <v>12</v>
      </c>
      <c r="E12" s="18" t="s">
        <v>40</v>
      </c>
      <c r="F12" s="17" t="s">
        <v>14</v>
      </c>
      <c r="G12" s="17">
        <v>20</v>
      </c>
      <c r="H12" s="17" t="s">
        <v>15</v>
      </c>
      <c r="I12" s="39">
        <v>6.5</v>
      </c>
      <c r="J12" s="45"/>
      <c r="K12" s="18"/>
      <c r="L12" s="18"/>
      <c r="M12" s="19"/>
      <c r="N12" s="58"/>
      <c r="O12" s="25">
        <v>0</v>
      </c>
      <c r="P12" s="17">
        <f>O12-G12</f>
        <v>-20</v>
      </c>
      <c r="Q12" s="17">
        <f>IF(P12&lt;0,0,O12-G12)</f>
        <v>0</v>
      </c>
      <c r="R12" s="20">
        <f>Q12*I12/100</f>
        <v>0</v>
      </c>
      <c r="S12" s="57">
        <v>8.4</v>
      </c>
      <c r="T12" s="45"/>
      <c r="U12" s="18"/>
      <c r="V12" s="18"/>
      <c r="W12" s="19"/>
      <c r="X12" s="58"/>
      <c r="Y12" s="45"/>
      <c r="Z12" s="18"/>
      <c r="AA12" s="18"/>
      <c r="AB12" s="19"/>
      <c r="AC12" s="58"/>
      <c r="AD12" s="45"/>
      <c r="AE12" s="18"/>
      <c r="AF12" s="18"/>
      <c r="AG12" s="19"/>
      <c r="AH12" s="50"/>
      <c r="AI12" s="42">
        <f>AF12+AA12+V12+Q12+L12</f>
        <v>0</v>
      </c>
      <c r="AJ12" s="35">
        <f>AG12*AH12+AB12*AC12+W12*X12+R12*S12+M12*N12</f>
        <v>0</v>
      </c>
      <c r="AM12" s="1" t="s">
        <v>265</v>
      </c>
    </row>
    <row r="13" spans="1:39" x14ac:dyDescent="0.25">
      <c r="A13" s="25" t="s">
        <v>41</v>
      </c>
      <c r="B13" s="17" t="s">
        <v>32</v>
      </c>
      <c r="C13" s="17">
        <v>308</v>
      </c>
      <c r="D13" s="17" t="s">
        <v>12</v>
      </c>
      <c r="E13" s="17" t="s">
        <v>42</v>
      </c>
      <c r="F13" s="17" t="s">
        <v>14</v>
      </c>
      <c r="G13" s="17">
        <v>700</v>
      </c>
      <c r="H13" s="17" t="s">
        <v>15</v>
      </c>
      <c r="I13" s="39">
        <v>6.5</v>
      </c>
      <c r="J13" s="25">
        <v>40</v>
      </c>
      <c r="K13" s="17">
        <f>J13-G13</f>
        <v>-660</v>
      </c>
      <c r="L13" s="17">
        <f>IF(K13&lt;0,0,J13-G13)</f>
        <v>0</v>
      </c>
      <c r="M13" s="20">
        <f>L13*I13/100</f>
        <v>0</v>
      </c>
      <c r="N13" s="57">
        <v>8.4</v>
      </c>
      <c r="O13" s="25">
        <v>26</v>
      </c>
      <c r="P13" s="17">
        <f>O13-G13</f>
        <v>-674</v>
      </c>
      <c r="Q13" s="17">
        <f>IF(P13&lt;0,0,O13-G13)</f>
        <v>0</v>
      </c>
      <c r="R13" s="20">
        <f>Q13*I13/100</f>
        <v>0</v>
      </c>
      <c r="S13" s="57">
        <v>8.4</v>
      </c>
      <c r="T13" s="25">
        <v>77</v>
      </c>
      <c r="U13" s="17">
        <f>T13-G13</f>
        <v>-623</v>
      </c>
      <c r="V13" s="17">
        <f>IF(U13&lt;0,0,T13-G13)</f>
        <v>0</v>
      </c>
      <c r="W13" s="20">
        <f>V13*I13/100</f>
        <v>0</v>
      </c>
      <c r="X13" s="57">
        <v>8.4</v>
      </c>
      <c r="Y13" s="25">
        <v>90</v>
      </c>
      <c r="Z13" s="17">
        <f>Y13-G13</f>
        <v>-610</v>
      </c>
      <c r="AA13" s="17">
        <f>IF(Z13&lt;0,0,Y13-G13)</f>
        <v>0</v>
      </c>
      <c r="AB13" s="20">
        <f>AA13*I13/100</f>
        <v>0</v>
      </c>
      <c r="AC13" s="57">
        <v>8.4</v>
      </c>
      <c r="AD13" s="25">
        <v>131</v>
      </c>
      <c r="AE13" s="17">
        <f>AD13-G13</f>
        <v>-569</v>
      </c>
      <c r="AF13" s="17">
        <f>IF(AE13&lt;0,0,AD13-G13)</f>
        <v>0</v>
      </c>
      <c r="AG13" s="20">
        <f>AF13*I13/100</f>
        <v>0</v>
      </c>
      <c r="AH13" s="49">
        <v>8.4</v>
      </c>
      <c r="AI13" s="42">
        <f>AF13+AA13+V13+Q13+L13</f>
        <v>0</v>
      </c>
      <c r="AJ13" s="35">
        <f>AG13*AH13+AB13*AC13+W13*X13+R13*S13+M13*N13</f>
        <v>0</v>
      </c>
      <c r="AM13" s="1" t="s">
        <v>266</v>
      </c>
    </row>
    <row r="14" spans="1:39" x14ac:dyDescent="0.25">
      <c r="A14" s="25" t="s">
        <v>43</v>
      </c>
      <c r="B14" s="17" t="s">
        <v>17</v>
      </c>
      <c r="C14" s="17" t="s">
        <v>18</v>
      </c>
      <c r="D14" s="17" t="s">
        <v>12</v>
      </c>
      <c r="E14" s="17" t="s">
        <v>44</v>
      </c>
      <c r="F14" s="17" t="s">
        <v>14</v>
      </c>
      <c r="G14" s="17">
        <v>20</v>
      </c>
      <c r="H14" s="17" t="s">
        <v>15</v>
      </c>
      <c r="I14" s="39">
        <v>6.5</v>
      </c>
      <c r="J14" s="25">
        <v>0</v>
      </c>
      <c r="K14" s="17">
        <f>J14-G14</f>
        <v>-20</v>
      </c>
      <c r="L14" s="17">
        <f>IF(K14&lt;0,0,J14-G14)</f>
        <v>0</v>
      </c>
      <c r="M14" s="20">
        <f>L14*I14/100</f>
        <v>0</v>
      </c>
      <c r="N14" s="57">
        <v>8.4</v>
      </c>
      <c r="O14" s="25">
        <v>0</v>
      </c>
      <c r="P14" s="17">
        <f>O14-G14</f>
        <v>-20</v>
      </c>
      <c r="Q14" s="17">
        <f>IF(P14&lt;0,0,O14-G14)</f>
        <v>0</v>
      </c>
      <c r="R14" s="20">
        <f>Q14*I14/100</f>
        <v>0</v>
      </c>
      <c r="S14" s="57">
        <v>8.4</v>
      </c>
      <c r="T14" s="25">
        <v>0</v>
      </c>
      <c r="U14" s="17">
        <f>T14-G14</f>
        <v>-20</v>
      </c>
      <c r="V14" s="17">
        <f>IF(U14&lt;0,0,T14-G14)</f>
        <v>0</v>
      </c>
      <c r="W14" s="20">
        <f>V14*I14/100</f>
        <v>0</v>
      </c>
      <c r="X14" s="57">
        <v>8.4</v>
      </c>
      <c r="Y14" s="25">
        <v>0</v>
      </c>
      <c r="Z14" s="17">
        <f>Y14-G14</f>
        <v>-20</v>
      </c>
      <c r="AA14" s="17">
        <f>IF(Z14&lt;0,0,Y14-G14)</f>
        <v>0</v>
      </c>
      <c r="AB14" s="20">
        <f>AA14*I14/100</f>
        <v>0</v>
      </c>
      <c r="AC14" s="57">
        <v>8.4</v>
      </c>
      <c r="AD14" s="25">
        <v>0</v>
      </c>
      <c r="AE14" s="17">
        <f>AD14-G14</f>
        <v>-20</v>
      </c>
      <c r="AF14" s="17">
        <f>IF(AE14&lt;0,0,AD14-G14)</f>
        <v>0</v>
      </c>
      <c r="AG14" s="20">
        <f>AF14*I14/100</f>
        <v>0</v>
      </c>
      <c r="AH14" s="49">
        <v>8.4</v>
      </c>
      <c r="AI14" s="42">
        <f>AF14+AA14+V14+Q14+L14</f>
        <v>0</v>
      </c>
      <c r="AJ14" s="35">
        <f>AG14*AH14+AB14*AC14+W14*X14+R14*S14+M14*N14</f>
        <v>0</v>
      </c>
      <c r="AM14" s="1" t="s">
        <v>267</v>
      </c>
    </row>
    <row r="15" spans="1:39" x14ac:dyDescent="0.25">
      <c r="A15" s="25" t="s">
        <v>45</v>
      </c>
      <c r="B15" s="17" t="s">
        <v>32</v>
      </c>
      <c r="C15" s="17">
        <v>308</v>
      </c>
      <c r="D15" s="17" t="s">
        <v>12</v>
      </c>
      <c r="E15" s="17" t="s">
        <v>46</v>
      </c>
      <c r="F15" s="17" t="s">
        <v>14</v>
      </c>
      <c r="G15" s="17">
        <v>20</v>
      </c>
      <c r="H15" s="17" t="s">
        <v>15</v>
      </c>
      <c r="I15" s="39">
        <v>6.5</v>
      </c>
      <c r="J15" s="25">
        <v>25</v>
      </c>
      <c r="K15" s="17">
        <f>J15-G15</f>
        <v>5</v>
      </c>
      <c r="L15" s="17">
        <f>IF(K15&lt;0,0,J15-G15)</f>
        <v>5</v>
      </c>
      <c r="M15" s="20">
        <f>L15*I15/100</f>
        <v>0.32500000000000001</v>
      </c>
      <c r="N15" s="57">
        <v>8.4</v>
      </c>
      <c r="O15" s="25">
        <v>0</v>
      </c>
      <c r="P15" s="17">
        <f>O15-G15</f>
        <v>-20</v>
      </c>
      <c r="Q15" s="17">
        <f>IF(P15&lt;0,0,O15-G15)</f>
        <v>0</v>
      </c>
      <c r="R15" s="20">
        <f>Q15*I15/100</f>
        <v>0</v>
      </c>
      <c r="S15" s="57">
        <v>8.4</v>
      </c>
      <c r="T15" s="25">
        <v>0</v>
      </c>
      <c r="U15" s="17">
        <f>T15-G15</f>
        <v>-20</v>
      </c>
      <c r="V15" s="17">
        <f>IF(U15&lt;0,0,T15-G15)</f>
        <v>0</v>
      </c>
      <c r="W15" s="20">
        <f>V15*I15/100</f>
        <v>0</v>
      </c>
      <c r="X15" s="57">
        <v>8.4</v>
      </c>
      <c r="Y15" s="25">
        <v>0</v>
      </c>
      <c r="Z15" s="17">
        <f>Y15-G15</f>
        <v>-20</v>
      </c>
      <c r="AA15" s="17">
        <f>IF(Z15&lt;0,0,Y15-G15)</f>
        <v>0</v>
      </c>
      <c r="AB15" s="20">
        <f>AA15*I15/100</f>
        <v>0</v>
      </c>
      <c r="AC15" s="57">
        <v>8.4</v>
      </c>
      <c r="AD15" s="25">
        <v>1</v>
      </c>
      <c r="AE15" s="17">
        <f>AD15-G15</f>
        <v>-19</v>
      </c>
      <c r="AF15" s="17">
        <f>IF(AE15&lt;0,0,AD15-G15)</f>
        <v>0</v>
      </c>
      <c r="AG15" s="20">
        <f>AF15*I15/100</f>
        <v>0</v>
      </c>
      <c r="AH15" s="49">
        <v>8.4</v>
      </c>
      <c r="AI15" s="42">
        <f>AF15+AA15+V15+Q15+L15</f>
        <v>5</v>
      </c>
      <c r="AJ15" s="35">
        <f>AG15*AH15+AB15*AC15+W15*X15+R15*S15+M15*N15</f>
        <v>2.7300000000000004</v>
      </c>
      <c r="AM15" s="1" t="s">
        <v>268</v>
      </c>
    </row>
    <row r="16" spans="1:39" x14ac:dyDescent="0.25">
      <c r="A16" s="25" t="s">
        <v>47</v>
      </c>
      <c r="B16" s="17" t="s">
        <v>32</v>
      </c>
      <c r="C16" s="17">
        <v>308</v>
      </c>
      <c r="D16" s="17" t="s">
        <v>12</v>
      </c>
      <c r="E16" s="17" t="s">
        <v>48</v>
      </c>
      <c r="F16" s="17" t="s">
        <v>14</v>
      </c>
      <c r="G16" s="17">
        <v>20</v>
      </c>
      <c r="H16" s="17" t="s">
        <v>15</v>
      </c>
      <c r="I16" s="39">
        <v>6.5</v>
      </c>
      <c r="J16" s="25">
        <v>0</v>
      </c>
      <c r="K16" s="17">
        <f>J16-G16</f>
        <v>-20</v>
      </c>
      <c r="L16" s="17">
        <f>IF(K16&lt;0,0,J16-G16)</f>
        <v>0</v>
      </c>
      <c r="M16" s="20">
        <f>L16*I16/100</f>
        <v>0</v>
      </c>
      <c r="N16" s="57">
        <v>8.4</v>
      </c>
      <c r="O16" s="25">
        <v>0</v>
      </c>
      <c r="P16" s="17">
        <f>O16-G16</f>
        <v>-20</v>
      </c>
      <c r="Q16" s="17">
        <f>IF(P16&lt;0,0,O16-G16)</f>
        <v>0</v>
      </c>
      <c r="R16" s="20">
        <f>Q16*I16/100</f>
        <v>0</v>
      </c>
      <c r="S16" s="57">
        <v>8.4</v>
      </c>
      <c r="T16" s="25">
        <v>0</v>
      </c>
      <c r="U16" s="17">
        <f>T16-G16</f>
        <v>-20</v>
      </c>
      <c r="V16" s="17">
        <f>IF(U16&lt;0,0,T16-G16)</f>
        <v>0</v>
      </c>
      <c r="W16" s="20">
        <f>V16*I16/100</f>
        <v>0</v>
      </c>
      <c r="X16" s="57">
        <v>8.4</v>
      </c>
      <c r="Y16" s="25">
        <v>0</v>
      </c>
      <c r="Z16" s="17">
        <f>Y16-G16</f>
        <v>-20</v>
      </c>
      <c r="AA16" s="17">
        <f>IF(Z16&lt;0,0,Y16-G16)</f>
        <v>0</v>
      </c>
      <c r="AB16" s="20">
        <f>AA16*I16/100</f>
        <v>0</v>
      </c>
      <c r="AC16" s="57">
        <v>8.4</v>
      </c>
      <c r="AD16" s="25">
        <v>0</v>
      </c>
      <c r="AE16" s="17">
        <f>AD16-G16</f>
        <v>-20</v>
      </c>
      <c r="AF16" s="17">
        <f>IF(AE16&lt;0,0,AD16-G16)</f>
        <v>0</v>
      </c>
      <c r="AG16" s="20">
        <f>AF16*I16/100</f>
        <v>0</v>
      </c>
      <c r="AH16" s="49">
        <v>8.4</v>
      </c>
      <c r="AI16" s="42">
        <f>AF16+AA16+V16+Q16+L16</f>
        <v>0</v>
      </c>
      <c r="AJ16" s="35">
        <f>AG16*AH16+AB16*AC16+W16*X16+R16*S16+M16*N16</f>
        <v>0</v>
      </c>
      <c r="AM16" s="1" t="s">
        <v>269</v>
      </c>
    </row>
    <row r="17" spans="1:39" x14ac:dyDescent="0.25">
      <c r="A17" s="25" t="s">
        <v>49</v>
      </c>
      <c r="B17" s="17" t="s">
        <v>17</v>
      </c>
      <c r="C17" s="17" t="s">
        <v>18</v>
      </c>
      <c r="D17" s="17" t="s">
        <v>12</v>
      </c>
      <c r="E17" s="18" t="s">
        <v>50</v>
      </c>
      <c r="F17" s="17" t="s">
        <v>14</v>
      </c>
      <c r="G17" s="17">
        <v>20</v>
      </c>
      <c r="H17" s="17" t="s">
        <v>15</v>
      </c>
      <c r="I17" s="39">
        <v>6.5</v>
      </c>
      <c r="J17" s="45"/>
      <c r="K17" s="18"/>
      <c r="L17" s="18"/>
      <c r="M17" s="19"/>
      <c r="N17" s="58"/>
      <c r="O17" s="25">
        <v>0</v>
      </c>
      <c r="P17" s="17">
        <f>O17-G17</f>
        <v>-20</v>
      </c>
      <c r="Q17" s="17">
        <f>IF(P17&lt;0,0,O17-G17)</f>
        <v>0</v>
      </c>
      <c r="R17" s="20">
        <f>Q17*I17/100</f>
        <v>0</v>
      </c>
      <c r="S17" s="57">
        <v>8.4</v>
      </c>
      <c r="T17" s="25">
        <v>0</v>
      </c>
      <c r="U17" s="17">
        <f>T17-G17</f>
        <v>-20</v>
      </c>
      <c r="V17" s="17">
        <f>IF(U17&lt;0,0,T17-G17)</f>
        <v>0</v>
      </c>
      <c r="W17" s="20">
        <f>V17*I17/100</f>
        <v>0</v>
      </c>
      <c r="X17" s="57">
        <v>8.4</v>
      </c>
      <c r="Y17" s="45"/>
      <c r="Z17" s="18"/>
      <c r="AA17" s="18"/>
      <c r="AB17" s="19"/>
      <c r="AC17" s="58"/>
      <c r="AD17" s="25">
        <v>0</v>
      </c>
      <c r="AE17" s="17">
        <f>AD17-G17</f>
        <v>-20</v>
      </c>
      <c r="AF17" s="17">
        <f>IF(AE17&lt;0,0,AD17-G17)</f>
        <v>0</v>
      </c>
      <c r="AG17" s="20">
        <f>AF17*I17/100</f>
        <v>0</v>
      </c>
      <c r="AH17" s="49">
        <v>8.4</v>
      </c>
      <c r="AI17" s="42">
        <f>AF17+AA17+V17+Q17+L17</f>
        <v>0</v>
      </c>
      <c r="AJ17" s="35">
        <f>AG17*AH17+AB17*AC17+W17*X17+R17*S17+M17*N17</f>
        <v>0</v>
      </c>
      <c r="AM17" s="1" t="s">
        <v>270</v>
      </c>
    </row>
    <row r="18" spans="1:39" x14ac:dyDescent="0.25">
      <c r="A18" s="25" t="s">
        <v>51</v>
      </c>
      <c r="B18" s="17" t="s">
        <v>32</v>
      </c>
      <c r="C18" s="17" t="s">
        <v>52</v>
      </c>
      <c r="D18" s="17" t="s">
        <v>12</v>
      </c>
      <c r="E18" s="17" t="s">
        <v>53</v>
      </c>
      <c r="F18" s="17" t="s">
        <v>14</v>
      </c>
      <c r="G18" s="17">
        <v>20</v>
      </c>
      <c r="H18" s="17" t="s">
        <v>15</v>
      </c>
      <c r="I18" s="39">
        <v>11</v>
      </c>
      <c r="J18" s="25">
        <v>0</v>
      </c>
      <c r="K18" s="17">
        <f>J18-G18</f>
        <v>-20</v>
      </c>
      <c r="L18" s="17">
        <f>IF(K18&lt;0,0,J18-G18)</f>
        <v>0</v>
      </c>
      <c r="M18" s="20">
        <f>L18*I18/100</f>
        <v>0</v>
      </c>
      <c r="N18" s="57">
        <v>8.4</v>
      </c>
      <c r="O18" s="25">
        <v>0</v>
      </c>
      <c r="P18" s="17">
        <f>O18-G18</f>
        <v>-20</v>
      </c>
      <c r="Q18" s="17">
        <f>IF(P18&lt;0,0,O18-G18)</f>
        <v>0</v>
      </c>
      <c r="R18" s="20">
        <f>Q18*I18/100</f>
        <v>0</v>
      </c>
      <c r="S18" s="57">
        <v>8.4</v>
      </c>
      <c r="T18" s="25">
        <v>0</v>
      </c>
      <c r="U18" s="17">
        <f>T18-G18</f>
        <v>-20</v>
      </c>
      <c r="V18" s="17">
        <f>IF(U18&lt;0,0,T18-G18)</f>
        <v>0</v>
      </c>
      <c r="W18" s="20">
        <f>V18*I18/100</f>
        <v>0</v>
      </c>
      <c r="X18" s="57">
        <v>8.4</v>
      </c>
      <c r="Y18" s="25">
        <v>0</v>
      </c>
      <c r="Z18" s="17">
        <f>Y18-G18</f>
        <v>-20</v>
      </c>
      <c r="AA18" s="17">
        <f>IF(Z18&lt;0,0,Y18-G18)</f>
        <v>0</v>
      </c>
      <c r="AB18" s="20">
        <f>AA18*I18/100</f>
        <v>0</v>
      </c>
      <c r="AC18" s="57">
        <v>8.4</v>
      </c>
      <c r="AD18" s="25">
        <v>0</v>
      </c>
      <c r="AE18" s="17">
        <f>AD18-G18</f>
        <v>-20</v>
      </c>
      <c r="AF18" s="17">
        <f>IF(AE18&lt;0,0,AD18-G18)</f>
        <v>0</v>
      </c>
      <c r="AG18" s="20">
        <f>AF18*I18/100</f>
        <v>0</v>
      </c>
      <c r="AH18" s="49">
        <v>8.4</v>
      </c>
      <c r="AI18" s="42">
        <f>AF18+AA18+V18+Q18+L18</f>
        <v>0</v>
      </c>
      <c r="AJ18" s="35">
        <f>AG18*AH18+AB18*AC18+W18*X18+R18*S18+M18*N18</f>
        <v>0</v>
      </c>
      <c r="AM18" s="1" t="s">
        <v>271</v>
      </c>
    </row>
    <row r="19" spans="1:39" x14ac:dyDescent="0.25">
      <c r="A19" s="25" t="s">
        <v>54</v>
      </c>
      <c r="B19" s="17" t="s">
        <v>10</v>
      </c>
      <c r="C19" s="17" t="s">
        <v>22</v>
      </c>
      <c r="D19" s="17" t="s">
        <v>12</v>
      </c>
      <c r="E19" s="17" t="s">
        <v>55</v>
      </c>
      <c r="F19" s="17" t="s">
        <v>14</v>
      </c>
      <c r="G19" s="17">
        <v>20</v>
      </c>
      <c r="H19" s="17" t="s">
        <v>15</v>
      </c>
      <c r="I19" s="39">
        <v>11</v>
      </c>
      <c r="J19" s="25">
        <v>0</v>
      </c>
      <c r="K19" s="17">
        <f>J19-G19</f>
        <v>-20</v>
      </c>
      <c r="L19" s="17">
        <f>IF(K19&lt;0,0,J19-G19)</f>
        <v>0</v>
      </c>
      <c r="M19" s="20">
        <f>L19*I19/100</f>
        <v>0</v>
      </c>
      <c r="N19" s="57">
        <v>8.4</v>
      </c>
      <c r="O19" s="25">
        <v>0</v>
      </c>
      <c r="P19" s="17">
        <f>O19-G19</f>
        <v>-20</v>
      </c>
      <c r="Q19" s="17">
        <f>IF(P19&lt;0,0,O19-G19)</f>
        <v>0</v>
      </c>
      <c r="R19" s="20">
        <f>Q19*I19/100</f>
        <v>0</v>
      </c>
      <c r="S19" s="57">
        <v>8.4</v>
      </c>
      <c r="T19" s="25">
        <v>0</v>
      </c>
      <c r="U19" s="17">
        <f>T19-G19</f>
        <v>-20</v>
      </c>
      <c r="V19" s="17">
        <f>IF(U19&lt;0,0,T19-G19)</f>
        <v>0</v>
      </c>
      <c r="W19" s="20">
        <f>V19*I19/100</f>
        <v>0</v>
      </c>
      <c r="X19" s="57">
        <v>8.4</v>
      </c>
      <c r="Y19" s="25">
        <v>0</v>
      </c>
      <c r="Z19" s="17">
        <f>Y19-G19</f>
        <v>-20</v>
      </c>
      <c r="AA19" s="17">
        <f>IF(Z19&lt;0,0,Y19-G19)</f>
        <v>0</v>
      </c>
      <c r="AB19" s="20">
        <f>AA19*I19/100</f>
        <v>0</v>
      </c>
      <c r="AC19" s="57">
        <v>8.4</v>
      </c>
      <c r="AD19" s="25">
        <v>0</v>
      </c>
      <c r="AE19" s="17">
        <f>AD19-G19</f>
        <v>-20</v>
      </c>
      <c r="AF19" s="17">
        <f>IF(AE19&lt;0,0,AD19-G19)</f>
        <v>0</v>
      </c>
      <c r="AG19" s="20">
        <f>AF19*I19/100</f>
        <v>0</v>
      </c>
      <c r="AH19" s="49">
        <v>8.4</v>
      </c>
      <c r="AI19" s="42">
        <f>AF19+AA19+V19+Q19+L19</f>
        <v>0</v>
      </c>
      <c r="AJ19" s="35">
        <f>AG19*AH19+AB19*AC19+W19*X19+R19*S19+M19*N19</f>
        <v>0</v>
      </c>
      <c r="AM19" s="1" t="s">
        <v>272</v>
      </c>
    </row>
    <row r="20" spans="1:39" x14ac:dyDescent="0.25">
      <c r="A20" s="25" t="s">
        <v>56</v>
      </c>
      <c r="B20" s="17" t="s">
        <v>10</v>
      </c>
      <c r="C20" s="17" t="s">
        <v>22</v>
      </c>
      <c r="D20" s="17" t="s">
        <v>12</v>
      </c>
      <c r="E20" s="18" t="s">
        <v>57</v>
      </c>
      <c r="F20" s="17" t="s">
        <v>14</v>
      </c>
      <c r="G20" s="17">
        <v>20</v>
      </c>
      <c r="H20" s="17" t="s">
        <v>15</v>
      </c>
      <c r="I20" s="39">
        <v>11</v>
      </c>
      <c r="J20" s="25">
        <v>0</v>
      </c>
      <c r="K20" s="17">
        <f>J20-G20</f>
        <v>-20</v>
      </c>
      <c r="L20" s="17">
        <f>IF(K20&lt;0,0,J20-G20)</f>
        <v>0</v>
      </c>
      <c r="M20" s="20">
        <f>L20*I20/100</f>
        <v>0</v>
      </c>
      <c r="N20" s="57">
        <v>8.4</v>
      </c>
      <c r="O20" s="45"/>
      <c r="P20" s="18"/>
      <c r="Q20" s="18"/>
      <c r="R20" s="19"/>
      <c r="S20" s="58"/>
      <c r="T20" s="25">
        <v>22</v>
      </c>
      <c r="U20" s="17">
        <f>T20-G20</f>
        <v>2</v>
      </c>
      <c r="V20" s="17">
        <f>IF(U20&lt;0,0,T20-G20)</f>
        <v>2</v>
      </c>
      <c r="W20" s="20">
        <f>V20*I20/100</f>
        <v>0.22</v>
      </c>
      <c r="X20" s="57">
        <v>8.4</v>
      </c>
      <c r="Y20" s="25">
        <v>0</v>
      </c>
      <c r="Z20" s="17">
        <f>Y20-G20</f>
        <v>-20</v>
      </c>
      <c r="AA20" s="17">
        <f>IF(Z20&lt;0,0,Y20-G20)</f>
        <v>0</v>
      </c>
      <c r="AB20" s="20">
        <f>AA20*I20/100</f>
        <v>0</v>
      </c>
      <c r="AC20" s="57">
        <v>8.4</v>
      </c>
      <c r="AD20" s="25">
        <v>0</v>
      </c>
      <c r="AE20" s="17">
        <f>AD20-G20</f>
        <v>-20</v>
      </c>
      <c r="AF20" s="17">
        <f>IF(AE20&lt;0,0,AD20-G20)</f>
        <v>0</v>
      </c>
      <c r="AG20" s="20">
        <f>AF20*I20/100</f>
        <v>0</v>
      </c>
      <c r="AH20" s="49">
        <v>8.4</v>
      </c>
      <c r="AI20" s="42">
        <f>AF20+AA20+V20+Q20+L20</f>
        <v>2</v>
      </c>
      <c r="AJ20" s="35">
        <f>AG20*AH20+AB20*AC20+W20*X20+R20*S20+M20*N20</f>
        <v>1.8480000000000001</v>
      </c>
      <c r="AM20" s="1" t="s">
        <v>273</v>
      </c>
    </row>
    <row r="21" spans="1:39" x14ac:dyDescent="0.25">
      <c r="A21" s="25" t="s">
        <v>56</v>
      </c>
      <c r="B21" s="17" t="s">
        <v>10</v>
      </c>
      <c r="C21" s="17" t="s">
        <v>22</v>
      </c>
      <c r="D21" s="17" t="s">
        <v>12</v>
      </c>
      <c r="E21" s="18" t="s">
        <v>58</v>
      </c>
      <c r="F21" s="17" t="s">
        <v>14</v>
      </c>
      <c r="G21" s="17">
        <v>20</v>
      </c>
      <c r="H21" s="17" t="s">
        <v>15</v>
      </c>
      <c r="I21" s="39">
        <v>11</v>
      </c>
      <c r="J21" s="45"/>
      <c r="K21" s="18"/>
      <c r="L21" s="18"/>
      <c r="M21" s="19"/>
      <c r="N21" s="58"/>
      <c r="O21" s="25">
        <v>37</v>
      </c>
      <c r="P21" s="17">
        <f>O21-G21</f>
        <v>17</v>
      </c>
      <c r="Q21" s="17">
        <f>IF(P21&lt;0,0,O21-G21)</f>
        <v>17</v>
      </c>
      <c r="R21" s="20">
        <f>Q21*I21/100</f>
        <v>1.87</v>
      </c>
      <c r="S21" s="57">
        <v>8.4</v>
      </c>
      <c r="T21" s="45"/>
      <c r="U21" s="18"/>
      <c r="V21" s="18"/>
      <c r="W21" s="19"/>
      <c r="X21" s="58"/>
      <c r="Y21" s="45"/>
      <c r="Z21" s="18"/>
      <c r="AA21" s="18"/>
      <c r="AB21" s="19"/>
      <c r="AC21" s="58"/>
      <c r="AD21" s="45"/>
      <c r="AE21" s="18"/>
      <c r="AF21" s="18"/>
      <c r="AG21" s="19"/>
      <c r="AH21" s="50"/>
      <c r="AI21" s="42">
        <f>AF21+AA21+V21+Q21+L21</f>
        <v>17</v>
      </c>
      <c r="AJ21" s="35">
        <f>AG21*AH21+AB21*AC21+W21*X21+R21*S21+M21*N21</f>
        <v>15.708000000000002</v>
      </c>
      <c r="AM21" s="1" t="s">
        <v>274</v>
      </c>
    </row>
    <row r="22" spans="1:39" x14ac:dyDescent="0.25">
      <c r="A22" s="25" t="s">
        <v>59</v>
      </c>
      <c r="B22" s="17" t="s">
        <v>32</v>
      </c>
      <c r="C22" s="17">
        <v>308</v>
      </c>
      <c r="D22" s="17" t="s">
        <v>12</v>
      </c>
      <c r="E22" s="18" t="s">
        <v>60</v>
      </c>
      <c r="F22" s="17" t="s">
        <v>14</v>
      </c>
      <c r="G22" s="17">
        <v>20</v>
      </c>
      <c r="H22" s="17" t="s">
        <v>15</v>
      </c>
      <c r="I22" s="39">
        <v>6.5</v>
      </c>
      <c r="J22" s="25">
        <v>85</v>
      </c>
      <c r="K22" s="17">
        <f>J22-G22</f>
        <v>65</v>
      </c>
      <c r="L22" s="17">
        <f>IF(K22&lt;0,0,J22-G22)</f>
        <v>65</v>
      </c>
      <c r="M22" s="20">
        <f>L22*I22/100</f>
        <v>4.2249999999999996</v>
      </c>
      <c r="N22" s="57">
        <v>8.4</v>
      </c>
      <c r="O22" s="25">
        <v>59</v>
      </c>
      <c r="P22" s="17">
        <f>O22-G22</f>
        <v>39</v>
      </c>
      <c r="Q22" s="17">
        <f>IF(P22&lt;0,0,O22-G22)</f>
        <v>39</v>
      </c>
      <c r="R22" s="20">
        <f>Q22*I22/100</f>
        <v>2.5350000000000001</v>
      </c>
      <c r="S22" s="57">
        <v>8.4</v>
      </c>
      <c r="T22" s="25">
        <v>17</v>
      </c>
      <c r="U22" s="17">
        <f>T22-G22</f>
        <v>-3</v>
      </c>
      <c r="V22" s="17">
        <f>IF(U22&lt;0,0,T22-G22)</f>
        <v>0</v>
      </c>
      <c r="W22" s="20">
        <f>V22*I22/100</f>
        <v>0</v>
      </c>
      <c r="X22" s="57">
        <v>8.4</v>
      </c>
      <c r="Y22" s="25">
        <v>17</v>
      </c>
      <c r="Z22" s="17">
        <f>Y22-G22</f>
        <v>-3</v>
      </c>
      <c r="AA22" s="17">
        <f>IF(Z22&lt;0,0,Y22-G22)</f>
        <v>0</v>
      </c>
      <c r="AB22" s="20">
        <f>AA22*I22/100</f>
        <v>0</v>
      </c>
      <c r="AC22" s="57">
        <v>8.4</v>
      </c>
      <c r="AD22" s="25">
        <v>0</v>
      </c>
      <c r="AE22" s="17">
        <f>AD22-G22</f>
        <v>-20</v>
      </c>
      <c r="AF22" s="17">
        <f>IF(AE22&lt;0,0,AD22-G22)</f>
        <v>0</v>
      </c>
      <c r="AG22" s="20">
        <f>AF22*I22/100</f>
        <v>0</v>
      </c>
      <c r="AH22" s="49">
        <v>8.4</v>
      </c>
      <c r="AI22" s="42">
        <f>AF22+AA22+V22+Q22+L22</f>
        <v>104</v>
      </c>
      <c r="AJ22" s="35">
        <f>AG22*AH22+AB22*AC22+W22*X22+R22*S22+M22*N22</f>
        <v>56.784000000000006</v>
      </c>
      <c r="AM22" s="1" t="s">
        <v>275</v>
      </c>
    </row>
    <row r="23" spans="1:39" x14ac:dyDescent="0.25">
      <c r="A23" s="25" t="s">
        <v>61</v>
      </c>
      <c r="B23" s="17" t="s">
        <v>10</v>
      </c>
      <c r="C23" s="17" t="s">
        <v>22</v>
      </c>
      <c r="D23" s="17" t="s">
        <v>12</v>
      </c>
      <c r="E23" s="18" t="s">
        <v>62</v>
      </c>
      <c r="F23" s="17" t="s">
        <v>14</v>
      </c>
      <c r="G23" s="17">
        <v>20</v>
      </c>
      <c r="H23" s="17" t="s">
        <v>15</v>
      </c>
      <c r="I23" s="39">
        <v>11</v>
      </c>
      <c r="J23" s="25">
        <v>0</v>
      </c>
      <c r="K23" s="17">
        <f>J23-G23</f>
        <v>-20</v>
      </c>
      <c r="L23" s="17">
        <f>IF(K23&lt;0,0,J23-G23)</f>
        <v>0</v>
      </c>
      <c r="M23" s="20">
        <f>L23*I23/100</f>
        <v>0</v>
      </c>
      <c r="N23" s="57">
        <v>8.4</v>
      </c>
      <c r="O23" s="25">
        <v>0</v>
      </c>
      <c r="P23" s="17">
        <f>O23-G23</f>
        <v>-20</v>
      </c>
      <c r="Q23" s="17">
        <f>IF(P23&lt;0,0,O23-G23)</f>
        <v>0</v>
      </c>
      <c r="R23" s="20">
        <f>Q23*I23/100</f>
        <v>0</v>
      </c>
      <c r="S23" s="57">
        <v>8.4</v>
      </c>
      <c r="T23" s="25">
        <v>0</v>
      </c>
      <c r="U23" s="17">
        <f>T23-G23</f>
        <v>-20</v>
      </c>
      <c r="V23" s="17">
        <f>IF(U23&lt;0,0,T23-G23)</f>
        <v>0</v>
      </c>
      <c r="W23" s="20">
        <f>V23*I23/100</f>
        <v>0</v>
      </c>
      <c r="X23" s="57">
        <v>8.4</v>
      </c>
      <c r="Y23" s="25">
        <v>0</v>
      </c>
      <c r="Z23" s="17">
        <f>Y23-G23</f>
        <v>-20</v>
      </c>
      <c r="AA23" s="17">
        <f>IF(Z23&lt;0,0,Y23-G23)</f>
        <v>0</v>
      </c>
      <c r="AB23" s="20">
        <f>AA23*I23/100</f>
        <v>0</v>
      </c>
      <c r="AC23" s="57">
        <v>8.4</v>
      </c>
      <c r="AD23" s="25">
        <v>0</v>
      </c>
      <c r="AE23" s="17">
        <f>AD23-G23</f>
        <v>-20</v>
      </c>
      <c r="AF23" s="17">
        <f>IF(AE23&lt;0,0,AD23-G23)</f>
        <v>0</v>
      </c>
      <c r="AG23" s="20">
        <f>AF23*I23/100</f>
        <v>0</v>
      </c>
      <c r="AH23" s="49">
        <v>8.4</v>
      </c>
      <c r="AI23" s="42">
        <f>AF23+AA23+V23+Q23+L23</f>
        <v>0</v>
      </c>
      <c r="AJ23" s="35">
        <f>AG23*AH23+AB23*AC23+W23*X23+R23*S23+M23*N23</f>
        <v>0</v>
      </c>
      <c r="AM23" s="1" t="s">
        <v>276</v>
      </c>
    </row>
    <row r="24" spans="1:39" x14ac:dyDescent="0.25">
      <c r="A24" s="25" t="s">
        <v>63</v>
      </c>
      <c r="B24" s="17" t="s">
        <v>32</v>
      </c>
      <c r="C24" s="17" t="s">
        <v>33</v>
      </c>
      <c r="D24" s="17" t="s">
        <v>12</v>
      </c>
      <c r="E24" s="18" t="s">
        <v>64</v>
      </c>
      <c r="F24" s="17" t="s">
        <v>14</v>
      </c>
      <c r="G24" s="17">
        <v>20</v>
      </c>
      <c r="H24" s="17" t="s">
        <v>15</v>
      </c>
      <c r="I24" s="39">
        <v>9</v>
      </c>
      <c r="J24" s="45"/>
      <c r="K24" s="18"/>
      <c r="L24" s="18"/>
      <c r="M24" s="19"/>
      <c r="N24" s="58"/>
      <c r="O24" s="25">
        <v>0</v>
      </c>
      <c r="P24" s="17">
        <f>O24-G24</f>
        <v>-20</v>
      </c>
      <c r="Q24" s="17">
        <f>IF(P24&lt;0,0,O24-G24)</f>
        <v>0</v>
      </c>
      <c r="R24" s="20">
        <f>Q24*I24/100</f>
        <v>0</v>
      </c>
      <c r="S24" s="57">
        <v>8.4</v>
      </c>
      <c r="T24" s="25">
        <v>0</v>
      </c>
      <c r="U24" s="17">
        <f>T24-G24</f>
        <v>-20</v>
      </c>
      <c r="V24" s="17">
        <f>IF(U24&lt;0,0,T24-G24)</f>
        <v>0</v>
      </c>
      <c r="W24" s="20">
        <f>V24*I24/100</f>
        <v>0</v>
      </c>
      <c r="X24" s="57">
        <v>8.4</v>
      </c>
      <c r="Y24" s="25">
        <v>0</v>
      </c>
      <c r="Z24" s="17">
        <f>Y24-G24</f>
        <v>-20</v>
      </c>
      <c r="AA24" s="17">
        <f>IF(Z24&lt;0,0,Y24-G24)</f>
        <v>0</v>
      </c>
      <c r="AB24" s="20">
        <f>AA24*I24/100</f>
        <v>0</v>
      </c>
      <c r="AC24" s="57">
        <v>8.4</v>
      </c>
      <c r="AD24" s="25">
        <v>0</v>
      </c>
      <c r="AE24" s="17">
        <f>AD24-G24</f>
        <v>-20</v>
      </c>
      <c r="AF24" s="17">
        <f>IF(AE24&lt;0,0,AD24-G24)</f>
        <v>0</v>
      </c>
      <c r="AG24" s="20">
        <f>AF24*I24/100</f>
        <v>0</v>
      </c>
      <c r="AH24" s="49">
        <v>8.4</v>
      </c>
      <c r="AI24" s="42">
        <f>AF24+AA24+V24+Q24+L24</f>
        <v>0</v>
      </c>
      <c r="AJ24" s="35">
        <f>AG24*AH24+AB24*AC24+W24*X24+R24*S24+M24*N24</f>
        <v>0</v>
      </c>
      <c r="AM24" s="1" t="s">
        <v>277</v>
      </c>
    </row>
    <row r="25" spans="1:39" x14ac:dyDescent="0.25">
      <c r="A25" s="25" t="s">
        <v>65</v>
      </c>
      <c r="B25" s="17" t="s">
        <v>17</v>
      </c>
      <c r="C25" s="17" t="s">
        <v>66</v>
      </c>
      <c r="D25" s="17" t="s">
        <v>12</v>
      </c>
      <c r="E25" s="18" t="s">
        <v>67</v>
      </c>
      <c r="F25" s="17" t="s">
        <v>14</v>
      </c>
      <c r="G25" s="17">
        <v>20</v>
      </c>
      <c r="H25" s="17" t="s">
        <v>38</v>
      </c>
      <c r="I25" s="39">
        <v>6.5</v>
      </c>
      <c r="J25" s="25">
        <v>340</v>
      </c>
      <c r="K25" s="17">
        <f>J25-G25</f>
        <v>320</v>
      </c>
      <c r="L25" s="17">
        <f>IF(K25&lt;0,0,J25-G25)</f>
        <v>320</v>
      </c>
      <c r="M25" s="20">
        <f>L25*I25/100</f>
        <v>20.8</v>
      </c>
      <c r="N25" s="57">
        <v>7.3</v>
      </c>
      <c r="O25" s="25">
        <v>198</v>
      </c>
      <c r="P25" s="17">
        <f>O25-G25</f>
        <v>178</v>
      </c>
      <c r="Q25" s="17">
        <f>IF(P25&lt;0,0,O25-G25)</f>
        <v>178</v>
      </c>
      <c r="R25" s="20">
        <f>Q25*I25/100</f>
        <v>11.57</v>
      </c>
      <c r="S25" s="57">
        <v>7.2</v>
      </c>
      <c r="T25" s="45"/>
      <c r="U25" s="18"/>
      <c r="V25" s="18"/>
      <c r="W25" s="19"/>
      <c r="X25" s="58"/>
      <c r="Y25" s="45"/>
      <c r="Z25" s="18"/>
      <c r="AA25" s="18"/>
      <c r="AB25" s="19"/>
      <c r="AC25" s="58"/>
      <c r="AD25" s="25">
        <v>327</v>
      </c>
      <c r="AE25" s="17">
        <f>AD25-G25</f>
        <v>307</v>
      </c>
      <c r="AF25" s="17">
        <f>IF(AE25&lt;0,0,AD25-G25)</f>
        <v>307</v>
      </c>
      <c r="AG25" s="20">
        <f>AF25*I25/100</f>
        <v>19.954999999999998</v>
      </c>
      <c r="AH25" s="49">
        <v>7.2</v>
      </c>
      <c r="AI25" s="42">
        <f>AF25+AA25+V25+Q25+L25</f>
        <v>805</v>
      </c>
      <c r="AJ25" s="35">
        <f>AG25*AH25+AB25*AC25+W25*X25+R25*S25+M25*N25</f>
        <v>378.82</v>
      </c>
      <c r="AM25" s="1" t="s">
        <v>278</v>
      </c>
    </row>
    <row r="26" spans="1:39" x14ac:dyDescent="0.25">
      <c r="A26" s="25" t="s">
        <v>68</v>
      </c>
      <c r="B26" s="17" t="s">
        <v>10</v>
      </c>
      <c r="C26" s="17" t="s">
        <v>22</v>
      </c>
      <c r="D26" s="17" t="s">
        <v>12</v>
      </c>
      <c r="E26" s="18" t="s">
        <v>69</v>
      </c>
      <c r="F26" s="17" t="s">
        <v>14</v>
      </c>
      <c r="G26" s="17">
        <v>20</v>
      </c>
      <c r="H26" s="17" t="s">
        <v>15</v>
      </c>
      <c r="I26" s="39">
        <v>11</v>
      </c>
      <c r="J26" s="25">
        <v>0</v>
      </c>
      <c r="K26" s="17">
        <f>J26-G26</f>
        <v>-20</v>
      </c>
      <c r="L26" s="17">
        <f>IF(K26&lt;0,0,J26-G26)</f>
        <v>0</v>
      </c>
      <c r="M26" s="20">
        <f>L26*I26/100</f>
        <v>0</v>
      </c>
      <c r="N26" s="57">
        <v>8.4</v>
      </c>
      <c r="O26" s="25">
        <v>0</v>
      </c>
      <c r="P26" s="17">
        <f>O26-G26</f>
        <v>-20</v>
      </c>
      <c r="Q26" s="17">
        <f>IF(P26&lt;0,0,O26-G26)</f>
        <v>0</v>
      </c>
      <c r="R26" s="20">
        <f>Q26*I26/100</f>
        <v>0</v>
      </c>
      <c r="S26" s="57">
        <v>8.4</v>
      </c>
      <c r="T26" s="25">
        <v>0</v>
      </c>
      <c r="U26" s="17">
        <f>T26-G26</f>
        <v>-20</v>
      </c>
      <c r="V26" s="17">
        <f>IF(U26&lt;0,0,T26-G26)</f>
        <v>0</v>
      </c>
      <c r="W26" s="20">
        <f>V26*I26/100</f>
        <v>0</v>
      </c>
      <c r="X26" s="57">
        <v>8.4</v>
      </c>
      <c r="Y26" s="25">
        <v>0</v>
      </c>
      <c r="Z26" s="17">
        <f>Y26-G26</f>
        <v>-20</v>
      </c>
      <c r="AA26" s="17">
        <f>IF(Z26&lt;0,0,Y26-G26)</f>
        <v>0</v>
      </c>
      <c r="AB26" s="20">
        <f>AA26*I26/100</f>
        <v>0</v>
      </c>
      <c r="AC26" s="57">
        <v>8.4</v>
      </c>
      <c r="AD26" s="45"/>
      <c r="AE26" s="18"/>
      <c r="AF26" s="18"/>
      <c r="AG26" s="19"/>
      <c r="AH26" s="50"/>
      <c r="AI26" s="42">
        <f>AF26+AA26+V26+Q26+L26</f>
        <v>0</v>
      </c>
      <c r="AJ26" s="35">
        <f>AG26*AH26+AB26*AC26+W26*X26+R26*S26+M26*N26</f>
        <v>0</v>
      </c>
    </row>
    <row r="27" spans="1:39" x14ac:dyDescent="0.25">
      <c r="A27" s="25" t="s">
        <v>70</v>
      </c>
      <c r="B27" s="17" t="s">
        <v>10</v>
      </c>
      <c r="C27" s="17" t="s">
        <v>22</v>
      </c>
      <c r="D27" s="17" t="s">
        <v>12</v>
      </c>
      <c r="E27" s="18" t="s">
        <v>71</v>
      </c>
      <c r="F27" s="17" t="s">
        <v>14</v>
      </c>
      <c r="G27" s="17">
        <v>20</v>
      </c>
      <c r="H27" s="17" t="s">
        <v>15</v>
      </c>
      <c r="I27" s="39">
        <v>11</v>
      </c>
      <c r="J27" s="45"/>
      <c r="K27" s="18"/>
      <c r="L27" s="18"/>
      <c r="M27" s="19"/>
      <c r="N27" s="58"/>
      <c r="O27" s="45"/>
      <c r="P27" s="18"/>
      <c r="Q27" s="18"/>
      <c r="R27" s="19"/>
      <c r="S27" s="58"/>
      <c r="T27" s="45"/>
      <c r="U27" s="18"/>
      <c r="V27" s="18"/>
      <c r="W27" s="19"/>
      <c r="X27" s="58"/>
      <c r="Y27" s="45"/>
      <c r="Z27" s="18"/>
      <c r="AA27" s="18"/>
      <c r="AB27" s="19"/>
      <c r="AC27" s="58"/>
      <c r="AD27" s="25">
        <v>0</v>
      </c>
      <c r="AE27" s="17">
        <f>AD27-G27</f>
        <v>-20</v>
      </c>
      <c r="AF27" s="17">
        <f>IF(AE27&lt;0,0,AD27-G27)</f>
        <v>0</v>
      </c>
      <c r="AG27" s="20">
        <f>AF27*I27/100</f>
        <v>0</v>
      </c>
      <c r="AH27" s="49">
        <v>8.4</v>
      </c>
      <c r="AI27" s="42">
        <f>AF27+AA27+V27+Q27+L27</f>
        <v>0</v>
      </c>
      <c r="AJ27" s="35">
        <f>AG27*AH27+AB27*AC27+W27*X27+R27*S27+M27*N27</f>
        <v>0</v>
      </c>
    </row>
    <row r="28" spans="1:39" x14ac:dyDescent="0.25">
      <c r="A28" s="25" t="s">
        <v>70</v>
      </c>
      <c r="B28" s="17" t="s">
        <v>10</v>
      </c>
      <c r="C28" s="17" t="s">
        <v>22</v>
      </c>
      <c r="D28" s="17" t="s">
        <v>12</v>
      </c>
      <c r="E28" s="18" t="s">
        <v>58</v>
      </c>
      <c r="F28" s="17" t="s">
        <v>14</v>
      </c>
      <c r="G28" s="17">
        <v>20</v>
      </c>
      <c r="H28" s="17" t="s">
        <v>15</v>
      </c>
      <c r="I28" s="39">
        <v>11</v>
      </c>
      <c r="J28" s="45"/>
      <c r="K28" s="18"/>
      <c r="L28" s="18"/>
      <c r="M28" s="19"/>
      <c r="N28" s="58"/>
      <c r="O28" s="45"/>
      <c r="P28" s="18"/>
      <c r="Q28" s="18"/>
      <c r="R28" s="19"/>
      <c r="S28" s="58"/>
      <c r="T28" s="25">
        <v>24</v>
      </c>
      <c r="U28" s="17">
        <f>T28-G28</f>
        <v>4</v>
      </c>
      <c r="V28" s="17">
        <f>IF(U28&lt;0,0,T28-G28)</f>
        <v>4</v>
      </c>
      <c r="W28" s="20">
        <f>V28*I28/100</f>
        <v>0.44</v>
      </c>
      <c r="X28" s="57">
        <v>8.4</v>
      </c>
      <c r="Y28" s="45"/>
      <c r="Z28" s="18"/>
      <c r="AA28" s="18"/>
      <c r="AB28" s="19"/>
      <c r="AC28" s="58"/>
      <c r="AD28" s="45"/>
      <c r="AE28" s="18"/>
      <c r="AF28" s="18"/>
      <c r="AG28" s="19"/>
      <c r="AH28" s="50"/>
      <c r="AI28" s="42">
        <f>AF28+AA28+V28+Q28+L28</f>
        <v>4</v>
      </c>
      <c r="AJ28" s="35">
        <f>AG28*AH28+AB28*AC28+W28*X28+R28*S28+M28*N28</f>
        <v>3.6960000000000002</v>
      </c>
    </row>
    <row r="29" spans="1:39" x14ac:dyDescent="0.25">
      <c r="A29" s="25" t="s">
        <v>72</v>
      </c>
      <c r="B29" s="17" t="s">
        <v>10</v>
      </c>
      <c r="C29" s="17" t="s">
        <v>22</v>
      </c>
      <c r="D29" s="17" t="s">
        <v>12</v>
      </c>
      <c r="E29" s="18" t="s">
        <v>73</v>
      </c>
      <c r="F29" s="17" t="s">
        <v>14</v>
      </c>
      <c r="G29" s="17">
        <v>20</v>
      </c>
      <c r="H29" s="17" t="s">
        <v>15</v>
      </c>
      <c r="I29" s="39">
        <v>11</v>
      </c>
      <c r="J29" s="25">
        <v>0</v>
      </c>
      <c r="K29" s="17">
        <f>J29-G29</f>
        <v>-20</v>
      </c>
      <c r="L29" s="17">
        <f>IF(K29&lt;0,0,J29-G29)</f>
        <v>0</v>
      </c>
      <c r="M29" s="20">
        <f>L29*I29/100</f>
        <v>0</v>
      </c>
      <c r="N29" s="57">
        <v>8.4</v>
      </c>
      <c r="O29" s="25">
        <v>0</v>
      </c>
      <c r="P29" s="17">
        <f>O29-G29</f>
        <v>-20</v>
      </c>
      <c r="Q29" s="17">
        <f>IF(P29&lt;0,0,O29-G29)</f>
        <v>0</v>
      </c>
      <c r="R29" s="20">
        <f>Q29*I29/100</f>
        <v>0</v>
      </c>
      <c r="S29" s="57">
        <v>8.4</v>
      </c>
      <c r="T29" s="25">
        <v>0</v>
      </c>
      <c r="U29" s="17">
        <f>T29-G29</f>
        <v>-20</v>
      </c>
      <c r="V29" s="17">
        <f>IF(U29&lt;0,0,T29-G29)</f>
        <v>0</v>
      </c>
      <c r="W29" s="20">
        <f>V29*I29/100</f>
        <v>0</v>
      </c>
      <c r="X29" s="57">
        <v>8.4</v>
      </c>
      <c r="Y29" s="45"/>
      <c r="Z29" s="18"/>
      <c r="AA29" s="18"/>
      <c r="AB29" s="19"/>
      <c r="AC29" s="58"/>
      <c r="AD29" s="25">
        <v>0</v>
      </c>
      <c r="AE29" s="17">
        <f>AD29-G29</f>
        <v>-20</v>
      </c>
      <c r="AF29" s="17">
        <f>IF(AE29&lt;0,0,AD29-G29)</f>
        <v>0</v>
      </c>
      <c r="AG29" s="20">
        <f>AF29*I29/100</f>
        <v>0</v>
      </c>
      <c r="AH29" s="49">
        <v>8.4</v>
      </c>
      <c r="AI29" s="42">
        <f>AF29+AA29+V29+Q29+L29</f>
        <v>0</v>
      </c>
      <c r="AJ29" s="35">
        <f>AG29*AH29+AB29*AC29+W29*X29+R29*S29+M29*N29</f>
        <v>0</v>
      </c>
    </row>
    <row r="30" spans="1:39" x14ac:dyDescent="0.25">
      <c r="A30" s="25" t="s">
        <v>74</v>
      </c>
      <c r="B30" s="17" t="s">
        <v>10</v>
      </c>
      <c r="C30" s="17" t="s">
        <v>22</v>
      </c>
      <c r="D30" s="17" t="s">
        <v>12</v>
      </c>
      <c r="E30" s="18" t="s">
        <v>75</v>
      </c>
      <c r="F30" s="17" t="s">
        <v>14</v>
      </c>
      <c r="G30" s="17">
        <v>20</v>
      </c>
      <c r="H30" s="17" t="s">
        <v>15</v>
      </c>
      <c r="I30" s="39">
        <v>11</v>
      </c>
      <c r="J30" s="45"/>
      <c r="K30" s="18"/>
      <c r="L30" s="18"/>
      <c r="M30" s="19"/>
      <c r="N30" s="58"/>
      <c r="O30" s="45"/>
      <c r="P30" s="18"/>
      <c r="Q30" s="18"/>
      <c r="R30" s="19"/>
      <c r="S30" s="58"/>
      <c r="T30" s="25">
        <v>0</v>
      </c>
      <c r="U30" s="17">
        <f>T30-G30</f>
        <v>-20</v>
      </c>
      <c r="V30" s="17">
        <f>IF(U30&lt;0,0,T30-G30)</f>
        <v>0</v>
      </c>
      <c r="W30" s="20">
        <f>V30*I30/100</f>
        <v>0</v>
      </c>
      <c r="X30" s="57">
        <v>8.4</v>
      </c>
      <c r="Y30" s="25">
        <v>0</v>
      </c>
      <c r="Z30" s="17">
        <f>Y30-G30</f>
        <v>-20</v>
      </c>
      <c r="AA30" s="17">
        <f>IF(Z30&lt;0,0,Y30-G30)</f>
        <v>0</v>
      </c>
      <c r="AB30" s="20">
        <f>AA30*I30/100</f>
        <v>0</v>
      </c>
      <c r="AC30" s="57">
        <v>8.4</v>
      </c>
      <c r="AD30" s="25">
        <v>0</v>
      </c>
      <c r="AE30" s="17">
        <f>AD30-G30</f>
        <v>-20</v>
      </c>
      <c r="AF30" s="17">
        <f>IF(AE30&lt;0,0,AD30-G30)</f>
        <v>0</v>
      </c>
      <c r="AG30" s="20">
        <f>AF30*I30/100</f>
        <v>0</v>
      </c>
      <c r="AH30" s="49">
        <v>8.4</v>
      </c>
      <c r="AI30" s="42">
        <f>AF30+AA30+V30+Q30+L30</f>
        <v>0</v>
      </c>
      <c r="AJ30" s="35">
        <f>AG30*AH30+AB30*AC30+W30*X30+R30*S30+M30*N30</f>
        <v>0</v>
      </c>
    </row>
    <row r="31" spans="1:39" x14ac:dyDescent="0.25">
      <c r="A31" s="25" t="s">
        <v>76</v>
      </c>
      <c r="B31" s="17" t="s">
        <v>10</v>
      </c>
      <c r="C31" s="17" t="s">
        <v>22</v>
      </c>
      <c r="D31" s="17" t="s">
        <v>12</v>
      </c>
      <c r="E31" s="18" t="s">
        <v>73</v>
      </c>
      <c r="F31" s="17" t="s">
        <v>14</v>
      </c>
      <c r="G31" s="17">
        <v>20</v>
      </c>
      <c r="H31" s="17" t="s">
        <v>15</v>
      </c>
      <c r="I31" s="39">
        <v>11</v>
      </c>
      <c r="J31" s="45"/>
      <c r="K31" s="18"/>
      <c r="L31" s="18"/>
      <c r="M31" s="19"/>
      <c r="N31" s="58"/>
      <c r="O31" s="45"/>
      <c r="P31" s="18"/>
      <c r="Q31" s="18"/>
      <c r="R31" s="19"/>
      <c r="S31" s="58"/>
      <c r="T31" s="45"/>
      <c r="U31" s="18"/>
      <c r="V31" s="18"/>
      <c r="W31" s="19"/>
      <c r="X31" s="58"/>
      <c r="Y31" s="25">
        <v>0</v>
      </c>
      <c r="Z31" s="17">
        <f>Y31-G31</f>
        <v>-20</v>
      </c>
      <c r="AA31" s="17">
        <f>IF(Z31&lt;0,0,Y31-G31)</f>
        <v>0</v>
      </c>
      <c r="AB31" s="20">
        <f>AA31*I31/100</f>
        <v>0</v>
      </c>
      <c r="AC31" s="57">
        <v>8.4</v>
      </c>
      <c r="AD31" s="45"/>
      <c r="AE31" s="18"/>
      <c r="AF31" s="18"/>
      <c r="AG31" s="19"/>
      <c r="AH31" s="50"/>
      <c r="AI31" s="42">
        <f>AF31+AA31+V31+Q31+L31</f>
        <v>0</v>
      </c>
      <c r="AJ31" s="35">
        <f>AG31*AH31+AB31*AC31+W31*X31+R31*S31+M31*N31</f>
        <v>0</v>
      </c>
    </row>
    <row r="32" spans="1:39" x14ac:dyDescent="0.25">
      <c r="A32" s="25" t="s">
        <v>76</v>
      </c>
      <c r="B32" s="17" t="s">
        <v>10</v>
      </c>
      <c r="C32" s="17" t="s">
        <v>22</v>
      </c>
      <c r="D32" s="17" t="s">
        <v>12</v>
      </c>
      <c r="E32" s="18" t="s">
        <v>77</v>
      </c>
      <c r="F32" s="17" t="s">
        <v>14</v>
      </c>
      <c r="G32" s="17">
        <v>20</v>
      </c>
      <c r="H32" s="17" t="s">
        <v>15</v>
      </c>
      <c r="I32" s="39">
        <v>11</v>
      </c>
      <c r="J32" s="25">
        <v>0</v>
      </c>
      <c r="K32" s="17">
        <f>J32-G32</f>
        <v>-20</v>
      </c>
      <c r="L32" s="17">
        <f>IF(K32&lt;0,0,J32-G32)</f>
        <v>0</v>
      </c>
      <c r="M32" s="20">
        <f>L32*I32/100</f>
        <v>0</v>
      </c>
      <c r="N32" s="57">
        <v>8.4</v>
      </c>
      <c r="O32" s="87">
        <v>0</v>
      </c>
      <c r="P32" s="21">
        <f>O32-G32</f>
        <v>-20</v>
      </c>
      <c r="Q32" s="21">
        <f>IF(P32&lt;0,0,O32-G32)</f>
        <v>0</v>
      </c>
      <c r="R32" s="22">
        <f>Q32*I32/100</f>
        <v>0</v>
      </c>
      <c r="S32" s="61">
        <v>8.4</v>
      </c>
      <c r="T32" s="45"/>
      <c r="U32" s="18"/>
      <c r="V32" s="18"/>
      <c r="W32" s="19"/>
      <c r="X32" s="58"/>
      <c r="Y32" s="45"/>
      <c r="Z32" s="18"/>
      <c r="AA32" s="18"/>
      <c r="AB32" s="19"/>
      <c r="AC32" s="58"/>
      <c r="AD32" s="45"/>
      <c r="AE32" s="18"/>
      <c r="AF32" s="18"/>
      <c r="AG32" s="19"/>
      <c r="AH32" s="50"/>
      <c r="AI32" s="42">
        <f>AF32+AA32+V32+Q32+L32</f>
        <v>0</v>
      </c>
      <c r="AJ32" s="35">
        <f>AG32*AH32+AB32*AC32+W32*X32+R32*S32+M32*N32</f>
        <v>0</v>
      </c>
    </row>
    <row r="33" spans="1:36" x14ac:dyDescent="0.25">
      <c r="A33" s="25" t="s">
        <v>78</v>
      </c>
      <c r="B33" s="17" t="s">
        <v>10</v>
      </c>
      <c r="C33" s="17" t="s">
        <v>22</v>
      </c>
      <c r="D33" s="17" t="s">
        <v>12</v>
      </c>
      <c r="E33" s="18" t="s">
        <v>79</v>
      </c>
      <c r="F33" s="17" t="s">
        <v>14</v>
      </c>
      <c r="G33" s="17">
        <v>20</v>
      </c>
      <c r="H33" s="17" t="s">
        <v>15</v>
      </c>
      <c r="I33" s="39">
        <v>11</v>
      </c>
      <c r="J33" s="25">
        <v>134</v>
      </c>
      <c r="K33" s="17">
        <f>J33-G33</f>
        <v>114</v>
      </c>
      <c r="L33" s="17">
        <f>IF(K33&lt;0,0,J33-G33)</f>
        <v>114</v>
      </c>
      <c r="M33" s="20">
        <f>L33*I33/100</f>
        <v>12.54</v>
      </c>
      <c r="N33" s="57">
        <v>8.4</v>
      </c>
      <c r="O33" s="25">
        <v>0</v>
      </c>
      <c r="P33" s="17">
        <f>O33-G33</f>
        <v>-20</v>
      </c>
      <c r="Q33" s="17">
        <f>IF(P33&lt;0,0,O33-G33)</f>
        <v>0</v>
      </c>
      <c r="R33" s="20">
        <f>Q33*I33/100</f>
        <v>0</v>
      </c>
      <c r="S33" s="57">
        <v>8.4</v>
      </c>
      <c r="T33" s="45"/>
      <c r="U33" s="18"/>
      <c r="V33" s="18"/>
      <c r="W33" s="19"/>
      <c r="X33" s="58"/>
      <c r="Y33" s="45"/>
      <c r="Z33" s="18"/>
      <c r="AA33" s="18"/>
      <c r="AB33" s="19"/>
      <c r="AC33" s="58"/>
      <c r="AD33" s="45"/>
      <c r="AE33" s="18"/>
      <c r="AF33" s="18"/>
      <c r="AG33" s="19"/>
      <c r="AH33" s="50"/>
      <c r="AI33" s="42">
        <f>AF33+AA33+V33+Q33+L33</f>
        <v>114</v>
      </c>
      <c r="AJ33" s="35">
        <f>AG33*AH33+AB33*AC33+W33*X33+R33*S33+M33*N33</f>
        <v>105.336</v>
      </c>
    </row>
    <row r="34" spans="1:36" x14ac:dyDescent="0.25">
      <c r="A34" s="25" t="s">
        <v>80</v>
      </c>
      <c r="B34" s="17" t="s">
        <v>10</v>
      </c>
      <c r="C34" s="17" t="s">
        <v>22</v>
      </c>
      <c r="D34" s="17" t="s">
        <v>12</v>
      </c>
      <c r="E34" s="18" t="s">
        <v>81</v>
      </c>
      <c r="F34" s="17" t="s">
        <v>14</v>
      </c>
      <c r="G34" s="17">
        <v>20</v>
      </c>
      <c r="H34" s="17" t="s">
        <v>15</v>
      </c>
      <c r="I34" s="39">
        <v>11</v>
      </c>
      <c r="J34" s="25">
        <v>0</v>
      </c>
      <c r="K34" s="17">
        <f>J34-G34</f>
        <v>-20</v>
      </c>
      <c r="L34" s="17">
        <f>IF(K34&lt;0,0,J34-G34)</f>
        <v>0</v>
      </c>
      <c r="M34" s="20">
        <f>L34*I34/100</f>
        <v>0</v>
      </c>
      <c r="N34" s="57">
        <v>8.4</v>
      </c>
      <c r="O34" s="25">
        <v>0</v>
      </c>
      <c r="P34" s="17">
        <f>O34-G34</f>
        <v>-20</v>
      </c>
      <c r="Q34" s="17">
        <f>IF(P34&lt;0,0,O34-G34)</f>
        <v>0</v>
      </c>
      <c r="R34" s="20">
        <f>Q34*I34/100</f>
        <v>0</v>
      </c>
      <c r="S34" s="57">
        <v>8.4</v>
      </c>
      <c r="T34" s="45"/>
      <c r="U34" s="18"/>
      <c r="V34" s="18"/>
      <c r="W34" s="19"/>
      <c r="X34" s="58"/>
      <c r="Y34" s="45"/>
      <c r="Z34" s="18"/>
      <c r="AA34" s="18"/>
      <c r="AB34" s="19"/>
      <c r="AC34" s="58"/>
      <c r="AD34" s="25">
        <v>0</v>
      </c>
      <c r="AE34" s="17">
        <f>AD34-G34</f>
        <v>-20</v>
      </c>
      <c r="AF34" s="17">
        <f>IF(AE34&lt;0,0,AD34-G34)</f>
        <v>0</v>
      </c>
      <c r="AG34" s="20">
        <f>AF34*I34/100</f>
        <v>0</v>
      </c>
      <c r="AH34" s="49">
        <v>8.4</v>
      </c>
      <c r="AI34" s="42">
        <f>AF34+AA34+V34+Q34+L34</f>
        <v>0</v>
      </c>
      <c r="AJ34" s="35">
        <f>AG34*AH34+AB34*AC34+W34*X34+R34*S34+M34*N34</f>
        <v>0</v>
      </c>
    </row>
    <row r="35" spans="1:36" x14ac:dyDescent="0.25">
      <c r="A35" s="25" t="s">
        <v>82</v>
      </c>
      <c r="B35" s="17" t="s">
        <v>10</v>
      </c>
      <c r="C35" s="17" t="s">
        <v>11</v>
      </c>
      <c r="D35" s="17" t="s">
        <v>12</v>
      </c>
      <c r="E35" s="18" t="s">
        <v>83</v>
      </c>
      <c r="F35" s="17" t="s">
        <v>14</v>
      </c>
      <c r="G35" s="17">
        <v>20</v>
      </c>
      <c r="H35" s="17" t="s">
        <v>15</v>
      </c>
      <c r="I35" s="39">
        <v>6.5</v>
      </c>
      <c r="J35" s="25">
        <v>0</v>
      </c>
      <c r="K35" s="17">
        <f>J35-G35</f>
        <v>-20</v>
      </c>
      <c r="L35" s="17">
        <f>IF(K35&lt;0,0,J35-G35)</f>
        <v>0</v>
      </c>
      <c r="M35" s="20">
        <f>L35*I35/100</f>
        <v>0</v>
      </c>
      <c r="N35" s="57">
        <v>8.4</v>
      </c>
      <c r="O35" s="25">
        <v>81</v>
      </c>
      <c r="P35" s="17">
        <f>O35-G35</f>
        <v>61</v>
      </c>
      <c r="Q35" s="17">
        <f>IF(P35&lt;0,0,O35-G35)</f>
        <v>61</v>
      </c>
      <c r="R35" s="20">
        <f>Q35*I35/100</f>
        <v>3.9649999999999999</v>
      </c>
      <c r="S35" s="57">
        <v>8.4</v>
      </c>
      <c r="T35" s="25">
        <v>0</v>
      </c>
      <c r="U35" s="17">
        <f>T35-G35</f>
        <v>-20</v>
      </c>
      <c r="V35" s="17">
        <f>IF(U35&lt;0,0,T35-G35)</f>
        <v>0</v>
      </c>
      <c r="W35" s="20">
        <f>V35*I35/100</f>
        <v>0</v>
      </c>
      <c r="X35" s="57">
        <v>8.4</v>
      </c>
      <c r="Y35" s="25">
        <v>9</v>
      </c>
      <c r="Z35" s="17">
        <f>Y35-G35</f>
        <v>-11</v>
      </c>
      <c r="AA35" s="17">
        <f>IF(Z35&lt;0,0,Y35-G35)</f>
        <v>0</v>
      </c>
      <c r="AB35" s="20">
        <f>AA35*I35/100</f>
        <v>0</v>
      </c>
      <c r="AC35" s="57">
        <v>8.4</v>
      </c>
      <c r="AD35" s="25">
        <v>9</v>
      </c>
      <c r="AE35" s="17">
        <f>AD35-G35</f>
        <v>-11</v>
      </c>
      <c r="AF35" s="17">
        <f>IF(AE35&lt;0,0,AD35-G35)</f>
        <v>0</v>
      </c>
      <c r="AG35" s="20">
        <f>AF35*I35/100</f>
        <v>0</v>
      </c>
      <c r="AH35" s="49">
        <v>8.4</v>
      </c>
      <c r="AI35" s="42">
        <f>AF35+AA35+V35+Q35+L35</f>
        <v>61</v>
      </c>
      <c r="AJ35" s="35">
        <f>AG35*AH35+AB35*AC35+W35*X35+R35*S35+M35*N35</f>
        <v>33.305999999999997</v>
      </c>
    </row>
    <row r="36" spans="1:36" x14ac:dyDescent="0.25">
      <c r="A36" s="25" t="s">
        <v>84</v>
      </c>
      <c r="B36" s="17" t="s">
        <v>32</v>
      </c>
      <c r="C36" s="17">
        <v>508</v>
      </c>
      <c r="D36" s="17" t="s">
        <v>12</v>
      </c>
      <c r="E36" s="18" t="s">
        <v>85</v>
      </c>
      <c r="F36" s="17" t="s">
        <v>14</v>
      </c>
      <c r="G36" s="17">
        <v>20</v>
      </c>
      <c r="H36" s="17" t="s">
        <v>15</v>
      </c>
      <c r="I36" s="39">
        <v>6.5</v>
      </c>
      <c r="J36" s="25">
        <v>60</v>
      </c>
      <c r="K36" s="17">
        <f>J36-G36</f>
        <v>40</v>
      </c>
      <c r="L36" s="17">
        <f>IF(K36&lt;0,0,J36-G36)</f>
        <v>40</v>
      </c>
      <c r="M36" s="20">
        <f>L36*I36/100</f>
        <v>2.6</v>
      </c>
      <c r="N36" s="57">
        <v>8.4</v>
      </c>
      <c r="O36" s="25">
        <v>118</v>
      </c>
      <c r="P36" s="17">
        <f>O36-G36</f>
        <v>98</v>
      </c>
      <c r="Q36" s="17">
        <f>IF(P36&lt;0,0,O36-G36)</f>
        <v>98</v>
      </c>
      <c r="R36" s="20">
        <f>Q36*I36/100</f>
        <v>6.37</v>
      </c>
      <c r="S36" s="57">
        <v>8.4</v>
      </c>
      <c r="T36" s="25">
        <v>75</v>
      </c>
      <c r="U36" s="17">
        <f>T36-G36</f>
        <v>55</v>
      </c>
      <c r="V36" s="17">
        <f>IF(U36&lt;0,0,T36-G36)</f>
        <v>55</v>
      </c>
      <c r="W36" s="20">
        <f>V36*I36/100</f>
        <v>3.5750000000000002</v>
      </c>
      <c r="X36" s="57">
        <v>8.4</v>
      </c>
      <c r="Y36" s="45"/>
      <c r="Z36" s="18"/>
      <c r="AA36" s="18"/>
      <c r="AB36" s="19"/>
      <c r="AC36" s="58"/>
      <c r="AD36" s="45"/>
      <c r="AE36" s="18"/>
      <c r="AF36" s="18"/>
      <c r="AG36" s="19"/>
      <c r="AH36" s="50"/>
      <c r="AI36" s="42">
        <f>AF36+AA36+V36+Q36+L36</f>
        <v>193</v>
      </c>
      <c r="AJ36" s="35">
        <f>AG36*AH36+AB36*AC36+W36*X36+R36*S36+M36*N36</f>
        <v>105.37800000000001</v>
      </c>
    </row>
    <row r="37" spans="1:36" x14ac:dyDescent="0.25">
      <c r="A37" s="25" t="s">
        <v>86</v>
      </c>
      <c r="B37" s="17" t="s">
        <v>10</v>
      </c>
      <c r="C37" s="17" t="s">
        <v>11</v>
      </c>
      <c r="D37" s="17" t="s">
        <v>12</v>
      </c>
      <c r="E37" s="17" t="s">
        <v>87</v>
      </c>
      <c r="F37" s="17" t="s">
        <v>14</v>
      </c>
      <c r="G37" s="17">
        <v>50</v>
      </c>
      <c r="H37" s="17" t="s">
        <v>15</v>
      </c>
      <c r="I37" s="39">
        <v>6.5</v>
      </c>
      <c r="J37" s="87">
        <v>0</v>
      </c>
      <c r="K37" s="21">
        <f>J37-G37</f>
        <v>-50</v>
      </c>
      <c r="L37" s="21">
        <f>IF(K37&lt;0,0,J37-G37)</f>
        <v>0</v>
      </c>
      <c r="M37" s="22">
        <f>L37*I37/100</f>
        <v>0</v>
      </c>
      <c r="N37" s="61">
        <v>8.4</v>
      </c>
      <c r="O37" s="25">
        <v>17</v>
      </c>
      <c r="P37" s="17">
        <f>O37-G37</f>
        <v>-33</v>
      </c>
      <c r="Q37" s="17">
        <f>IF(P37&lt;0,0,O37-G37)</f>
        <v>0</v>
      </c>
      <c r="R37" s="20">
        <f>Q37*I37/100</f>
        <v>0</v>
      </c>
      <c r="S37" s="57">
        <v>8.4</v>
      </c>
      <c r="T37" s="25">
        <v>17</v>
      </c>
      <c r="U37" s="17">
        <f>T37-G37</f>
        <v>-33</v>
      </c>
      <c r="V37" s="17">
        <f>IF(U37&lt;0,0,T37-G37)</f>
        <v>0</v>
      </c>
      <c r="W37" s="20">
        <f>V37*I37/100</f>
        <v>0</v>
      </c>
      <c r="X37" s="57">
        <v>8.4</v>
      </c>
      <c r="Y37" s="25">
        <v>16</v>
      </c>
      <c r="Z37" s="17">
        <f>Y37-G37</f>
        <v>-34</v>
      </c>
      <c r="AA37" s="17">
        <f>IF(Z37&lt;0,0,Y37-G37)</f>
        <v>0</v>
      </c>
      <c r="AB37" s="20">
        <f>AA37*I37/100</f>
        <v>0</v>
      </c>
      <c r="AC37" s="57">
        <v>8.4</v>
      </c>
      <c r="AD37" s="25">
        <v>17</v>
      </c>
      <c r="AE37" s="17">
        <f>AD37-G37</f>
        <v>-33</v>
      </c>
      <c r="AF37" s="17">
        <f>IF(AE37&lt;0,0,AD37-G37)</f>
        <v>0</v>
      </c>
      <c r="AG37" s="20">
        <f>AF37*I37/100</f>
        <v>0</v>
      </c>
      <c r="AH37" s="49">
        <v>8.4</v>
      </c>
      <c r="AI37" s="42">
        <f>AF37+AA37+V37+Q37+L37</f>
        <v>0</v>
      </c>
      <c r="AJ37" s="35">
        <f>AG37*AH37+AB37*AC37+W37*X37+R37*S37+M37*N37</f>
        <v>0</v>
      </c>
    </row>
    <row r="38" spans="1:36" x14ac:dyDescent="0.25">
      <c r="A38" s="25" t="s">
        <v>88</v>
      </c>
      <c r="B38" s="17" t="s">
        <v>10</v>
      </c>
      <c r="C38" s="17" t="s">
        <v>11</v>
      </c>
      <c r="D38" s="17" t="s">
        <v>12</v>
      </c>
      <c r="E38" s="18" t="s">
        <v>89</v>
      </c>
      <c r="F38" s="17" t="s">
        <v>14</v>
      </c>
      <c r="G38" s="17">
        <v>20</v>
      </c>
      <c r="H38" s="17" t="s">
        <v>15</v>
      </c>
      <c r="I38" s="39">
        <v>6.5</v>
      </c>
      <c r="J38" s="25">
        <v>5</v>
      </c>
      <c r="K38" s="17">
        <f>J38-G38</f>
        <v>-15</v>
      </c>
      <c r="L38" s="17">
        <f>IF(K38&lt;0,0,J38-G38)</f>
        <v>0</v>
      </c>
      <c r="M38" s="20">
        <f>L38*I38/100</f>
        <v>0</v>
      </c>
      <c r="N38" s="57">
        <v>8.4</v>
      </c>
      <c r="O38" s="25">
        <v>0</v>
      </c>
      <c r="P38" s="17">
        <f>O38-G38</f>
        <v>-20</v>
      </c>
      <c r="Q38" s="17">
        <f>IF(P38&lt;0,0,O38-G38)</f>
        <v>0</v>
      </c>
      <c r="R38" s="20">
        <f>Q38*I38/100</f>
        <v>0</v>
      </c>
      <c r="S38" s="57">
        <v>8.4</v>
      </c>
      <c r="T38" s="25">
        <v>3</v>
      </c>
      <c r="U38" s="17">
        <f>T38-G38</f>
        <v>-17</v>
      </c>
      <c r="V38" s="17">
        <f>IF(U38&lt;0,0,T38-G38)</f>
        <v>0</v>
      </c>
      <c r="W38" s="20">
        <f>V38*I38/100</f>
        <v>0</v>
      </c>
      <c r="X38" s="57">
        <v>8.4</v>
      </c>
      <c r="Y38" s="25">
        <v>0</v>
      </c>
      <c r="Z38" s="17">
        <f>Y38-G38</f>
        <v>-20</v>
      </c>
      <c r="AA38" s="17">
        <f>IF(Z38&lt;0,0,Y38-G38)</f>
        <v>0</v>
      </c>
      <c r="AB38" s="20">
        <f>AA38*I38/100</f>
        <v>0</v>
      </c>
      <c r="AC38" s="57">
        <v>8.4</v>
      </c>
      <c r="AD38" s="25">
        <v>3</v>
      </c>
      <c r="AE38" s="17">
        <f>AD38-G38</f>
        <v>-17</v>
      </c>
      <c r="AF38" s="17">
        <f>IF(AE38&lt;0,0,AD38-G38)</f>
        <v>0</v>
      </c>
      <c r="AG38" s="20">
        <f>AF38*I38/100</f>
        <v>0</v>
      </c>
      <c r="AH38" s="49">
        <v>8.4</v>
      </c>
      <c r="AI38" s="42">
        <f>AF38+AA38+V38+Q38+L38</f>
        <v>0</v>
      </c>
      <c r="AJ38" s="35">
        <f>AG38*AH38+AB38*AC38+W38*X38+R38*S38+M38*N38</f>
        <v>0</v>
      </c>
    </row>
    <row r="39" spans="1:36" x14ac:dyDescent="0.25">
      <c r="A39" s="25" t="s">
        <v>90</v>
      </c>
      <c r="B39" s="17" t="s">
        <v>10</v>
      </c>
      <c r="C39" s="17" t="s">
        <v>11</v>
      </c>
      <c r="D39" s="17" t="s">
        <v>12</v>
      </c>
      <c r="E39" s="18" t="s">
        <v>91</v>
      </c>
      <c r="F39" s="17" t="s">
        <v>14</v>
      </c>
      <c r="G39" s="17">
        <v>20</v>
      </c>
      <c r="H39" s="17" t="s">
        <v>15</v>
      </c>
      <c r="I39" s="39">
        <v>6.5</v>
      </c>
      <c r="J39" s="25">
        <v>0</v>
      </c>
      <c r="K39" s="17">
        <f>J39-G39</f>
        <v>-20</v>
      </c>
      <c r="L39" s="17">
        <f>IF(K39&lt;0,0,J39-G39)</f>
        <v>0</v>
      </c>
      <c r="M39" s="20">
        <f>L39*I39/100</f>
        <v>0</v>
      </c>
      <c r="N39" s="57">
        <v>8.4</v>
      </c>
      <c r="O39" s="25">
        <v>8</v>
      </c>
      <c r="P39" s="17">
        <f>O39-G39</f>
        <v>-12</v>
      </c>
      <c r="Q39" s="17">
        <f>IF(P39&lt;0,0,O39-G39)</f>
        <v>0</v>
      </c>
      <c r="R39" s="20">
        <f>Q39*I39/100</f>
        <v>0</v>
      </c>
      <c r="S39" s="57">
        <v>8.4</v>
      </c>
      <c r="T39" s="25">
        <v>15</v>
      </c>
      <c r="U39" s="17">
        <f>T39-G39</f>
        <v>-5</v>
      </c>
      <c r="V39" s="17">
        <f>IF(U39&lt;0,0,T39-G39)</f>
        <v>0</v>
      </c>
      <c r="W39" s="20">
        <f>V39*I39/100</f>
        <v>0</v>
      </c>
      <c r="X39" s="57">
        <v>8.4</v>
      </c>
      <c r="Y39" s="25">
        <v>412</v>
      </c>
      <c r="Z39" s="17">
        <f>Y39-G39</f>
        <v>392</v>
      </c>
      <c r="AA39" s="17">
        <f>IF(Z39&lt;0,0,Y39-G39)</f>
        <v>392</v>
      </c>
      <c r="AB39" s="20">
        <f>AA39*I39/100</f>
        <v>25.48</v>
      </c>
      <c r="AC39" s="57">
        <v>8.4</v>
      </c>
      <c r="AD39" s="25">
        <v>64</v>
      </c>
      <c r="AE39" s="17">
        <f>AD39-G39</f>
        <v>44</v>
      </c>
      <c r="AF39" s="17">
        <f>IF(AE39&lt;0,0,AD39-G39)</f>
        <v>44</v>
      </c>
      <c r="AG39" s="20">
        <f>AF39*I39/100</f>
        <v>2.86</v>
      </c>
      <c r="AH39" s="49">
        <v>8.4</v>
      </c>
      <c r="AI39" s="42">
        <f>AF39+AA39+V39+Q39+L39</f>
        <v>436</v>
      </c>
      <c r="AJ39" s="35">
        <f>AG39*AH39+AB39*AC39+W39*X39+R39*S39+M39*N39</f>
        <v>238.05600000000001</v>
      </c>
    </row>
    <row r="40" spans="1:36" x14ac:dyDescent="0.25">
      <c r="A40" s="25" t="s">
        <v>92</v>
      </c>
      <c r="B40" s="17" t="s">
        <v>32</v>
      </c>
      <c r="C40" s="17">
        <v>208</v>
      </c>
      <c r="D40" s="17" t="s">
        <v>12</v>
      </c>
      <c r="E40" s="17" t="s">
        <v>93</v>
      </c>
      <c r="F40" s="17" t="s">
        <v>14</v>
      </c>
      <c r="G40" s="17">
        <v>20</v>
      </c>
      <c r="H40" s="17" t="s">
        <v>15</v>
      </c>
      <c r="I40" s="39">
        <v>6.5</v>
      </c>
      <c r="J40" s="25">
        <v>17</v>
      </c>
      <c r="K40" s="17">
        <f>J40-G40</f>
        <v>-3</v>
      </c>
      <c r="L40" s="17">
        <f>IF(K40&lt;0,0,J40-G40)</f>
        <v>0</v>
      </c>
      <c r="M40" s="20">
        <f>L40*I40/100</f>
        <v>0</v>
      </c>
      <c r="N40" s="57">
        <v>8.4</v>
      </c>
      <c r="O40" s="25">
        <v>496</v>
      </c>
      <c r="P40" s="17">
        <f>O40-G40</f>
        <v>476</v>
      </c>
      <c r="Q40" s="17">
        <f>IF(P40&lt;0,0,O40-G40)</f>
        <v>476</v>
      </c>
      <c r="R40" s="20">
        <f>Q40*I40/100</f>
        <v>30.94</v>
      </c>
      <c r="S40" s="57">
        <v>8.4</v>
      </c>
      <c r="T40" s="25">
        <v>297</v>
      </c>
      <c r="U40" s="17">
        <f>T40-G40</f>
        <v>277</v>
      </c>
      <c r="V40" s="17">
        <f>IF(U40&lt;0,0,T40-G40)</f>
        <v>277</v>
      </c>
      <c r="W40" s="20">
        <f>V40*I40/100</f>
        <v>18.004999999999999</v>
      </c>
      <c r="X40" s="57">
        <v>8.4</v>
      </c>
      <c r="Y40" s="25">
        <v>18</v>
      </c>
      <c r="Z40" s="17">
        <f>Y40-G40</f>
        <v>-2</v>
      </c>
      <c r="AA40" s="17">
        <f>IF(Z40&lt;0,0,Y40-G40)</f>
        <v>0</v>
      </c>
      <c r="AB40" s="20">
        <f>AA40*I40/100</f>
        <v>0</v>
      </c>
      <c r="AC40" s="57">
        <v>8.4</v>
      </c>
      <c r="AD40" s="25">
        <v>46</v>
      </c>
      <c r="AE40" s="17">
        <f>AD40-G40</f>
        <v>26</v>
      </c>
      <c r="AF40" s="17">
        <f>IF(AE40&lt;0,0,AD40-G40)</f>
        <v>26</v>
      </c>
      <c r="AG40" s="20">
        <f>AF40*I40/100</f>
        <v>1.69</v>
      </c>
      <c r="AH40" s="49">
        <v>8.4</v>
      </c>
      <c r="AI40" s="42">
        <f>AF40+AA40+V40+Q40+L40</f>
        <v>779</v>
      </c>
      <c r="AJ40" s="35">
        <f>AG40*AH40+AB40*AC40+W40*X40+R40*S40+M40*N40</f>
        <v>425.334</v>
      </c>
    </row>
    <row r="41" spans="1:36" x14ac:dyDescent="0.25">
      <c r="A41" s="25" t="s">
        <v>94</v>
      </c>
      <c r="B41" s="17" t="s">
        <v>17</v>
      </c>
      <c r="C41" s="17" t="s">
        <v>18</v>
      </c>
      <c r="D41" s="17" t="s">
        <v>12</v>
      </c>
      <c r="E41" s="18" t="s">
        <v>95</v>
      </c>
      <c r="F41" s="17" t="s">
        <v>14</v>
      </c>
      <c r="G41" s="17">
        <v>20</v>
      </c>
      <c r="H41" s="17" t="s">
        <v>15</v>
      </c>
      <c r="I41" s="39">
        <v>6.5</v>
      </c>
      <c r="J41" s="45"/>
      <c r="K41" s="18"/>
      <c r="L41" s="18"/>
      <c r="M41" s="19"/>
      <c r="N41" s="58"/>
      <c r="O41" s="45"/>
      <c r="P41" s="18"/>
      <c r="Q41" s="18"/>
      <c r="R41" s="19"/>
      <c r="S41" s="58"/>
      <c r="T41" s="25">
        <v>2</v>
      </c>
      <c r="U41" s="17">
        <f>T41-G41</f>
        <v>-18</v>
      </c>
      <c r="V41" s="17">
        <f>IF(U41&lt;0,0,T41-G41)</f>
        <v>0</v>
      </c>
      <c r="W41" s="20">
        <f>V41*I41/100</f>
        <v>0</v>
      </c>
      <c r="X41" s="57">
        <v>8.4</v>
      </c>
      <c r="Y41" s="25">
        <v>63</v>
      </c>
      <c r="Z41" s="17">
        <f>Y41-G41</f>
        <v>43</v>
      </c>
      <c r="AA41" s="17">
        <f>IF(Z41&lt;0,0,Y41-G41)</f>
        <v>43</v>
      </c>
      <c r="AB41" s="20">
        <f>AA41*I41/100</f>
        <v>2.7949999999999999</v>
      </c>
      <c r="AC41" s="57">
        <v>8.4</v>
      </c>
      <c r="AD41" s="25">
        <v>90</v>
      </c>
      <c r="AE41" s="17">
        <f>AD41-G41</f>
        <v>70</v>
      </c>
      <c r="AF41" s="17">
        <f>IF(AE41&lt;0,0,AD41-G41)</f>
        <v>70</v>
      </c>
      <c r="AG41" s="20">
        <f>AF41*I41/100</f>
        <v>4.55</v>
      </c>
      <c r="AH41" s="49">
        <v>8.4</v>
      </c>
      <c r="AI41" s="42">
        <f>AF41+AA41+V41+Q41+L41</f>
        <v>113</v>
      </c>
      <c r="AJ41" s="35">
        <f>AG41*AH41+AB41*AC41+W41*X41+R41*S41+M41*N41</f>
        <v>61.698</v>
      </c>
    </row>
    <row r="42" spans="1:36" x14ac:dyDescent="0.25">
      <c r="A42" s="25" t="s">
        <v>96</v>
      </c>
      <c r="B42" s="17" t="s">
        <v>17</v>
      </c>
      <c r="C42" s="17" t="s">
        <v>18</v>
      </c>
      <c r="D42" s="17" t="s">
        <v>12</v>
      </c>
      <c r="E42" s="18" t="s">
        <v>97</v>
      </c>
      <c r="F42" s="17" t="s">
        <v>14</v>
      </c>
      <c r="G42" s="17">
        <v>20</v>
      </c>
      <c r="H42" s="17" t="s">
        <v>15</v>
      </c>
      <c r="I42" s="39">
        <v>6.5</v>
      </c>
      <c r="J42" s="45"/>
      <c r="K42" s="18"/>
      <c r="L42" s="18"/>
      <c r="M42" s="19"/>
      <c r="N42" s="58"/>
      <c r="O42" s="25">
        <v>0</v>
      </c>
      <c r="P42" s="17">
        <f>O42-G42</f>
        <v>-20</v>
      </c>
      <c r="Q42" s="17">
        <f>IF(P42&lt;0,0,O42-G42)</f>
        <v>0</v>
      </c>
      <c r="R42" s="20">
        <f>Q42*I42/100</f>
        <v>0</v>
      </c>
      <c r="S42" s="57">
        <v>8.4</v>
      </c>
      <c r="T42" s="25">
        <v>14</v>
      </c>
      <c r="U42" s="17">
        <f>T42-G42</f>
        <v>-6</v>
      </c>
      <c r="V42" s="17">
        <f>IF(U42&lt;0,0,T42-G42)</f>
        <v>0</v>
      </c>
      <c r="W42" s="20">
        <f>V42*I42/100</f>
        <v>0</v>
      </c>
      <c r="X42" s="57">
        <v>8.4</v>
      </c>
      <c r="Y42" s="25">
        <v>7</v>
      </c>
      <c r="Z42" s="17">
        <f>Y42-G42</f>
        <v>-13</v>
      </c>
      <c r="AA42" s="17">
        <f>IF(Z42&lt;0,0,Y42-G42)</f>
        <v>0</v>
      </c>
      <c r="AB42" s="20">
        <f>AA42*I42/100</f>
        <v>0</v>
      </c>
      <c r="AC42" s="57">
        <v>8.4</v>
      </c>
      <c r="AD42" s="25">
        <v>36</v>
      </c>
      <c r="AE42" s="17">
        <f>AD42-G42</f>
        <v>16</v>
      </c>
      <c r="AF42" s="17">
        <f>IF(AE42&lt;0,0,AD42-G42)</f>
        <v>16</v>
      </c>
      <c r="AG42" s="20">
        <f>AF42*I42/100</f>
        <v>1.04</v>
      </c>
      <c r="AH42" s="49">
        <v>8.4</v>
      </c>
      <c r="AI42" s="42">
        <f>AF42+AA42+V42+Q42+L42</f>
        <v>16</v>
      </c>
      <c r="AJ42" s="35">
        <f>AG42*AH42+AB42*AC42+W42*X42+R42*S42+M42*N42</f>
        <v>8.7360000000000007</v>
      </c>
    </row>
    <row r="43" spans="1:36" x14ac:dyDescent="0.25">
      <c r="A43" s="25" t="s">
        <v>98</v>
      </c>
      <c r="B43" s="17" t="s">
        <v>17</v>
      </c>
      <c r="C43" s="17" t="s">
        <v>99</v>
      </c>
      <c r="D43" s="17" t="s">
        <v>12</v>
      </c>
      <c r="E43" s="17" t="s">
        <v>100</v>
      </c>
      <c r="F43" s="17" t="s">
        <v>14</v>
      </c>
      <c r="G43" s="17">
        <v>20</v>
      </c>
      <c r="H43" s="17" t="s">
        <v>38</v>
      </c>
      <c r="I43" s="39">
        <v>6.5</v>
      </c>
      <c r="J43" s="25">
        <v>20</v>
      </c>
      <c r="K43" s="17">
        <f>J43-G43</f>
        <v>0</v>
      </c>
      <c r="L43" s="17">
        <f>IF(K43&lt;0,0,J43-G43)</f>
        <v>0</v>
      </c>
      <c r="M43" s="20">
        <f>L43*I43/100</f>
        <v>0</v>
      </c>
      <c r="N43" s="57">
        <v>7.3</v>
      </c>
      <c r="O43" s="25">
        <v>18</v>
      </c>
      <c r="P43" s="17">
        <f>O43-G43</f>
        <v>-2</v>
      </c>
      <c r="Q43" s="17">
        <f>IF(P43&lt;0,0,O43-G43)</f>
        <v>0</v>
      </c>
      <c r="R43" s="20">
        <f>Q43*I43/100</f>
        <v>0</v>
      </c>
      <c r="S43" s="57">
        <v>7.2</v>
      </c>
      <c r="T43" s="25">
        <v>16</v>
      </c>
      <c r="U43" s="17">
        <f>T43-G43</f>
        <v>-4</v>
      </c>
      <c r="V43" s="17">
        <f>IF(U43&lt;0,0,T43-G43)</f>
        <v>0</v>
      </c>
      <c r="W43" s="20">
        <f>V43*I43/100</f>
        <v>0</v>
      </c>
      <c r="X43" s="57">
        <v>7.2</v>
      </c>
      <c r="Y43" s="25">
        <v>17</v>
      </c>
      <c r="Z43" s="17">
        <f>Y43-G43</f>
        <v>-3</v>
      </c>
      <c r="AA43" s="17">
        <f>IF(Z43&lt;0,0,Y43-G43)</f>
        <v>0</v>
      </c>
      <c r="AB43" s="20">
        <f>AA43*I43/100</f>
        <v>0</v>
      </c>
      <c r="AC43" s="57">
        <v>7.2</v>
      </c>
      <c r="AD43" s="25">
        <v>18</v>
      </c>
      <c r="AE43" s="17">
        <f>AD43-G43</f>
        <v>-2</v>
      </c>
      <c r="AF43" s="17">
        <f>IF(AE43&lt;0,0,AD43-G43)</f>
        <v>0</v>
      </c>
      <c r="AG43" s="20">
        <f>AF43*I43/100</f>
        <v>0</v>
      </c>
      <c r="AH43" s="49">
        <v>7.2</v>
      </c>
      <c r="AI43" s="42">
        <f>AF43+AA43+V43+Q43+L43</f>
        <v>0</v>
      </c>
      <c r="AJ43" s="35">
        <f>AG43*AH43+AB43*AC43+W43*X43+R43*S43+M43*N43</f>
        <v>0</v>
      </c>
    </row>
    <row r="44" spans="1:36" x14ac:dyDescent="0.25">
      <c r="A44" s="25" t="s">
        <v>101</v>
      </c>
      <c r="B44" s="17" t="s">
        <v>10</v>
      </c>
      <c r="C44" s="17" t="s">
        <v>11</v>
      </c>
      <c r="D44" s="17" t="s">
        <v>102</v>
      </c>
      <c r="E44" s="17" t="s">
        <v>103</v>
      </c>
      <c r="F44" s="17" t="s">
        <v>14</v>
      </c>
      <c r="G44" s="17">
        <v>35</v>
      </c>
      <c r="H44" s="17" t="s">
        <v>15</v>
      </c>
      <c r="I44" s="39">
        <v>6.5</v>
      </c>
      <c r="J44" s="25">
        <v>76</v>
      </c>
      <c r="K44" s="17">
        <f>J44-G44</f>
        <v>41</v>
      </c>
      <c r="L44" s="17">
        <f>IF(K44&lt;0,0,J44-G44)</f>
        <v>41</v>
      </c>
      <c r="M44" s="20">
        <f>L44*I44/100</f>
        <v>2.665</v>
      </c>
      <c r="N44" s="57">
        <v>8.4</v>
      </c>
      <c r="O44" s="25">
        <v>312</v>
      </c>
      <c r="P44" s="17">
        <f>O44-G44</f>
        <v>277</v>
      </c>
      <c r="Q44" s="17">
        <f>IF(P44&lt;0,0,O44-G44)</f>
        <v>277</v>
      </c>
      <c r="R44" s="20">
        <f>Q44*I44/100</f>
        <v>18.004999999999999</v>
      </c>
      <c r="S44" s="57">
        <v>8.4</v>
      </c>
      <c r="T44" s="25">
        <v>46</v>
      </c>
      <c r="U44" s="17">
        <f>T44-G44</f>
        <v>11</v>
      </c>
      <c r="V44" s="17">
        <f>IF(U44&lt;0,0,T44-G44)</f>
        <v>11</v>
      </c>
      <c r="W44" s="20">
        <f>V44*I44/100</f>
        <v>0.71499999999999997</v>
      </c>
      <c r="X44" s="57">
        <v>8.4</v>
      </c>
      <c r="Y44" s="25">
        <v>100</v>
      </c>
      <c r="Z44" s="17">
        <f>Y44-G44</f>
        <v>65</v>
      </c>
      <c r="AA44" s="17">
        <f>IF(Z44&lt;0,0,Y44-G44)</f>
        <v>65</v>
      </c>
      <c r="AB44" s="20">
        <f>AA44*I44/100</f>
        <v>4.2249999999999996</v>
      </c>
      <c r="AC44" s="57">
        <v>8.4</v>
      </c>
      <c r="AD44" s="25">
        <v>89</v>
      </c>
      <c r="AE44" s="17">
        <f>AD44-G44</f>
        <v>54</v>
      </c>
      <c r="AF44" s="17">
        <f>IF(AE44&lt;0,0,AD44-G44)</f>
        <v>54</v>
      </c>
      <c r="AG44" s="20">
        <f>AF44*I44/100</f>
        <v>3.51</v>
      </c>
      <c r="AH44" s="49">
        <v>8.4</v>
      </c>
      <c r="AI44" s="42">
        <f>AF44+AA44+V44+Q44+L44</f>
        <v>448</v>
      </c>
      <c r="AJ44" s="35">
        <f>AG44*AH44+AB44*AC44+W44*X44+R44*S44+M44*N44</f>
        <v>244.60799999999998</v>
      </c>
    </row>
    <row r="45" spans="1:36" x14ac:dyDescent="0.25">
      <c r="A45" s="25" t="s">
        <v>104</v>
      </c>
      <c r="B45" s="17" t="s">
        <v>10</v>
      </c>
      <c r="C45" s="17" t="s">
        <v>105</v>
      </c>
      <c r="D45" s="17" t="s">
        <v>102</v>
      </c>
      <c r="E45" s="17" t="s">
        <v>106</v>
      </c>
      <c r="F45" s="17" t="s">
        <v>14</v>
      </c>
      <c r="G45" s="17">
        <v>30</v>
      </c>
      <c r="H45" s="17" t="s">
        <v>15</v>
      </c>
      <c r="I45" s="39">
        <v>6.5</v>
      </c>
      <c r="J45" s="25">
        <v>21</v>
      </c>
      <c r="K45" s="17">
        <f>J45-G45</f>
        <v>-9</v>
      </c>
      <c r="L45" s="17">
        <f>IF(K45&lt;0,0,J45-G45)</f>
        <v>0</v>
      </c>
      <c r="M45" s="20">
        <f>L45*I45/100</f>
        <v>0</v>
      </c>
      <c r="N45" s="57">
        <v>8.4</v>
      </c>
      <c r="O45" s="25">
        <v>57</v>
      </c>
      <c r="P45" s="17">
        <f>O45-G45</f>
        <v>27</v>
      </c>
      <c r="Q45" s="17">
        <f>IF(P45&lt;0,0,O45-G45)</f>
        <v>27</v>
      </c>
      <c r="R45" s="20">
        <f>Q45*I45/100</f>
        <v>1.7549999999999999</v>
      </c>
      <c r="S45" s="57">
        <v>8.4</v>
      </c>
      <c r="T45" s="25">
        <v>22</v>
      </c>
      <c r="U45" s="17">
        <f>T45-G45</f>
        <v>-8</v>
      </c>
      <c r="V45" s="17">
        <f>IF(U45&lt;0,0,T45-G45)</f>
        <v>0</v>
      </c>
      <c r="W45" s="20">
        <f>V45*I45/100</f>
        <v>0</v>
      </c>
      <c r="X45" s="57">
        <v>8.4</v>
      </c>
      <c r="Y45" s="25">
        <v>24</v>
      </c>
      <c r="Z45" s="17">
        <f>Y45-G45</f>
        <v>-6</v>
      </c>
      <c r="AA45" s="17">
        <f>IF(Z45&lt;0,0,Y45-G45)</f>
        <v>0</v>
      </c>
      <c r="AB45" s="20">
        <f>AA45*I45/100</f>
        <v>0</v>
      </c>
      <c r="AC45" s="57">
        <v>8.4</v>
      </c>
      <c r="AD45" s="25">
        <v>28</v>
      </c>
      <c r="AE45" s="17">
        <f>AD45-G45</f>
        <v>-2</v>
      </c>
      <c r="AF45" s="17">
        <f>IF(AE45&lt;0,0,AD45-G45)</f>
        <v>0</v>
      </c>
      <c r="AG45" s="20">
        <f>AF45*I45/100</f>
        <v>0</v>
      </c>
      <c r="AH45" s="49">
        <v>8.4</v>
      </c>
      <c r="AI45" s="42">
        <f>AF45+AA45+V45+Q45+L45</f>
        <v>27</v>
      </c>
      <c r="AJ45" s="35">
        <f>AG45*AH45+AB45*AC45+W45*X45+R45*S45+M45*N45</f>
        <v>14.741999999999999</v>
      </c>
    </row>
    <row r="46" spans="1:36" x14ac:dyDescent="0.25">
      <c r="A46" s="25" t="s">
        <v>107</v>
      </c>
      <c r="B46" s="17" t="s">
        <v>10</v>
      </c>
      <c r="C46" s="17" t="s">
        <v>11</v>
      </c>
      <c r="D46" s="17" t="s">
        <v>102</v>
      </c>
      <c r="E46" s="18" t="s">
        <v>108</v>
      </c>
      <c r="F46" s="17" t="s">
        <v>14</v>
      </c>
      <c r="G46" s="17">
        <v>20</v>
      </c>
      <c r="H46" s="17" t="s">
        <v>15</v>
      </c>
      <c r="I46" s="39">
        <v>6.5</v>
      </c>
      <c r="J46" s="45"/>
      <c r="K46" s="18"/>
      <c r="L46" s="18"/>
      <c r="M46" s="19"/>
      <c r="N46" s="58"/>
      <c r="O46" s="45"/>
      <c r="P46" s="18"/>
      <c r="Q46" s="18"/>
      <c r="R46" s="19"/>
      <c r="S46" s="58"/>
      <c r="T46" s="25">
        <v>30</v>
      </c>
      <c r="U46" s="17">
        <f>T46-G46</f>
        <v>10</v>
      </c>
      <c r="V46" s="17">
        <f>IF(U46&lt;0,0,T46-G46)</f>
        <v>10</v>
      </c>
      <c r="W46" s="20">
        <f>V46*I46/100</f>
        <v>0.65</v>
      </c>
      <c r="X46" s="57">
        <v>8.4</v>
      </c>
      <c r="Y46" s="25">
        <v>138</v>
      </c>
      <c r="Z46" s="17">
        <f>Y46-G46</f>
        <v>118</v>
      </c>
      <c r="AA46" s="17">
        <f>IF(Z46&lt;0,0,Y46-G46)</f>
        <v>118</v>
      </c>
      <c r="AB46" s="20">
        <f>AA46*I46/100</f>
        <v>7.67</v>
      </c>
      <c r="AC46" s="57">
        <v>8.4</v>
      </c>
      <c r="AD46" s="25">
        <v>0</v>
      </c>
      <c r="AE46" s="17">
        <f>AD46-G46</f>
        <v>-20</v>
      </c>
      <c r="AF46" s="17">
        <f>IF(AE46&lt;0,0,AD46-G46)</f>
        <v>0</v>
      </c>
      <c r="AG46" s="20">
        <f>AF46*I46/100</f>
        <v>0</v>
      </c>
      <c r="AH46" s="49">
        <v>8.4</v>
      </c>
      <c r="AI46" s="42">
        <f>AF46+AA46+V46+Q46+L46</f>
        <v>128</v>
      </c>
      <c r="AJ46" s="35">
        <f>AG46*AH46+AB46*AC46+W46*X46+R46*S46+M46*N46</f>
        <v>69.888000000000005</v>
      </c>
    </row>
    <row r="47" spans="1:36" x14ac:dyDescent="0.25">
      <c r="A47" s="25" t="s">
        <v>109</v>
      </c>
      <c r="B47" s="17" t="s">
        <v>10</v>
      </c>
      <c r="C47" s="17" t="s">
        <v>11</v>
      </c>
      <c r="D47" s="17" t="s">
        <v>102</v>
      </c>
      <c r="E47" s="17" t="s">
        <v>110</v>
      </c>
      <c r="F47" s="17" t="s">
        <v>14</v>
      </c>
      <c r="G47" s="17">
        <v>20</v>
      </c>
      <c r="H47" s="17" t="s">
        <v>15</v>
      </c>
      <c r="I47" s="39">
        <v>6.5</v>
      </c>
      <c r="J47" s="25">
        <v>0</v>
      </c>
      <c r="K47" s="17">
        <f>J47-G47</f>
        <v>-20</v>
      </c>
      <c r="L47" s="17">
        <f>IF(K47&lt;0,0,J47-G47)</f>
        <v>0</v>
      </c>
      <c r="M47" s="20">
        <f>L47*I47/100</f>
        <v>0</v>
      </c>
      <c r="N47" s="57">
        <v>8.4</v>
      </c>
      <c r="O47" s="25">
        <v>23</v>
      </c>
      <c r="P47" s="17">
        <f>O47-G47</f>
        <v>3</v>
      </c>
      <c r="Q47" s="17">
        <f>IF(P47&lt;0,0,O47-G47)</f>
        <v>3</v>
      </c>
      <c r="R47" s="20">
        <f>Q47*I47/100</f>
        <v>0.19500000000000001</v>
      </c>
      <c r="S47" s="57">
        <v>8.4</v>
      </c>
      <c r="T47" s="25">
        <v>5</v>
      </c>
      <c r="U47" s="17">
        <f>T47-G47</f>
        <v>-15</v>
      </c>
      <c r="V47" s="17">
        <f>IF(U47&lt;0,0,T47-G47)</f>
        <v>0</v>
      </c>
      <c r="W47" s="20">
        <f>V47*I47/100</f>
        <v>0</v>
      </c>
      <c r="X47" s="57">
        <v>8.4</v>
      </c>
      <c r="Y47" s="25">
        <v>15</v>
      </c>
      <c r="Z47" s="17">
        <f>Y47-G47</f>
        <v>-5</v>
      </c>
      <c r="AA47" s="17">
        <f>IF(Z47&lt;0,0,Y47-G47)</f>
        <v>0</v>
      </c>
      <c r="AB47" s="20">
        <f>AA47*I47/100</f>
        <v>0</v>
      </c>
      <c r="AC47" s="57">
        <v>8.4</v>
      </c>
      <c r="AD47" s="25">
        <v>0</v>
      </c>
      <c r="AE47" s="17">
        <f>AD47-G47</f>
        <v>-20</v>
      </c>
      <c r="AF47" s="17">
        <f>IF(AE47&lt;0,0,AD47-G47)</f>
        <v>0</v>
      </c>
      <c r="AG47" s="20">
        <f>AF47*I47/100</f>
        <v>0</v>
      </c>
      <c r="AH47" s="49">
        <v>8.4</v>
      </c>
      <c r="AI47" s="42">
        <f>AF47+AA47+V47+Q47+L47</f>
        <v>3</v>
      </c>
      <c r="AJ47" s="35">
        <f>AG47*AH47+AB47*AC47+W47*X47+R47*S47+M47*N47</f>
        <v>1.6380000000000001</v>
      </c>
    </row>
    <row r="48" spans="1:36" x14ac:dyDescent="0.25">
      <c r="A48" s="25" t="s">
        <v>111</v>
      </c>
      <c r="B48" s="17" t="s">
        <v>10</v>
      </c>
      <c r="C48" s="17" t="s">
        <v>11</v>
      </c>
      <c r="D48" s="17" t="s">
        <v>102</v>
      </c>
      <c r="E48" s="17" t="s">
        <v>112</v>
      </c>
      <c r="F48" s="17" t="s">
        <v>14</v>
      </c>
      <c r="G48" s="17">
        <v>20</v>
      </c>
      <c r="H48" s="17" t="s">
        <v>15</v>
      </c>
      <c r="I48" s="39">
        <v>6.5</v>
      </c>
      <c r="J48" s="25">
        <v>43</v>
      </c>
      <c r="K48" s="17">
        <f>J48-G48</f>
        <v>23</v>
      </c>
      <c r="L48" s="17">
        <f>IF(K48&lt;0,0,J48-G48)</f>
        <v>23</v>
      </c>
      <c r="M48" s="20">
        <f>L48*I48/100</f>
        <v>1.4950000000000001</v>
      </c>
      <c r="N48" s="57">
        <v>8.4</v>
      </c>
      <c r="O48" s="25">
        <v>203</v>
      </c>
      <c r="P48" s="17">
        <f>O48-G48</f>
        <v>183</v>
      </c>
      <c r="Q48" s="17">
        <f>IF(P48&lt;0,0,O48-G48)</f>
        <v>183</v>
      </c>
      <c r="R48" s="20">
        <f>Q48*I48/100</f>
        <v>11.895</v>
      </c>
      <c r="S48" s="57">
        <v>8.4</v>
      </c>
      <c r="T48" s="25">
        <v>303</v>
      </c>
      <c r="U48" s="17">
        <f>T48-G48</f>
        <v>283</v>
      </c>
      <c r="V48" s="17">
        <f>IF(U48&lt;0,0,T48-G48)</f>
        <v>283</v>
      </c>
      <c r="W48" s="20">
        <f>V48*I48/100</f>
        <v>18.395</v>
      </c>
      <c r="X48" s="57">
        <v>8.4</v>
      </c>
      <c r="Y48" s="25">
        <v>2</v>
      </c>
      <c r="Z48" s="17">
        <f>Y48-G48</f>
        <v>-18</v>
      </c>
      <c r="AA48" s="17">
        <f>IF(Z48&lt;0,0,Y48-G48)</f>
        <v>0</v>
      </c>
      <c r="AB48" s="20">
        <f>AA48*I48/100</f>
        <v>0</v>
      </c>
      <c r="AC48" s="57">
        <v>8.4</v>
      </c>
      <c r="AD48" s="25">
        <v>210</v>
      </c>
      <c r="AE48" s="17">
        <f>AD48-G48</f>
        <v>190</v>
      </c>
      <c r="AF48" s="17">
        <f>IF(AE48&lt;0,0,AD48-G48)</f>
        <v>190</v>
      </c>
      <c r="AG48" s="20">
        <f>AF48*I48/100</f>
        <v>12.35</v>
      </c>
      <c r="AH48" s="49">
        <v>8.4</v>
      </c>
      <c r="AI48" s="42">
        <f>AF48+AA48+V48+Q48+L48</f>
        <v>679</v>
      </c>
      <c r="AJ48" s="35">
        <f>AG48*AH48+AB48*AC48+W48*X48+R48*S48+M48*N48</f>
        <v>370.73399999999998</v>
      </c>
    </row>
    <row r="49" spans="1:36" x14ac:dyDescent="0.25">
      <c r="A49" s="25" t="s">
        <v>113</v>
      </c>
      <c r="B49" s="17" t="s">
        <v>10</v>
      </c>
      <c r="C49" s="17" t="s">
        <v>22</v>
      </c>
      <c r="D49" s="17" t="s">
        <v>102</v>
      </c>
      <c r="E49" s="18" t="s">
        <v>114</v>
      </c>
      <c r="F49" s="17" t="s">
        <v>14</v>
      </c>
      <c r="G49" s="17">
        <v>20</v>
      </c>
      <c r="H49" s="17" t="s">
        <v>15</v>
      </c>
      <c r="I49" s="39">
        <v>11</v>
      </c>
      <c r="J49" s="25">
        <v>0</v>
      </c>
      <c r="K49" s="17">
        <f>J49-G49</f>
        <v>-20</v>
      </c>
      <c r="L49" s="17">
        <f>IF(K49&lt;0,0,J49-G49)</f>
        <v>0</v>
      </c>
      <c r="M49" s="20">
        <f>L49*I49/100</f>
        <v>0</v>
      </c>
      <c r="N49" s="57">
        <v>8.4</v>
      </c>
      <c r="O49" s="25">
        <v>1</v>
      </c>
      <c r="P49" s="17">
        <f>O49-G49</f>
        <v>-19</v>
      </c>
      <c r="Q49" s="17">
        <f>IF(P49&lt;0,0,O49-G49)</f>
        <v>0</v>
      </c>
      <c r="R49" s="20">
        <f>Q49*I49/100</f>
        <v>0</v>
      </c>
      <c r="S49" s="57">
        <v>8.4</v>
      </c>
      <c r="T49" s="25">
        <v>0</v>
      </c>
      <c r="U49" s="17">
        <f>T49-G49</f>
        <v>-20</v>
      </c>
      <c r="V49" s="17">
        <f>IF(U49&lt;0,0,T49-G49)</f>
        <v>0</v>
      </c>
      <c r="W49" s="20">
        <f>V49*I49/100</f>
        <v>0</v>
      </c>
      <c r="X49" s="57">
        <v>8.4</v>
      </c>
      <c r="Y49" s="25">
        <v>0</v>
      </c>
      <c r="Z49" s="17">
        <f>Y49-G49</f>
        <v>-20</v>
      </c>
      <c r="AA49" s="17">
        <f>IF(Z49&lt;0,0,Y49-G49)</f>
        <v>0</v>
      </c>
      <c r="AB49" s="20">
        <f>AA49*I49/100</f>
        <v>0</v>
      </c>
      <c r="AC49" s="57">
        <v>8.4</v>
      </c>
      <c r="AD49" s="25">
        <v>0</v>
      </c>
      <c r="AE49" s="17">
        <f>AD49-G49</f>
        <v>-20</v>
      </c>
      <c r="AF49" s="17">
        <f>IF(AE49&lt;0,0,AD49-G49)</f>
        <v>0</v>
      </c>
      <c r="AG49" s="20">
        <f>AF49*I49/100</f>
        <v>0</v>
      </c>
      <c r="AH49" s="49">
        <v>8.4</v>
      </c>
      <c r="AI49" s="42">
        <f>AF49+AA49+V49+Q49+L49</f>
        <v>0</v>
      </c>
      <c r="AJ49" s="35">
        <f>AG49*AH49+AB49*AC49+W49*X49+R49*S49+M49*N49</f>
        <v>0</v>
      </c>
    </row>
    <row r="50" spans="1:36" x14ac:dyDescent="0.25">
      <c r="A50" s="25" t="s">
        <v>115</v>
      </c>
      <c r="B50" s="17" t="s">
        <v>17</v>
      </c>
      <c r="C50" s="17" t="s">
        <v>36</v>
      </c>
      <c r="D50" s="17" t="s">
        <v>102</v>
      </c>
      <c r="E50" s="18" t="s">
        <v>108</v>
      </c>
      <c r="F50" s="17" t="s">
        <v>14</v>
      </c>
      <c r="G50" s="17">
        <v>20</v>
      </c>
      <c r="H50" s="17" t="s">
        <v>38</v>
      </c>
      <c r="I50" s="39">
        <v>6.5</v>
      </c>
      <c r="J50" s="25">
        <v>0</v>
      </c>
      <c r="K50" s="17">
        <f>J50-G50</f>
        <v>-20</v>
      </c>
      <c r="L50" s="17">
        <f>IF(K50&lt;0,0,J50-G50)</f>
        <v>0</v>
      </c>
      <c r="M50" s="20">
        <f>L50*I50/100</f>
        <v>0</v>
      </c>
      <c r="N50" s="57">
        <v>7.3</v>
      </c>
      <c r="O50" s="25">
        <v>0</v>
      </c>
      <c r="P50" s="17">
        <f>O50-G50</f>
        <v>-20</v>
      </c>
      <c r="Q50" s="17">
        <f>IF(P50&lt;0,0,O50-G50)</f>
        <v>0</v>
      </c>
      <c r="R50" s="20">
        <f>Q50*I50/100</f>
        <v>0</v>
      </c>
      <c r="S50" s="57">
        <v>7.2</v>
      </c>
      <c r="T50" s="45"/>
      <c r="U50" s="18"/>
      <c r="V50" s="18"/>
      <c r="W50" s="19"/>
      <c r="X50" s="58"/>
      <c r="Y50" s="45"/>
      <c r="Z50" s="18"/>
      <c r="AA50" s="18"/>
      <c r="AB50" s="19"/>
      <c r="AC50" s="58"/>
      <c r="AD50" s="45"/>
      <c r="AE50" s="18"/>
      <c r="AF50" s="18"/>
      <c r="AG50" s="19"/>
      <c r="AH50" s="50"/>
      <c r="AI50" s="42">
        <f>AF50+AA50+V50+Q50+L50</f>
        <v>0</v>
      </c>
      <c r="AJ50" s="35">
        <f>AG50*AH50+AB50*AC50+W50*X50+R50*S50+M50*N50</f>
        <v>0</v>
      </c>
    </row>
    <row r="51" spans="1:36" x14ac:dyDescent="0.25">
      <c r="A51" s="25" t="s">
        <v>116</v>
      </c>
      <c r="B51" s="17" t="s">
        <v>10</v>
      </c>
      <c r="C51" s="17" t="s">
        <v>22</v>
      </c>
      <c r="D51" s="17" t="s">
        <v>102</v>
      </c>
      <c r="E51" s="18" t="s">
        <v>117</v>
      </c>
      <c r="F51" s="17" t="s">
        <v>14</v>
      </c>
      <c r="G51" s="17">
        <v>20</v>
      </c>
      <c r="H51" s="17" t="s">
        <v>15</v>
      </c>
      <c r="I51" s="39">
        <v>11</v>
      </c>
      <c r="J51" s="25">
        <v>0</v>
      </c>
      <c r="K51" s="17">
        <f>J51-G51</f>
        <v>-20</v>
      </c>
      <c r="L51" s="17">
        <f>IF(K51&lt;0,0,J51-G51)</f>
        <v>0</v>
      </c>
      <c r="M51" s="20">
        <f>L51*I51/100</f>
        <v>0</v>
      </c>
      <c r="N51" s="57">
        <v>8.4</v>
      </c>
      <c r="O51" s="25">
        <v>0</v>
      </c>
      <c r="P51" s="17">
        <f>O51-G51</f>
        <v>-20</v>
      </c>
      <c r="Q51" s="17">
        <f>IF(P51&lt;0,0,O51-G51)</f>
        <v>0</v>
      </c>
      <c r="R51" s="20">
        <f>Q51*I51/100</f>
        <v>0</v>
      </c>
      <c r="S51" s="57">
        <v>8.4</v>
      </c>
      <c r="T51" s="25">
        <v>0</v>
      </c>
      <c r="U51" s="17">
        <f>T51-G51</f>
        <v>-20</v>
      </c>
      <c r="V51" s="17">
        <f>IF(U51&lt;0,0,T51-G51)</f>
        <v>0</v>
      </c>
      <c r="W51" s="20">
        <f>V51*I51/100</f>
        <v>0</v>
      </c>
      <c r="X51" s="57">
        <v>8.4</v>
      </c>
      <c r="Y51" s="25">
        <v>29</v>
      </c>
      <c r="Z51" s="17">
        <f>Y51-G51</f>
        <v>9</v>
      </c>
      <c r="AA51" s="17">
        <f>IF(Z51&lt;0,0,Y51-G51)</f>
        <v>9</v>
      </c>
      <c r="AB51" s="20">
        <f>AA51*I51/100</f>
        <v>0.99</v>
      </c>
      <c r="AC51" s="57">
        <v>8.4</v>
      </c>
      <c r="AD51" s="25">
        <v>10</v>
      </c>
      <c r="AE51" s="17">
        <f>AD51-G51</f>
        <v>-10</v>
      </c>
      <c r="AF51" s="17">
        <f>IF(AE51&lt;0,0,AD51-G51)</f>
        <v>0</v>
      </c>
      <c r="AG51" s="20">
        <f>AF51*I51/100</f>
        <v>0</v>
      </c>
      <c r="AH51" s="49">
        <v>8.4</v>
      </c>
      <c r="AI51" s="42">
        <f>AF51+AA51+V51+Q51+L51</f>
        <v>9</v>
      </c>
      <c r="AJ51" s="35">
        <f>AG51*AH51+AB51*AC51+W51*X51+R51*S51+M51*N51</f>
        <v>8.3160000000000007</v>
      </c>
    </row>
    <row r="52" spans="1:36" x14ac:dyDescent="0.25">
      <c r="A52" s="25" t="s">
        <v>118</v>
      </c>
      <c r="B52" s="17" t="s">
        <v>10</v>
      </c>
      <c r="C52" s="17" t="s">
        <v>105</v>
      </c>
      <c r="D52" s="17" t="s">
        <v>102</v>
      </c>
      <c r="E52" s="18" t="s">
        <v>103</v>
      </c>
      <c r="F52" s="17" t="s">
        <v>14</v>
      </c>
      <c r="G52" s="17">
        <v>35</v>
      </c>
      <c r="H52" s="17" t="s">
        <v>15</v>
      </c>
      <c r="I52" s="39">
        <v>6.5</v>
      </c>
      <c r="J52" s="45"/>
      <c r="K52" s="18"/>
      <c r="L52" s="18"/>
      <c r="M52" s="19"/>
      <c r="N52" s="58"/>
      <c r="O52" s="25">
        <v>109</v>
      </c>
      <c r="P52" s="17">
        <f>O52-G52</f>
        <v>74</v>
      </c>
      <c r="Q52" s="17">
        <f>IF(P52&lt;0,0,O52-G52)</f>
        <v>74</v>
      </c>
      <c r="R52" s="20">
        <f>Q52*I52/100</f>
        <v>4.8099999999999996</v>
      </c>
      <c r="S52" s="57">
        <v>8.4</v>
      </c>
      <c r="T52" s="45"/>
      <c r="U52" s="18"/>
      <c r="V52" s="18"/>
      <c r="W52" s="19"/>
      <c r="X52" s="58"/>
      <c r="Y52" s="45"/>
      <c r="Z52" s="18"/>
      <c r="AA52" s="18"/>
      <c r="AB52" s="19"/>
      <c r="AC52" s="58"/>
      <c r="AD52" s="45"/>
      <c r="AE52" s="18"/>
      <c r="AF52" s="18"/>
      <c r="AG52" s="19"/>
      <c r="AH52" s="50"/>
      <c r="AI52" s="42">
        <f>AF52+AA52+V52+Q52+L52</f>
        <v>74</v>
      </c>
      <c r="AJ52" s="35">
        <f>AG52*AH52+AB52*AC52+W52*X52+R52*S52+M52*N52</f>
        <v>40.403999999999996</v>
      </c>
    </row>
    <row r="53" spans="1:36" x14ac:dyDescent="0.25">
      <c r="A53" s="25" t="s">
        <v>119</v>
      </c>
      <c r="B53" s="17" t="s">
        <v>10</v>
      </c>
      <c r="C53" s="17" t="s">
        <v>22</v>
      </c>
      <c r="D53" s="17" t="s">
        <v>120</v>
      </c>
      <c r="E53" s="17" t="s">
        <v>121</v>
      </c>
      <c r="F53" s="17" t="s">
        <v>14</v>
      </c>
      <c r="G53" s="17">
        <v>20</v>
      </c>
      <c r="H53" s="17" t="s">
        <v>15</v>
      </c>
      <c r="I53" s="39">
        <v>11</v>
      </c>
      <c r="J53" s="25">
        <v>0</v>
      </c>
      <c r="K53" s="17">
        <f>J53-G53</f>
        <v>-20</v>
      </c>
      <c r="L53" s="17">
        <f>IF(K53&lt;0,0,J53-G53)</f>
        <v>0</v>
      </c>
      <c r="M53" s="20">
        <f>L53*I53/100</f>
        <v>0</v>
      </c>
      <c r="N53" s="57">
        <v>8.4</v>
      </c>
      <c r="O53" s="25">
        <v>0</v>
      </c>
      <c r="P53" s="17">
        <f>O53-G53</f>
        <v>-20</v>
      </c>
      <c r="Q53" s="17">
        <f>IF(P53&lt;0,0,O53-G53)</f>
        <v>0</v>
      </c>
      <c r="R53" s="20">
        <f>Q53*I53/100</f>
        <v>0</v>
      </c>
      <c r="S53" s="57">
        <v>8.4</v>
      </c>
      <c r="T53" s="25">
        <v>40</v>
      </c>
      <c r="U53" s="17">
        <f>T53-G53</f>
        <v>20</v>
      </c>
      <c r="V53" s="17">
        <f>IF(U53&lt;0,0,T53-G53)</f>
        <v>20</v>
      </c>
      <c r="W53" s="20">
        <f>V53*I53/100</f>
        <v>2.2000000000000002</v>
      </c>
      <c r="X53" s="57">
        <v>8.4</v>
      </c>
      <c r="Y53" s="25">
        <v>5</v>
      </c>
      <c r="Z53" s="17">
        <f>Y53-G53</f>
        <v>-15</v>
      </c>
      <c r="AA53" s="17">
        <f>IF(Z53&lt;0,0,Y53-G53)</f>
        <v>0</v>
      </c>
      <c r="AB53" s="20">
        <f>AA53*I53/100</f>
        <v>0</v>
      </c>
      <c r="AC53" s="57">
        <v>8.4</v>
      </c>
      <c r="AD53" s="25">
        <v>22</v>
      </c>
      <c r="AE53" s="17">
        <f>AD53-G53</f>
        <v>2</v>
      </c>
      <c r="AF53" s="17">
        <f>IF(AE53&lt;0,0,AD53-G53)</f>
        <v>2</v>
      </c>
      <c r="AG53" s="20">
        <f>AF53*I53/100</f>
        <v>0.22</v>
      </c>
      <c r="AH53" s="49">
        <v>8.4</v>
      </c>
      <c r="AI53" s="42">
        <f>AF53+AA53+V53+Q53+L53</f>
        <v>22</v>
      </c>
      <c r="AJ53" s="35">
        <f>AG53*AH53+AB53*AC53+W53*X53+R53*S53+M53*N53</f>
        <v>20.328000000000003</v>
      </c>
    </row>
    <row r="54" spans="1:36" x14ac:dyDescent="0.25">
      <c r="A54" s="25" t="s">
        <v>122</v>
      </c>
      <c r="B54" s="17" t="s">
        <v>10</v>
      </c>
      <c r="C54" s="17" t="s">
        <v>11</v>
      </c>
      <c r="D54" s="17" t="s">
        <v>120</v>
      </c>
      <c r="E54" s="18" t="s">
        <v>123</v>
      </c>
      <c r="F54" s="17" t="s">
        <v>14</v>
      </c>
      <c r="G54" s="17">
        <v>20</v>
      </c>
      <c r="H54" s="17" t="s">
        <v>15</v>
      </c>
      <c r="I54" s="39">
        <v>6.5</v>
      </c>
      <c r="J54" s="45"/>
      <c r="K54" s="18"/>
      <c r="L54" s="18"/>
      <c r="M54" s="19"/>
      <c r="N54" s="58"/>
      <c r="O54" s="45"/>
      <c r="P54" s="18"/>
      <c r="Q54" s="18"/>
      <c r="R54" s="19"/>
      <c r="S54" s="58"/>
      <c r="T54" s="45"/>
      <c r="U54" s="18"/>
      <c r="V54" s="18"/>
      <c r="W54" s="19"/>
      <c r="X54" s="58"/>
      <c r="Y54" s="45"/>
      <c r="Z54" s="18"/>
      <c r="AA54" s="18"/>
      <c r="AB54" s="19"/>
      <c r="AC54" s="58"/>
      <c r="AD54" s="25">
        <v>0</v>
      </c>
      <c r="AE54" s="17">
        <f>AD54-G54</f>
        <v>-20</v>
      </c>
      <c r="AF54" s="17">
        <f>IF(AE54&lt;0,0,AD54-G54)</f>
        <v>0</v>
      </c>
      <c r="AG54" s="20">
        <f>AF54*I54/100</f>
        <v>0</v>
      </c>
      <c r="AH54" s="49">
        <v>8.4</v>
      </c>
      <c r="AI54" s="42">
        <f>AF54+AA54+V54+Q54+L54</f>
        <v>0</v>
      </c>
      <c r="AJ54" s="35">
        <f>AG54*AH54+AB54*AC54+W54*X54+R54*S54+M54*N54</f>
        <v>0</v>
      </c>
    </row>
    <row r="55" spans="1:36" x14ac:dyDescent="0.25">
      <c r="A55" s="25" t="s">
        <v>122</v>
      </c>
      <c r="B55" s="17" t="s">
        <v>10</v>
      </c>
      <c r="C55" s="17" t="s">
        <v>11</v>
      </c>
      <c r="D55" s="17" t="s">
        <v>120</v>
      </c>
      <c r="E55" s="17" t="s">
        <v>124</v>
      </c>
      <c r="F55" s="17" t="s">
        <v>14</v>
      </c>
      <c r="G55" s="17">
        <v>20</v>
      </c>
      <c r="H55" s="17" t="s">
        <v>15</v>
      </c>
      <c r="I55" s="39">
        <v>6.5</v>
      </c>
      <c r="J55" s="25">
        <v>4</v>
      </c>
      <c r="K55" s="17">
        <f>J55-G55</f>
        <v>-16</v>
      </c>
      <c r="L55" s="17">
        <f>IF(K55&lt;0,0,J55-G55)</f>
        <v>0</v>
      </c>
      <c r="M55" s="20">
        <f>L55*I55/100</f>
        <v>0</v>
      </c>
      <c r="N55" s="57">
        <v>8.4</v>
      </c>
      <c r="O55" s="25">
        <v>12</v>
      </c>
      <c r="P55" s="17">
        <f>O55-G55</f>
        <v>-8</v>
      </c>
      <c r="Q55" s="17">
        <f>IF(P55&lt;0,0,O55-G55)</f>
        <v>0</v>
      </c>
      <c r="R55" s="20">
        <f>Q55*I55/100</f>
        <v>0</v>
      </c>
      <c r="S55" s="57">
        <v>8.4</v>
      </c>
      <c r="T55" s="25">
        <v>5</v>
      </c>
      <c r="U55" s="17">
        <f>T55-G55</f>
        <v>-15</v>
      </c>
      <c r="V55" s="17">
        <f>IF(U55&lt;0,0,T55-G55)</f>
        <v>0</v>
      </c>
      <c r="W55" s="20">
        <f>V55*I55/100</f>
        <v>0</v>
      </c>
      <c r="X55" s="57">
        <v>8.4</v>
      </c>
      <c r="Y55" s="25">
        <v>0</v>
      </c>
      <c r="Z55" s="17">
        <f>Y55-G55</f>
        <v>-20</v>
      </c>
      <c r="AA55" s="17">
        <f>IF(Z55&lt;0,0,Y55-G55)</f>
        <v>0</v>
      </c>
      <c r="AB55" s="20">
        <f>AA55*I55/100</f>
        <v>0</v>
      </c>
      <c r="AC55" s="57">
        <v>8.4</v>
      </c>
      <c r="AD55" s="25">
        <v>120</v>
      </c>
      <c r="AE55" s="17">
        <f>AD55-G55</f>
        <v>100</v>
      </c>
      <c r="AF55" s="17">
        <f>IF(AE55&lt;0,0,AD55-G55)</f>
        <v>100</v>
      </c>
      <c r="AG55" s="20">
        <f>AF55*I55/100</f>
        <v>6.5</v>
      </c>
      <c r="AH55" s="49">
        <v>8.4</v>
      </c>
      <c r="AI55" s="42">
        <f>AF55+AA55+V55+Q55+L55</f>
        <v>100</v>
      </c>
      <c r="AJ55" s="35">
        <f>AG55*AH55+AB55*AC55+W55*X55+R55*S55+M55*N55</f>
        <v>54.6</v>
      </c>
    </row>
    <row r="56" spans="1:36" x14ac:dyDescent="0.25">
      <c r="A56" s="25" t="s">
        <v>125</v>
      </c>
      <c r="B56" s="17" t="s">
        <v>17</v>
      </c>
      <c r="C56" s="17" t="s">
        <v>18</v>
      </c>
      <c r="D56" s="17" t="s">
        <v>120</v>
      </c>
      <c r="E56" s="17" t="s">
        <v>126</v>
      </c>
      <c r="F56" s="17" t="s">
        <v>14</v>
      </c>
      <c r="G56" s="17">
        <v>20</v>
      </c>
      <c r="H56" s="17" t="s">
        <v>15</v>
      </c>
      <c r="I56" s="39">
        <v>6.5</v>
      </c>
      <c r="J56" s="87">
        <v>114</v>
      </c>
      <c r="K56" s="17">
        <f>J56-G56</f>
        <v>94</v>
      </c>
      <c r="L56" s="17">
        <f>IF(K56&lt;0,0,J56-G56)</f>
        <v>94</v>
      </c>
      <c r="M56" s="20">
        <f>L56*I56/100</f>
        <v>6.11</v>
      </c>
      <c r="N56" s="57">
        <v>8.4</v>
      </c>
      <c r="O56" s="25">
        <v>71</v>
      </c>
      <c r="P56" s="17">
        <f>O56-G56</f>
        <v>51</v>
      </c>
      <c r="Q56" s="17">
        <f>IF(P56&lt;0,0,O56-G56)</f>
        <v>51</v>
      </c>
      <c r="R56" s="20">
        <f>Q56*I56/100</f>
        <v>3.3149999999999999</v>
      </c>
      <c r="S56" s="57">
        <v>8.4</v>
      </c>
      <c r="T56" s="25">
        <v>0</v>
      </c>
      <c r="U56" s="17">
        <f>T56-G56</f>
        <v>-20</v>
      </c>
      <c r="V56" s="17">
        <f>IF(U56&lt;0,0,T56-G56)</f>
        <v>0</v>
      </c>
      <c r="W56" s="20">
        <f>V56*I56/100</f>
        <v>0</v>
      </c>
      <c r="X56" s="57">
        <v>8.4</v>
      </c>
      <c r="Y56" s="25">
        <v>150</v>
      </c>
      <c r="Z56" s="17">
        <f>Y56-G56</f>
        <v>130</v>
      </c>
      <c r="AA56" s="17">
        <f>IF(Z56&lt;0,0,Y56-G56)</f>
        <v>130</v>
      </c>
      <c r="AB56" s="20">
        <f>AA56*I56/100</f>
        <v>8.4499999999999993</v>
      </c>
      <c r="AC56" s="57">
        <v>8.4</v>
      </c>
      <c r="AD56" s="25">
        <v>94</v>
      </c>
      <c r="AE56" s="17">
        <f>AD56-G56</f>
        <v>74</v>
      </c>
      <c r="AF56" s="17">
        <f>IF(AE56&lt;0,0,AD56-G56)</f>
        <v>74</v>
      </c>
      <c r="AG56" s="20">
        <f>AF56*I56/100</f>
        <v>4.8099999999999996</v>
      </c>
      <c r="AH56" s="49">
        <v>8.4</v>
      </c>
      <c r="AI56" s="42">
        <f>AF56+AA56+V56+Q56+L56</f>
        <v>349</v>
      </c>
      <c r="AJ56" s="35">
        <f>AG56*AH56+AB56*AC56+W56*X56+R56*S56+M56*N56</f>
        <v>190.554</v>
      </c>
    </row>
    <row r="57" spans="1:36" x14ac:dyDescent="0.25">
      <c r="A57" s="25" t="s">
        <v>127</v>
      </c>
      <c r="B57" s="17" t="s">
        <v>10</v>
      </c>
      <c r="C57" s="17" t="s">
        <v>11</v>
      </c>
      <c r="D57" s="17" t="s">
        <v>120</v>
      </c>
      <c r="E57" s="17" t="s">
        <v>123</v>
      </c>
      <c r="F57" s="17" t="s">
        <v>14</v>
      </c>
      <c r="G57" s="17">
        <v>20</v>
      </c>
      <c r="H57" s="17" t="s">
        <v>15</v>
      </c>
      <c r="I57" s="39">
        <v>6.5</v>
      </c>
      <c r="J57" s="88">
        <v>14</v>
      </c>
      <c r="K57" s="17">
        <f>J57-G57</f>
        <v>-6</v>
      </c>
      <c r="L57" s="17">
        <f>IF(K57&lt;0,0,J57-G57)</f>
        <v>0</v>
      </c>
      <c r="M57" s="20">
        <f>L57*I57/100</f>
        <v>0</v>
      </c>
      <c r="N57" s="57">
        <v>8.4</v>
      </c>
      <c r="O57" s="25">
        <v>0</v>
      </c>
      <c r="P57" s="17">
        <f>O57-G57</f>
        <v>-20</v>
      </c>
      <c r="Q57" s="17">
        <f>IF(P57&lt;0,0,O57-G57)</f>
        <v>0</v>
      </c>
      <c r="R57" s="20">
        <f>Q57*I57/100</f>
        <v>0</v>
      </c>
      <c r="S57" s="57">
        <v>8.4</v>
      </c>
      <c r="T57" s="25">
        <v>0</v>
      </c>
      <c r="U57" s="17">
        <f>T57-G57</f>
        <v>-20</v>
      </c>
      <c r="V57" s="17">
        <f>IF(U57&lt;0,0,T57-G57)</f>
        <v>0</v>
      </c>
      <c r="W57" s="20">
        <f>V57*I57/100</f>
        <v>0</v>
      </c>
      <c r="X57" s="57">
        <v>8.4</v>
      </c>
      <c r="Y57" s="25">
        <v>0</v>
      </c>
      <c r="Z57" s="17">
        <f>Y57-G57</f>
        <v>-20</v>
      </c>
      <c r="AA57" s="17">
        <f>IF(Z57&lt;0,0,Y57-G57)</f>
        <v>0</v>
      </c>
      <c r="AB57" s="20">
        <f>AA57*I57/100</f>
        <v>0</v>
      </c>
      <c r="AC57" s="57">
        <v>8.4</v>
      </c>
      <c r="AD57" s="25">
        <v>0</v>
      </c>
      <c r="AE57" s="17">
        <f>AD57-G57</f>
        <v>-20</v>
      </c>
      <c r="AF57" s="17">
        <f>IF(AE57&lt;0,0,AD57-G57)</f>
        <v>0</v>
      </c>
      <c r="AG57" s="20">
        <f>AF57*I57/100</f>
        <v>0</v>
      </c>
      <c r="AH57" s="49">
        <v>8.4</v>
      </c>
      <c r="AI57" s="42">
        <f>AF57+AA57+V57+Q57+L57</f>
        <v>0</v>
      </c>
      <c r="AJ57" s="35">
        <f>AG57*AH57+AB57*AC57+W57*X57+R57*S57+M57*N57</f>
        <v>0</v>
      </c>
    </row>
    <row r="58" spans="1:36" x14ac:dyDescent="0.25">
      <c r="A58" s="25" t="s">
        <v>128</v>
      </c>
      <c r="B58" s="17" t="s">
        <v>17</v>
      </c>
      <c r="C58" s="17" t="s">
        <v>36</v>
      </c>
      <c r="D58" s="17" t="s">
        <v>129</v>
      </c>
      <c r="E58" s="17" t="s">
        <v>130</v>
      </c>
      <c r="F58" s="17" t="s">
        <v>14</v>
      </c>
      <c r="G58" s="17">
        <v>20</v>
      </c>
      <c r="H58" s="17" t="s">
        <v>38</v>
      </c>
      <c r="I58" s="39">
        <v>6.5</v>
      </c>
      <c r="J58" s="25">
        <v>30</v>
      </c>
      <c r="K58" s="17">
        <f>J58-G58</f>
        <v>10</v>
      </c>
      <c r="L58" s="17">
        <f>IF(K58&lt;0,0,J58-G58)</f>
        <v>10</v>
      </c>
      <c r="M58" s="20">
        <f>L58*I58/100</f>
        <v>0.65</v>
      </c>
      <c r="N58" s="57">
        <v>7.3</v>
      </c>
      <c r="O58" s="25">
        <v>48</v>
      </c>
      <c r="P58" s="17">
        <f>O58-G58</f>
        <v>28</v>
      </c>
      <c r="Q58" s="17">
        <f>IF(P58&lt;0,0,O58-G58)</f>
        <v>28</v>
      </c>
      <c r="R58" s="20">
        <f>Q58*I58/100</f>
        <v>1.82</v>
      </c>
      <c r="S58" s="57">
        <v>7.2</v>
      </c>
      <c r="T58" s="25">
        <v>40</v>
      </c>
      <c r="U58" s="17">
        <f>T58-G58</f>
        <v>20</v>
      </c>
      <c r="V58" s="17">
        <f>IF(U58&lt;0,0,T58-G58)</f>
        <v>20</v>
      </c>
      <c r="W58" s="20">
        <f>V58*I58/100</f>
        <v>1.3</v>
      </c>
      <c r="X58" s="57">
        <v>7.2</v>
      </c>
      <c r="Y58" s="25">
        <v>514</v>
      </c>
      <c r="Z58" s="17">
        <f>Y58-G58</f>
        <v>494</v>
      </c>
      <c r="AA58" s="17">
        <f>IF(Z58&lt;0,0,Y58-G58)</f>
        <v>494</v>
      </c>
      <c r="AB58" s="20">
        <f>AA58*I58/100</f>
        <v>32.11</v>
      </c>
      <c r="AC58" s="57">
        <v>7.2</v>
      </c>
      <c r="AD58" s="25">
        <v>39</v>
      </c>
      <c r="AE58" s="17">
        <f>AD58-G58</f>
        <v>19</v>
      </c>
      <c r="AF58" s="17">
        <f>IF(AE58&lt;0,0,AD58-G58)</f>
        <v>19</v>
      </c>
      <c r="AG58" s="20">
        <f>AF58*I58/100</f>
        <v>1.2350000000000001</v>
      </c>
      <c r="AH58" s="49">
        <v>7.2</v>
      </c>
      <c r="AI58" s="42">
        <f>AF58+AA58+V58+Q58+L58</f>
        <v>571</v>
      </c>
      <c r="AJ58" s="35">
        <f>AG58*AH58+AB58*AC58+W58*X58+R58*S58+M58*N58</f>
        <v>267.29300000000001</v>
      </c>
    </row>
    <row r="59" spans="1:36" x14ac:dyDescent="0.25">
      <c r="A59" s="25" t="s">
        <v>131</v>
      </c>
      <c r="B59" s="17" t="s">
        <v>17</v>
      </c>
      <c r="C59" s="17" t="s">
        <v>99</v>
      </c>
      <c r="D59" s="17" t="s">
        <v>129</v>
      </c>
      <c r="E59" s="17" t="s">
        <v>132</v>
      </c>
      <c r="F59" s="17" t="s">
        <v>14</v>
      </c>
      <c r="G59" s="17">
        <v>20</v>
      </c>
      <c r="H59" s="17" t="s">
        <v>15</v>
      </c>
      <c r="I59" s="39">
        <v>6.5</v>
      </c>
      <c r="J59" s="25">
        <v>7</v>
      </c>
      <c r="K59" s="17">
        <f>J59-G59</f>
        <v>-13</v>
      </c>
      <c r="L59" s="17">
        <f>IF(K59&lt;0,0,J59-G59)</f>
        <v>0</v>
      </c>
      <c r="M59" s="20">
        <f>L59*I59/100</f>
        <v>0</v>
      </c>
      <c r="N59" s="57">
        <v>8.4</v>
      </c>
      <c r="O59" s="25">
        <v>216</v>
      </c>
      <c r="P59" s="17">
        <f>O59-G59</f>
        <v>196</v>
      </c>
      <c r="Q59" s="17">
        <f>IF(P59&lt;0,0,O59-G59)</f>
        <v>196</v>
      </c>
      <c r="R59" s="20">
        <f>Q59*I59/100</f>
        <v>12.74</v>
      </c>
      <c r="S59" s="57">
        <v>8.4</v>
      </c>
      <c r="T59" s="25">
        <v>72</v>
      </c>
      <c r="U59" s="17">
        <f>T59-G59</f>
        <v>52</v>
      </c>
      <c r="V59" s="17">
        <f>IF(U59&lt;0,0,T59-G59)</f>
        <v>52</v>
      </c>
      <c r="W59" s="20">
        <f>V59*I59/100</f>
        <v>3.38</v>
      </c>
      <c r="X59" s="57">
        <v>8.4</v>
      </c>
      <c r="Y59" s="25">
        <v>161</v>
      </c>
      <c r="Z59" s="17">
        <f>Y59-G59</f>
        <v>141</v>
      </c>
      <c r="AA59" s="17">
        <f>IF(Z59&lt;0,0,Y59-G59)</f>
        <v>141</v>
      </c>
      <c r="AB59" s="20">
        <f>AA59*I59/100</f>
        <v>9.1649999999999991</v>
      </c>
      <c r="AC59" s="57">
        <v>8.4</v>
      </c>
      <c r="AD59" s="25">
        <v>162</v>
      </c>
      <c r="AE59" s="17">
        <f>AD59-G59</f>
        <v>142</v>
      </c>
      <c r="AF59" s="17">
        <f>IF(AE59&lt;0,0,AD59-G59)</f>
        <v>142</v>
      </c>
      <c r="AG59" s="20">
        <f>AF59*I59/100</f>
        <v>9.23</v>
      </c>
      <c r="AH59" s="49">
        <v>8.4</v>
      </c>
      <c r="AI59" s="42">
        <f>AF59+AA59+V59+Q59+L59</f>
        <v>531</v>
      </c>
      <c r="AJ59" s="35">
        <f>AG59*AH59+AB59*AC59+W59*X59+R59*S59+M59*N59</f>
        <v>289.92599999999999</v>
      </c>
    </row>
    <row r="60" spans="1:36" x14ac:dyDescent="0.25">
      <c r="A60" s="25" t="s">
        <v>133</v>
      </c>
      <c r="B60" s="17" t="s">
        <v>10</v>
      </c>
      <c r="C60" s="17" t="s">
        <v>11</v>
      </c>
      <c r="D60" s="17" t="s">
        <v>129</v>
      </c>
      <c r="E60" s="17" t="s">
        <v>134</v>
      </c>
      <c r="F60" s="17" t="s">
        <v>14</v>
      </c>
      <c r="G60" s="17">
        <v>20</v>
      </c>
      <c r="H60" s="17" t="s">
        <v>15</v>
      </c>
      <c r="I60" s="39">
        <v>6.5</v>
      </c>
      <c r="J60" s="87">
        <v>120</v>
      </c>
      <c r="K60" s="17">
        <f>J60-G60</f>
        <v>100</v>
      </c>
      <c r="L60" s="17">
        <f>IF(K60&lt;0,0,J60-G60)</f>
        <v>100</v>
      </c>
      <c r="M60" s="20">
        <f>L60*I60/100</f>
        <v>6.5</v>
      </c>
      <c r="N60" s="57">
        <v>8.4</v>
      </c>
      <c r="O60" s="25">
        <v>41</v>
      </c>
      <c r="P60" s="17">
        <f>O60-G60</f>
        <v>21</v>
      </c>
      <c r="Q60" s="17">
        <f>IF(P60&lt;0,0,O60-G60)</f>
        <v>21</v>
      </c>
      <c r="R60" s="20">
        <f>Q60*I60/100</f>
        <v>1.365</v>
      </c>
      <c r="S60" s="57">
        <v>8.4</v>
      </c>
      <c r="T60" s="25">
        <v>181</v>
      </c>
      <c r="U60" s="17">
        <f>T60-G60</f>
        <v>161</v>
      </c>
      <c r="V60" s="17">
        <f>IF(U60&lt;0,0,T60-G60)</f>
        <v>161</v>
      </c>
      <c r="W60" s="20">
        <f>V60*I60/100</f>
        <v>10.465</v>
      </c>
      <c r="X60" s="57">
        <v>8.4</v>
      </c>
      <c r="Y60" s="25">
        <v>68</v>
      </c>
      <c r="Z60" s="17">
        <f>Y60-G60</f>
        <v>48</v>
      </c>
      <c r="AA60" s="17">
        <f>IF(Z60&lt;0,0,Y60-G60)</f>
        <v>48</v>
      </c>
      <c r="AB60" s="20">
        <f>AA60*I60/100</f>
        <v>3.12</v>
      </c>
      <c r="AC60" s="57">
        <v>8.4</v>
      </c>
      <c r="AD60" s="25">
        <v>68</v>
      </c>
      <c r="AE60" s="17">
        <f>AD60-G60</f>
        <v>48</v>
      </c>
      <c r="AF60" s="17">
        <f>IF(AE60&lt;0,0,AD60-G60)</f>
        <v>48</v>
      </c>
      <c r="AG60" s="20">
        <f>AF60*I60/100</f>
        <v>3.12</v>
      </c>
      <c r="AH60" s="49">
        <v>8.4</v>
      </c>
      <c r="AI60" s="42">
        <f>AF60+AA60+V60+Q60+L60</f>
        <v>378</v>
      </c>
      <c r="AJ60" s="35">
        <f>AG60*AH60+AB60*AC60+W60*X60+R60*S60+M60*N60</f>
        <v>206.38800000000001</v>
      </c>
    </row>
    <row r="61" spans="1:36" x14ac:dyDescent="0.25">
      <c r="A61" s="25" t="s">
        <v>135</v>
      </c>
      <c r="B61" s="17" t="s">
        <v>32</v>
      </c>
      <c r="C61" s="17" t="s">
        <v>33</v>
      </c>
      <c r="D61" s="17" t="s">
        <v>129</v>
      </c>
      <c r="E61" s="17" t="s">
        <v>136</v>
      </c>
      <c r="F61" s="17" t="s">
        <v>14</v>
      </c>
      <c r="G61" s="17">
        <v>50</v>
      </c>
      <c r="H61" s="17" t="s">
        <v>15</v>
      </c>
      <c r="I61" s="39">
        <v>9</v>
      </c>
      <c r="J61" s="25">
        <v>34</v>
      </c>
      <c r="K61" s="17">
        <f>J61-G61</f>
        <v>-16</v>
      </c>
      <c r="L61" s="17">
        <f>IF(K61&lt;0,0,J61-G61)</f>
        <v>0</v>
      </c>
      <c r="M61" s="20">
        <f>L61*I61/100</f>
        <v>0</v>
      </c>
      <c r="N61" s="57">
        <v>8.4</v>
      </c>
      <c r="O61" s="25">
        <v>58</v>
      </c>
      <c r="P61" s="17">
        <f>O61-G61</f>
        <v>8</v>
      </c>
      <c r="Q61" s="17">
        <f>IF(P61&lt;0,0,O61-G61)</f>
        <v>8</v>
      </c>
      <c r="R61" s="20">
        <f>Q61*I61/100</f>
        <v>0.72</v>
      </c>
      <c r="S61" s="57">
        <v>8.4</v>
      </c>
      <c r="T61" s="25">
        <v>3</v>
      </c>
      <c r="U61" s="17">
        <f>T61-G61</f>
        <v>-47</v>
      </c>
      <c r="V61" s="17">
        <f>IF(U61&lt;0,0,T61-G61)</f>
        <v>0</v>
      </c>
      <c r="W61" s="20">
        <f>V61*I61/100</f>
        <v>0</v>
      </c>
      <c r="X61" s="57">
        <v>8.4</v>
      </c>
      <c r="Y61" s="25">
        <v>15</v>
      </c>
      <c r="Z61" s="17">
        <f>Y61-G61</f>
        <v>-35</v>
      </c>
      <c r="AA61" s="17">
        <f>IF(Z61&lt;0,0,Y61-G61)</f>
        <v>0</v>
      </c>
      <c r="AB61" s="20">
        <f>AA61*I61/100</f>
        <v>0</v>
      </c>
      <c r="AC61" s="57">
        <v>8.4</v>
      </c>
      <c r="AD61" s="25">
        <v>33</v>
      </c>
      <c r="AE61" s="17">
        <f>AD61-G61</f>
        <v>-17</v>
      </c>
      <c r="AF61" s="17">
        <f>IF(AE61&lt;0,0,AD61-G61)</f>
        <v>0</v>
      </c>
      <c r="AG61" s="20">
        <f>AF61*I61/100</f>
        <v>0</v>
      </c>
      <c r="AH61" s="49">
        <v>8.4</v>
      </c>
      <c r="AI61" s="42">
        <f>AF61+AA61+V61+Q61+L61</f>
        <v>8</v>
      </c>
      <c r="AJ61" s="35">
        <f>AG61*AH61+AB61*AC61+W61*X61+R61*S61+M61*N61</f>
        <v>6.048</v>
      </c>
    </row>
    <row r="62" spans="1:36" x14ac:dyDescent="0.25">
      <c r="A62" s="25" t="s">
        <v>137</v>
      </c>
      <c r="B62" s="17" t="s">
        <v>10</v>
      </c>
      <c r="C62" s="17" t="s">
        <v>11</v>
      </c>
      <c r="D62" s="17" t="s">
        <v>129</v>
      </c>
      <c r="E62" s="18" t="s">
        <v>138</v>
      </c>
      <c r="F62" s="17" t="s">
        <v>14</v>
      </c>
      <c r="G62" s="17">
        <v>20</v>
      </c>
      <c r="H62" s="17" t="s">
        <v>15</v>
      </c>
      <c r="I62" s="39">
        <v>6.5</v>
      </c>
      <c r="J62" s="25">
        <v>30</v>
      </c>
      <c r="K62" s="17">
        <f>J62-G62</f>
        <v>10</v>
      </c>
      <c r="L62" s="17">
        <f>IF(K62&lt;0,0,J62-G62)</f>
        <v>10</v>
      </c>
      <c r="M62" s="20">
        <f>L62*I62/100</f>
        <v>0.65</v>
      </c>
      <c r="N62" s="57">
        <v>8.4</v>
      </c>
      <c r="O62" s="25">
        <v>34</v>
      </c>
      <c r="P62" s="17">
        <f>O62-G62</f>
        <v>14</v>
      </c>
      <c r="Q62" s="17">
        <f>IF(P62&lt;0,0,O62-G62)</f>
        <v>14</v>
      </c>
      <c r="R62" s="20">
        <f>Q62*I62/100</f>
        <v>0.91</v>
      </c>
      <c r="S62" s="57">
        <v>8.4</v>
      </c>
      <c r="T62" s="25">
        <v>0</v>
      </c>
      <c r="U62" s="17">
        <f>T62-G62</f>
        <v>-20</v>
      </c>
      <c r="V62" s="17">
        <f>IF(U62&lt;0,0,T62-G62)</f>
        <v>0</v>
      </c>
      <c r="W62" s="20">
        <f>V62*I62/100</f>
        <v>0</v>
      </c>
      <c r="X62" s="57">
        <v>8.4</v>
      </c>
      <c r="Y62" s="25">
        <v>5</v>
      </c>
      <c r="Z62" s="17">
        <f>Y62-G62</f>
        <v>-15</v>
      </c>
      <c r="AA62" s="17">
        <f>IF(Z62&lt;0,0,Y62-G62)</f>
        <v>0</v>
      </c>
      <c r="AB62" s="20">
        <f>AA62*I62/100</f>
        <v>0</v>
      </c>
      <c r="AC62" s="57">
        <v>8.4</v>
      </c>
      <c r="AD62" s="25">
        <v>5</v>
      </c>
      <c r="AE62" s="17">
        <f>AD62-G62</f>
        <v>-15</v>
      </c>
      <c r="AF62" s="17">
        <f>IF(AE62&lt;0,0,AD62-G62)</f>
        <v>0</v>
      </c>
      <c r="AG62" s="20">
        <f>AF62*I62/100</f>
        <v>0</v>
      </c>
      <c r="AH62" s="49">
        <v>8.4</v>
      </c>
      <c r="AI62" s="42">
        <f>AF62+AA62+V62+Q62+L62</f>
        <v>24</v>
      </c>
      <c r="AJ62" s="35">
        <f>AG62*AH62+AB62*AC62+W62*X62+R62*S62+M62*N62</f>
        <v>13.104000000000003</v>
      </c>
    </row>
    <row r="63" spans="1:36" x14ac:dyDescent="0.25">
      <c r="A63" s="25" t="s">
        <v>139</v>
      </c>
      <c r="B63" s="17" t="s">
        <v>10</v>
      </c>
      <c r="C63" s="17" t="s">
        <v>11</v>
      </c>
      <c r="D63" s="17" t="s">
        <v>129</v>
      </c>
      <c r="E63" s="17" t="s">
        <v>140</v>
      </c>
      <c r="F63" s="17" t="s">
        <v>14</v>
      </c>
      <c r="G63" s="17">
        <v>80</v>
      </c>
      <c r="H63" s="17" t="s">
        <v>15</v>
      </c>
      <c r="I63" s="39">
        <v>6.5</v>
      </c>
      <c r="J63" s="25">
        <v>84</v>
      </c>
      <c r="K63" s="17">
        <f>J63-G63</f>
        <v>4</v>
      </c>
      <c r="L63" s="17">
        <f>IF(K63&lt;0,0,J63-G63)</f>
        <v>4</v>
      </c>
      <c r="M63" s="20">
        <f>L63*I63/100</f>
        <v>0.26</v>
      </c>
      <c r="N63" s="57">
        <v>8.4</v>
      </c>
      <c r="O63" s="25">
        <v>83</v>
      </c>
      <c r="P63" s="17">
        <f>O63-G63</f>
        <v>3</v>
      </c>
      <c r="Q63" s="17">
        <f>IF(P63&lt;0,0,O63-G63)</f>
        <v>3</v>
      </c>
      <c r="R63" s="20">
        <f>Q63*I63/100</f>
        <v>0.19500000000000001</v>
      </c>
      <c r="S63" s="57">
        <v>8.4</v>
      </c>
      <c r="T63" s="25">
        <v>83</v>
      </c>
      <c r="U63" s="17">
        <f>T63-G63</f>
        <v>3</v>
      </c>
      <c r="V63" s="17">
        <f>IF(U63&lt;0,0,T63-G63)</f>
        <v>3</v>
      </c>
      <c r="W63" s="20">
        <f>V63*I63/100</f>
        <v>0.19500000000000001</v>
      </c>
      <c r="X63" s="57">
        <v>8.4</v>
      </c>
      <c r="Y63" s="25">
        <v>82</v>
      </c>
      <c r="Z63" s="17">
        <f>Y63-G63</f>
        <v>2</v>
      </c>
      <c r="AA63" s="17">
        <f>IF(Z63&lt;0,0,Y63-G63)</f>
        <v>2</v>
      </c>
      <c r="AB63" s="20">
        <f>AA63*I63/100</f>
        <v>0.13</v>
      </c>
      <c r="AC63" s="57">
        <v>8.4</v>
      </c>
      <c r="AD63" s="25">
        <v>83</v>
      </c>
      <c r="AE63" s="17">
        <f>AD63-G63</f>
        <v>3</v>
      </c>
      <c r="AF63" s="17">
        <f>IF(AE63&lt;0,0,AD63-G63)</f>
        <v>3</v>
      </c>
      <c r="AG63" s="20">
        <f>AF63*I63/100</f>
        <v>0.19500000000000001</v>
      </c>
      <c r="AH63" s="49">
        <v>8.4</v>
      </c>
      <c r="AI63" s="42">
        <f>AF63+AA63+V63+Q63+L63</f>
        <v>15</v>
      </c>
      <c r="AJ63" s="35">
        <f>AG63*AH63+AB63*AC63+W63*X63+R63*S63+M63*N63</f>
        <v>8.1900000000000013</v>
      </c>
    </row>
    <row r="64" spans="1:36" x14ac:dyDescent="0.25">
      <c r="A64" s="25" t="s">
        <v>141</v>
      </c>
      <c r="B64" s="17" t="s">
        <v>10</v>
      </c>
      <c r="C64" s="17" t="s">
        <v>105</v>
      </c>
      <c r="D64" s="17" t="s">
        <v>129</v>
      </c>
      <c r="E64" s="18" t="s">
        <v>142</v>
      </c>
      <c r="F64" s="17" t="s">
        <v>14</v>
      </c>
      <c r="G64" s="17">
        <v>20</v>
      </c>
      <c r="H64" s="17" t="s">
        <v>15</v>
      </c>
      <c r="I64" s="39">
        <v>6.5</v>
      </c>
      <c r="J64" s="25">
        <v>0</v>
      </c>
      <c r="K64" s="17">
        <f>J64-G64</f>
        <v>-20</v>
      </c>
      <c r="L64" s="17">
        <f>IF(K64&lt;0,0,J64-G64)</f>
        <v>0</v>
      </c>
      <c r="M64" s="20">
        <f>L64*I64/100</f>
        <v>0</v>
      </c>
      <c r="N64" s="57">
        <v>8.4</v>
      </c>
      <c r="O64" s="25">
        <v>0</v>
      </c>
      <c r="P64" s="17">
        <f>O64-G64</f>
        <v>-20</v>
      </c>
      <c r="Q64" s="17">
        <f>IF(P64&lt;0,0,O64-G64)</f>
        <v>0</v>
      </c>
      <c r="R64" s="20">
        <f>Q64*I64/100</f>
        <v>0</v>
      </c>
      <c r="S64" s="57">
        <v>8.4</v>
      </c>
      <c r="T64" s="25">
        <v>0</v>
      </c>
      <c r="U64" s="17">
        <f>T64-G64</f>
        <v>-20</v>
      </c>
      <c r="V64" s="17">
        <f>IF(U64&lt;0,0,T64-G64)</f>
        <v>0</v>
      </c>
      <c r="W64" s="20">
        <f>V64*I64/100</f>
        <v>0</v>
      </c>
      <c r="X64" s="57">
        <v>8.4</v>
      </c>
      <c r="Y64" s="25">
        <v>0</v>
      </c>
      <c r="Z64" s="17">
        <f>Y64-G64</f>
        <v>-20</v>
      </c>
      <c r="AA64" s="17">
        <f>IF(Z64&lt;0,0,Y64-G64)</f>
        <v>0</v>
      </c>
      <c r="AB64" s="20">
        <f>AA64*I64/100</f>
        <v>0</v>
      </c>
      <c r="AC64" s="57">
        <v>8.4</v>
      </c>
      <c r="AD64" s="25">
        <v>0</v>
      </c>
      <c r="AE64" s="17">
        <f>AD64-G64</f>
        <v>-20</v>
      </c>
      <c r="AF64" s="17">
        <f>IF(AE64&lt;0,0,AD64-G64)</f>
        <v>0</v>
      </c>
      <c r="AG64" s="20">
        <f>AF64*I64/100</f>
        <v>0</v>
      </c>
      <c r="AH64" s="49">
        <v>8.4</v>
      </c>
      <c r="AI64" s="42">
        <f>AF64+AA64+V64+Q64+L64</f>
        <v>0</v>
      </c>
      <c r="AJ64" s="35">
        <f>AG64*AH64+AB64*AC64+W64*X64+R64*S64+M64*N64</f>
        <v>0</v>
      </c>
    </row>
    <row r="65" spans="1:36" x14ac:dyDescent="0.25">
      <c r="A65" s="25" t="s">
        <v>143</v>
      </c>
      <c r="B65" s="17" t="s">
        <v>17</v>
      </c>
      <c r="C65" s="17" t="s">
        <v>99</v>
      </c>
      <c r="D65" s="17" t="s">
        <v>129</v>
      </c>
      <c r="E65" s="18" t="s">
        <v>144</v>
      </c>
      <c r="F65" s="17" t="s">
        <v>14</v>
      </c>
      <c r="G65" s="17">
        <v>20</v>
      </c>
      <c r="H65" s="17" t="s">
        <v>38</v>
      </c>
      <c r="I65" s="39">
        <v>6.5</v>
      </c>
      <c r="J65" s="25">
        <v>21</v>
      </c>
      <c r="K65" s="17">
        <f>J65-G65</f>
        <v>1</v>
      </c>
      <c r="L65" s="17">
        <f>IF(K65&lt;0,0,J65-G65)</f>
        <v>1</v>
      </c>
      <c r="M65" s="20">
        <f>L65*I65/100</f>
        <v>6.5000000000000002E-2</v>
      </c>
      <c r="N65" s="57">
        <v>7.3</v>
      </c>
      <c r="O65" s="25">
        <v>0</v>
      </c>
      <c r="P65" s="17">
        <f>O65-G65</f>
        <v>-20</v>
      </c>
      <c r="Q65" s="17">
        <f>IF(P65&lt;0,0,O65-G65)</f>
        <v>0</v>
      </c>
      <c r="R65" s="20">
        <f>Q65*I65/100</f>
        <v>0</v>
      </c>
      <c r="S65" s="57">
        <v>7.2</v>
      </c>
      <c r="T65" s="25">
        <v>345</v>
      </c>
      <c r="U65" s="17">
        <f>T65-G65</f>
        <v>325</v>
      </c>
      <c r="V65" s="17">
        <f>IF(U65&lt;0,0,T65-G65)</f>
        <v>325</v>
      </c>
      <c r="W65" s="20">
        <f>V65*I65/100</f>
        <v>21.125</v>
      </c>
      <c r="X65" s="57">
        <v>7.2</v>
      </c>
      <c r="Y65" s="25">
        <v>38</v>
      </c>
      <c r="Z65" s="17">
        <f>Y65-G65</f>
        <v>18</v>
      </c>
      <c r="AA65" s="17">
        <f>IF(Z65&lt;0,0,Y65-G65)</f>
        <v>18</v>
      </c>
      <c r="AB65" s="20">
        <f>AA65*I65/100</f>
        <v>1.17</v>
      </c>
      <c r="AC65" s="57">
        <v>7.2</v>
      </c>
      <c r="AD65" s="25">
        <v>38</v>
      </c>
      <c r="AE65" s="17">
        <f>AD65-G65</f>
        <v>18</v>
      </c>
      <c r="AF65" s="17">
        <f>IF(AE65&lt;0,0,AD65-G65)</f>
        <v>18</v>
      </c>
      <c r="AG65" s="20">
        <f>AF65*I65/100</f>
        <v>1.17</v>
      </c>
      <c r="AH65" s="49">
        <v>7.2</v>
      </c>
      <c r="AI65" s="42">
        <f>AF65+AA65+V65+Q65+L65</f>
        <v>362</v>
      </c>
      <c r="AJ65" s="35">
        <f>AG65*AH65+AB65*AC65+W65*X65+R65*S65+M65*N65</f>
        <v>169.42249999999999</v>
      </c>
    </row>
    <row r="66" spans="1:36" x14ac:dyDescent="0.25">
      <c r="A66" s="25" t="s">
        <v>145</v>
      </c>
      <c r="B66" s="17" t="s">
        <v>17</v>
      </c>
      <c r="C66" s="17" t="s">
        <v>18</v>
      </c>
      <c r="D66" s="17" t="s">
        <v>129</v>
      </c>
      <c r="E66" s="17" t="s">
        <v>146</v>
      </c>
      <c r="F66" s="17" t="s">
        <v>14</v>
      </c>
      <c r="G66" s="17">
        <v>20</v>
      </c>
      <c r="H66" s="17" t="s">
        <v>15</v>
      </c>
      <c r="I66" s="39">
        <v>6.5</v>
      </c>
      <c r="J66" s="25">
        <v>5</v>
      </c>
      <c r="K66" s="17">
        <f>J66-G66</f>
        <v>-15</v>
      </c>
      <c r="L66" s="17">
        <f>IF(K66&lt;0,0,J66-G66)</f>
        <v>0</v>
      </c>
      <c r="M66" s="20">
        <f>L66*I66/100</f>
        <v>0</v>
      </c>
      <c r="N66" s="57">
        <v>8.4</v>
      </c>
      <c r="O66" s="25">
        <v>0</v>
      </c>
      <c r="P66" s="17">
        <f>O66-G66</f>
        <v>-20</v>
      </c>
      <c r="Q66" s="17">
        <f>IF(P66&lt;0,0,O66-G66)</f>
        <v>0</v>
      </c>
      <c r="R66" s="20">
        <f>Q66*I66/100</f>
        <v>0</v>
      </c>
      <c r="S66" s="57">
        <v>8.4</v>
      </c>
      <c r="T66" s="25">
        <v>16</v>
      </c>
      <c r="U66" s="17">
        <f>T66-G66</f>
        <v>-4</v>
      </c>
      <c r="V66" s="17">
        <f>IF(U66&lt;0,0,T66-G66)</f>
        <v>0</v>
      </c>
      <c r="W66" s="20">
        <f>V66*I66/100</f>
        <v>0</v>
      </c>
      <c r="X66" s="57">
        <v>8.4</v>
      </c>
      <c r="Y66" s="25">
        <v>30</v>
      </c>
      <c r="Z66" s="17">
        <f>Y66-G66</f>
        <v>10</v>
      </c>
      <c r="AA66" s="17">
        <f>IF(Z66&lt;0,0,Y66-G66)</f>
        <v>10</v>
      </c>
      <c r="AB66" s="20">
        <f>AA66*I66/100</f>
        <v>0.65</v>
      </c>
      <c r="AC66" s="57">
        <v>8.4</v>
      </c>
      <c r="AD66" s="25">
        <v>35</v>
      </c>
      <c r="AE66" s="17">
        <f>AD66-G66</f>
        <v>15</v>
      </c>
      <c r="AF66" s="17">
        <f>IF(AE66&lt;0,0,AD66-G66)</f>
        <v>15</v>
      </c>
      <c r="AG66" s="20">
        <f>AF66*I66/100</f>
        <v>0.97499999999999998</v>
      </c>
      <c r="AH66" s="49">
        <v>8.4</v>
      </c>
      <c r="AI66" s="42">
        <f>AF66+AA66+V66+Q66+L66</f>
        <v>25</v>
      </c>
      <c r="AJ66" s="35">
        <f>AG66*AH66+AB66*AC66+W66*X66+R66*S66+M66*N66</f>
        <v>13.65</v>
      </c>
    </row>
    <row r="67" spans="1:36" x14ac:dyDescent="0.25">
      <c r="A67" s="25" t="s">
        <v>147</v>
      </c>
      <c r="B67" s="17" t="s">
        <v>10</v>
      </c>
      <c r="C67" s="17" t="s">
        <v>22</v>
      </c>
      <c r="D67" s="17" t="s">
        <v>129</v>
      </c>
      <c r="E67" s="18" t="s">
        <v>148</v>
      </c>
      <c r="F67" s="17" t="s">
        <v>14</v>
      </c>
      <c r="G67" s="17">
        <v>20</v>
      </c>
      <c r="H67" s="17" t="s">
        <v>15</v>
      </c>
      <c r="I67" s="39">
        <v>11</v>
      </c>
      <c r="J67" s="25">
        <v>0</v>
      </c>
      <c r="K67" s="17">
        <f>J67-G67</f>
        <v>-20</v>
      </c>
      <c r="L67" s="17">
        <f>IF(K67&lt;0,0,J67-G67)</f>
        <v>0</v>
      </c>
      <c r="M67" s="20">
        <f>L67*I67/100</f>
        <v>0</v>
      </c>
      <c r="N67" s="57">
        <v>8.4</v>
      </c>
      <c r="O67" s="25">
        <v>0</v>
      </c>
      <c r="P67" s="17">
        <f>O67-G67</f>
        <v>-20</v>
      </c>
      <c r="Q67" s="17">
        <f>IF(P67&lt;0,0,O67-G67)</f>
        <v>0</v>
      </c>
      <c r="R67" s="20">
        <f>Q67*I67/100</f>
        <v>0</v>
      </c>
      <c r="S67" s="57">
        <v>8.4</v>
      </c>
      <c r="T67" s="25">
        <v>0</v>
      </c>
      <c r="U67" s="17">
        <f>T67-G67</f>
        <v>-20</v>
      </c>
      <c r="V67" s="17">
        <f>IF(U67&lt;0,0,T67-G67)</f>
        <v>0</v>
      </c>
      <c r="W67" s="20">
        <f>V67*I67/100</f>
        <v>0</v>
      </c>
      <c r="X67" s="57">
        <v>8.4</v>
      </c>
      <c r="Y67" s="25">
        <v>0</v>
      </c>
      <c r="Z67" s="17">
        <f>Y67-G67</f>
        <v>-20</v>
      </c>
      <c r="AA67" s="17">
        <f>IF(Z67&lt;0,0,Y67-G67)</f>
        <v>0</v>
      </c>
      <c r="AB67" s="20">
        <f>AA67*I67/100</f>
        <v>0</v>
      </c>
      <c r="AC67" s="57">
        <v>8.4</v>
      </c>
      <c r="AD67" s="25">
        <v>0</v>
      </c>
      <c r="AE67" s="17">
        <f>AD67-G67</f>
        <v>-20</v>
      </c>
      <c r="AF67" s="17">
        <f>IF(AE67&lt;0,0,AD67-G67)</f>
        <v>0</v>
      </c>
      <c r="AG67" s="20">
        <f>AF67*I67/100</f>
        <v>0</v>
      </c>
      <c r="AH67" s="49">
        <v>8.4</v>
      </c>
      <c r="AI67" s="42">
        <f>AF67+AA67+V67+Q67+L67</f>
        <v>0</v>
      </c>
      <c r="AJ67" s="35">
        <f>AG67*AH67+AB67*AC67+W67*X67+R67*S67+M67*N67</f>
        <v>0</v>
      </c>
    </row>
    <row r="68" spans="1:36" x14ac:dyDescent="0.25">
      <c r="A68" s="25" t="s">
        <v>149</v>
      </c>
      <c r="B68" s="17" t="s">
        <v>10</v>
      </c>
      <c r="C68" s="17" t="s">
        <v>22</v>
      </c>
      <c r="D68" s="17" t="s">
        <v>129</v>
      </c>
      <c r="E68" s="18" t="s">
        <v>148</v>
      </c>
      <c r="F68" s="17" t="s">
        <v>14</v>
      </c>
      <c r="G68" s="17">
        <v>20</v>
      </c>
      <c r="H68" s="17" t="s">
        <v>15</v>
      </c>
      <c r="I68" s="39">
        <v>11</v>
      </c>
      <c r="J68" s="45"/>
      <c r="K68" s="18"/>
      <c r="L68" s="18"/>
      <c r="M68" s="19"/>
      <c r="N68" s="58"/>
      <c r="O68" s="45"/>
      <c r="P68" s="18"/>
      <c r="Q68" s="18"/>
      <c r="R68" s="19"/>
      <c r="S68" s="58"/>
      <c r="T68" s="45"/>
      <c r="U68" s="18"/>
      <c r="V68" s="18"/>
      <c r="W68" s="19"/>
      <c r="X68" s="58"/>
      <c r="Y68" s="45"/>
      <c r="Z68" s="18"/>
      <c r="AA68" s="18"/>
      <c r="AB68" s="19"/>
      <c r="AC68" s="58"/>
      <c r="AD68" s="25">
        <v>0</v>
      </c>
      <c r="AE68" s="17">
        <f>AD68-G68</f>
        <v>-20</v>
      </c>
      <c r="AF68" s="17">
        <f>IF(AE68&lt;0,0,AD68-G68)</f>
        <v>0</v>
      </c>
      <c r="AG68" s="20">
        <f>AF68*I68/100</f>
        <v>0</v>
      </c>
      <c r="AH68" s="49">
        <v>8.4</v>
      </c>
      <c r="AI68" s="42">
        <f>AF68+AA68+V68+Q68+L68</f>
        <v>0</v>
      </c>
      <c r="AJ68" s="35">
        <f>AG68*AH68+AB68*AC68+W68*X68+R68*S68+M68*N68</f>
        <v>0</v>
      </c>
    </row>
    <row r="69" spans="1:36" x14ac:dyDescent="0.25">
      <c r="A69" s="25" t="s">
        <v>149</v>
      </c>
      <c r="B69" s="17" t="s">
        <v>10</v>
      </c>
      <c r="C69" s="17" t="s">
        <v>22</v>
      </c>
      <c r="D69" s="17" t="s">
        <v>129</v>
      </c>
      <c r="E69" s="18" t="s">
        <v>136</v>
      </c>
      <c r="F69" s="17" t="s">
        <v>14</v>
      </c>
      <c r="G69" s="17">
        <v>50</v>
      </c>
      <c r="H69" s="17" t="s">
        <v>15</v>
      </c>
      <c r="I69" s="39">
        <v>11</v>
      </c>
      <c r="J69" s="25">
        <v>0</v>
      </c>
      <c r="K69" s="17">
        <f>J69-G69</f>
        <v>-50</v>
      </c>
      <c r="L69" s="17">
        <f>IF(K69&lt;0,0,J69-G69)</f>
        <v>0</v>
      </c>
      <c r="M69" s="20">
        <f>L69*I69/100</f>
        <v>0</v>
      </c>
      <c r="N69" s="57">
        <v>8.4</v>
      </c>
      <c r="O69" s="45"/>
      <c r="P69" s="18"/>
      <c r="Q69" s="18"/>
      <c r="R69" s="19"/>
      <c r="S69" s="58"/>
      <c r="T69" s="45"/>
      <c r="U69" s="18"/>
      <c r="V69" s="18"/>
      <c r="W69" s="19"/>
      <c r="X69" s="58"/>
      <c r="Y69" s="45"/>
      <c r="Z69" s="18"/>
      <c r="AA69" s="18"/>
      <c r="AB69" s="19"/>
      <c r="AC69" s="58"/>
      <c r="AD69" s="45"/>
      <c r="AE69" s="18"/>
      <c r="AF69" s="18"/>
      <c r="AG69" s="19"/>
      <c r="AH69" s="50"/>
      <c r="AI69" s="42">
        <f>AF69+AA69+V69+Q69+L69</f>
        <v>0</v>
      </c>
      <c r="AJ69" s="35">
        <f>AG69*AH69+AB69*AC69+W69*X69+R69*S69+M69*N69</f>
        <v>0</v>
      </c>
    </row>
    <row r="70" spans="1:36" x14ac:dyDescent="0.25">
      <c r="A70" s="25" t="s">
        <v>149</v>
      </c>
      <c r="B70" s="17" t="s">
        <v>10</v>
      </c>
      <c r="C70" s="17" t="s">
        <v>22</v>
      </c>
      <c r="D70" s="17" t="s">
        <v>129</v>
      </c>
      <c r="E70" s="18" t="s">
        <v>150</v>
      </c>
      <c r="F70" s="17" t="s">
        <v>14</v>
      </c>
      <c r="G70" s="17">
        <v>20</v>
      </c>
      <c r="H70" s="17" t="s">
        <v>15</v>
      </c>
      <c r="I70" s="39">
        <v>11</v>
      </c>
      <c r="J70" s="25">
        <v>0</v>
      </c>
      <c r="K70" s="17">
        <f>J70-G70</f>
        <v>-20</v>
      </c>
      <c r="L70" s="17">
        <f>IF(K70&lt;0,0,J70-G70)</f>
        <v>0</v>
      </c>
      <c r="M70" s="20">
        <f>L70*I70/100</f>
        <v>0</v>
      </c>
      <c r="N70" s="57">
        <v>8.4</v>
      </c>
      <c r="O70" s="25">
        <v>0</v>
      </c>
      <c r="P70" s="17">
        <f>O70-G70</f>
        <v>-20</v>
      </c>
      <c r="Q70" s="17">
        <f>IF(P70&lt;0,0,O70-G70)</f>
        <v>0</v>
      </c>
      <c r="R70" s="20">
        <f>Q70*I70/100</f>
        <v>0</v>
      </c>
      <c r="S70" s="57">
        <v>8.4</v>
      </c>
      <c r="T70" s="25">
        <v>0</v>
      </c>
      <c r="U70" s="17">
        <f>T70-G70</f>
        <v>-20</v>
      </c>
      <c r="V70" s="17">
        <f>IF(U70&lt;0,0,T70-G70)</f>
        <v>0</v>
      </c>
      <c r="W70" s="20">
        <f>V70*I70/100</f>
        <v>0</v>
      </c>
      <c r="X70" s="57">
        <v>8.4</v>
      </c>
      <c r="Y70" s="25">
        <v>0</v>
      </c>
      <c r="Z70" s="17">
        <f>Y70-G70</f>
        <v>-20</v>
      </c>
      <c r="AA70" s="17">
        <f>IF(Z70&lt;0,0,Y70-G70)</f>
        <v>0</v>
      </c>
      <c r="AB70" s="20">
        <f>AA70*I70/100</f>
        <v>0</v>
      </c>
      <c r="AC70" s="57">
        <v>8.4</v>
      </c>
      <c r="AD70" s="25">
        <v>0</v>
      </c>
      <c r="AE70" s="17">
        <f>AD70-G70</f>
        <v>-20</v>
      </c>
      <c r="AF70" s="17">
        <f>IF(AE70&lt;0,0,AD70-G70)</f>
        <v>0</v>
      </c>
      <c r="AG70" s="20">
        <f>AF70*I70/100</f>
        <v>0</v>
      </c>
      <c r="AH70" s="49">
        <v>8.4</v>
      </c>
      <c r="AI70" s="42">
        <f>AF70+AA70+V70+Q70+L70</f>
        <v>0</v>
      </c>
      <c r="AJ70" s="35">
        <f>AG70*AH70+AB70*AC70+W70*X70+R70*S70+M70*N70</f>
        <v>0</v>
      </c>
    </row>
    <row r="71" spans="1:36" x14ac:dyDescent="0.25">
      <c r="A71" s="25" t="s">
        <v>151</v>
      </c>
      <c r="B71" s="17" t="s">
        <v>10</v>
      </c>
      <c r="C71" s="17" t="s">
        <v>11</v>
      </c>
      <c r="D71" s="17" t="s">
        <v>129</v>
      </c>
      <c r="E71" s="18" t="s">
        <v>152</v>
      </c>
      <c r="F71" s="17" t="s">
        <v>14</v>
      </c>
      <c r="G71" s="17">
        <v>20</v>
      </c>
      <c r="H71" s="17" t="s">
        <v>15</v>
      </c>
      <c r="I71" s="39">
        <v>6.5</v>
      </c>
      <c r="J71" s="25">
        <v>2</v>
      </c>
      <c r="K71" s="17">
        <f>J71-G71</f>
        <v>-18</v>
      </c>
      <c r="L71" s="17">
        <f>IF(K71&lt;0,0,J71-G71)</f>
        <v>0</v>
      </c>
      <c r="M71" s="20">
        <f>L71*I71/100</f>
        <v>0</v>
      </c>
      <c r="N71" s="57">
        <v>8.4</v>
      </c>
      <c r="O71" s="25">
        <v>0</v>
      </c>
      <c r="P71" s="17">
        <f>O71-G71</f>
        <v>-20</v>
      </c>
      <c r="Q71" s="17">
        <f>IF(P71&lt;0,0,O71-G71)</f>
        <v>0</v>
      </c>
      <c r="R71" s="20">
        <f>Q71*I71/100</f>
        <v>0</v>
      </c>
      <c r="S71" s="57">
        <v>8.4</v>
      </c>
      <c r="T71" s="25">
        <v>228</v>
      </c>
      <c r="U71" s="17">
        <f>T71-G71</f>
        <v>208</v>
      </c>
      <c r="V71" s="17">
        <f>IF(U71&lt;0,0,T71-G71)</f>
        <v>208</v>
      </c>
      <c r="W71" s="20">
        <f>V71*I71/100</f>
        <v>13.52</v>
      </c>
      <c r="X71" s="57">
        <v>8.4</v>
      </c>
      <c r="Y71" s="25">
        <v>329</v>
      </c>
      <c r="Z71" s="17">
        <f>Y71-G71</f>
        <v>309</v>
      </c>
      <c r="AA71" s="17">
        <f>IF(Z71&lt;0,0,Y71-G71)</f>
        <v>309</v>
      </c>
      <c r="AB71" s="20">
        <f>AA71*I71/100</f>
        <v>20.085000000000001</v>
      </c>
      <c r="AC71" s="57">
        <v>8.4</v>
      </c>
      <c r="AD71" s="25">
        <v>42</v>
      </c>
      <c r="AE71" s="17">
        <f>AD71-G71</f>
        <v>22</v>
      </c>
      <c r="AF71" s="17">
        <f>IF(AE71&lt;0,0,AD71-G71)</f>
        <v>22</v>
      </c>
      <c r="AG71" s="20">
        <f>AF71*I71/100</f>
        <v>1.43</v>
      </c>
      <c r="AH71" s="49">
        <v>8.4</v>
      </c>
      <c r="AI71" s="42">
        <f>AF71+AA71+V71+Q71+L71</f>
        <v>539</v>
      </c>
      <c r="AJ71" s="35">
        <f>AG71*AH71+AB71*AC71+W71*X71+R71*S71+M71*N71</f>
        <v>294.29400000000004</v>
      </c>
    </row>
    <row r="72" spans="1:36" x14ac:dyDescent="0.25">
      <c r="A72" s="25" t="s">
        <v>153</v>
      </c>
      <c r="B72" s="17" t="s">
        <v>10</v>
      </c>
      <c r="C72" s="17" t="s">
        <v>11</v>
      </c>
      <c r="D72" s="17" t="s">
        <v>129</v>
      </c>
      <c r="E72" s="17" t="s">
        <v>154</v>
      </c>
      <c r="F72" s="17" t="s">
        <v>14</v>
      </c>
      <c r="G72" s="17">
        <v>20</v>
      </c>
      <c r="H72" s="17" t="s">
        <v>15</v>
      </c>
      <c r="I72" s="39">
        <v>6.5</v>
      </c>
      <c r="J72" s="25">
        <v>35</v>
      </c>
      <c r="K72" s="17">
        <f>J72-G72</f>
        <v>15</v>
      </c>
      <c r="L72" s="17">
        <f>IF(K72&lt;0,0,J72-G72)</f>
        <v>15</v>
      </c>
      <c r="M72" s="20">
        <f>L72*I72/100</f>
        <v>0.97499999999999998</v>
      </c>
      <c r="N72" s="57">
        <v>8.4</v>
      </c>
      <c r="O72" s="25">
        <v>51</v>
      </c>
      <c r="P72" s="17">
        <f>O72-G72</f>
        <v>31</v>
      </c>
      <c r="Q72" s="17">
        <f>IF(P72&lt;0,0,O72-G72)</f>
        <v>31</v>
      </c>
      <c r="R72" s="20">
        <f>Q72*I72/100</f>
        <v>2.0150000000000001</v>
      </c>
      <c r="S72" s="57">
        <v>8.4</v>
      </c>
      <c r="T72" s="25">
        <v>74</v>
      </c>
      <c r="U72" s="17">
        <f>T72-G72</f>
        <v>54</v>
      </c>
      <c r="V72" s="17">
        <f>IF(U72&lt;0,0,T72-G72)</f>
        <v>54</v>
      </c>
      <c r="W72" s="20">
        <f>V72*I72/100</f>
        <v>3.51</v>
      </c>
      <c r="X72" s="57">
        <v>8.4</v>
      </c>
      <c r="Y72" s="25">
        <v>34</v>
      </c>
      <c r="Z72" s="17">
        <f>Y72-G72</f>
        <v>14</v>
      </c>
      <c r="AA72" s="17">
        <f>IF(Z72&lt;0,0,Y72-G72)</f>
        <v>14</v>
      </c>
      <c r="AB72" s="20">
        <f>AA72*I72/100</f>
        <v>0.91</v>
      </c>
      <c r="AC72" s="57">
        <v>8.4</v>
      </c>
      <c r="AD72" s="25">
        <v>47</v>
      </c>
      <c r="AE72" s="17">
        <f>AD72-G72</f>
        <v>27</v>
      </c>
      <c r="AF72" s="17">
        <f>IF(AE72&lt;0,0,AD72-G72)</f>
        <v>27</v>
      </c>
      <c r="AG72" s="20">
        <f>AF72*I72/100</f>
        <v>1.7549999999999999</v>
      </c>
      <c r="AH72" s="49">
        <v>8.4</v>
      </c>
      <c r="AI72" s="42">
        <f>AF72+AA72+V72+Q72+L72</f>
        <v>141</v>
      </c>
      <c r="AJ72" s="35">
        <f>AG72*AH72+AB72*AC72+W72*X72+R72*S72+M72*N72</f>
        <v>76.98599999999999</v>
      </c>
    </row>
    <row r="73" spans="1:36" x14ac:dyDescent="0.25">
      <c r="A73" s="25" t="s">
        <v>155</v>
      </c>
      <c r="B73" s="17" t="s">
        <v>10</v>
      </c>
      <c r="C73" s="17" t="s">
        <v>22</v>
      </c>
      <c r="D73" s="17" t="s">
        <v>129</v>
      </c>
      <c r="E73" s="17" t="s">
        <v>150</v>
      </c>
      <c r="F73" s="17" t="s">
        <v>14</v>
      </c>
      <c r="G73" s="17">
        <v>20</v>
      </c>
      <c r="H73" s="17" t="s">
        <v>15</v>
      </c>
      <c r="I73" s="39">
        <v>11</v>
      </c>
      <c r="J73" s="25">
        <v>0</v>
      </c>
      <c r="K73" s="17">
        <f>J73-G73</f>
        <v>-20</v>
      </c>
      <c r="L73" s="17">
        <f>IF(K73&lt;0,0,J73-G73)</f>
        <v>0</v>
      </c>
      <c r="M73" s="20">
        <f>L73*I73/100</f>
        <v>0</v>
      </c>
      <c r="N73" s="57">
        <v>8.4</v>
      </c>
      <c r="O73" s="25">
        <v>0</v>
      </c>
      <c r="P73" s="17">
        <f>O73-G73</f>
        <v>-20</v>
      </c>
      <c r="Q73" s="17">
        <f>IF(P73&lt;0,0,O73-G73)</f>
        <v>0</v>
      </c>
      <c r="R73" s="20">
        <f>Q73*I73/100</f>
        <v>0</v>
      </c>
      <c r="S73" s="57">
        <v>8.4</v>
      </c>
      <c r="T73" s="25">
        <v>0</v>
      </c>
      <c r="U73" s="17">
        <f>T73-G73</f>
        <v>-20</v>
      </c>
      <c r="V73" s="17">
        <f>IF(U73&lt;0,0,T73-G73)</f>
        <v>0</v>
      </c>
      <c r="W73" s="20">
        <f>V73*I73/100</f>
        <v>0</v>
      </c>
      <c r="X73" s="57">
        <v>8.4</v>
      </c>
      <c r="Y73" s="25">
        <v>0</v>
      </c>
      <c r="Z73" s="17">
        <f>Y73-G73</f>
        <v>-20</v>
      </c>
      <c r="AA73" s="17">
        <f>IF(Z73&lt;0,0,Y73-G73)</f>
        <v>0</v>
      </c>
      <c r="AB73" s="20">
        <f>AA73*I73/100</f>
        <v>0</v>
      </c>
      <c r="AC73" s="57">
        <v>8.4</v>
      </c>
      <c r="AD73" s="25">
        <v>0</v>
      </c>
      <c r="AE73" s="17">
        <f>AD73-G73</f>
        <v>-20</v>
      </c>
      <c r="AF73" s="17">
        <f>IF(AE73&lt;0,0,AD73-G73)</f>
        <v>0</v>
      </c>
      <c r="AG73" s="20">
        <f>AF73*I73/100</f>
        <v>0</v>
      </c>
      <c r="AH73" s="49">
        <v>8.4</v>
      </c>
      <c r="AI73" s="42">
        <f>AF73+AA73+V73+Q73+L73</f>
        <v>0</v>
      </c>
      <c r="AJ73" s="35">
        <f>AG73*AH73+AB73*AC73+W73*X73+R73*S73+M73*N73</f>
        <v>0</v>
      </c>
    </row>
    <row r="74" spans="1:36" x14ac:dyDescent="0.25">
      <c r="A74" s="25" t="s">
        <v>156</v>
      </c>
      <c r="B74" s="17" t="s">
        <v>10</v>
      </c>
      <c r="C74" s="17" t="s">
        <v>11</v>
      </c>
      <c r="D74" s="17" t="s">
        <v>157</v>
      </c>
      <c r="E74" s="18" t="s">
        <v>158</v>
      </c>
      <c r="F74" s="17" t="s">
        <v>14</v>
      </c>
      <c r="G74" s="17">
        <v>20</v>
      </c>
      <c r="H74" s="17" t="s">
        <v>15</v>
      </c>
      <c r="I74" s="39">
        <v>6.5</v>
      </c>
      <c r="J74" s="25">
        <v>43</v>
      </c>
      <c r="K74" s="17">
        <f>J74-G74</f>
        <v>23</v>
      </c>
      <c r="L74" s="17">
        <f>IF(K74&lt;0,0,J74-G74)</f>
        <v>23</v>
      </c>
      <c r="M74" s="20">
        <f>L74*I74/100</f>
        <v>1.4950000000000001</v>
      </c>
      <c r="N74" s="57">
        <v>8.4</v>
      </c>
      <c r="O74" s="25">
        <v>166</v>
      </c>
      <c r="P74" s="17">
        <f>O74-G74</f>
        <v>146</v>
      </c>
      <c r="Q74" s="17">
        <f>IF(P74&lt;0,0,O74-G74)</f>
        <v>146</v>
      </c>
      <c r="R74" s="20">
        <f>Q74*I74/100</f>
        <v>9.49</v>
      </c>
      <c r="S74" s="57">
        <v>8.4</v>
      </c>
      <c r="T74" s="25">
        <v>42</v>
      </c>
      <c r="U74" s="17">
        <f>T74-G74</f>
        <v>22</v>
      </c>
      <c r="V74" s="17">
        <f>IF(U74&lt;0,0,T74-G74)</f>
        <v>22</v>
      </c>
      <c r="W74" s="20">
        <f>V74*I74/100</f>
        <v>1.43</v>
      </c>
      <c r="X74" s="57">
        <v>8.4</v>
      </c>
      <c r="Y74" s="25">
        <v>0</v>
      </c>
      <c r="Z74" s="17">
        <f>Y74-G74</f>
        <v>-20</v>
      </c>
      <c r="AA74" s="17">
        <f>IF(Z74&lt;0,0,Y74-G74)</f>
        <v>0</v>
      </c>
      <c r="AB74" s="20">
        <f>AA74*I74/100</f>
        <v>0</v>
      </c>
      <c r="AC74" s="57">
        <v>8.4</v>
      </c>
      <c r="AD74" s="45"/>
      <c r="AE74" s="18"/>
      <c r="AF74" s="18"/>
      <c r="AG74" s="19"/>
      <c r="AH74" s="50"/>
      <c r="AI74" s="42">
        <f>AF74+AA74+V74+Q74+L74</f>
        <v>191</v>
      </c>
      <c r="AJ74" s="35">
        <f>AG74*AH74+AB74*AC74+W74*X74+R74*S74+M74*N74</f>
        <v>104.28600000000002</v>
      </c>
    </row>
    <row r="75" spans="1:36" x14ac:dyDescent="0.25">
      <c r="A75" s="25" t="s">
        <v>159</v>
      </c>
      <c r="B75" s="17" t="s">
        <v>17</v>
      </c>
      <c r="C75" s="17" t="s">
        <v>36</v>
      </c>
      <c r="D75" s="17" t="s">
        <v>157</v>
      </c>
      <c r="E75" s="17" t="s">
        <v>160</v>
      </c>
      <c r="F75" s="17" t="s">
        <v>14</v>
      </c>
      <c r="G75" s="17">
        <v>20</v>
      </c>
      <c r="H75" s="17" t="s">
        <v>38</v>
      </c>
      <c r="I75" s="39">
        <v>6.5</v>
      </c>
      <c r="J75" s="25">
        <v>15</v>
      </c>
      <c r="K75" s="17">
        <f>J75-G75</f>
        <v>-5</v>
      </c>
      <c r="L75" s="17">
        <f>IF(K75&lt;0,0,J75-G75)</f>
        <v>0</v>
      </c>
      <c r="M75" s="20">
        <f>L75*I75/100</f>
        <v>0</v>
      </c>
      <c r="N75" s="57">
        <v>7.3</v>
      </c>
      <c r="O75" s="25">
        <v>11</v>
      </c>
      <c r="P75" s="17">
        <f>O75-G75</f>
        <v>-9</v>
      </c>
      <c r="Q75" s="17">
        <f>IF(P75&lt;0,0,O75-G75)</f>
        <v>0</v>
      </c>
      <c r="R75" s="20">
        <f>Q75*I75/100</f>
        <v>0</v>
      </c>
      <c r="S75" s="57">
        <v>7.2</v>
      </c>
      <c r="T75" s="25">
        <v>18</v>
      </c>
      <c r="U75" s="17">
        <f>T75-G75</f>
        <v>-2</v>
      </c>
      <c r="V75" s="17">
        <f>IF(U75&lt;0,0,T75-G75)</f>
        <v>0</v>
      </c>
      <c r="W75" s="20">
        <f>V75*I75/100</f>
        <v>0</v>
      </c>
      <c r="X75" s="57">
        <v>7.2</v>
      </c>
      <c r="Y75" s="25">
        <v>18</v>
      </c>
      <c r="Z75" s="17">
        <f>Y75-G75</f>
        <v>-2</v>
      </c>
      <c r="AA75" s="17">
        <f>IF(Z75&lt;0,0,Y75-G75)</f>
        <v>0</v>
      </c>
      <c r="AB75" s="20">
        <f>AA75*I75/100</f>
        <v>0</v>
      </c>
      <c r="AC75" s="57">
        <v>7.2</v>
      </c>
      <c r="AD75" s="25">
        <v>18</v>
      </c>
      <c r="AE75" s="17">
        <f>AD75-G75</f>
        <v>-2</v>
      </c>
      <c r="AF75" s="17">
        <f>IF(AE75&lt;0,0,AD75-G75)</f>
        <v>0</v>
      </c>
      <c r="AG75" s="20">
        <f>AF75*I75/100</f>
        <v>0</v>
      </c>
      <c r="AH75" s="49">
        <v>7.2</v>
      </c>
      <c r="AI75" s="42">
        <f>AF75+AA75+V75+Q75+L75</f>
        <v>0</v>
      </c>
      <c r="AJ75" s="35">
        <f>AG75*AH75+AB75*AC75+W75*X75+R75*S75+M75*N75</f>
        <v>0</v>
      </c>
    </row>
    <row r="76" spans="1:36" x14ac:dyDescent="0.25">
      <c r="A76" s="25" t="s">
        <v>161</v>
      </c>
      <c r="B76" s="17" t="s">
        <v>10</v>
      </c>
      <c r="C76" s="17" t="s">
        <v>11</v>
      </c>
      <c r="D76" s="17" t="s">
        <v>157</v>
      </c>
      <c r="E76" s="17" t="s">
        <v>162</v>
      </c>
      <c r="F76" s="17" t="s">
        <v>14</v>
      </c>
      <c r="G76" s="17">
        <v>20</v>
      </c>
      <c r="H76" s="17" t="s">
        <v>15</v>
      </c>
      <c r="I76" s="39">
        <v>6.5</v>
      </c>
      <c r="J76" s="25">
        <v>5</v>
      </c>
      <c r="K76" s="17">
        <f>J76-G76</f>
        <v>-15</v>
      </c>
      <c r="L76" s="17">
        <f>IF(K76&lt;0,0,J76-G76)</f>
        <v>0</v>
      </c>
      <c r="M76" s="20">
        <f>L76*I76/100</f>
        <v>0</v>
      </c>
      <c r="N76" s="57">
        <v>8.4</v>
      </c>
      <c r="O76" s="25">
        <v>23</v>
      </c>
      <c r="P76" s="17">
        <f>O76-G76</f>
        <v>3</v>
      </c>
      <c r="Q76" s="17">
        <f>IF(P76&lt;0,0,O76-G76)</f>
        <v>3</v>
      </c>
      <c r="R76" s="20">
        <f>Q76*I76/100</f>
        <v>0.19500000000000001</v>
      </c>
      <c r="S76" s="57">
        <v>8.4</v>
      </c>
      <c r="T76" s="25">
        <v>28</v>
      </c>
      <c r="U76" s="17">
        <f>T76-G76</f>
        <v>8</v>
      </c>
      <c r="V76" s="17">
        <f>IF(U76&lt;0,0,T76-G76)</f>
        <v>8</v>
      </c>
      <c r="W76" s="20">
        <f>V76*I76/100</f>
        <v>0.52</v>
      </c>
      <c r="X76" s="57">
        <v>8.4</v>
      </c>
      <c r="Y76" s="25">
        <v>8</v>
      </c>
      <c r="Z76" s="17">
        <f>Y76-G76</f>
        <v>-12</v>
      </c>
      <c r="AA76" s="17">
        <f>IF(Z76&lt;0,0,Y76-G76)</f>
        <v>0</v>
      </c>
      <c r="AB76" s="20">
        <f>AA76*I76/100</f>
        <v>0</v>
      </c>
      <c r="AC76" s="57">
        <v>8.4</v>
      </c>
      <c r="AD76" s="25">
        <v>32</v>
      </c>
      <c r="AE76" s="17">
        <f>AD76-G76</f>
        <v>12</v>
      </c>
      <c r="AF76" s="17">
        <f>IF(AE76&lt;0,0,AD76-G76)</f>
        <v>12</v>
      </c>
      <c r="AG76" s="20">
        <f>AF76*I76/100</f>
        <v>0.78</v>
      </c>
      <c r="AH76" s="49">
        <v>8.4</v>
      </c>
      <c r="AI76" s="42">
        <f>AF76+AA76+V76+Q76+L76</f>
        <v>23</v>
      </c>
      <c r="AJ76" s="35">
        <f>AG76*AH76+AB76*AC76+W76*X76+R76*S76+M76*N76</f>
        <v>12.558000000000002</v>
      </c>
    </row>
    <row r="77" spans="1:36" x14ac:dyDescent="0.25">
      <c r="A77" s="25" t="s">
        <v>163</v>
      </c>
      <c r="B77" s="17" t="s">
        <v>10</v>
      </c>
      <c r="C77" s="17" t="s">
        <v>11</v>
      </c>
      <c r="D77" s="17" t="s">
        <v>157</v>
      </c>
      <c r="E77" s="18" t="s">
        <v>164</v>
      </c>
      <c r="F77" s="17" t="s">
        <v>14</v>
      </c>
      <c r="G77" s="17">
        <v>20</v>
      </c>
      <c r="H77" s="17" t="s">
        <v>15</v>
      </c>
      <c r="I77" s="39">
        <v>6.5</v>
      </c>
      <c r="J77" s="25">
        <v>34</v>
      </c>
      <c r="K77" s="17">
        <f>J77-G77</f>
        <v>14</v>
      </c>
      <c r="L77" s="17">
        <f>IF(K77&lt;0,0,J77-G77)</f>
        <v>14</v>
      </c>
      <c r="M77" s="20">
        <f>L77*I77/100</f>
        <v>0.91</v>
      </c>
      <c r="N77" s="57">
        <v>8.4</v>
      </c>
      <c r="O77" s="25">
        <v>9</v>
      </c>
      <c r="P77" s="17">
        <f>O77-G77</f>
        <v>-11</v>
      </c>
      <c r="Q77" s="17">
        <f>IF(P77&lt;0,0,O77-G77)</f>
        <v>0</v>
      </c>
      <c r="R77" s="20">
        <f>Q77*I77/100</f>
        <v>0</v>
      </c>
      <c r="S77" s="57">
        <v>8.4</v>
      </c>
      <c r="T77" s="25">
        <v>0</v>
      </c>
      <c r="U77" s="17">
        <f>T77-G77</f>
        <v>-20</v>
      </c>
      <c r="V77" s="17">
        <f>IF(U77&lt;0,0,T77-G77)</f>
        <v>0</v>
      </c>
      <c r="W77" s="20">
        <f>V77*I77/100</f>
        <v>0</v>
      </c>
      <c r="X77" s="57">
        <v>8.4</v>
      </c>
      <c r="Y77" s="45"/>
      <c r="Z77" s="18"/>
      <c r="AA77" s="18"/>
      <c r="AB77" s="19"/>
      <c r="AC77" s="58"/>
      <c r="AD77" s="45"/>
      <c r="AE77" s="18"/>
      <c r="AF77" s="18"/>
      <c r="AG77" s="19"/>
      <c r="AH77" s="50"/>
      <c r="AI77" s="42">
        <f>AF77+AA77+V77+Q77+L77</f>
        <v>14</v>
      </c>
      <c r="AJ77" s="35">
        <f>AG77*AH77+AB77*AC77+W77*X77+R77*S77+M77*N77</f>
        <v>7.644000000000001</v>
      </c>
    </row>
    <row r="78" spans="1:36" x14ac:dyDescent="0.25">
      <c r="A78" s="25" t="s">
        <v>165</v>
      </c>
      <c r="B78" s="17" t="s">
        <v>32</v>
      </c>
      <c r="C78" s="17" t="s">
        <v>52</v>
      </c>
      <c r="D78" s="17" t="s">
        <v>157</v>
      </c>
      <c r="E78" s="18" t="s">
        <v>166</v>
      </c>
      <c r="F78" s="17" t="s">
        <v>14</v>
      </c>
      <c r="G78" s="17">
        <v>20</v>
      </c>
      <c r="H78" s="17" t="s">
        <v>15</v>
      </c>
      <c r="I78" s="39">
        <v>11</v>
      </c>
      <c r="J78" s="25">
        <v>0</v>
      </c>
      <c r="K78" s="17">
        <f>J78-G78</f>
        <v>-20</v>
      </c>
      <c r="L78" s="17">
        <f>IF(K78&lt;0,0,J78-G78)</f>
        <v>0</v>
      </c>
      <c r="M78" s="20">
        <f>L78*I78/100</f>
        <v>0</v>
      </c>
      <c r="N78" s="57">
        <v>8.4</v>
      </c>
      <c r="O78" s="25">
        <v>0</v>
      </c>
      <c r="P78" s="17">
        <f>O78-G78</f>
        <v>-20</v>
      </c>
      <c r="Q78" s="17">
        <f>IF(P78&lt;0,0,O78-G78)</f>
        <v>0</v>
      </c>
      <c r="R78" s="20">
        <f>Q78*I78/100</f>
        <v>0</v>
      </c>
      <c r="S78" s="57">
        <v>8.4</v>
      </c>
      <c r="T78" s="25">
        <v>0</v>
      </c>
      <c r="U78" s="17">
        <f>T78-G78</f>
        <v>-20</v>
      </c>
      <c r="V78" s="17">
        <f>IF(U78&lt;0,0,T78-G78)</f>
        <v>0</v>
      </c>
      <c r="W78" s="20">
        <f>V78*I78/100</f>
        <v>0</v>
      </c>
      <c r="X78" s="57">
        <v>8.4</v>
      </c>
      <c r="Y78" s="25">
        <v>0</v>
      </c>
      <c r="Z78" s="17">
        <f>Y78-G78</f>
        <v>-20</v>
      </c>
      <c r="AA78" s="17">
        <f>IF(Z78&lt;0,0,Y78-G78)</f>
        <v>0</v>
      </c>
      <c r="AB78" s="20">
        <f>AA78*I78/100</f>
        <v>0</v>
      </c>
      <c r="AC78" s="57">
        <v>8.4</v>
      </c>
      <c r="AD78" s="25">
        <v>0</v>
      </c>
      <c r="AE78" s="17">
        <f>AD78-G78</f>
        <v>-20</v>
      </c>
      <c r="AF78" s="17">
        <f>IF(AE78&lt;0,0,AD78-G78)</f>
        <v>0</v>
      </c>
      <c r="AG78" s="20">
        <f>AF78*I78/100</f>
        <v>0</v>
      </c>
      <c r="AH78" s="49">
        <v>8.4</v>
      </c>
      <c r="AI78" s="42">
        <f>AF78+AA78+V78+Q78+L78</f>
        <v>0</v>
      </c>
      <c r="AJ78" s="35">
        <f>AG78*AH78+AB78*AC78+W78*X78+R78*S78+M78*N78</f>
        <v>0</v>
      </c>
    </row>
    <row r="79" spans="1:36" x14ac:dyDescent="0.25">
      <c r="A79" s="25" t="s">
        <v>167</v>
      </c>
      <c r="B79" s="17" t="s">
        <v>17</v>
      </c>
      <c r="C79" s="17" t="s">
        <v>18</v>
      </c>
      <c r="D79" s="17" t="s">
        <v>157</v>
      </c>
      <c r="E79" s="18" t="s">
        <v>168</v>
      </c>
      <c r="F79" s="17" t="s">
        <v>14</v>
      </c>
      <c r="G79" s="17">
        <v>20</v>
      </c>
      <c r="H79" s="17" t="s">
        <v>15</v>
      </c>
      <c r="I79" s="39">
        <v>6.5</v>
      </c>
      <c r="J79" s="25">
        <v>0</v>
      </c>
      <c r="K79" s="17">
        <f>J79-G79</f>
        <v>-20</v>
      </c>
      <c r="L79" s="17">
        <f>IF(K79&lt;0,0,J79-G79)</f>
        <v>0</v>
      </c>
      <c r="M79" s="20">
        <f>L79*I79/100</f>
        <v>0</v>
      </c>
      <c r="N79" s="57">
        <v>8.4</v>
      </c>
      <c r="O79" s="25">
        <v>312</v>
      </c>
      <c r="P79" s="17">
        <f>O79-G79</f>
        <v>292</v>
      </c>
      <c r="Q79" s="17">
        <f>IF(P79&lt;0,0,O79-G79)</f>
        <v>292</v>
      </c>
      <c r="R79" s="20">
        <f>Q79*I79/100</f>
        <v>18.98</v>
      </c>
      <c r="S79" s="57">
        <v>8.4</v>
      </c>
      <c r="T79" s="25">
        <v>42</v>
      </c>
      <c r="U79" s="17">
        <f>T79-G79</f>
        <v>22</v>
      </c>
      <c r="V79" s="17">
        <f>IF(U79&lt;0,0,T79-G79)</f>
        <v>22</v>
      </c>
      <c r="W79" s="20">
        <f>V79*I79/100</f>
        <v>1.43</v>
      </c>
      <c r="X79" s="57">
        <v>8.4</v>
      </c>
      <c r="Y79" s="25">
        <v>187</v>
      </c>
      <c r="Z79" s="17">
        <f>Y79-G79</f>
        <v>167</v>
      </c>
      <c r="AA79" s="17">
        <f>IF(Z79&lt;0,0,Y79-G79)</f>
        <v>167</v>
      </c>
      <c r="AB79" s="20">
        <f>AA79*I79/100</f>
        <v>10.855</v>
      </c>
      <c r="AC79" s="57">
        <v>8.4</v>
      </c>
      <c r="AD79" s="25">
        <v>253</v>
      </c>
      <c r="AE79" s="17">
        <f>AD79-G79</f>
        <v>233</v>
      </c>
      <c r="AF79" s="17">
        <f>IF(AE79&lt;0,0,AD79-G79)</f>
        <v>233</v>
      </c>
      <c r="AG79" s="20">
        <f>AF79*I79/100</f>
        <v>15.145</v>
      </c>
      <c r="AH79" s="49">
        <v>8.4</v>
      </c>
      <c r="AI79" s="42">
        <f>AF79+AA79+V79+Q79+L79</f>
        <v>714</v>
      </c>
      <c r="AJ79" s="35">
        <f>AG79*AH79+AB79*AC79+W79*X79+R79*S79+M79*N79</f>
        <v>389.84400000000005</v>
      </c>
    </row>
    <row r="80" spans="1:36" x14ac:dyDescent="0.25">
      <c r="A80" s="25" t="s">
        <v>169</v>
      </c>
      <c r="B80" s="17" t="s">
        <v>10</v>
      </c>
      <c r="C80" s="17" t="s">
        <v>22</v>
      </c>
      <c r="D80" s="17" t="s">
        <v>157</v>
      </c>
      <c r="E80" s="18" t="s">
        <v>170</v>
      </c>
      <c r="F80" s="17" t="s">
        <v>14</v>
      </c>
      <c r="G80" s="17">
        <v>20</v>
      </c>
      <c r="H80" s="17" t="s">
        <v>15</v>
      </c>
      <c r="I80" s="39">
        <v>11</v>
      </c>
      <c r="J80" s="25">
        <v>0</v>
      </c>
      <c r="K80" s="17">
        <f>J80-G80</f>
        <v>-20</v>
      </c>
      <c r="L80" s="17">
        <f>IF(K80&lt;0,0,J80-G80)</f>
        <v>0</v>
      </c>
      <c r="M80" s="20">
        <f>L80*I80/100</f>
        <v>0</v>
      </c>
      <c r="N80" s="57">
        <v>8.4</v>
      </c>
      <c r="O80" s="25">
        <v>0</v>
      </c>
      <c r="P80" s="17">
        <f>O80-G80</f>
        <v>-20</v>
      </c>
      <c r="Q80" s="17">
        <f>IF(P80&lt;0,0,O80-G80)</f>
        <v>0</v>
      </c>
      <c r="R80" s="20">
        <f>Q80*I80/100</f>
        <v>0</v>
      </c>
      <c r="S80" s="57">
        <v>8.4</v>
      </c>
      <c r="T80" s="25">
        <v>0</v>
      </c>
      <c r="U80" s="17">
        <f>T80-G80</f>
        <v>-20</v>
      </c>
      <c r="V80" s="17">
        <f>IF(U80&lt;0,0,T80-G80)</f>
        <v>0</v>
      </c>
      <c r="W80" s="20">
        <f>V80*I80/100</f>
        <v>0</v>
      </c>
      <c r="X80" s="57">
        <v>8.4</v>
      </c>
      <c r="Y80" s="25">
        <v>0</v>
      </c>
      <c r="Z80" s="17">
        <f>Y80-G80</f>
        <v>-20</v>
      </c>
      <c r="AA80" s="17">
        <f>IF(Z80&lt;0,0,Y80-G80)</f>
        <v>0</v>
      </c>
      <c r="AB80" s="20">
        <f>AA80*I80/100</f>
        <v>0</v>
      </c>
      <c r="AC80" s="57">
        <v>8.4</v>
      </c>
      <c r="AD80" s="25">
        <v>0</v>
      </c>
      <c r="AE80" s="17">
        <f>AD80-G80</f>
        <v>-20</v>
      </c>
      <c r="AF80" s="17">
        <f>IF(AE80&lt;0,0,AD80-G80)</f>
        <v>0</v>
      </c>
      <c r="AG80" s="20">
        <f>AF80*I80/100</f>
        <v>0</v>
      </c>
      <c r="AH80" s="49">
        <v>8.4</v>
      </c>
      <c r="AI80" s="42">
        <f>AF80+AA80+V80+Q80+L80</f>
        <v>0</v>
      </c>
      <c r="AJ80" s="35">
        <f>AG80*AH80+AB80*AC80+W80*X80+R80*S80+M80*N80</f>
        <v>0</v>
      </c>
    </row>
    <row r="81" spans="1:36" x14ac:dyDescent="0.25">
      <c r="A81" s="25" t="s">
        <v>171</v>
      </c>
      <c r="B81" s="17" t="s">
        <v>10</v>
      </c>
      <c r="C81" s="17" t="s">
        <v>11</v>
      </c>
      <c r="D81" s="17" t="s">
        <v>157</v>
      </c>
      <c r="E81" s="18" t="s">
        <v>172</v>
      </c>
      <c r="F81" s="17" t="s">
        <v>14</v>
      </c>
      <c r="G81" s="17">
        <v>20</v>
      </c>
      <c r="H81" s="17" t="s">
        <v>15</v>
      </c>
      <c r="I81" s="39">
        <v>6.5</v>
      </c>
      <c r="J81" s="25">
        <v>317</v>
      </c>
      <c r="K81" s="17">
        <f>J81-G81</f>
        <v>297</v>
      </c>
      <c r="L81" s="17">
        <f>IF(K81&lt;0,0,J81-G81)</f>
        <v>297</v>
      </c>
      <c r="M81" s="20">
        <f>L81*I81/100</f>
        <v>19.305</v>
      </c>
      <c r="N81" s="57">
        <v>8.4</v>
      </c>
      <c r="O81" s="25">
        <v>32</v>
      </c>
      <c r="P81" s="17">
        <f>O81-G81</f>
        <v>12</v>
      </c>
      <c r="Q81" s="17">
        <f>IF(P81&lt;0,0,O81-G81)</f>
        <v>12</v>
      </c>
      <c r="R81" s="20">
        <f>Q81*I81/100</f>
        <v>0.78</v>
      </c>
      <c r="S81" s="57">
        <v>8.4</v>
      </c>
      <c r="T81" s="25">
        <v>0</v>
      </c>
      <c r="U81" s="17">
        <f>T81-G81</f>
        <v>-20</v>
      </c>
      <c r="V81" s="17">
        <f>IF(U81&lt;0,0,T81-G81)</f>
        <v>0</v>
      </c>
      <c r="W81" s="20">
        <f>V81*I81/100</f>
        <v>0</v>
      </c>
      <c r="X81" s="57">
        <v>8.4</v>
      </c>
      <c r="Y81" s="25">
        <v>13</v>
      </c>
      <c r="Z81" s="17">
        <f>Y81-G81</f>
        <v>-7</v>
      </c>
      <c r="AA81" s="17">
        <f>IF(Z81&lt;0,0,Y81-G81)</f>
        <v>0</v>
      </c>
      <c r="AB81" s="20">
        <f>AA81*I81/100</f>
        <v>0</v>
      </c>
      <c r="AC81" s="57">
        <v>8.4</v>
      </c>
      <c r="AD81" s="25">
        <v>0</v>
      </c>
      <c r="AE81" s="17">
        <f>AD81-G81</f>
        <v>-20</v>
      </c>
      <c r="AF81" s="17">
        <f>IF(AE81&lt;0,0,AD81-G81)</f>
        <v>0</v>
      </c>
      <c r="AG81" s="20">
        <f>AF81*I81/100</f>
        <v>0</v>
      </c>
      <c r="AH81" s="49">
        <v>8.4</v>
      </c>
      <c r="AI81" s="42">
        <f>AF81+AA81+V81+Q81+L81</f>
        <v>309</v>
      </c>
      <c r="AJ81" s="35">
        <f>AG81*AH81+AB81*AC81+W81*X81+R81*S81+M81*N81</f>
        <v>168.714</v>
      </c>
    </row>
    <row r="82" spans="1:36" x14ac:dyDescent="0.25">
      <c r="A82" s="25" t="s">
        <v>173</v>
      </c>
      <c r="B82" s="17" t="s">
        <v>10</v>
      </c>
      <c r="C82" s="17" t="s">
        <v>11</v>
      </c>
      <c r="D82" s="17" t="s">
        <v>174</v>
      </c>
      <c r="E82" s="17" t="s">
        <v>175</v>
      </c>
      <c r="F82" s="17" t="s">
        <v>14</v>
      </c>
      <c r="G82" s="17">
        <v>20</v>
      </c>
      <c r="H82" s="17" t="s">
        <v>15</v>
      </c>
      <c r="I82" s="39">
        <v>6.5</v>
      </c>
      <c r="J82" s="25">
        <v>70</v>
      </c>
      <c r="K82" s="17">
        <f>J82-G82</f>
        <v>50</v>
      </c>
      <c r="L82" s="17">
        <f>IF(K82&lt;0,0,J82-G82)</f>
        <v>50</v>
      </c>
      <c r="M82" s="20">
        <f>L82*I82/100</f>
        <v>3.25</v>
      </c>
      <c r="N82" s="57">
        <v>8.4</v>
      </c>
      <c r="O82" s="25">
        <v>81</v>
      </c>
      <c r="P82" s="17">
        <f>O82-G82</f>
        <v>61</v>
      </c>
      <c r="Q82" s="17">
        <f>IF(P82&lt;0,0,O82-G82)</f>
        <v>61</v>
      </c>
      <c r="R82" s="20">
        <f>Q82*I82/100</f>
        <v>3.9649999999999999</v>
      </c>
      <c r="S82" s="57">
        <v>8.4</v>
      </c>
      <c r="T82" s="25">
        <v>48</v>
      </c>
      <c r="U82" s="17">
        <f>T82-G82</f>
        <v>28</v>
      </c>
      <c r="V82" s="17">
        <f>IF(U82&lt;0,0,T82-G82)</f>
        <v>28</v>
      </c>
      <c r="W82" s="20">
        <f>V82*I82/100</f>
        <v>1.82</v>
      </c>
      <c r="X82" s="57">
        <v>8.4</v>
      </c>
      <c r="Y82" s="25">
        <v>14</v>
      </c>
      <c r="Z82" s="17">
        <f>Y82-G82</f>
        <v>-6</v>
      </c>
      <c r="AA82" s="17">
        <f>IF(Z82&lt;0,0,Y82-G82)</f>
        <v>0</v>
      </c>
      <c r="AB82" s="20">
        <f>AA82*I82/100</f>
        <v>0</v>
      </c>
      <c r="AC82" s="57">
        <v>8.4</v>
      </c>
      <c r="AD82" s="25">
        <v>238</v>
      </c>
      <c r="AE82" s="17">
        <f>AD82-G82</f>
        <v>218</v>
      </c>
      <c r="AF82" s="17">
        <f>IF(AE82&lt;0,0,AD82-G82)</f>
        <v>218</v>
      </c>
      <c r="AG82" s="20">
        <f>AF82*I82/100</f>
        <v>14.17</v>
      </c>
      <c r="AH82" s="49">
        <v>8.4</v>
      </c>
      <c r="AI82" s="42">
        <f>AF82+AA82+V82+Q82+L82</f>
        <v>357</v>
      </c>
      <c r="AJ82" s="35">
        <f>AG82*AH82+AB82*AC82+W82*X82+R82*S82+M82*N82</f>
        <v>194.92200000000003</v>
      </c>
    </row>
    <row r="83" spans="1:36" x14ac:dyDescent="0.25">
      <c r="A83" s="25" t="s">
        <v>176</v>
      </c>
      <c r="B83" s="17" t="s">
        <v>10</v>
      </c>
      <c r="C83" s="17" t="s">
        <v>11</v>
      </c>
      <c r="D83" s="17" t="s">
        <v>174</v>
      </c>
      <c r="E83" s="18" t="s">
        <v>177</v>
      </c>
      <c r="F83" s="17" t="s">
        <v>14</v>
      </c>
      <c r="G83" s="17">
        <v>20</v>
      </c>
      <c r="H83" s="17" t="s">
        <v>15</v>
      </c>
      <c r="I83" s="39">
        <v>6.5</v>
      </c>
      <c r="J83" s="45"/>
      <c r="K83" s="18"/>
      <c r="L83" s="18"/>
      <c r="M83" s="19"/>
      <c r="N83" s="58"/>
      <c r="O83" s="45"/>
      <c r="P83" s="18"/>
      <c r="Q83" s="18"/>
      <c r="R83" s="19"/>
      <c r="S83" s="58"/>
      <c r="T83" s="25">
        <v>0</v>
      </c>
      <c r="U83" s="17">
        <f>T83-G83</f>
        <v>-20</v>
      </c>
      <c r="V83" s="17">
        <f>IF(U83&lt;0,0,T83-G83)</f>
        <v>0</v>
      </c>
      <c r="W83" s="20">
        <f>V83*I83/100</f>
        <v>0</v>
      </c>
      <c r="X83" s="57">
        <v>8.4</v>
      </c>
      <c r="Y83" s="25">
        <v>0</v>
      </c>
      <c r="Z83" s="17">
        <f>Y83-G83</f>
        <v>-20</v>
      </c>
      <c r="AA83" s="17">
        <f>IF(Z83&lt;0,0,Y83-G83)</f>
        <v>0</v>
      </c>
      <c r="AB83" s="20">
        <f>AA83*I83/100</f>
        <v>0</v>
      </c>
      <c r="AC83" s="57">
        <v>8.4</v>
      </c>
      <c r="AD83" s="25">
        <v>0</v>
      </c>
      <c r="AE83" s="17">
        <f>AD83-G83</f>
        <v>-20</v>
      </c>
      <c r="AF83" s="17">
        <f>IF(AE83&lt;0,0,AD83-G83)</f>
        <v>0</v>
      </c>
      <c r="AG83" s="20">
        <f>AF83*I83/100</f>
        <v>0</v>
      </c>
      <c r="AH83" s="49">
        <v>8.4</v>
      </c>
      <c r="AI83" s="42">
        <f>AF83+AA83+V83+Q83+L83</f>
        <v>0</v>
      </c>
      <c r="AJ83" s="35">
        <f>AG83*AH83+AB83*AC83+W83*X83+R83*S83+M83*N83</f>
        <v>0</v>
      </c>
    </row>
    <row r="84" spans="1:36" x14ac:dyDescent="0.25">
      <c r="A84" s="25" t="s">
        <v>176</v>
      </c>
      <c r="B84" s="17" t="s">
        <v>10</v>
      </c>
      <c r="C84" s="17" t="s">
        <v>11</v>
      </c>
      <c r="D84" s="17" t="s">
        <v>174</v>
      </c>
      <c r="E84" s="18" t="s">
        <v>178</v>
      </c>
      <c r="F84" s="17" t="s">
        <v>14</v>
      </c>
      <c r="G84" s="17">
        <v>20</v>
      </c>
      <c r="H84" s="17" t="s">
        <v>15</v>
      </c>
      <c r="I84" s="39">
        <v>6.5</v>
      </c>
      <c r="J84" s="25">
        <v>0</v>
      </c>
      <c r="K84" s="17">
        <f>J84-G84</f>
        <v>-20</v>
      </c>
      <c r="L84" s="17">
        <f>IF(K84&lt;0,0,J84-G84)</f>
        <v>0</v>
      </c>
      <c r="M84" s="20">
        <f>L84*I84/100</f>
        <v>0</v>
      </c>
      <c r="N84" s="57">
        <v>8.4</v>
      </c>
      <c r="O84" s="25">
        <v>0</v>
      </c>
      <c r="P84" s="17">
        <f>O84-G84</f>
        <v>-20</v>
      </c>
      <c r="Q84" s="17">
        <f>IF(P84&lt;0,0,O84-G84)</f>
        <v>0</v>
      </c>
      <c r="R84" s="20">
        <f>Q84*I84/100</f>
        <v>0</v>
      </c>
      <c r="S84" s="57">
        <v>8.4</v>
      </c>
      <c r="T84" s="45"/>
      <c r="U84" s="18"/>
      <c r="V84" s="18"/>
      <c r="W84" s="19"/>
      <c r="X84" s="58"/>
      <c r="Y84" s="45"/>
      <c r="Z84" s="18"/>
      <c r="AA84" s="18"/>
      <c r="AB84" s="19"/>
      <c r="AC84" s="58"/>
      <c r="AD84" s="45"/>
      <c r="AE84" s="18"/>
      <c r="AF84" s="18"/>
      <c r="AG84" s="19"/>
      <c r="AH84" s="50"/>
      <c r="AI84" s="42">
        <f>AF84+AA84+V84+Q84+L84</f>
        <v>0</v>
      </c>
      <c r="AJ84" s="35">
        <f>AG84*AH84+AB84*AC84+W84*X84+R84*S84+M84*N84</f>
        <v>0</v>
      </c>
    </row>
    <row r="85" spans="1:36" x14ac:dyDescent="0.25">
      <c r="A85" s="25" t="s">
        <v>179</v>
      </c>
      <c r="B85" s="17" t="s">
        <v>17</v>
      </c>
      <c r="C85" s="17" t="s">
        <v>18</v>
      </c>
      <c r="D85" s="17" t="s">
        <v>174</v>
      </c>
      <c r="E85" s="17" t="s">
        <v>177</v>
      </c>
      <c r="F85" s="17" t="s">
        <v>14</v>
      </c>
      <c r="G85" s="17">
        <v>20</v>
      </c>
      <c r="H85" s="17" t="s">
        <v>15</v>
      </c>
      <c r="I85" s="39">
        <v>6.5</v>
      </c>
      <c r="J85" s="25">
        <v>0</v>
      </c>
      <c r="K85" s="17">
        <f>J85-G85</f>
        <v>-20</v>
      </c>
      <c r="L85" s="17">
        <f>IF(K85&lt;0,0,J85-G85)</f>
        <v>0</v>
      </c>
      <c r="M85" s="20">
        <f>L85*I85/100</f>
        <v>0</v>
      </c>
      <c r="N85" s="57">
        <v>8.4</v>
      </c>
      <c r="O85" s="25">
        <v>271</v>
      </c>
      <c r="P85" s="17">
        <f>O85-G85</f>
        <v>251</v>
      </c>
      <c r="Q85" s="17">
        <f>IF(P85&lt;0,0,O85-G85)</f>
        <v>251</v>
      </c>
      <c r="R85" s="20">
        <f>Q85*I85/100</f>
        <v>16.315000000000001</v>
      </c>
      <c r="S85" s="57">
        <v>8.4</v>
      </c>
      <c r="T85" s="25">
        <v>43</v>
      </c>
      <c r="U85" s="17">
        <f>T85-G85</f>
        <v>23</v>
      </c>
      <c r="V85" s="17">
        <f>IF(U85&lt;0,0,T85-G85)</f>
        <v>23</v>
      </c>
      <c r="W85" s="20">
        <f>V85*I85/100</f>
        <v>1.4950000000000001</v>
      </c>
      <c r="X85" s="57">
        <v>8.4</v>
      </c>
      <c r="Y85" s="25">
        <v>236</v>
      </c>
      <c r="Z85" s="17">
        <f>Y85-G85</f>
        <v>216</v>
      </c>
      <c r="AA85" s="17">
        <f>IF(Z85&lt;0,0,Y85-G85)</f>
        <v>216</v>
      </c>
      <c r="AB85" s="20">
        <f>AA85*I85/100</f>
        <v>14.04</v>
      </c>
      <c r="AC85" s="57">
        <v>8.4</v>
      </c>
      <c r="AD85" s="25">
        <v>48</v>
      </c>
      <c r="AE85" s="17">
        <f>AD85-G85</f>
        <v>28</v>
      </c>
      <c r="AF85" s="17">
        <f>IF(AE85&lt;0,0,AD85-G85)</f>
        <v>28</v>
      </c>
      <c r="AG85" s="20">
        <f>AF85*I85/100</f>
        <v>1.82</v>
      </c>
      <c r="AH85" s="49">
        <v>8.4</v>
      </c>
      <c r="AI85" s="42">
        <f>AF85+AA85+V85+Q85+L85</f>
        <v>518</v>
      </c>
      <c r="AJ85" s="35">
        <f>AG85*AH85+AB85*AC85+W85*X85+R85*S85+M85*N85</f>
        <v>282.82799999999997</v>
      </c>
    </row>
    <row r="86" spans="1:36" x14ac:dyDescent="0.25">
      <c r="A86" s="25" t="s">
        <v>180</v>
      </c>
      <c r="B86" s="17" t="s">
        <v>32</v>
      </c>
      <c r="C86" s="17" t="s">
        <v>52</v>
      </c>
      <c r="D86" s="17" t="s">
        <v>174</v>
      </c>
      <c r="E86" s="17" t="s">
        <v>181</v>
      </c>
      <c r="F86" s="17" t="s">
        <v>14</v>
      </c>
      <c r="G86" s="17">
        <v>20</v>
      </c>
      <c r="H86" s="17" t="s">
        <v>15</v>
      </c>
      <c r="I86" s="39">
        <v>11</v>
      </c>
      <c r="J86" s="25">
        <v>0</v>
      </c>
      <c r="K86" s="17">
        <f>J86-G86</f>
        <v>-20</v>
      </c>
      <c r="L86" s="17">
        <f>IF(K86&lt;0,0,J86-G86)</f>
        <v>0</v>
      </c>
      <c r="M86" s="20">
        <f>L86*I86/100</f>
        <v>0</v>
      </c>
      <c r="N86" s="57">
        <v>8.4</v>
      </c>
      <c r="O86" s="25">
        <v>0</v>
      </c>
      <c r="P86" s="17">
        <f>O86-G86</f>
        <v>-20</v>
      </c>
      <c r="Q86" s="17">
        <f>IF(P86&lt;0,0,O86-G86)</f>
        <v>0</v>
      </c>
      <c r="R86" s="20">
        <f>Q86*I86/100</f>
        <v>0</v>
      </c>
      <c r="S86" s="57">
        <v>8.4</v>
      </c>
      <c r="T86" s="25">
        <v>0</v>
      </c>
      <c r="U86" s="17">
        <f>T86-G86</f>
        <v>-20</v>
      </c>
      <c r="V86" s="17">
        <f>IF(U86&lt;0,0,T86-G86)</f>
        <v>0</v>
      </c>
      <c r="W86" s="20">
        <f>V86*I86/100</f>
        <v>0</v>
      </c>
      <c r="X86" s="57">
        <v>8.4</v>
      </c>
      <c r="Y86" s="25">
        <v>0</v>
      </c>
      <c r="Z86" s="17">
        <f>Y86-G86</f>
        <v>-20</v>
      </c>
      <c r="AA86" s="17">
        <f>IF(Z86&lt;0,0,Y86-G86)</f>
        <v>0</v>
      </c>
      <c r="AB86" s="20">
        <f>AA86*I86/100</f>
        <v>0</v>
      </c>
      <c r="AC86" s="57">
        <v>8.4</v>
      </c>
      <c r="AD86" s="25">
        <v>0</v>
      </c>
      <c r="AE86" s="17">
        <f>AD86-G86</f>
        <v>-20</v>
      </c>
      <c r="AF86" s="17">
        <f>IF(AE86&lt;0,0,AD86-G86)</f>
        <v>0</v>
      </c>
      <c r="AG86" s="20">
        <f>AF86*I86/100</f>
        <v>0</v>
      </c>
      <c r="AH86" s="49">
        <v>8.4</v>
      </c>
      <c r="AI86" s="42">
        <f>AF86+AA86+V86+Q86+L86</f>
        <v>0</v>
      </c>
      <c r="AJ86" s="35">
        <f>AG86*AH86+AB86*AC86+W86*X86+R86*S86+M86*N86</f>
        <v>0</v>
      </c>
    </row>
    <row r="87" spans="1:36" x14ac:dyDescent="0.25">
      <c r="A87" s="25" t="s">
        <v>182</v>
      </c>
      <c r="B87" s="17" t="s">
        <v>32</v>
      </c>
      <c r="C87" s="17">
        <v>308</v>
      </c>
      <c r="D87" s="17" t="s">
        <v>174</v>
      </c>
      <c r="E87" s="17" t="s">
        <v>183</v>
      </c>
      <c r="F87" s="17" t="s">
        <v>14</v>
      </c>
      <c r="G87" s="17">
        <v>20</v>
      </c>
      <c r="H87" s="17" t="s">
        <v>15</v>
      </c>
      <c r="I87" s="39">
        <v>6.5</v>
      </c>
      <c r="J87" s="25">
        <v>20</v>
      </c>
      <c r="K87" s="17">
        <f>J87-G87</f>
        <v>0</v>
      </c>
      <c r="L87" s="17">
        <f>IF(K87&lt;0,0,J87-G87)</f>
        <v>0</v>
      </c>
      <c r="M87" s="20">
        <f>L87*I87/100</f>
        <v>0</v>
      </c>
      <c r="N87" s="57">
        <v>8.4</v>
      </c>
      <c r="O87" s="25">
        <v>0</v>
      </c>
      <c r="P87" s="17">
        <f>O87-G87</f>
        <v>-20</v>
      </c>
      <c r="Q87" s="17">
        <f>IF(P87&lt;0,0,O87-G87)</f>
        <v>0</v>
      </c>
      <c r="R87" s="20">
        <f>Q87*I87/100</f>
        <v>0</v>
      </c>
      <c r="S87" s="57">
        <v>8.4</v>
      </c>
      <c r="T87" s="25">
        <v>0</v>
      </c>
      <c r="U87" s="17">
        <f>T87-G87</f>
        <v>-20</v>
      </c>
      <c r="V87" s="17">
        <f>IF(U87&lt;0,0,T87-G87)</f>
        <v>0</v>
      </c>
      <c r="W87" s="20">
        <f>V87*I87/100</f>
        <v>0</v>
      </c>
      <c r="X87" s="57">
        <v>8.4</v>
      </c>
      <c r="Y87" s="25">
        <v>0</v>
      </c>
      <c r="Z87" s="17">
        <f>Y87-G87</f>
        <v>-20</v>
      </c>
      <c r="AA87" s="17">
        <f>IF(Z87&lt;0,0,Y87-G87)</f>
        <v>0</v>
      </c>
      <c r="AB87" s="20">
        <f>AA87*I87/100</f>
        <v>0</v>
      </c>
      <c r="AC87" s="57">
        <v>8.4</v>
      </c>
      <c r="AD87" s="25">
        <v>0</v>
      </c>
      <c r="AE87" s="17">
        <f>AD87-G87</f>
        <v>-20</v>
      </c>
      <c r="AF87" s="17">
        <f>IF(AE87&lt;0,0,AD87-G87)</f>
        <v>0</v>
      </c>
      <c r="AG87" s="20">
        <f>AF87*I87/100</f>
        <v>0</v>
      </c>
      <c r="AH87" s="49">
        <v>8.4</v>
      </c>
      <c r="AI87" s="42">
        <f>AF87+AA87+V87+Q87+L87</f>
        <v>0</v>
      </c>
      <c r="AJ87" s="35">
        <f>AG87*AH87+AB87*AC87+W87*X87+R87*S87+M87*N87</f>
        <v>0</v>
      </c>
    </row>
    <row r="88" spans="1:36" x14ac:dyDescent="0.25">
      <c r="A88" s="25" t="s">
        <v>184</v>
      </c>
      <c r="B88" s="17" t="s">
        <v>10</v>
      </c>
      <c r="C88" s="17" t="s">
        <v>11</v>
      </c>
      <c r="D88" s="17" t="s">
        <v>174</v>
      </c>
      <c r="E88" s="17" t="s">
        <v>185</v>
      </c>
      <c r="F88" s="17" t="s">
        <v>14</v>
      </c>
      <c r="G88" s="17">
        <v>20</v>
      </c>
      <c r="H88" s="17" t="s">
        <v>15</v>
      </c>
      <c r="I88" s="39">
        <v>6.5</v>
      </c>
      <c r="J88" s="25">
        <v>20</v>
      </c>
      <c r="K88" s="17">
        <f>J88-G88</f>
        <v>0</v>
      </c>
      <c r="L88" s="17">
        <f>IF(K88&lt;0,0,J88-G88)</f>
        <v>0</v>
      </c>
      <c r="M88" s="20">
        <f>L88*I88/100</f>
        <v>0</v>
      </c>
      <c r="N88" s="57">
        <v>8.4</v>
      </c>
      <c r="O88" s="25">
        <v>21</v>
      </c>
      <c r="P88" s="17">
        <f>O88-G88</f>
        <v>1</v>
      </c>
      <c r="Q88" s="17">
        <f>IF(P88&lt;0,0,O88-G88)</f>
        <v>1</v>
      </c>
      <c r="R88" s="20">
        <f>Q88*I88/100</f>
        <v>6.5000000000000002E-2</v>
      </c>
      <c r="S88" s="57">
        <v>8.4</v>
      </c>
      <c r="T88" s="25">
        <v>18</v>
      </c>
      <c r="U88" s="17">
        <f>T88-G88</f>
        <v>-2</v>
      </c>
      <c r="V88" s="17">
        <f>IF(U88&lt;0,0,T88-G88)</f>
        <v>0</v>
      </c>
      <c r="W88" s="20">
        <f>V88*I88/100</f>
        <v>0</v>
      </c>
      <c r="X88" s="57">
        <v>8.4</v>
      </c>
      <c r="Y88" s="25">
        <v>16</v>
      </c>
      <c r="Z88" s="17">
        <f>Y88-G88</f>
        <v>-4</v>
      </c>
      <c r="AA88" s="17">
        <f>IF(Z88&lt;0,0,Y88-G88)</f>
        <v>0</v>
      </c>
      <c r="AB88" s="20">
        <f>AA88*I88/100</f>
        <v>0</v>
      </c>
      <c r="AC88" s="57">
        <v>8.4</v>
      </c>
      <c r="AD88" s="25">
        <v>4</v>
      </c>
      <c r="AE88" s="17">
        <f>AD88-G88</f>
        <v>-16</v>
      </c>
      <c r="AF88" s="17">
        <f>IF(AE88&lt;0,0,AD88-G88)</f>
        <v>0</v>
      </c>
      <c r="AG88" s="20">
        <f>AF88*I88/100</f>
        <v>0</v>
      </c>
      <c r="AH88" s="49">
        <v>8.4</v>
      </c>
      <c r="AI88" s="42">
        <f>AF88+AA88+V88+Q88+L88</f>
        <v>1</v>
      </c>
      <c r="AJ88" s="35">
        <f>AG88*AH88+AB88*AC88+W88*X88+R88*S88+M88*N88</f>
        <v>0.54600000000000004</v>
      </c>
    </row>
    <row r="89" spans="1:36" x14ac:dyDescent="0.25">
      <c r="A89" s="25" t="s">
        <v>186</v>
      </c>
      <c r="B89" s="17" t="s">
        <v>10</v>
      </c>
      <c r="C89" s="17" t="s">
        <v>11</v>
      </c>
      <c r="D89" s="17" t="s">
        <v>187</v>
      </c>
      <c r="E89" s="17" t="s">
        <v>188</v>
      </c>
      <c r="F89" s="17" t="s">
        <v>14</v>
      </c>
      <c r="G89" s="17">
        <v>20</v>
      </c>
      <c r="H89" s="17" t="s">
        <v>15</v>
      </c>
      <c r="I89" s="39">
        <v>6.5</v>
      </c>
      <c r="J89" s="25">
        <v>20</v>
      </c>
      <c r="K89" s="17">
        <f>J89-G89</f>
        <v>0</v>
      </c>
      <c r="L89" s="17">
        <f>IF(K89&lt;0,0,J89-G89)</f>
        <v>0</v>
      </c>
      <c r="M89" s="20">
        <f>L89*I89/100</f>
        <v>0</v>
      </c>
      <c r="N89" s="57">
        <v>8.4</v>
      </c>
      <c r="O89" s="25">
        <v>6</v>
      </c>
      <c r="P89" s="17">
        <f>O89-G89</f>
        <v>-14</v>
      </c>
      <c r="Q89" s="17">
        <f>IF(P89&lt;0,0,O89-G89)</f>
        <v>0</v>
      </c>
      <c r="R89" s="20">
        <f>Q89*I89/100</f>
        <v>0</v>
      </c>
      <c r="S89" s="57">
        <v>8.4</v>
      </c>
      <c r="T89" s="25">
        <v>14</v>
      </c>
      <c r="U89" s="17">
        <f>T89-G89</f>
        <v>-6</v>
      </c>
      <c r="V89" s="17">
        <f>IF(U89&lt;0,0,T89-G89)</f>
        <v>0</v>
      </c>
      <c r="W89" s="20">
        <f>V89*I89/100</f>
        <v>0</v>
      </c>
      <c r="X89" s="57">
        <v>8.4</v>
      </c>
      <c r="Y89" s="25">
        <v>30</v>
      </c>
      <c r="Z89" s="17">
        <f>Y89-G89</f>
        <v>10</v>
      </c>
      <c r="AA89" s="17">
        <f>IF(Z89&lt;0,0,Y89-G89)</f>
        <v>10</v>
      </c>
      <c r="AB89" s="20">
        <f>AA89*I89/100</f>
        <v>0.65</v>
      </c>
      <c r="AC89" s="57">
        <v>8.4</v>
      </c>
      <c r="AD89" s="25">
        <v>0</v>
      </c>
      <c r="AE89" s="17">
        <f>AD89-G89</f>
        <v>-20</v>
      </c>
      <c r="AF89" s="17">
        <f>IF(AE89&lt;0,0,AD89-G89)</f>
        <v>0</v>
      </c>
      <c r="AG89" s="20">
        <f>AF89*I89/100</f>
        <v>0</v>
      </c>
      <c r="AH89" s="49">
        <v>8.4</v>
      </c>
      <c r="AI89" s="42">
        <f>AF89+AA89+V89+Q89+L89</f>
        <v>10</v>
      </c>
      <c r="AJ89" s="35">
        <f>AG89*AH89+AB89*AC89+W89*X89+R89*S89+M89*N89</f>
        <v>5.4600000000000009</v>
      </c>
    </row>
    <row r="90" spans="1:36" x14ac:dyDescent="0.25">
      <c r="A90" s="25" t="s">
        <v>189</v>
      </c>
      <c r="B90" s="17" t="s">
        <v>17</v>
      </c>
      <c r="C90" s="17" t="s">
        <v>18</v>
      </c>
      <c r="D90" s="17" t="s">
        <v>187</v>
      </c>
      <c r="E90" s="17" t="s">
        <v>190</v>
      </c>
      <c r="F90" s="17" t="s">
        <v>14</v>
      </c>
      <c r="G90" s="17">
        <v>20</v>
      </c>
      <c r="H90" s="17" t="s">
        <v>15</v>
      </c>
      <c r="I90" s="39">
        <v>6.5</v>
      </c>
      <c r="J90" s="25">
        <v>8</v>
      </c>
      <c r="K90" s="17">
        <f>J90-G90</f>
        <v>-12</v>
      </c>
      <c r="L90" s="17">
        <f>IF(K90&lt;0,0,J90-G90)</f>
        <v>0</v>
      </c>
      <c r="M90" s="20">
        <f>L90*I90/100</f>
        <v>0</v>
      </c>
      <c r="N90" s="57">
        <v>8.4</v>
      </c>
      <c r="O90" s="25">
        <v>12</v>
      </c>
      <c r="P90" s="17">
        <f>O90-G90</f>
        <v>-8</v>
      </c>
      <c r="Q90" s="17">
        <f>IF(P90&lt;0,0,O90-G90)</f>
        <v>0</v>
      </c>
      <c r="R90" s="20">
        <f>Q90*I90/100</f>
        <v>0</v>
      </c>
      <c r="S90" s="57">
        <v>8.4</v>
      </c>
      <c r="T90" s="25">
        <v>10</v>
      </c>
      <c r="U90" s="17">
        <f>T90-G90</f>
        <v>-10</v>
      </c>
      <c r="V90" s="17">
        <f>IF(U90&lt;0,0,T90-G90)</f>
        <v>0</v>
      </c>
      <c r="W90" s="20">
        <f>V90*I90/100</f>
        <v>0</v>
      </c>
      <c r="X90" s="57">
        <v>8.4</v>
      </c>
      <c r="Y90" s="25">
        <v>4</v>
      </c>
      <c r="Z90" s="17">
        <f>Y90-G90</f>
        <v>-16</v>
      </c>
      <c r="AA90" s="17">
        <f>IF(Z90&lt;0,0,Y90-G90)</f>
        <v>0</v>
      </c>
      <c r="AB90" s="20">
        <f>AA90*I90/100</f>
        <v>0</v>
      </c>
      <c r="AC90" s="57">
        <v>8.4</v>
      </c>
      <c r="AD90" s="25">
        <v>15</v>
      </c>
      <c r="AE90" s="17">
        <f>AD90-G90</f>
        <v>-5</v>
      </c>
      <c r="AF90" s="17">
        <f>IF(AE90&lt;0,0,AD90-G90)</f>
        <v>0</v>
      </c>
      <c r="AG90" s="20">
        <f>AF90*I90/100</f>
        <v>0</v>
      </c>
      <c r="AH90" s="49">
        <v>8.4</v>
      </c>
      <c r="AI90" s="42">
        <f>AF90+AA90+V90+Q90+L90</f>
        <v>0</v>
      </c>
      <c r="AJ90" s="35">
        <f>AG90*AH90+AB90*AC90+W90*X90+R90*S90+M90*N90</f>
        <v>0</v>
      </c>
    </row>
    <row r="91" spans="1:36" x14ac:dyDescent="0.25">
      <c r="A91" s="25" t="s">
        <v>191</v>
      </c>
      <c r="B91" s="17" t="s">
        <v>10</v>
      </c>
      <c r="C91" s="17" t="s">
        <v>22</v>
      </c>
      <c r="D91" s="17" t="s">
        <v>187</v>
      </c>
      <c r="E91" s="18" t="s">
        <v>192</v>
      </c>
      <c r="F91" s="17" t="s">
        <v>14</v>
      </c>
      <c r="G91" s="17">
        <v>20</v>
      </c>
      <c r="H91" s="17" t="s">
        <v>15</v>
      </c>
      <c r="I91" s="39">
        <v>11</v>
      </c>
      <c r="J91" s="25">
        <v>0</v>
      </c>
      <c r="K91" s="17">
        <f>J91-G91</f>
        <v>-20</v>
      </c>
      <c r="L91" s="17">
        <f>IF(K91&lt;0,0,J91-G91)</f>
        <v>0</v>
      </c>
      <c r="M91" s="20">
        <f>L91*I91/100</f>
        <v>0</v>
      </c>
      <c r="N91" s="57">
        <v>8.4</v>
      </c>
      <c r="O91" s="25">
        <v>0</v>
      </c>
      <c r="P91" s="17">
        <f>O91-G91</f>
        <v>-20</v>
      </c>
      <c r="Q91" s="17">
        <f>IF(P91&lt;0,0,O91-G91)</f>
        <v>0</v>
      </c>
      <c r="R91" s="20">
        <f>Q91*I91/100</f>
        <v>0</v>
      </c>
      <c r="S91" s="57">
        <v>8.4</v>
      </c>
      <c r="T91" s="25">
        <v>0</v>
      </c>
      <c r="U91" s="17">
        <f>T91-G91</f>
        <v>-20</v>
      </c>
      <c r="V91" s="17">
        <f>IF(U91&lt;0,0,T91-G91)</f>
        <v>0</v>
      </c>
      <c r="W91" s="20">
        <f>V91*I91/100</f>
        <v>0</v>
      </c>
      <c r="X91" s="57">
        <v>8.4</v>
      </c>
      <c r="Y91" s="25">
        <v>0</v>
      </c>
      <c r="Z91" s="17">
        <f>Y91-G91</f>
        <v>-20</v>
      </c>
      <c r="AA91" s="17">
        <f>IF(Z91&lt;0,0,Y91-G91)</f>
        <v>0</v>
      </c>
      <c r="AB91" s="20">
        <f>AA91*I91/100</f>
        <v>0</v>
      </c>
      <c r="AC91" s="57">
        <v>8.4</v>
      </c>
      <c r="AD91" s="25">
        <v>0</v>
      </c>
      <c r="AE91" s="17">
        <f>AD91-G91</f>
        <v>-20</v>
      </c>
      <c r="AF91" s="17">
        <f>IF(AE91&lt;0,0,AD91-G91)</f>
        <v>0</v>
      </c>
      <c r="AG91" s="20">
        <f>AF91*I91/100</f>
        <v>0</v>
      </c>
      <c r="AH91" s="49">
        <v>8.4</v>
      </c>
      <c r="AI91" s="42">
        <f>AF91+AA91+V91+Q91+L91</f>
        <v>0</v>
      </c>
      <c r="AJ91" s="35">
        <f>AG91*AH91+AB91*AC91+W91*X91+R91*S91+M91*N91</f>
        <v>0</v>
      </c>
    </row>
    <row r="92" spans="1:36" x14ac:dyDescent="0.25">
      <c r="A92" s="25" t="s">
        <v>193</v>
      </c>
      <c r="B92" s="17" t="s">
        <v>32</v>
      </c>
      <c r="C92" s="17" t="s">
        <v>33</v>
      </c>
      <c r="D92" s="17" t="s">
        <v>187</v>
      </c>
      <c r="E92" s="17" t="s">
        <v>194</v>
      </c>
      <c r="F92" s="17" t="s">
        <v>14</v>
      </c>
      <c r="G92" s="17">
        <v>20</v>
      </c>
      <c r="H92" s="17" t="s">
        <v>15</v>
      </c>
      <c r="I92" s="39">
        <v>9</v>
      </c>
      <c r="J92" s="25">
        <v>0</v>
      </c>
      <c r="K92" s="17">
        <f>J92-G92</f>
        <v>-20</v>
      </c>
      <c r="L92" s="17">
        <f>IF(K92&lt;0,0,J92-G92)</f>
        <v>0</v>
      </c>
      <c r="M92" s="20">
        <f>L92*I92/100</f>
        <v>0</v>
      </c>
      <c r="N92" s="57">
        <v>8.4</v>
      </c>
      <c r="O92" s="25">
        <v>0</v>
      </c>
      <c r="P92" s="17">
        <f>O92-G92</f>
        <v>-20</v>
      </c>
      <c r="Q92" s="17">
        <f>IF(P92&lt;0,0,O92-G92)</f>
        <v>0</v>
      </c>
      <c r="R92" s="20">
        <f>Q92*I92/100</f>
        <v>0</v>
      </c>
      <c r="S92" s="57">
        <v>8.4</v>
      </c>
      <c r="T92" s="25">
        <v>33</v>
      </c>
      <c r="U92" s="17">
        <f>T92-G92</f>
        <v>13</v>
      </c>
      <c r="V92" s="17">
        <f>IF(U92&lt;0,0,T92-G92)</f>
        <v>13</v>
      </c>
      <c r="W92" s="20">
        <f>V92*I92/100</f>
        <v>1.17</v>
      </c>
      <c r="X92" s="57">
        <v>8.4</v>
      </c>
      <c r="Y92" s="25">
        <v>4</v>
      </c>
      <c r="Z92" s="17">
        <f>Y92-G92</f>
        <v>-16</v>
      </c>
      <c r="AA92" s="17">
        <f>IF(Z92&lt;0,0,Y92-G92)</f>
        <v>0</v>
      </c>
      <c r="AB92" s="20">
        <f>AA92*I92/100</f>
        <v>0</v>
      </c>
      <c r="AC92" s="57">
        <v>8.4</v>
      </c>
      <c r="AD92" s="25">
        <v>0</v>
      </c>
      <c r="AE92" s="17">
        <f>AD92-G92</f>
        <v>-20</v>
      </c>
      <c r="AF92" s="17">
        <f>IF(AE92&lt;0,0,AD92-G92)</f>
        <v>0</v>
      </c>
      <c r="AG92" s="20">
        <f>AF92*I92/100</f>
        <v>0</v>
      </c>
      <c r="AH92" s="49">
        <v>8.4</v>
      </c>
      <c r="AI92" s="42">
        <f>AF92+AA92+V92+Q92+L92</f>
        <v>13</v>
      </c>
      <c r="AJ92" s="35">
        <f>AG92*AH92+AB92*AC92+W92*X92+R92*S92+M92*N92</f>
        <v>9.8279999999999994</v>
      </c>
    </row>
    <row r="93" spans="1:36" x14ac:dyDescent="0.25">
      <c r="A93" s="25" t="s">
        <v>195</v>
      </c>
      <c r="B93" s="17" t="s">
        <v>32</v>
      </c>
      <c r="C93" s="17">
        <v>301</v>
      </c>
      <c r="D93" s="17" t="s">
        <v>187</v>
      </c>
      <c r="E93" s="18" t="s">
        <v>192</v>
      </c>
      <c r="F93" s="17" t="s">
        <v>14</v>
      </c>
      <c r="G93" s="17">
        <v>20</v>
      </c>
      <c r="H93" s="17" t="s">
        <v>15</v>
      </c>
      <c r="I93" s="39">
        <v>6.5</v>
      </c>
      <c r="J93" s="25">
        <v>0</v>
      </c>
      <c r="K93" s="17">
        <f>J93-G93</f>
        <v>-20</v>
      </c>
      <c r="L93" s="17">
        <f>IF(K93&lt;0,0,J93-G93)</f>
        <v>0</v>
      </c>
      <c r="M93" s="20">
        <f>L93*I93/100</f>
        <v>0</v>
      </c>
      <c r="N93" s="57">
        <v>8.4</v>
      </c>
      <c r="O93" s="25">
        <v>58</v>
      </c>
      <c r="P93" s="17">
        <f>O93-G93</f>
        <v>38</v>
      </c>
      <c r="Q93" s="17">
        <f>IF(P93&lt;0,0,O93-G93)</f>
        <v>38</v>
      </c>
      <c r="R93" s="20">
        <f>Q93*I93/100</f>
        <v>2.4700000000000002</v>
      </c>
      <c r="S93" s="57">
        <v>8.4</v>
      </c>
      <c r="T93" s="25">
        <v>90</v>
      </c>
      <c r="U93" s="17">
        <f>T93-G93</f>
        <v>70</v>
      </c>
      <c r="V93" s="17">
        <f>IF(U93&lt;0,0,T93-G93)</f>
        <v>70</v>
      </c>
      <c r="W93" s="20">
        <f>V93*I93/100</f>
        <v>4.55</v>
      </c>
      <c r="X93" s="57">
        <v>8.4</v>
      </c>
      <c r="Y93" s="25">
        <v>5</v>
      </c>
      <c r="Z93" s="17">
        <f>Y93-G93</f>
        <v>-15</v>
      </c>
      <c r="AA93" s="17">
        <f>IF(Z93&lt;0,0,Y93-G93)</f>
        <v>0</v>
      </c>
      <c r="AB93" s="20">
        <f>AA93*I93/100</f>
        <v>0</v>
      </c>
      <c r="AC93" s="57">
        <v>8.4</v>
      </c>
      <c r="AD93" s="25">
        <v>0</v>
      </c>
      <c r="AE93" s="17">
        <f>AD93-G93</f>
        <v>-20</v>
      </c>
      <c r="AF93" s="17">
        <f>IF(AE93&lt;0,0,AD93-G93)</f>
        <v>0</v>
      </c>
      <c r="AG93" s="20">
        <f>AF93*I93/100</f>
        <v>0</v>
      </c>
      <c r="AH93" s="49">
        <v>8.4</v>
      </c>
      <c r="AI93" s="42">
        <f>AF93+AA93+V93+Q93+L93</f>
        <v>108</v>
      </c>
      <c r="AJ93" s="35">
        <f>AG93*AH93+AB93*AC93+W93*X93+R93*S93+M93*N93</f>
        <v>58.968000000000004</v>
      </c>
    </row>
    <row r="94" spans="1:36" x14ac:dyDescent="0.25">
      <c r="A94" s="25" t="s">
        <v>196</v>
      </c>
      <c r="B94" s="17" t="s">
        <v>32</v>
      </c>
      <c r="C94" s="17" t="s">
        <v>52</v>
      </c>
      <c r="D94" s="17" t="s">
        <v>187</v>
      </c>
      <c r="E94" s="17" t="s">
        <v>197</v>
      </c>
      <c r="F94" s="17" t="s">
        <v>14</v>
      </c>
      <c r="G94" s="17">
        <v>20</v>
      </c>
      <c r="H94" s="17" t="s">
        <v>15</v>
      </c>
      <c r="I94" s="39">
        <v>11</v>
      </c>
      <c r="J94" s="25">
        <v>0</v>
      </c>
      <c r="K94" s="17">
        <f>J94-G94</f>
        <v>-20</v>
      </c>
      <c r="L94" s="17">
        <f>IF(K94&lt;0,0,J94-G94)</f>
        <v>0</v>
      </c>
      <c r="M94" s="20">
        <f>L94*I94/100</f>
        <v>0</v>
      </c>
      <c r="N94" s="57">
        <v>8.4</v>
      </c>
      <c r="O94" s="25">
        <v>1</v>
      </c>
      <c r="P94" s="17">
        <f>O94-G94</f>
        <v>-19</v>
      </c>
      <c r="Q94" s="17">
        <f>IF(P94&lt;0,0,O94-G94)</f>
        <v>0</v>
      </c>
      <c r="R94" s="20">
        <f>Q94*I94/100</f>
        <v>0</v>
      </c>
      <c r="S94" s="57">
        <v>8.4</v>
      </c>
      <c r="T94" s="25">
        <v>0</v>
      </c>
      <c r="U94" s="17">
        <f>T94-G94</f>
        <v>-20</v>
      </c>
      <c r="V94" s="17">
        <f>IF(U94&lt;0,0,T94-G94)</f>
        <v>0</v>
      </c>
      <c r="W94" s="20">
        <f>V94*I94/100</f>
        <v>0</v>
      </c>
      <c r="X94" s="57">
        <v>8.4</v>
      </c>
      <c r="Y94" s="25">
        <v>0</v>
      </c>
      <c r="Z94" s="17">
        <f>Y94-G94</f>
        <v>-20</v>
      </c>
      <c r="AA94" s="17">
        <f>IF(Z94&lt;0,0,Y94-G94)</f>
        <v>0</v>
      </c>
      <c r="AB94" s="20">
        <f>AA94*I94/100</f>
        <v>0</v>
      </c>
      <c r="AC94" s="57">
        <v>8.4</v>
      </c>
      <c r="AD94" s="25">
        <v>0</v>
      </c>
      <c r="AE94" s="17">
        <f>AD94-G94</f>
        <v>-20</v>
      </c>
      <c r="AF94" s="17">
        <f>IF(AE94&lt;0,0,AD94-G94)</f>
        <v>0</v>
      </c>
      <c r="AG94" s="20">
        <f>AF94*I94/100</f>
        <v>0</v>
      </c>
      <c r="AH94" s="49">
        <v>8.4</v>
      </c>
      <c r="AI94" s="42">
        <f>AF94+AA94+V94+Q94+L94</f>
        <v>0</v>
      </c>
      <c r="AJ94" s="35">
        <f>AG94*AH94+AB94*AC94+W94*X94+R94*S94+M94*N94</f>
        <v>0</v>
      </c>
    </row>
    <row r="95" spans="1:36" x14ac:dyDescent="0.25">
      <c r="A95" s="25" t="s">
        <v>198</v>
      </c>
      <c r="B95" s="17" t="s">
        <v>17</v>
      </c>
      <c r="C95" s="17" t="s">
        <v>18</v>
      </c>
      <c r="D95" s="17" t="s">
        <v>199</v>
      </c>
      <c r="E95" s="18" t="s">
        <v>200</v>
      </c>
      <c r="F95" s="17" t="s">
        <v>14</v>
      </c>
      <c r="G95" s="17">
        <v>20</v>
      </c>
      <c r="H95" s="17" t="s">
        <v>15</v>
      </c>
      <c r="I95" s="39">
        <v>6.5</v>
      </c>
      <c r="J95" s="25">
        <v>80</v>
      </c>
      <c r="K95" s="17">
        <f>J95-G95</f>
        <v>60</v>
      </c>
      <c r="L95" s="17">
        <f>IF(K95&lt;0,0,J95-G95)</f>
        <v>60</v>
      </c>
      <c r="M95" s="20">
        <f>L95*I95/100</f>
        <v>3.9</v>
      </c>
      <c r="N95" s="57">
        <v>8.4</v>
      </c>
      <c r="O95" s="25">
        <v>20</v>
      </c>
      <c r="P95" s="17">
        <f>O95-G95</f>
        <v>0</v>
      </c>
      <c r="Q95" s="17">
        <f>IF(P95&lt;0,0,O95-G95)</f>
        <v>0</v>
      </c>
      <c r="R95" s="20">
        <f>Q95*I95/100</f>
        <v>0</v>
      </c>
      <c r="S95" s="57">
        <v>8.4</v>
      </c>
      <c r="T95" s="25">
        <v>0</v>
      </c>
      <c r="U95" s="17">
        <f>T95-G95</f>
        <v>-20</v>
      </c>
      <c r="V95" s="17">
        <f>IF(U95&lt;0,0,T95-G95)</f>
        <v>0</v>
      </c>
      <c r="W95" s="20">
        <f>V95*I95/100</f>
        <v>0</v>
      </c>
      <c r="X95" s="57">
        <v>8.4</v>
      </c>
      <c r="Y95" s="25">
        <v>25</v>
      </c>
      <c r="Z95" s="17">
        <f>Y95-G95</f>
        <v>5</v>
      </c>
      <c r="AA95" s="17">
        <f>IF(Z95&lt;0,0,Y95-G95)</f>
        <v>5</v>
      </c>
      <c r="AB95" s="20">
        <f>AA95*I95/100</f>
        <v>0.32500000000000001</v>
      </c>
      <c r="AC95" s="57">
        <v>8.4</v>
      </c>
      <c r="AD95" s="25">
        <v>469</v>
      </c>
      <c r="AE95" s="17">
        <f>AD95-G95</f>
        <v>449</v>
      </c>
      <c r="AF95" s="17">
        <f>IF(AE95&lt;0,0,AD95-G95)</f>
        <v>449</v>
      </c>
      <c r="AG95" s="20">
        <f>AF95*I95/100</f>
        <v>29.184999999999999</v>
      </c>
      <c r="AH95" s="49">
        <v>8.4</v>
      </c>
      <c r="AI95" s="42">
        <f>AF95+AA95+V95+Q95+L95</f>
        <v>514</v>
      </c>
      <c r="AJ95" s="35">
        <f>AG95*AH95+AB95*AC95+W95*X95+R95*S95+M95*N95</f>
        <v>280.64400000000001</v>
      </c>
    </row>
    <row r="96" spans="1:36" x14ac:dyDescent="0.25">
      <c r="A96" s="25" t="s">
        <v>201</v>
      </c>
      <c r="B96" s="17" t="s">
        <v>10</v>
      </c>
      <c r="C96" s="17" t="s">
        <v>105</v>
      </c>
      <c r="D96" s="17" t="s">
        <v>199</v>
      </c>
      <c r="E96" s="18" t="s">
        <v>202</v>
      </c>
      <c r="F96" s="17" t="s">
        <v>14</v>
      </c>
      <c r="G96" s="17">
        <v>20</v>
      </c>
      <c r="H96" s="17" t="s">
        <v>15</v>
      </c>
      <c r="I96" s="39">
        <v>6.5</v>
      </c>
      <c r="J96" s="45"/>
      <c r="K96" s="18"/>
      <c r="L96" s="18"/>
      <c r="M96" s="19"/>
      <c r="N96" s="58"/>
      <c r="O96" s="25">
        <v>314</v>
      </c>
      <c r="P96" s="17">
        <f>O96-G96</f>
        <v>294</v>
      </c>
      <c r="Q96" s="17">
        <f>IF(P96&lt;0,0,O96-G96)</f>
        <v>294</v>
      </c>
      <c r="R96" s="20">
        <f>Q96*I96/100</f>
        <v>19.11</v>
      </c>
      <c r="S96" s="57">
        <v>8.4</v>
      </c>
      <c r="T96" s="25">
        <v>8</v>
      </c>
      <c r="U96" s="17">
        <f>T96-G96</f>
        <v>-12</v>
      </c>
      <c r="V96" s="17">
        <f>IF(U96&lt;0,0,T96-G96)</f>
        <v>0</v>
      </c>
      <c r="W96" s="20">
        <f>V96*I96/100</f>
        <v>0</v>
      </c>
      <c r="X96" s="57">
        <v>8.4</v>
      </c>
      <c r="Y96" s="25">
        <v>256</v>
      </c>
      <c r="Z96" s="17">
        <f>Y96-G96</f>
        <v>236</v>
      </c>
      <c r="AA96" s="17">
        <f>IF(Z96&lt;0,0,Y96-G96)</f>
        <v>236</v>
      </c>
      <c r="AB96" s="20">
        <f>AA96*I96/100</f>
        <v>15.34</v>
      </c>
      <c r="AC96" s="57">
        <v>8.4</v>
      </c>
      <c r="AD96" s="45"/>
      <c r="AE96" s="18"/>
      <c r="AF96" s="18"/>
      <c r="AG96" s="19"/>
      <c r="AH96" s="50"/>
      <c r="AI96" s="42">
        <f>AF96+AA96+V96+Q96+L96</f>
        <v>530</v>
      </c>
      <c r="AJ96" s="35">
        <f>AG96*AH96+AB96*AC96+W96*X96+R96*S96+M96*N96</f>
        <v>289.38</v>
      </c>
    </row>
    <row r="97" spans="1:36" x14ac:dyDescent="0.25">
      <c r="A97" s="25" t="s">
        <v>203</v>
      </c>
      <c r="B97" s="17" t="s">
        <v>10</v>
      </c>
      <c r="C97" s="17" t="s">
        <v>11</v>
      </c>
      <c r="D97" s="17" t="s">
        <v>199</v>
      </c>
      <c r="E97" s="17" t="s">
        <v>204</v>
      </c>
      <c r="F97" s="17" t="s">
        <v>14</v>
      </c>
      <c r="G97" s="17">
        <v>20</v>
      </c>
      <c r="H97" s="17" t="s">
        <v>15</v>
      </c>
      <c r="I97" s="39">
        <v>6.5</v>
      </c>
      <c r="J97" s="25">
        <v>12</v>
      </c>
      <c r="K97" s="17">
        <f>J97-G97</f>
        <v>-8</v>
      </c>
      <c r="L97" s="17">
        <f>IF(K97&lt;0,0,J97-G97)</f>
        <v>0</v>
      </c>
      <c r="M97" s="20">
        <f>L97*I97/100</f>
        <v>0</v>
      </c>
      <c r="N97" s="57">
        <v>8.4</v>
      </c>
      <c r="O97" s="25">
        <v>176</v>
      </c>
      <c r="P97" s="17">
        <f>O97-G97</f>
        <v>156</v>
      </c>
      <c r="Q97" s="17">
        <f>IF(P97&lt;0,0,O97-G97)</f>
        <v>156</v>
      </c>
      <c r="R97" s="20">
        <f>Q97*I97/100</f>
        <v>10.14</v>
      </c>
      <c r="S97" s="57">
        <v>8.4</v>
      </c>
      <c r="T97" s="25">
        <v>26</v>
      </c>
      <c r="U97" s="17">
        <f>T97-G97</f>
        <v>6</v>
      </c>
      <c r="V97" s="17">
        <f>IF(U97&lt;0,0,T97-G97)</f>
        <v>6</v>
      </c>
      <c r="W97" s="20">
        <f>V97*I97/100</f>
        <v>0.39</v>
      </c>
      <c r="X97" s="57">
        <v>8.4</v>
      </c>
      <c r="Y97" s="25">
        <v>5</v>
      </c>
      <c r="Z97" s="17">
        <f>Y97-G97</f>
        <v>-15</v>
      </c>
      <c r="AA97" s="17">
        <f>IF(Z97&lt;0,0,Y97-G97)</f>
        <v>0</v>
      </c>
      <c r="AB97" s="20">
        <f>AA97*I97/100</f>
        <v>0</v>
      </c>
      <c r="AC97" s="57">
        <v>8.4</v>
      </c>
      <c r="AD97" s="25">
        <v>7</v>
      </c>
      <c r="AE97" s="17">
        <f>AD97-G97</f>
        <v>-13</v>
      </c>
      <c r="AF97" s="17">
        <f>IF(AE97&lt;0,0,AD97-G97)</f>
        <v>0</v>
      </c>
      <c r="AG97" s="20">
        <f>AF97*I97/100</f>
        <v>0</v>
      </c>
      <c r="AH97" s="49">
        <v>8.4</v>
      </c>
      <c r="AI97" s="42">
        <f>AF97+AA97+V97+Q97+L97</f>
        <v>162</v>
      </c>
      <c r="AJ97" s="35">
        <f>AG97*AH97+AB97*AC97+W97*X97+R97*S97+M97*N97</f>
        <v>88.451999999999998</v>
      </c>
    </row>
    <row r="98" spans="1:36" x14ac:dyDescent="0.25">
      <c r="A98" s="25" t="s">
        <v>205</v>
      </c>
      <c r="B98" s="17" t="s">
        <v>17</v>
      </c>
      <c r="C98" s="17" t="s">
        <v>36</v>
      </c>
      <c r="D98" s="17" t="s">
        <v>199</v>
      </c>
      <c r="E98" s="17" t="s">
        <v>206</v>
      </c>
      <c r="F98" s="17" t="s">
        <v>14</v>
      </c>
      <c r="G98" s="17">
        <v>20</v>
      </c>
      <c r="H98" s="17" t="s">
        <v>38</v>
      </c>
      <c r="I98" s="39">
        <v>6.5</v>
      </c>
      <c r="J98" s="25">
        <v>0</v>
      </c>
      <c r="K98" s="17">
        <f>J98-G98</f>
        <v>-20</v>
      </c>
      <c r="L98" s="17">
        <f>IF(K98&lt;0,0,J98-G98)</f>
        <v>0</v>
      </c>
      <c r="M98" s="20">
        <f>L98*I98/100</f>
        <v>0</v>
      </c>
      <c r="N98" s="57">
        <v>7.3</v>
      </c>
      <c r="O98" s="25">
        <v>329</v>
      </c>
      <c r="P98" s="17">
        <f>O98-G98</f>
        <v>309</v>
      </c>
      <c r="Q98" s="17">
        <f>IF(P98&lt;0,0,O98-G98)</f>
        <v>309</v>
      </c>
      <c r="R98" s="20">
        <f>Q98*I98/100</f>
        <v>20.085000000000001</v>
      </c>
      <c r="S98" s="57">
        <v>7.2</v>
      </c>
      <c r="T98" s="25">
        <v>204</v>
      </c>
      <c r="U98" s="17">
        <f>T98-G98</f>
        <v>184</v>
      </c>
      <c r="V98" s="17">
        <f>IF(U98&lt;0,0,T98-G98)</f>
        <v>184</v>
      </c>
      <c r="W98" s="20">
        <f>V98*I98/100</f>
        <v>11.96</v>
      </c>
      <c r="X98" s="57">
        <v>7.2</v>
      </c>
      <c r="Y98" s="25">
        <v>24</v>
      </c>
      <c r="Z98" s="17">
        <f>Y98-G98</f>
        <v>4</v>
      </c>
      <c r="AA98" s="17">
        <f>IF(Z98&lt;0,0,Y98-G98)</f>
        <v>4</v>
      </c>
      <c r="AB98" s="20">
        <f>AA98*I98/100</f>
        <v>0.26</v>
      </c>
      <c r="AC98" s="57">
        <v>7.2</v>
      </c>
      <c r="AD98" s="25">
        <v>128</v>
      </c>
      <c r="AE98" s="17">
        <f>AD98-G98</f>
        <v>108</v>
      </c>
      <c r="AF98" s="17">
        <f>IF(AE98&lt;0,0,AD98-G98)</f>
        <v>108</v>
      </c>
      <c r="AG98" s="20">
        <f>AF98*I98/100</f>
        <v>7.02</v>
      </c>
      <c r="AH98" s="49">
        <v>7.2</v>
      </c>
      <c r="AI98" s="42">
        <f>AF98+AA98+V98+Q98+L98</f>
        <v>605</v>
      </c>
      <c r="AJ98" s="35">
        <f>AG98*AH98+AB98*AC98+W98*X98+R98*S98+M98*N98</f>
        <v>283.14000000000004</v>
      </c>
    </row>
    <row r="99" spans="1:36" x14ac:dyDescent="0.25">
      <c r="A99" s="25" t="s">
        <v>207</v>
      </c>
      <c r="B99" s="17" t="s">
        <v>17</v>
      </c>
      <c r="C99" s="17" t="s">
        <v>36</v>
      </c>
      <c r="D99" s="17" t="s">
        <v>208</v>
      </c>
      <c r="E99" s="18" t="s">
        <v>209</v>
      </c>
      <c r="F99" s="17" t="s">
        <v>14</v>
      </c>
      <c r="G99" s="17">
        <v>20</v>
      </c>
      <c r="H99" s="17" t="s">
        <v>38</v>
      </c>
      <c r="I99" s="39">
        <v>6.5</v>
      </c>
      <c r="J99" s="25">
        <v>44</v>
      </c>
      <c r="K99" s="17">
        <f>J99-G99</f>
        <v>24</v>
      </c>
      <c r="L99" s="17">
        <f>IF(K99&lt;0,0,J99-G99)</f>
        <v>24</v>
      </c>
      <c r="M99" s="20">
        <f>L99*I99/100</f>
        <v>1.56</v>
      </c>
      <c r="N99" s="57">
        <v>7.3</v>
      </c>
      <c r="O99" s="25">
        <v>0</v>
      </c>
      <c r="P99" s="17">
        <f>O99-G99</f>
        <v>-20</v>
      </c>
      <c r="Q99" s="17">
        <f>IF(P99&lt;0,0,O99-G99)</f>
        <v>0</v>
      </c>
      <c r="R99" s="20">
        <f>Q99*I99/100</f>
        <v>0</v>
      </c>
      <c r="S99" s="57">
        <v>7.2</v>
      </c>
      <c r="T99" s="25">
        <v>19</v>
      </c>
      <c r="U99" s="17">
        <f>T99-G99</f>
        <v>-1</v>
      </c>
      <c r="V99" s="17">
        <f>IF(U99&lt;0,0,T99-G99)</f>
        <v>0</v>
      </c>
      <c r="W99" s="20">
        <f>V99*I99/100</f>
        <v>0</v>
      </c>
      <c r="X99" s="57">
        <v>7.2</v>
      </c>
      <c r="Y99" s="25">
        <v>0</v>
      </c>
      <c r="Z99" s="17">
        <f>Y99-G99</f>
        <v>-20</v>
      </c>
      <c r="AA99" s="17">
        <f>IF(Z99&lt;0,0,Y99-G99)</f>
        <v>0</v>
      </c>
      <c r="AB99" s="20">
        <f>AA99*I99/100</f>
        <v>0</v>
      </c>
      <c r="AC99" s="57">
        <v>7.2</v>
      </c>
      <c r="AD99" s="25">
        <v>58</v>
      </c>
      <c r="AE99" s="17">
        <f>AD99-G99</f>
        <v>38</v>
      </c>
      <c r="AF99" s="17">
        <f>IF(AE99&lt;0,0,AD99-G99)</f>
        <v>38</v>
      </c>
      <c r="AG99" s="20">
        <f>AF99*I99/100</f>
        <v>2.4700000000000002</v>
      </c>
      <c r="AH99" s="49">
        <v>7.2</v>
      </c>
      <c r="AI99" s="42">
        <f>AF99+AA99+V99+Q99+L99</f>
        <v>62</v>
      </c>
      <c r="AJ99" s="35">
        <f>AG99*AH99+AB99*AC99+W99*X99+R99*S99+M99*N99</f>
        <v>29.172000000000004</v>
      </c>
    </row>
    <row r="100" spans="1:36" x14ac:dyDescent="0.25">
      <c r="A100" s="25" t="s">
        <v>210</v>
      </c>
      <c r="B100" s="17" t="s">
        <v>10</v>
      </c>
      <c r="C100" s="17" t="s">
        <v>11</v>
      </c>
      <c r="D100" s="17" t="s">
        <v>208</v>
      </c>
      <c r="E100" s="17" t="s">
        <v>211</v>
      </c>
      <c r="F100" s="17" t="s">
        <v>14</v>
      </c>
      <c r="G100" s="17">
        <v>50</v>
      </c>
      <c r="H100" s="17" t="s">
        <v>15</v>
      </c>
      <c r="I100" s="39">
        <v>6.5</v>
      </c>
      <c r="J100" s="25">
        <v>41</v>
      </c>
      <c r="K100" s="17">
        <f>J100-G100</f>
        <v>-9</v>
      </c>
      <c r="L100" s="17">
        <f>IF(K100&lt;0,0,J100-G100)</f>
        <v>0</v>
      </c>
      <c r="M100" s="20">
        <f>L100*I100/100</f>
        <v>0</v>
      </c>
      <c r="N100" s="57">
        <v>8.4</v>
      </c>
      <c r="O100" s="25">
        <v>39</v>
      </c>
      <c r="P100" s="17">
        <f>O100-G100</f>
        <v>-11</v>
      </c>
      <c r="Q100" s="17">
        <f>IF(P100&lt;0,0,O100-G100)</f>
        <v>0</v>
      </c>
      <c r="R100" s="20">
        <f>Q100*I100/100</f>
        <v>0</v>
      </c>
      <c r="S100" s="57">
        <v>8.4</v>
      </c>
      <c r="T100" s="25">
        <v>112</v>
      </c>
      <c r="U100" s="17">
        <f>T100-G100</f>
        <v>62</v>
      </c>
      <c r="V100" s="17">
        <f>IF(U100&lt;0,0,T100-G100)</f>
        <v>62</v>
      </c>
      <c r="W100" s="20">
        <f>V100*I100/100</f>
        <v>4.03</v>
      </c>
      <c r="X100" s="57">
        <v>8.4</v>
      </c>
      <c r="Y100" s="25">
        <v>39</v>
      </c>
      <c r="Z100" s="17">
        <f>Y100-G100</f>
        <v>-11</v>
      </c>
      <c r="AA100" s="17">
        <f>IF(Z100&lt;0,0,Y100-G100)</f>
        <v>0</v>
      </c>
      <c r="AB100" s="20">
        <f>AA100*I100/100</f>
        <v>0</v>
      </c>
      <c r="AC100" s="57">
        <v>8.4</v>
      </c>
      <c r="AD100" s="25">
        <v>73</v>
      </c>
      <c r="AE100" s="17">
        <f>AD100-G100</f>
        <v>23</v>
      </c>
      <c r="AF100" s="17">
        <f>IF(AE100&lt;0,0,AD100-G100)</f>
        <v>23</v>
      </c>
      <c r="AG100" s="20">
        <f>AF100*I100/100</f>
        <v>1.4950000000000001</v>
      </c>
      <c r="AH100" s="49">
        <v>8.4</v>
      </c>
      <c r="AI100" s="42">
        <f>AF100+AA100+V100+Q100+L100</f>
        <v>85</v>
      </c>
      <c r="AJ100" s="35">
        <f>AG100*AH100+AB100*AC100+W100*X100+R100*S100+M100*N100</f>
        <v>46.410000000000004</v>
      </c>
    </row>
    <row r="101" spans="1:36" x14ac:dyDescent="0.25">
      <c r="A101" s="25" t="s">
        <v>212</v>
      </c>
      <c r="B101" s="17" t="s">
        <v>10</v>
      </c>
      <c r="C101" s="17" t="s">
        <v>11</v>
      </c>
      <c r="D101" s="17" t="s">
        <v>208</v>
      </c>
      <c r="E101" s="18" t="s">
        <v>213</v>
      </c>
      <c r="F101" s="17" t="s">
        <v>14</v>
      </c>
      <c r="G101" s="17">
        <v>50</v>
      </c>
      <c r="H101" s="17" t="s">
        <v>15</v>
      </c>
      <c r="I101" s="39">
        <v>6.5</v>
      </c>
      <c r="J101" s="25">
        <v>5</v>
      </c>
      <c r="K101" s="17">
        <f>J101-G101</f>
        <v>-45</v>
      </c>
      <c r="L101" s="17">
        <f>IF(K101&lt;0,0,J101-G101)</f>
        <v>0</v>
      </c>
      <c r="M101" s="20">
        <f>L101*I101/100</f>
        <v>0</v>
      </c>
      <c r="N101" s="57">
        <v>8.4</v>
      </c>
      <c r="O101" s="53">
        <v>852</v>
      </c>
      <c r="P101" s="23">
        <f>O101-G101</f>
        <v>802</v>
      </c>
      <c r="Q101" s="23">
        <f>IF(P101&lt;0,0,O101-G101)</f>
        <v>802</v>
      </c>
      <c r="R101" s="24">
        <f>Q101*I101/100</f>
        <v>52.13</v>
      </c>
      <c r="S101" s="62">
        <v>8.4</v>
      </c>
      <c r="T101" s="25">
        <v>73</v>
      </c>
      <c r="U101" s="17">
        <f>T101-G101</f>
        <v>23</v>
      </c>
      <c r="V101" s="17">
        <f>IF(U101&lt;0,0,T101-G101)</f>
        <v>23</v>
      </c>
      <c r="W101" s="20">
        <f>V101*I101/100</f>
        <v>1.4950000000000001</v>
      </c>
      <c r="X101" s="57">
        <v>8.4</v>
      </c>
      <c r="Y101" s="25">
        <v>18</v>
      </c>
      <c r="Z101" s="17">
        <f>Y101-G101</f>
        <v>-32</v>
      </c>
      <c r="AA101" s="17">
        <f>IF(Z101&lt;0,0,Y101-G101)</f>
        <v>0</v>
      </c>
      <c r="AB101" s="20">
        <f>AA101*I101/100</f>
        <v>0</v>
      </c>
      <c r="AC101" s="57">
        <v>8.4</v>
      </c>
      <c r="AD101" s="25">
        <v>3</v>
      </c>
      <c r="AE101" s="17">
        <f>AD101-G101</f>
        <v>-47</v>
      </c>
      <c r="AF101" s="17">
        <f>IF(AE101&lt;0,0,AD101-G101)</f>
        <v>0</v>
      </c>
      <c r="AG101" s="20">
        <f>AF101*I101/100</f>
        <v>0</v>
      </c>
      <c r="AH101" s="49">
        <v>8.4</v>
      </c>
      <c r="AI101" s="42">
        <f>AF101+AA101+V101+Q101+L101</f>
        <v>825</v>
      </c>
      <c r="AJ101" s="35">
        <f>AG101*AH101+AB101*AC101+W101*X101+R101*S101+M101*N101</f>
        <v>450.45000000000005</v>
      </c>
    </row>
    <row r="102" spans="1:36" x14ac:dyDescent="0.25">
      <c r="A102" s="25" t="s">
        <v>214</v>
      </c>
      <c r="B102" s="17" t="s">
        <v>17</v>
      </c>
      <c r="C102" s="17" t="s">
        <v>18</v>
      </c>
      <c r="D102" s="17" t="s">
        <v>208</v>
      </c>
      <c r="E102" s="18" t="s">
        <v>215</v>
      </c>
      <c r="F102" s="17" t="s">
        <v>14</v>
      </c>
      <c r="G102" s="17">
        <v>50</v>
      </c>
      <c r="H102" s="17" t="s">
        <v>15</v>
      </c>
      <c r="I102" s="39">
        <v>6.5</v>
      </c>
      <c r="J102" s="25">
        <v>349</v>
      </c>
      <c r="K102" s="17">
        <f>J102-G102</f>
        <v>299</v>
      </c>
      <c r="L102" s="17">
        <f>IF(K102&lt;0,0,J102-G102)</f>
        <v>299</v>
      </c>
      <c r="M102" s="20">
        <f>L102*I102/100</f>
        <v>19.434999999999999</v>
      </c>
      <c r="N102" s="57">
        <v>8.4</v>
      </c>
      <c r="O102" s="25">
        <v>0</v>
      </c>
      <c r="P102" s="17">
        <f>O102-G102</f>
        <v>-50</v>
      </c>
      <c r="Q102" s="17">
        <f>IF(P102&lt;0,0,O102-G102)</f>
        <v>0</v>
      </c>
      <c r="R102" s="20">
        <f>Q102*I102/100</f>
        <v>0</v>
      </c>
      <c r="S102" s="57">
        <v>8.4</v>
      </c>
      <c r="T102" s="25">
        <v>0</v>
      </c>
      <c r="U102" s="17">
        <f>T102-G102</f>
        <v>-50</v>
      </c>
      <c r="V102" s="17">
        <f>IF(U102&lt;0,0,T102-G102)</f>
        <v>0</v>
      </c>
      <c r="W102" s="20">
        <f>V102*I102/100</f>
        <v>0</v>
      </c>
      <c r="X102" s="57">
        <v>8.4</v>
      </c>
      <c r="Y102" s="25">
        <v>194</v>
      </c>
      <c r="Z102" s="17">
        <f>Y102-G102</f>
        <v>144</v>
      </c>
      <c r="AA102" s="17">
        <f>IF(Z102&lt;0,0,Y102-G102)</f>
        <v>144</v>
      </c>
      <c r="AB102" s="20">
        <f>AA102*I102/100</f>
        <v>9.36</v>
      </c>
      <c r="AC102" s="57">
        <v>8.4</v>
      </c>
      <c r="AD102" s="25">
        <v>157</v>
      </c>
      <c r="AE102" s="17">
        <f>AD102-G102</f>
        <v>107</v>
      </c>
      <c r="AF102" s="17">
        <f>IF(AE102&lt;0,0,AD102-G102)</f>
        <v>107</v>
      </c>
      <c r="AG102" s="20">
        <f>AF102*I102/100</f>
        <v>6.9550000000000001</v>
      </c>
      <c r="AH102" s="49">
        <v>8.4</v>
      </c>
      <c r="AI102" s="42">
        <f>AF102+AA102+V102+Q102+L102</f>
        <v>550</v>
      </c>
      <c r="AJ102" s="35">
        <f>AG102*AH102+AB102*AC102+W102*X102+R102*S102+M102*N102</f>
        <v>300.29999999999995</v>
      </c>
    </row>
    <row r="103" spans="1:36" x14ac:dyDescent="0.25">
      <c r="A103" s="25" t="s">
        <v>216</v>
      </c>
      <c r="B103" s="17" t="s">
        <v>17</v>
      </c>
      <c r="C103" s="17" t="s">
        <v>99</v>
      </c>
      <c r="D103" s="17" t="s">
        <v>208</v>
      </c>
      <c r="E103" s="17" t="s">
        <v>217</v>
      </c>
      <c r="F103" s="17" t="s">
        <v>14</v>
      </c>
      <c r="G103" s="17">
        <v>20</v>
      </c>
      <c r="H103" s="17" t="s">
        <v>38</v>
      </c>
      <c r="I103" s="39">
        <v>6.5</v>
      </c>
      <c r="J103" s="25">
        <v>3</v>
      </c>
      <c r="K103" s="17">
        <f>J103-G103</f>
        <v>-17</v>
      </c>
      <c r="L103" s="17">
        <f>IF(K103&lt;0,0,J103-G103)</f>
        <v>0</v>
      </c>
      <c r="M103" s="20">
        <f>L103*I103/100</f>
        <v>0</v>
      </c>
      <c r="N103" s="57">
        <v>7.3</v>
      </c>
      <c r="O103" s="25">
        <v>0</v>
      </c>
      <c r="P103" s="17">
        <f>O103-G103</f>
        <v>-20</v>
      </c>
      <c r="Q103" s="17">
        <f>IF(P103&lt;0,0,O103-G103)</f>
        <v>0</v>
      </c>
      <c r="R103" s="20">
        <f>Q103*I103/100</f>
        <v>0</v>
      </c>
      <c r="S103" s="57">
        <v>7.2</v>
      </c>
      <c r="T103" s="25">
        <v>0</v>
      </c>
      <c r="U103" s="17">
        <f>T103-G103</f>
        <v>-20</v>
      </c>
      <c r="V103" s="17">
        <f>IF(U103&lt;0,0,T103-G103)</f>
        <v>0</v>
      </c>
      <c r="W103" s="20">
        <f>V103*I103/100</f>
        <v>0</v>
      </c>
      <c r="X103" s="57">
        <v>7.2</v>
      </c>
      <c r="Y103" s="25">
        <v>0</v>
      </c>
      <c r="Z103" s="17">
        <f>Y103-G103</f>
        <v>-20</v>
      </c>
      <c r="AA103" s="17">
        <f>IF(Z103&lt;0,0,Y103-G103)</f>
        <v>0</v>
      </c>
      <c r="AB103" s="20">
        <f>AA103*I103/100</f>
        <v>0</v>
      </c>
      <c r="AC103" s="57">
        <v>7.2</v>
      </c>
      <c r="AD103" s="25">
        <v>6</v>
      </c>
      <c r="AE103" s="17">
        <f>AD103-G103</f>
        <v>-14</v>
      </c>
      <c r="AF103" s="17">
        <f>IF(AE103&lt;0,0,AD103-G103)</f>
        <v>0</v>
      </c>
      <c r="AG103" s="20">
        <f>AF103*I103/100</f>
        <v>0</v>
      </c>
      <c r="AH103" s="49">
        <v>7.2</v>
      </c>
      <c r="AI103" s="42">
        <f>AF103+AA103+V103+Q103+L103</f>
        <v>0</v>
      </c>
      <c r="AJ103" s="35">
        <f>AG103*AH103+AB103*AC103+W103*X103+R103*S103+M103*N103</f>
        <v>0</v>
      </c>
    </row>
    <row r="104" spans="1:36" x14ac:dyDescent="0.25">
      <c r="A104" s="25" t="s">
        <v>218</v>
      </c>
      <c r="B104" s="17" t="s">
        <v>10</v>
      </c>
      <c r="C104" s="17" t="s">
        <v>22</v>
      </c>
      <c r="D104" s="17" t="s">
        <v>208</v>
      </c>
      <c r="E104" s="18" t="s">
        <v>219</v>
      </c>
      <c r="F104" s="17" t="s">
        <v>14</v>
      </c>
      <c r="G104" s="17">
        <v>20</v>
      </c>
      <c r="H104" s="17" t="s">
        <v>15</v>
      </c>
      <c r="I104" s="39">
        <v>11</v>
      </c>
      <c r="J104" s="45"/>
      <c r="K104" s="18"/>
      <c r="L104" s="18"/>
      <c r="M104" s="19"/>
      <c r="N104" s="58"/>
      <c r="O104" s="45"/>
      <c r="P104" s="18"/>
      <c r="Q104" s="18"/>
      <c r="R104" s="19"/>
      <c r="S104" s="58"/>
      <c r="T104" s="25">
        <v>1</v>
      </c>
      <c r="U104" s="17">
        <f>T104-G104</f>
        <v>-19</v>
      </c>
      <c r="V104" s="17">
        <f>IF(U104&lt;0,0,T104-G104)</f>
        <v>0</v>
      </c>
      <c r="W104" s="20">
        <f>V104*I104/100</f>
        <v>0</v>
      </c>
      <c r="X104" s="57">
        <v>8.4</v>
      </c>
      <c r="Y104" s="25">
        <v>0</v>
      </c>
      <c r="Z104" s="17">
        <f>Y104-G104</f>
        <v>-20</v>
      </c>
      <c r="AA104" s="17">
        <f>IF(Z104&lt;0,0,Y104-G104)</f>
        <v>0</v>
      </c>
      <c r="AB104" s="20">
        <f>AA104*I104/100</f>
        <v>0</v>
      </c>
      <c r="AC104" s="57">
        <v>8.4</v>
      </c>
      <c r="AD104" s="45"/>
      <c r="AE104" s="18"/>
      <c r="AF104" s="18"/>
      <c r="AG104" s="19"/>
      <c r="AH104" s="50"/>
      <c r="AI104" s="42">
        <f>AF104+AA104+V104+Q104+L104</f>
        <v>0</v>
      </c>
      <c r="AJ104" s="35">
        <f>AG104*AH104+AB104*AC104+W104*X104+R104*S104+M104*N104</f>
        <v>0</v>
      </c>
    </row>
    <row r="105" spans="1:36" x14ac:dyDescent="0.25">
      <c r="A105" s="25" t="s">
        <v>218</v>
      </c>
      <c r="B105" s="17" t="s">
        <v>10</v>
      </c>
      <c r="C105" s="17" t="s">
        <v>22</v>
      </c>
      <c r="D105" s="17" t="s">
        <v>208</v>
      </c>
      <c r="E105" s="18" t="s">
        <v>58</v>
      </c>
      <c r="F105" s="17" t="s">
        <v>14</v>
      </c>
      <c r="G105" s="17">
        <v>20</v>
      </c>
      <c r="H105" s="17" t="s">
        <v>15</v>
      </c>
      <c r="I105" s="39">
        <v>11</v>
      </c>
      <c r="J105" s="45"/>
      <c r="K105" s="18"/>
      <c r="L105" s="18"/>
      <c r="M105" s="19"/>
      <c r="N105" s="58"/>
      <c r="O105" s="45"/>
      <c r="P105" s="18"/>
      <c r="Q105" s="18"/>
      <c r="R105" s="19"/>
      <c r="S105" s="58"/>
      <c r="T105" s="45"/>
      <c r="U105" s="18"/>
      <c r="V105" s="18"/>
      <c r="W105" s="19"/>
      <c r="X105" s="58"/>
      <c r="Y105" s="45"/>
      <c r="Z105" s="18"/>
      <c r="AA105" s="18"/>
      <c r="AB105" s="19"/>
      <c r="AC105" s="58"/>
      <c r="AD105" s="25">
        <v>0</v>
      </c>
      <c r="AE105" s="17">
        <f>AD105-G105</f>
        <v>-20</v>
      </c>
      <c r="AF105" s="17">
        <f>IF(AE105&lt;0,0,AD105-G105)</f>
        <v>0</v>
      </c>
      <c r="AG105" s="20">
        <f>AF105*I105/100</f>
        <v>0</v>
      </c>
      <c r="AH105" s="49">
        <v>8.4</v>
      </c>
      <c r="AI105" s="42">
        <f>AF105+AA105+V105+Q105+L105</f>
        <v>0</v>
      </c>
      <c r="AJ105" s="35">
        <f>AG105*AH105+AB105*AC105+W105*X105+R105*S105+M105*N105</f>
        <v>0</v>
      </c>
    </row>
    <row r="106" spans="1:36" x14ac:dyDescent="0.25">
      <c r="A106" s="25" t="s">
        <v>220</v>
      </c>
      <c r="B106" s="17" t="s">
        <v>10</v>
      </c>
      <c r="C106" s="17" t="s">
        <v>11</v>
      </c>
      <c r="D106" s="17" t="s">
        <v>208</v>
      </c>
      <c r="E106" s="17" t="s">
        <v>221</v>
      </c>
      <c r="F106" s="17" t="s">
        <v>14</v>
      </c>
      <c r="G106" s="17">
        <v>20</v>
      </c>
      <c r="H106" s="17" t="s">
        <v>15</v>
      </c>
      <c r="I106" s="39">
        <v>6.5</v>
      </c>
      <c r="J106" s="25">
        <v>44</v>
      </c>
      <c r="K106" s="17">
        <f>J106-G106</f>
        <v>24</v>
      </c>
      <c r="L106" s="17">
        <f>IF(K106&lt;0,0,J106-G106)</f>
        <v>24</v>
      </c>
      <c r="M106" s="20">
        <f>L106*I106/100</f>
        <v>1.56</v>
      </c>
      <c r="N106" s="57">
        <v>8.4</v>
      </c>
      <c r="O106" s="25">
        <v>53</v>
      </c>
      <c r="P106" s="17">
        <f>O106-G106</f>
        <v>33</v>
      </c>
      <c r="Q106" s="17">
        <f>IF(P106&lt;0,0,O106-G106)</f>
        <v>33</v>
      </c>
      <c r="R106" s="20">
        <f>Q106*I106/100</f>
        <v>2.145</v>
      </c>
      <c r="S106" s="57">
        <v>8.4</v>
      </c>
      <c r="T106" s="25">
        <v>28</v>
      </c>
      <c r="U106" s="17">
        <f>T106-G106</f>
        <v>8</v>
      </c>
      <c r="V106" s="17">
        <f>IF(U106&lt;0,0,T106-G106)</f>
        <v>8</v>
      </c>
      <c r="W106" s="20">
        <f>V106*I106/100</f>
        <v>0.52</v>
      </c>
      <c r="X106" s="57">
        <v>8.4</v>
      </c>
      <c r="Y106" s="25">
        <v>46</v>
      </c>
      <c r="Z106" s="17">
        <f>Y106-G106</f>
        <v>26</v>
      </c>
      <c r="AA106" s="17">
        <f>IF(Z106&lt;0,0,Y106-G106)</f>
        <v>26</v>
      </c>
      <c r="AB106" s="20">
        <f>AA106*I106/100</f>
        <v>1.69</v>
      </c>
      <c r="AC106" s="57">
        <v>8.4</v>
      </c>
      <c r="AD106" s="25">
        <v>109</v>
      </c>
      <c r="AE106" s="17">
        <f>AD106-G106</f>
        <v>89</v>
      </c>
      <c r="AF106" s="17">
        <f>IF(AE106&lt;0,0,AD106-G106)</f>
        <v>89</v>
      </c>
      <c r="AG106" s="20">
        <f>AF106*I106/100</f>
        <v>5.7850000000000001</v>
      </c>
      <c r="AH106" s="49">
        <v>8.4</v>
      </c>
      <c r="AI106" s="42">
        <f>AF106+AA106+V106+Q106+L106</f>
        <v>180</v>
      </c>
      <c r="AJ106" s="35">
        <f>AG106*AH106+AB106*AC106+W106*X106+R106*S106+M106*N106</f>
        <v>98.28</v>
      </c>
    </row>
    <row r="107" spans="1:36" x14ac:dyDescent="0.25">
      <c r="A107" s="25" t="s">
        <v>222</v>
      </c>
      <c r="B107" s="17" t="s">
        <v>10</v>
      </c>
      <c r="C107" s="17" t="s">
        <v>105</v>
      </c>
      <c r="D107" s="17" t="s">
        <v>208</v>
      </c>
      <c r="E107" s="17" t="s">
        <v>223</v>
      </c>
      <c r="F107" s="17" t="s">
        <v>14</v>
      </c>
      <c r="G107" s="17">
        <v>20</v>
      </c>
      <c r="H107" s="17" t="s">
        <v>15</v>
      </c>
      <c r="I107" s="39">
        <v>6.5</v>
      </c>
      <c r="J107" s="25">
        <v>0</v>
      </c>
      <c r="K107" s="17">
        <f>J107-G107</f>
        <v>-20</v>
      </c>
      <c r="L107" s="17">
        <f>IF(K107&lt;0,0,J107-G107)</f>
        <v>0</v>
      </c>
      <c r="M107" s="20">
        <f>L107*I107/100</f>
        <v>0</v>
      </c>
      <c r="N107" s="57">
        <v>8.4</v>
      </c>
      <c r="O107" s="25">
        <v>15</v>
      </c>
      <c r="P107" s="17">
        <f>O107-G107</f>
        <v>-5</v>
      </c>
      <c r="Q107" s="17">
        <f>IF(P107&lt;0,0,O107-G107)</f>
        <v>0</v>
      </c>
      <c r="R107" s="20">
        <f>Q107*I107/100</f>
        <v>0</v>
      </c>
      <c r="S107" s="57">
        <v>8.4</v>
      </c>
      <c r="T107" s="25">
        <v>0</v>
      </c>
      <c r="U107" s="17">
        <f>T107-G107</f>
        <v>-20</v>
      </c>
      <c r="V107" s="17">
        <f>IF(U107&lt;0,0,T107-G107)</f>
        <v>0</v>
      </c>
      <c r="W107" s="20">
        <f>V107*I107/100</f>
        <v>0</v>
      </c>
      <c r="X107" s="57">
        <v>8.4</v>
      </c>
      <c r="Y107" s="25">
        <v>120</v>
      </c>
      <c r="Z107" s="17">
        <f>Y107-G107</f>
        <v>100</v>
      </c>
      <c r="AA107" s="17">
        <f>IF(Z107&lt;0,0,Y107-G107)</f>
        <v>100</v>
      </c>
      <c r="AB107" s="20">
        <f>AA107*I107/100</f>
        <v>6.5</v>
      </c>
      <c r="AC107" s="57">
        <v>8.4</v>
      </c>
      <c r="AD107" s="25">
        <v>0</v>
      </c>
      <c r="AE107" s="17">
        <f>AD107-G107</f>
        <v>-20</v>
      </c>
      <c r="AF107" s="17">
        <f>IF(AE107&lt;0,0,AD107-G107)</f>
        <v>0</v>
      </c>
      <c r="AG107" s="20">
        <f>AF107*I107/100</f>
        <v>0</v>
      </c>
      <c r="AH107" s="49">
        <v>8.4</v>
      </c>
      <c r="AI107" s="42">
        <f>AF107+AA107+V107+Q107+L107</f>
        <v>100</v>
      </c>
      <c r="AJ107" s="35">
        <f>AG107*AH107+AB107*AC107+W107*X107+R107*S107+M107*N107</f>
        <v>54.6</v>
      </c>
    </row>
    <row r="108" spans="1:36" x14ac:dyDescent="0.25">
      <c r="A108" s="25" t="s">
        <v>224</v>
      </c>
      <c r="B108" s="17" t="s">
        <v>32</v>
      </c>
      <c r="C108" s="17" t="s">
        <v>52</v>
      </c>
      <c r="D108" s="17" t="s">
        <v>225</v>
      </c>
      <c r="E108" s="18" t="s">
        <v>79</v>
      </c>
      <c r="F108" s="17" t="s">
        <v>14</v>
      </c>
      <c r="G108" s="17">
        <v>20</v>
      </c>
      <c r="H108" s="17" t="s">
        <v>15</v>
      </c>
      <c r="I108" s="39">
        <v>11</v>
      </c>
      <c r="J108" s="45"/>
      <c r="K108" s="18"/>
      <c r="L108" s="18"/>
      <c r="M108" s="19"/>
      <c r="N108" s="58"/>
      <c r="O108" s="45"/>
      <c r="P108" s="18"/>
      <c r="Q108" s="18"/>
      <c r="R108" s="19"/>
      <c r="S108" s="58"/>
      <c r="T108" s="25">
        <v>0</v>
      </c>
      <c r="U108" s="17">
        <f>T108-G108</f>
        <v>-20</v>
      </c>
      <c r="V108" s="17">
        <f>IF(U108&lt;0,0,T108-G108)</f>
        <v>0</v>
      </c>
      <c r="W108" s="20">
        <f>V108*I108/100</f>
        <v>0</v>
      </c>
      <c r="X108" s="57">
        <v>8.4</v>
      </c>
      <c r="Y108" s="25">
        <v>0</v>
      </c>
      <c r="Z108" s="17">
        <f>Y108-G108</f>
        <v>-20</v>
      </c>
      <c r="AA108" s="17">
        <f>IF(Z108&lt;0,0,Y108-G108)</f>
        <v>0</v>
      </c>
      <c r="AB108" s="20">
        <f>AA108*I108/100</f>
        <v>0</v>
      </c>
      <c r="AC108" s="57">
        <v>8.4</v>
      </c>
      <c r="AD108" s="25">
        <v>0</v>
      </c>
      <c r="AE108" s="17">
        <f>AD108-G108</f>
        <v>-20</v>
      </c>
      <c r="AF108" s="17">
        <f>IF(AE108&lt;0,0,AD108-G108)</f>
        <v>0</v>
      </c>
      <c r="AG108" s="20">
        <f>AF108*I108/100</f>
        <v>0</v>
      </c>
      <c r="AH108" s="49">
        <v>8.4</v>
      </c>
      <c r="AI108" s="42">
        <f>AF108+AA108+V108+Q108+L108</f>
        <v>0</v>
      </c>
      <c r="AJ108" s="35">
        <f>AG108*AH108+AB108*AC108+W108*X108+R108*S108+M108*N108</f>
        <v>0</v>
      </c>
    </row>
    <row r="109" spans="1:36" x14ac:dyDescent="0.25">
      <c r="A109" s="25" t="s">
        <v>226</v>
      </c>
      <c r="B109" s="17" t="s">
        <v>17</v>
      </c>
      <c r="C109" s="17" t="s">
        <v>18</v>
      </c>
      <c r="D109" s="17" t="s">
        <v>225</v>
      </c>
      <c r="E109" s="17" t="s">
        <v>227</v>
      </c>
      <c r="F109" s="17" t="s">
        <v>14</v>
      </c>
      <c r="G109" s="17">
        <v>40</v>
      </c>
      <c r="H109" s="17" t="s">
        <v>15</v>
      </c>
      <c r="I109" s="39">
        <v>6.5</v>
      </c>
      <c r="J109" s="25">
        <v>439</v>
      </c>
      <c r="K109" s="17">
        <f>J109-G109</f>
        <v>399</v>
      </c>
      <c r="L109" s="17">
        <f>IF(K109&lt;0,0,J109-G109)</f>
        <v>399</v>
      </c>
      <c r="M109" s="20">
        <f>L109*I109/100</f>
        <v>25.934999999999999</v>
      </c>
      <c r="N109" s="57">
        <v>8.4</v>
      </c>
      <c r="O109" s="25">
        <v>61</v>
      </c>
      <c r="P109" s="17">
        <f>O109-G109</f>
        <v>21</v>
      </c>
      <c r="Q109" s="17">
        <f>IF(P109&lt;0,0,O109-G109)</f>
        <v>21</v>
      </c>
      <c r="R109" s="20">
        <f>Q109*I109/100</f>
        <v>1.365</v>
      </c>
      <c r="S109" s="57">
        <v>8.4</v>
      </c>
      <c r="T109" s="25">
        <v>7</v>
      </c>
      <c r="U109" s="17">
        <f>T109-G109</f>
        <v>-33</v>
      </c>
      <c r="V109" s="17">
        <f>IF(U109&lt;0,0,T109-G109)</f>
        <v>0</v>
      </c>
      <c r="W109" s="20">
        <f>V109*I109/100</f>
        <v>0</v>
      </c>
      <c r="X109" s="57">
        <v>8.4</v>
      </c>
      <c r="Y109" s="25">
        <v>65</v>
      </c>
      <c r="Z109" s="17">
        <f>Y109-G109</f>
        <v>25</v>
      </c>
      <c r="AA109" s="17">
        <f>IF(Z109&lt;0,0,Y109-G109)</f>
        <v>25</v>
      </c>
      <c r="AB109" s="20">
        <f>AA109*I109/100</f>
        <v>1.625</v>
      </c>
      <c r="AC109" s="57">
        <v>8.4</v>
      </c>
      <c r="AD109" s="25">
        <v>76</v>
      </c>
      <c r="AE109" s="17">
        <f>AD109-G109</f>
        <v>36</v>
      </c>
      <c r="AF109" s="17">
        <f>IF(AE109&lt;0,0,AD109-G109)</f>
        <v>36</v>
      </c>
      <c r="AG109" s="20">
        <f>AF109*I109/100</f>
        <v>2.34</v>
      </c>
      <c r="AH109" s="49">
        <v>8.4</v>
      </c>
      <c r="AI109" s="42">
        <f>AF109+AA109+V109+Q109+L109</f>
        <v>481</v>
      </c>
      <c r="AJ109" s="35">
        <f>AG109*AH109+AB109*AC109+W109*X109+R109*S109+M109*N109</f>
        <v>262.62599999999998</v>
      </c>
    </row>
    <row r="110" spans="1:36" x14ac:dyDescent="0.25">
      <c r="A110" s="25" t="s">
        <v>228</v>
      </c>
      <c r="B110" s="17" t="s">
        <v>10</v>
      </c>
      <c r="C110" s="17" t="s">
        <v>11</v>
      </c>
      <c r="D110" s="17" t="s">
        <v>225</v>
      </c>
      <c r="E110" s="17" t="s">
        <v>227</v>
      </c>
      <c r="F110" s="17" t="s">
        <v>14</v>
      </c>
      <c r="G110" s="17">
        <v>40</v>
      </c>
      <c r="H110" s="17" t="s">
        <v>15</v>
      </c>
      <c r="I110" s="39">
        <v>6.5</v>
      </c>
      <c r="J110" s="25">
        <v>0</v>
      </c>
      <c r="K110" s="17">
        <f>J110-G110</f>
        <v>-40</v>
      </c>
      <c r="L110" s="17">
        <f>IF(K110&lt;0,0,J110-G110)</f>
        <v>0</v>
      </c>
      <c r="M110" s="20">
        <f>L110*I110/100</f>
        <v>0</v>
      </c>
      <c r="N110" s="57">
        <v>8.4</v>
      </c>
      <c r="O110" s="25">
        <v>0</v>
      </c>
      <c r="P110" s="17">
        <f>O110-G110</f>
        <v>-40</v>
      </c>
      <c r="Q110" s="17">
        <f>IF(P110&lt;0,0,O110-G110)</f>
        <v>0</v>
      </c>
      <c r="R110" s="20">
        <f>Q110*I110/100</f>
        <v>0</v>
      </c>
      <c r="S110" s="57">
        <v>8.4</v>
      </c>
      <c r="T110" s="25">
        <v>0</v>
      </c>
      <c r="U110" s="17">
        <f>T110-G110</f>
        <v>-40</v>
      </c>
      <c r="V110" s="17">
        <f>IF(U110&lt;0,0,T110-G110)</f>
        <v>0</v>
      </c>
      <c r="W110" s="20">
        <f>V110*I110/100</f>
        <v>0</v>
      </c>
      <c r="X110" s="57">
        <v>8.4</v>
      </c>
      <c r="Y110" s="25">
        <v>0</v>
      </c>
      <c r="Z110" s="17">
        <f>Y110-G110</f>
        <v>-40</v>
      </c>
      <c r="AA110" s="17">
        <f>IF(Z110&lt;0,0,Y110-G110)</f>
        <v>0</v>
      </c>
      <c r="AB110" s="20">
        <f>AA110*I110/100</f>
        <v>0</v>
      </c>
      <c r="AC110" s="57">
        <v>8.4</v>
      </c>
      <c r="AD110" s="25">
        <v>0</v>
      </c>
      <c r="AE110" s="17">
        <f>AD110-G110</f>
        <v>-40</v>
      </c>
      <c r="AF110" s="17">
        <f>IF(AE110&lt;0,0,AD110-G110)</f>
        <v>0</v>
      </c>
      <c r="AG110" s="20">
        <f>AF110*I110/100</f>
        <v>0</v>
      </c>
      <c r="AH110" s="49">
        <v>8.4</v>
      </c>
      <c r="AI110" s="42">
        <f>AF110+AA110+V110+Q110+L110</f>
        <v>0</v>
      </c>
      <c r="AJ110" s="35">
        <f>AG110*AH110+AB110*AC110+W110*X110+R110*S110+M110*N110</f>
        <v>0</v>
      </c>
    </row>
    <row r="111" spans="1:36" x14ac:dyDescent="0.25">
      <c r="A111" s="25" t="s">
        <v>228</v>
      </c>
      <c r="B111" s="17" t="s">
        <v>10</v>
      </c>
      <c r="C111" s="17" t="s">
        <v>11</v>
      </c>
      <c r="D111" s="17" t="s">
        <v>225</v>
      </c>
      <c r="E111" s="18" t="s">
        <v>79</v>
      </c>
      <c r="F111" s="17" t="s">
        <v>14</v>
      </c>
      <c r="G111" s="17">
        <v>20</v>
      </c>
      <c r="H111" s="17" t="s">
        <v>15</v>
      </c>
      <c r="I111" s="39">
        <v>6.5</v>
      </c>
      <c r="J111" s="25">
        <v>0</v>
      </c>
      <c r="K111" s="17">
        <f>J111-G111</f>
        <v>-20</v>
      </c>
      <c r="L111" s="17">
        <f>IF(K111&lt;0,0,J111-G111)</f>
        <v>0</v>
      </c>
      <c r="M111" s="20">
        <f>L111*I111/100</f>
        <v>0</v>
      </c>
      <c r="N111" s="57">
        <v>8.4</v>
      </c>
      <c r="O111" s="45"/>
      <c r="P111" s="18"/>
      <c r="Q111" s="18"/>
      <c r="R111" s="19"/>
      <c r="S111" s="58"/>
      <c r="T111" s="45"/>
      <c r="U111" s="18"/>
      <c r="V111" s="18"/>
      <c r="W111" s="19"/>
      <c r="X111" s="58"/>
      <c r="Y111" s="45"/>
      <c r="Z111" s="18"/>
      <c r="AA111" s="18"/>
      <c r="AB111" s="19"/>
      <c r="AC111" s="58"/>
      <c r="AD111" s="45"/>
      <c r="AE111" s="18"/>
      <c r="AF111" s="18"/>
      <c r="AG111" s="19"/>
      <c r="AH111" s="50"/>
      <c r="AI111" s="42">
        <f>AF111+AA111+V111+Q111+L111</f>
        <v>0</v>
      </c>
      <c r="AJ111" s="35">
        <f>AG111*AH111+AB111*AC111+W111*X111+R111*S111+M111*N111</f>
        <v>0</v>
      </c>
    </row>
    <row r="112" spans="1:36" x14ac:dyDescent="0.25">
      <c r="A112" s="25" t="s">
        <v>229</v>
      </c>
      <c r="B112" s="17" t="s">
        <v>10</v>
      </c>
      <c r="C112" s="17" t="s">
        <v>11</v>
      </c>
      <c r="D112" s="17" t="s">
        <v>230</v>
      </c>
      <c r="E112" s="18" t="s">
        <v>231</v>
      </c>
      <c r="F112" s="17" t="s">
        <v>14</v>
      </c>
      <c r="G112" s="17">
        <v>20</v>
      </c>
      <c r="H112" s="17" t="s">
        <v>15</v>
      </c>
      <c r="I112" s="39">
        <v>6.5</v>
      </c>
      <c r="J112" s="25">
        <v>324</v>
      </c>
      <c r="K112" s="17">
        <f>J112-G112</f>
        <v>304</v>
      </c>
      <c r="L112" s="17">
        <f>IF(K112&lt;0,0,J112-G112)</f>
        <v>304</v>
      </c>
      <c r="M112" s="20">
        <f>L112*I112/100</f>
        <v>19.760000000000002</v>
      </c>
      <c r="N112" s="57">
        <v>8.4</v>
      </c>
      <c r="O112" s="25">
        <v>0</v>
      </c>
      <c r="P112" s="17">
        <f>O112-G112</f>
        <v>-20</v>
      </c>
      <c r="Q112" s="17">
        <f>IF(P112&lt;0,0,O112-G112)</f>
        <v>0</v>
      </c>
      <c r="R112" s="20">
        <f>Q112*I112/100</f>
        <v>0</v>
      </c>
      <c r="S112" s="57">
        <v>8.4</v>
      </c>
      <c r="T112" s="25">
        <v>0</v>
      </c>
      <c r="U112" s="17">
        <f>T112-G112</f>
        <v>-20</v>
      </c>
      <c r="V112" s="17">
        <f>IF(U112&lt;0,0,T112-G112)</f>
        <v>0</v>
      </c>
      <c r="W112" s="20">
        <f>V112*I112/100</f>
        <v>0</v>
      </c>
      <c r="X112" s="57">
        <v>8.4</v>
      </c>
      <c r="Y112" s="25">
        <v>25</v>
      </c>
      <c r="Z112" s="17">
        <f>Y112-G112</f>
        <v>5</v>
      </c>
      <c r="AA112" s="17">
        <f>IF(Z112&lt;0,0,Y112-G112)</f>
        <v>5</v>
      </c>
      <c r="AB112" s="20">
        <f>AA112*I112/100</f>
        <v>0.32500000000000001</v>
      </c>
      <c r="AC112" s="57">
        <v>8.4</v>
      </c>
      <c r="AD112" s="25">
        <v>3</v>
      </c>
      <c r="AE112" s="17">
        <f>AD112-G112</f>
        <v>-17</v>
      </c>
      <c r="AF112" s="17">
        <f>IF(AE112&lt;0,0,AD112-G112)</f>
        <v>0</v>
      </c>
      <c r="AG112" s="20">
        <f>AF112*I112/100</f>
        <v>0</v>
      </c>
      <c r="AH112" s="49">
        <v>8.4</v>
      </c>
      <c r="AI112" s="42">
        <f>AF112+AA112+V112+Q112+L112</f>
        <v>309</v>
      </c>
      <c r="AJ112" s="35">
        <f>AG112*AH112+AB112*AC112+W112*X112+R112*S112+M112*N112</f>
        <v>168.714</v>
      </c>
    </row>
    <row r="113" spans="1:36" x14ac:dyDescent="0.25">
      <c r="A113" s="25" t="s">
        <v>232</v>
      </c>
      <c r="B113" s="17" t="s">
        <v>32</v>
      </c>
      <c r="C113" s="17" t="s">
        <v>33</v>
      </c>
      <c r="D113" s="17" t="s">
        <v>230</v>
      </c>
      <c r="E113" s="17" t="s">
        <v>233</v>
      </c>
      <c r="F113" s="17" t="s">
        <v>14</v>
      </c>
      <c r="G113" s="17">
        <v>20</v>
      </c>
      <c r="H113" s="17" t="s">
        <v>15</v>
      </c>
      <c r="I113" s="39">
        <v>6.5</v>
      </c>
      <c r="J113" s="25">
        <v>0</v>
      </c>
      <c r="K113" s="17">
        <f>J113-G113</f>
        <v>-20</v>
      </c>
      <c r="L113" s="17">
        <f>IF(K113&lt;0,0,J113-G113)</f>
        <v>0</v>
      </c>
      <c r="M113" s="20">
        <f>L113*I113/100</f>
        <v>0</v>
      </c>
      <c r="N113" s="57">
        <v>8.4</v>
      </c>
      <c r="O113" s="25">
        <v>10</v>
      </c>
      <c r="P113" s="17">
        <f>O113-G113</f>
        <v>-10</v>
      </c>
      <c r="Q113" s="17">
        <f>IF(P113&lt;0,0,O113-G113)</f>
        <v>0</v>
      </c>
      <c r="R113" s="20">
        <f>Q113*I113/100</f>
        <v>0</v>
      </c>
      <c r="S113" s="57">
        <v>8.4</v>
      </c>
      <c r="T113" s="25">
        <v>10</v>
      </c>
      <c r="U113" s="17">
        <f>T113-G113</f>
        <v>-10</v>
      </c>
      <c r="V113" s="17">
        <f>IF(U113&lt;0,0,T113-G113)</f>
        <v>0</v>
      </c>
      <c r="W113" s="20">
        <f>V113*I113/100</f>
        <v>0</v>
      </c>
      <c r="X113" s="57">
        <v>8.4</v>
      </c>
      <c r="Y113" s="25">
        <v>10</v>
      </c>
      <c r="Z113" s="17">
        <f>Y113-G113</f>
        <v>-10</v>
      </c>
      <c r="AA113" s="17">
        <f>IF(Z113&lt;0,0,Y113-G113)</f>
        <v>0</v>
      </c>
      <c r="AB113" s="20">
        <f>AA113*I113/100</f>
        <v>0</v>
      </c>
      <c r="AC113" s="57">
        <v>8.4</v>
      </c>
      <c r="AD113" s="25">
        <v>9</v>
      </c>
      <c r="AE113" s="17">
        <f>AD113-G113</f>
        <v>-11</v>
      </c>
      <c r="AF113" s="17">
        <f>IF(AE113&lt;0,0,AD113-G113)</f>
        <v>0</v>
      </c>
      <c r="AG113" s="20">
        <f>AF113*I113/100</f>
        <v>0</v>
      </c>
      <c r="AH113" s="49">
        <v>8.4</v>
      </c>
      <c r="AI113" s="42">
        <f>AF113+AA113+V113+Q113+L113</f>
        <v>0</v>
      </c>
      <c r="AJ113" s="35">
        <f>AG113*AH113+AB113*AC113+W113*X113+R113*S113+M113*N113</f>
        <v>0</v>
      </c>
    </row>
    <row r="114" spans="1:36" x14ac:dyDescent="0.25">
      <c r="A114" s="25" t="s">
        <v>234</v>
      </c>
      <c r="B114" s="17" t="s">
        <v>17</v>
      </c>
      <c r="C114" s="17" t="s">
        <v>18</v>
      </c>
      <c r="D114" s="17" t="s">
        <v>230</v>
      </c>
      <c r="E114" s="18" t="s">
        <v>235</v>
      </c>
      <c r="F114" s="17" t="s">
        <v>14</v>
      </c>
      <c r="G114" s="17">
        <v>20</v>
      </c>
      <c r="H114" s="17" t="s">
        <v>15</v>
      </c>
      <c r="I114" s="39">
        <v>6.5</v>
      </c>
      <c r="J114" s="25">
        <v>0</v>
      </c>
      <c r="K114" s="17">
        <f>J114-G114</f>
        <v>-20</v>
      </c>
      <c r="L114" s="17">
        <f>IF(K114&lt;0,0,J114-G114)</f>
        <v>0</v>
      </c>
      <c r="M114" s="20">
        <f>L114*I114/100</f>
        <v>0</v>
      </c>
      <c r="N114" s="57">
        <v>8.4</v>
      </c>
      <c r="O114" s="25">
        <v>0</v>
      </c>
      <c r="P114" s="17">
        <f>O114-G114</f>
        <v>-20</v>
      </c>
      <c r="Q114" s="17">
        <f>IF(P114&lt;0,0,O114-G114)</f>
        <v>0</v>
      </c>
      <c r="R114" s="20">
        <f>Q114*I114/100</f>
        <v>0</v>
      </c>
      <c r="S114" s="57">
        <v>8.4</v>
      </c>
      <c r="T114" s="25">
        <v>37</v>
      </c>
      <c r="U114" s="17">
        <f>T114-G114</f>
        <v>17</v>
      </c>
      <c r="V114" s="17">
        <f>IF(U114&lt;0,0,T114-G114)</f>
        <v>17</v>
      </c>
      <c r="W114" s="20">
        <f>V114*I114/100</f>
        <v>1.105</v>
      </c>
      <c r="X114" s="57">
        <v>8.4</v>
      </c>
      <c r="Y114" s="45"/>
      <c r="Z114" s="18"/>
      <c r="AA114" s="18"/>
      <c r="AB114" s="19"/>
      <c r="AC114" s="58"/>
      <c r="AD114" s="25">
        <v>55</v>
      </c>
      <c r="AE114" s="17">
        <f>AD114-G114</f>
        <v>35</v>
      </c>
      <c r="AF114" s="17">
        <f>IF(AE114&lt;0,0,AD114-G114)</f>
        <v>35</v>
      </c>
      <c r="AG114" s="20">
        <f>AF114*I114/100</f>
        <v>2.2749999999999999</v>
      </c>
      <c r="AH114" s="49">
        <v>8.4</v>
      </c>
      <c r="AI114" s="42">
        <f>AF114+AA114+V114+Q114+L114</f>
        <v>52</v>
      </c>
      <c r="AJ114" s="35">
        <f>AG114*AH114+AB114*AC114+W114*X114+R114*S114+M114*N114</f>
        <v>28.391999999999999</v>
      </c>
    </row>
    <row r="115" spans="1:36" x14ac:dyDescent="0.25">
      <c r="A115" s="25" t="s">
        <v>236</v>
      </c>
      <c r="B115" s="17" t="s">
        <v>10</v>
      </c>
      <c r="C115" s="17" t="s">
        <v>11</v>
      </c>
      <c r="D115" s="17" t="s">
        <v>230</v>
      </c>
      <c r="E115" s="18" t="s">
        <v>237</v>
      </c>
      <c r="F115" s="17" t="s">
        <v>14</v>
      </c>
      <c r="G115" s="17">
        <v>20</v>
      </c>
      <c r="H115" s="17" t="s">
        <v>15</v>
      </c>
      <c r="I115" s="39">
        <v>6.5</v>
      </c>
      <c r="J115" s="25">
        <v>0</v>
      </c>
      <c r="K115" s="17">
        <f>J115-G115</f>
        <v>-20</v>
      </c>
      <c r="L115" s="17">
        <f>IF(K115&lt;0,0,J115-G115)</f>
        <v>0</v>
      </c>
      <c r="M115" s="20">
        <f>L115*I115/100</f>
        <v>0</v>
      </c>
      <c r="N115" s="57">
        <v>8.4</v>
      </c>
      <c r="O115" s="25">
        <v>0</v>
      </c>
      <c r="P115" s="17">
        <f>O115-G115</f>
        <v>-20</v>
      </c>
      <c r="Q115" s="17">
        <f>IF(P115&lt;0,0,O115-G115)</f>
        <v>0</v>
      </c>
      <c r="R115" s="20">
        <f>Q115*I115/100</f>
        <v>0</v>
      </c>
      <c r="S115" s="57">
        <v>8.4</v>
      </c>
      <c r="T115" s="25">
        <v>0</v>
      </c>
      <c r="U115" s="17">
        <f>T115-G115</f>
        <v>-20</v>
      </c>
      <c r="V115" s="17">
        <f>IF(U115&lt;0,0,T115-G115)</f>
        <v>0</v>
      </c>
      <c r="W115" s="20">
        <f>V115*I115/100</f>
        <v>0</v>
      </c>
      <c r="X115" s="57">
        <v>8.4</v>
      </c>
      <c r="Y115" s="25">
        <v>30</v>
      </c>
      <c r="Z115" s="17">
        <f>Y115-G115</f>
        <v>10</v>
      </c>
      <c r="AA115" s="17">
        <f>IF(Z115&lt;0,0,Y115-G115)</f>
        <v>10</v>
      </c>
      <c r="AB115" s="20">
        <f>AA115*I115/100</f>
        <v>0.65</v>
      </c>
      <c r="AC115" s="57">
        <v>8.4</v>
      </c>
      <c r="AD115" s="25">
        <v>0</v>
      </c>
      <c r="AE115" s="17">
        <f>AD115-G115</f>
        <v>-20</v>
      </c>
      <c r="AF115" s="17">
        <f>IF(AE115&lt;0,0,AD115-G115)</f>
        <v>0</v>
      </c>
      <c r="AG115" s="20">
        <f>AF115*I115/100</f>
        <v>0</v>
      </c>
      <c r="AH115" s="49">
        <v>8.4</v>
      </c>
      <c r="AI115" s="42">
        <f>AF115+AA115+V115+Q115+L115</f>
        <v>10</v>
      </c>
      <c r="AJ115" s="35">
        <f>AG115*AH115+AB115*AC115+W115*X115+R115*S115+M115*N115</f>
        <v>5.4600000000000009</v>
      </c>
    </row>
    <row r="116" spans="1:36" x14ac:dyDescent="0.25">
      <c r="A116" s="25" t="s">
        <v>238</v>
      </c>
      <c r="B116" s="17" t="s">
        <v>239</v>
      </c>
      <c r="C116" s="17" t="s">
        <v>36</v>
      </c>
      <c r="D116" s="17" t="s">
        <v>230</v>
      </c>
      <c r="E116" s="17" t="s">
        <v>240</v>
      </c>
      <c r="F116" s="17" t="s">
        <v>14</v>
      </c>
      <c r="G116" s="17">
        <v>20</v>
      </c>
      <c r="H116" s="17" t="s">
        <v>38</v>
      </c>
      <c r="I116" s="39">
        <v>6.5</v>
      </c>
      <c r="J116" s="25">
        <v>14</v>
      </c>
      <c r="K116" s="17">
        <f>J116-G116</f>
        <v>-6</v>
      </c>
      <c r="L116" s="17">
        <f>IF(K116&lt;0,0,J116-G116)</f>
        <v>0</v>
      </c>
      <c r="M116" s="20">
        <f>L116*I116/100</f>
        <v>0</v>
      </c>
      <c r="N116" s="57">
        <v>7.3</v>
      </c>
      <c r="O116" s="25">
        <v>19</v>
      </c>
      <c r="P116" s="17">
        <f>O116-G116</f>
        <v>-1</v>
      </c>
      <c r="Q116" s="17">
        <f>IF(P116&lt;0,0,O116-G116)</f>
        <v>0</v>
      </c>
      <c r="R116" s="20">
        <f>Q116*I116/100</f>
        <v>0</v>
      </c>
      <c r="S116" s="57">
        <v>7.2</v>
      </c>
      <c r="T116" s="25">
        <v>12</v>
      </c>
      <c r="U116" s="17">
        <f>T116-G116</f>
        <v>-8</v>
      </c>
      <c r="V116" s="17">
        <f>IF(U116&lt;0,0,T116-G116)</f>
        <v>0</v>
      </c>
      <c r="W116" s="20">
        <f>V116*I116/100</f>
        <v>0</v>
      </c>
      <c r="X116" s="57">
        <v>7.2</v>
      </c>
      <c r="Y116" s="25">
        <v>3</v>
      </c>
      <c r="Z116" s="17">
        <f>Y116-G116</f>
        <v>-17</v>
      </c>
      <c r="AA116" s="17">
        <f>IF(Z116&lt;0,0,Y116-G116)</f>
        <v>0</v>
      </c>
      <c r="AB116" s="20">
        <f>AA116*I116/100</f>
        <v>0</v>
      </c>
      <c r="AC116" s="57">
        <v>7.2</v>
      </c>
      <c r="AD116" s="25">
        <v>173</v>
      </c>
      <c r="AE116" s="17">
        <f>AD116-G116</f>
        <v>153</v>
      </c>
      <c r="AF116" s="17">
        <f>IF(AE116&lt;0,0,AD116-G116)</f>
        <v>153</v>
      </c>
      <c r="AG116" s="20">
        <f>AF116*I116/100</f>
        <v>9.9450000000000003</v>
      </c>
      <c r="AH116" s="49">
        <v>7.2</v>
      </c>
      <c r="AI116" s="42">
        <f>AF116+AA116+V116+Q116+L116</f>
        <v>153</v>
      </c>
      <c r="AJ116" s="35">
        <f>AG116*AH116+AB116*AC116+W116*X116+R116*S116+M116*N116</f>
        <v>71.603999999999999</v>
      </c>
    </row>
    <row r="117" spans="1:36" x14ac:dyDescent="0.25">
      <c r="A117" s="25" t="s">
        <v>241</v>
      </c>
      <c r="B117" s="17" t="s">
        <v>32</v>
      </c>
      <c r="C117" s="17" t="s">
        <v>52</v>
      </c>
      <c r="D117" s="17" t="s">
        <v>230</v>
      </c>
      <c r="E117" s="17" t="s">
        <v>242</v>
      </c>
      <c r="F117" s="17" t="s">
        <v>14</v>
      </c>
      <c r="G117" s="17">
        <v>20</v>
      </c>
      <c r="H117" s="17" t="s">
        <v>15</v>
      </c>
      <c r="I117" s="39">
        <v>11</v>
      </c>
      <c r="J117" s="25">
        <v>0</v>
      </c>
      <c r="K117" s="17">
        <f>J117-G117</f>
        <v>-20</v>
      </c>
      <c r="L117" s="17">
        <f>IF(K117&lt;0,0,J117-G117)</f>
        <v>0</v>
      </c>
      <c r="M117" s="20">
        <f>L117*I117/100</f>
        <v>0</v>
      </c>
      <c r="N117" s="57">
        <v>8.4</v>
      </c>
      <c r="O117" s="25">
        <v>1</v>
      </c>
      <c r="P117" s="17">
        <f>O117-G117</f>
        <v>-19</v>
      </c>
      <c r="Q117" s="17">
        <f>IF(P117&lt;0,0,O117-G117)</f>
        <v>0</v>
      </c>
      <c r="R117" s="20">
        <f>Q117*I117/100</f>
        <v>0</v>
      </c>
      <c r="S117" s="57">
        <v>8.4</v>
      </c>
      <c r="T117" s="25">
        <v>1</v>
      </c>
      <c r="U117" s="17">
        <f>T117-G117</f>
        <v>-19</v>
      </c>
      <c r="V117" s="17">
        <f>IF(U117&lt;0,0,T117-G117)</f>
        <v>0</v>
      </c>
      <c r="W117" s="20">
        <f>V117*I117/100</f>
        <v>0</v>
      </c>
      <c r="X117" s="57">
        <v>8.4</v>
      </c>
      <c r="Y117" s="25">
        <v>1</v>
      </c>
      <c r="Z117" s="17">
        <f>Y117-G117</f>
        <v>-19</v>
      </c>
      <c r="AA117" s="17">
        <f>IF(Z117&lt;0,0,Y117-G117)</f>
        <v>0</v>
      </c>
      <c r="AB117" s="20">
        <f>AA117*I117/100</f>
        <v>0</v>
      </c>
      <c r="AC117" s="57">
        <v>8.4</v>
      </c>
      <c r="AD117" s="25">
        <v>2</v>
      </c>
      <c r="AE117" s="17">
        <f>AD117-G117</f>
        <v>-18</v>
      </c>
      <c r="AF117" s="17">
        <f>IF(AE117&lt;0,0,AD117-G117)</f>
        <v>0</v>
      </c>
      <c r="AG117" s="20">
        <f>AF117*I117/100</f>
        <v>0</v>
      </c>
      <c r="AH117" s="49">
        <v>8.4</v>
      </c>
      <c r="AI117" s="42">
        <f>AF117+AA117+V117+Q117+L117</f>
        <v>0</v>
      </c>
      <c r="AJ117" s="35">
        <f>AG117*AH117+AB117*AC117+W117*X117+R117*S117+M117*N117</f>
        <v>0</v>
      </c>
    </row>
    <row r="118" spans="1:36" ht="15.75" thickBot="1" x14ac:dyDescent="0.3">
      <c r="A118" s="31" t="s">
        <v>243</v>
      </c>
      <c r="B118" s="32" t="s">
        <v>17</v>
      </c>
      <c r="C118" s="32" t="s">
        <v>36</v>
      </c>
      <c r="D118" s="32" t="s">
        <v>230</v>
      </c>
      <c r="E118" s="32" t="s">
        <v>244</v>
      </c>
      <c r="F118" s="32" t="s">
        <v>14</v>
      </c>
      <c r="G118" s="32">
        <v>30</v>
      </c>
      <c r="H118" s="32" t="s">
        <v>38</v>
      </c>
      <c r="I118" s="40">
        <v>6.5</v>
      </c>
      <c r="J118" s="31">
        <v>1</v>
      </c>
      <c r="K118" s="32">
        <f>J118-G118</f>
        <v>-29</v>
      </c>
      <c r="L118" s="32">
        <f>IF(K118&lt;0,0,J118-G118)</f>
        <v>0</v>
      </c>
      <c r="M118" s="33">
        <f>L118*I118/100</f>
        <v>0</v>
      </c>
      <c r="N118" s="59">
        <v>7.3</v>
      </c>
      <c r="O118" s="31">
        <v>1</v>
      </c>
      <c r="P118" s="32">
        <f>O118-G118</f>
        <v>-29</v>
      </c>
      <c r="Q118" s="32">
        <f>IF(P118&lt;0,0,O118-G118)</f>
        <v>0</v>
      </c>
      <c r="R118" s="33">
        <f>Q118*I118/100</f>
        <v>0</v>
      </c>
      <c r="S118" s="59">
        <v>7.2</v>
      </c>
      <c r="T118" s="31">
        <v>2</v>
      </c>
      <c r="U118" s="32">
        <f>T118-G118</f>
        <v>-28</v>
      </c>
      <c r="V118" s="32">
        <f>IF(U118&lt;0,0,T118-G118)</f>
        <v>0</v>
      </c>
      <c r="W118" s="33">
        <f>V118*I118/100</f>
        <v>0</v>
      </c>
      <c r="X118" s="59">
        <v>7.2</v>
      </c>
      <c r="Y118" s="31">
        <v>52</v>
      </c>
      <c r="Z118" s="32">
        <f>Y118-G118</f>
        <v>22</v>
      </c>
      <c r="AA118" s="32">
        <f>IF(Z118&lt;0,0,Y118-G118)</f>
        <v>22</v>
      </c>
      <c r="AB118" s="33">
        <f>AA118*I118/100</f>
        <v>1.43</v>
      </c>
      <c r="AC118" s="59">
        <v>7.2</v>
      </c>
      <c r="AD118" s="31">
        <v>71</v>
      </c>
      <c r="AE118" s="32">
        <f>AD118-G118</f>
        <v>41</v>
      </c>
      <c r="AF118" s="32">
        <f>IF(AE118&lt;0,0,AD118-G118)</f>
        <v>41</v>
      </c>
      <c r="AG118" s="33">
        <f>AF118*I118/100</f>
        <v>2.665</v>
      </c>
      <c r="AH118" s="51">
        <v>7.2</v>
      </c>
      <c r="AI118" s="43">
        <f>AF118+AA118+V118+Q118+L118</f>
        <v>63</v>
      </c>
      <c r="AJ118" s="36">
        <f>AG118*AH118+AB118*AC118+W118*X118+R118*S118+M118*N118</f>
        <v>29.484000000000002</v>
      </c>
    </row>
  </sheetData>
  <autoFilter ref="A1:AE1" xr:uid="{00000000-0001-0000-0000-000000000000}"/>
  <mergeCells count="10">
    <mergeCell ref="G1:G2"/>
    <mergeCell ref="H1:H2"/>
    <mergeCell ref="I1:I2"/>
    <mergeCell ref="AI1:AJ1"/>
    <mergeCell ref="A1:A2"/>
    <mergeCell ref="B1:B2"/>
    <mergeCell ref="C1:C2"/>
    <mergeCell ref="D1:D2"/>
    <mergeCell ref="E1:E2"/>
    <mergeCell ref="F1:F2"/>
  </mergeCells>
  <conditionalFormatting sqref="A3:A1048576 A1:I1">
    <cfRule type="duplicateValues" dxfId="27"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040D8-2C1F-4AFF-802B-0EC0902FC3A4}">
  <sheetPr codeName="Sheet2"/>
  <dimension ref="A1:AM131"/>
  <sheetViews>
    <sheetView workbookViewId="0">
      <pane xSplit="1" ySplit="2" topLeftCell="B24" activePane="bottomRight" state="frozen"/>
      <selection pane="topRight" activeCell="B1" sqref="B1"/>
      <selection pane="bottomLeft" activeCell="A3" sqref="A3"/>
      <selection pane="bottomRight" activeCell="O44" sqref="O44"/>
    </sheetView>
  </sheetViews>
  <sheetFormatPr defaultRowHeight="15" x14ac:dyDescent="0.25"/>
  <cols>
    <col min="1" max="1" width="11.5703125" style="1" bestFit="1" customWidth="1"/>
    <col min="2" max="2" width="10.85546875" style="1" bestFit="1" customWidth="1"/>
    <col min="3" max="3" width="11.28515625" style="1" bestFit="1" customWidth="1"/>
    <col min="4" max="4" width="10.85546875" style="1" bestFit="1" customWidth="1"/>
    <col min="5" max="5" width="22.85546875" style="1" bestFit="1" customWidth="1"/>
    <col min="6" max="9" width="4.85546875" style="1" customWidth="1"/>
    <col min="10" max="10" width="5.7109375" style="1" bestFit="1" customWidth="1"/>
    <col min="11" max="11" width="8.85546875" style="1" bestFit="1" customWidth="1"/>
    <col min="12" max="12" width="7.42578125" style="1" bestFit="1" customWidth="1"/>
    <col min="13" max="13" width="8.85546875" style="8" bestFit="1" customWidth="1"/>
    <col min="14" max="14" width="9.140625" style="8"/>
    <col min="15" max="15" width="5.7109375" style="1" bestFit="1" customWidth="1"/>
    <col min="16" max="16" width="8.85546875" style="1" bestFit="1" customWidth="1"/>
    <col min="17" max="17" width="7.42578125" style="1" bestFit="1" customWidth="1"/>
    <col min="18" max="18" width="8.85546875" style="8" bestFit="1" customWidth="1"/>
    <col min="19" max="19" width="9.140625" style="8"/>
    <col min="20" max="20" width="5.7109375" style="1" bestFit="1" customWidth="1"/>
    <col min="21" max="21" width="8.85546875" style="1" bestFit="1" customWidth="1"/>
    <col min="22" max="22" width="7.42578125" style="1" bestFit="1" customWidth="1"/>
    <col min="23" max="23" width="8.85546875" style="8" bestFit="1" customWidth="1"/>
    <col min="24" max="24" width="9.140625" style="8"/>
    <col min="25" max="25" width="5.7109375" style="1" bestFit="1" customWidth="1"/>
    <col min="26" max="26" width="8.85546875" style="1" bestFit="1" customWidth="1"/>
    <col min="27" max="27" width="7.42578125" style="1" bestFit="1" customWidth="1"/>
    <col min="28" max="28" width="8.85546875" style="8" bestFit="1" customWidth="1"/>
    <col min="29" max="29" width="9.140625" style="8"/>
    <col min="30" max="30" width="5.7109375" style="1" bestFit="1" customWidth="1"/>
    <col min="31" max="31" width="8.85546875" style="1" bestFit="1" customWidth="1"/>
    <col min="32" max="32" width="7.42578125" style="1" bestFit="1" customWidth="1"/>
    <col min="33" max="33" width="8.85546875" style="8" bestFit="1" customWidth="1"/>
    <col min="34" max="34" width="9.140625" style="8"/>
    <col min="35" max="35" width="8.5703125" style="1" bestFit="1" customWidth="1"/>
    <col min="36" max="36" width="8.85546875" style="1" bestFit="1" customWidth="1"/>
    <col min="37" max="38" width="9.140625" style="1"/>
    <col min="39" max="39" width="59.140625" style="1" bestFit="1" customWidth="1"/>
    <col min="40" max="16384" width="9.140625" style="1"/>
  </cols>
  <sheetData>
    <row r="1" spans="1:39" ht="30" x14ac:dyDescent="0.25">
      <c r="A1" s="84" t="s">
        <v>0</v>
      </c>
      <c r="B1" s="86" t="s">
        <v>1</v>
      </c>
      <c r="C1" s="86" t="s">
        <v>2</v>
      </c>
      <c r="D1" s="86" t="s">
        <v>3</v>
      </c>
      <c r="E1" s="86" t="s">
        <v>4</v>
      </c>
      <c r="F1" s="86" t="s">
        <v>5</v>
      </c>
      <c r="G1" s="78" t="s">
        <v>6</v>
      </c>
      <c r="H1" s="78" t="s">
        <v>7</v>
      </c>
      <c r="I1" s="80" t="s">
        <v>8</v>
      </c>
      <c r="J1" s="9" t="s">
        <v>245</v>
      </c>
      <c r="K1" s="10"/>
      <c r="L1" s="10"/>
      <c r="M1" s="11"/>
      <c r="N1" s="54"/>
      <c r="O1" s="9" t="s">
        <v>251</v>
      </c>
      <c r="P1" s="10"/>
      <c r="Q1" s="10"/>
      <c r="R1" s="11"/>
      <c r="S1" s="54"/>
      <c r="T1" s="9" t="s">
        <v>252</v>
      </c>
      <c r="U1" s="10"/>
      <c r="V1" s="10"/>
      <c r="W1" s="11"/>
      <c r="X1" s="54"/>
      <c r="Y1" s="9" t="s">
        <v>253</v>
      </c>
      <c r="Z1" s="10"/>
      <c r="AA1" s="10"/>
      <c r="AB1" s="11"/>
      <c r="AC1" s="54"/>
      <c r="AD1" s="9" t="s">
        <v>254</v>
      </c>
      <c r="AE1" s="10"/>
      <c r="AF1" s="10"/>
      <c r="AG1" s="11"/>
      <c r="AH1" s="46"/>
      <c r="AI1" s="82" t="s">
        <v>257</v>
      </c>
      <c r="AJ1" s="83"/>
    </row>
    <row r="2" spans="1:39" ht="60.75" thickBot="1" x14ac:dyDescent="0.3">
      <c r="A2" s="85"/>
      <c r="B2" s="79"/>
      <c r="C2" s="79"/>
      <c r="D2" s="79"/>
      <c r="E2" s="79"/>
      <c r="F2" s="79"/>
      <c r="G2" s="79"/>
      <c r="H2" s="79"/>
      <c r="I2" s="81"/>
      <c r="J2" s="12" t="s">
        <v>246</v>
      </c>
      <c r="K2" s="13" t="s">
        <v>247</v>
      </c>
      <c r="L2" s="13" t="s">
        <v>248</v>
      </c>
      <c r="M2" s="14" t="s">
        <v>249</v>
      </c>
      <c r="N2" s="55" t="s">
        <v>250</v>
      </c>
      <c r="O2" s="12" t="s">
        <v>246</v>
      </c>
      <c r="P2" s="13" t="s">
        <v>247</v>
      </c>
      <c r="Q2" s="13" t="s">
        <v>248</v>
      </c>
      <c r="R2" s="14" t="s">
        <v>249</v>
      </c>
      <c r="S2" s="55" t="s">
        <v>250</v>
      </c>
      <c r="T2" s="12" t="s">
        <v>246</v>
      </c>
      <c r="U2" s="13" t="s">
        <v>247</v>
      </c>
      <c r="V2" s="13" t="s">
        <v>248</v>
      </c>
      <c r="W2" s="14" t="s">
        <v>249</v>
      </c>
      <c r="X2" s="55" t="s">
        <v>250</v>
      </c>
      <c r="Y2" s="12" t="s">
        <v>246</v>
      </c>
      <c r="Z2" s="13" t="s">
        <v>247</v>
      </c>
      <c r="AA2" s="13" t="s">
        <v>248</v>
      </c>
      <c r="AB2" s="14" t="s">
        <v>249</v>
      </c>
      <c r="AC2" s="55" t="s">
        <v>250</v>
      </c>
      <c r="AD2" s="12" t="s">
        <v>246</v>
      </c>
      <c r="AE2" s="13" t="s">
        <v>247</v>
      </c>
      <c r="AF2" s="13" t="s">
        <v>248</v>
      </c>
      <c r="AG2" s="14" t="s">
        <v>249</v>
      </c>
      <c r="AH2" s="47" t="s">
        <v>250</v>
      </c>
      <c r="AI2" s="63" t="s">
        <v>255</v>
      </c>
      <c r="AJ2" s="64" t="s">
        <v>256</v>
      </c>
      <c r="AM2" s="1" t="s">
        <v>258</v>
      </c>
    </row>
    <row r="3" spans="1:39" x14ac:dyDescent="0.25">
      <c r="A3" s="37" t="s">
        <v>24</v>
      </c>
      <c r="B3" s="16" t="s">
        <v>10</v>
      </c>
      <c r="C3" s="16" t="s">
        <v>11</v>
      </c>
      <c r="D3" s="16" t="s">
        <v>19</v>
      </c>
      <c r="E3" s="38" t="s">
        <v>25</v>
      </c>
      <c r="F3" s="16" t="s">
        <v>14</v>
      </c>
      <c r="G3" s="16">
        <v>20</v>
      </c>
      <c r="H3" s="16" t="s">
        <v>15</v>
      </c>
      <c r="I3" s="15">
        <v>6.5</v>
      </c>
      <c r="J3" s="26">
        <v>11</v>
      </c>
      <c r="K3" s="27">
        <f>J3-G3</f>
        <v>-9</v>
      </c>
      <c r="L3" s="27">
        <f>IF(K3&lt;0,0,J3-G3)</f>
        <v>0</v>
      </c>
      <c r="M3" s="30">
        <f>L3*I3/100</f>
        <v>0</v>
      </c>
      <c r="N3" s="60">
        <v>8.4</v>
      </c>
      <c r="O3" s="26">
        <v>39</v>
      </c>
      <c r="P3" s="27">
        <f>O3-G3</f>
        <v>19</v>
      </c>
      <c r="Q3" s="27">
        <f>IF(P3&lt;0,0,O3-G3)</f>
        <v>19</v>
      </c>
      <c r="R3" s="30">
        <f>Q3*I3/100</f>
        <v>1.2350000000000001</v>
      </c>
      <c r="S3" s="60">
        <v>8.4</v>
      </c>
      <c r="T3" s="26">
        <v>476</v>
      </c>
      <c r="U3" s="27">
        <f>T3-G3</f>
        <v>456</v>
      </c>
      <c r="V3" s="27">
        <f>IF(U3&lt;0,0,T3-G3)</f>
        <v>456</v>
      </c>
      <c r="W3" s="30">
        <f>V3*I3/100</f>
        <v>29.64</v>
      </c>
      <c r="X3" s="60">
        <v>8.4</v>
      </c>
      <c r="Y3" s="26">
        <v>71</v>
      </c>
      <c r="Z3" s="27">
        <f>Y3-G3</f>
        <v>51</v>
      </c>
      <c r="AA3" s="27">
        <f>IF(Z3&lt;0,0,Y3-G3)</f>
        <v>51</v>
      </c>
      <c r="AB3" s="30">
        <f>AA3*I3/100</f>
        <v>3.3149999999999999</v>
      </c>
      <c r="AC3" s="60">
        <v>8.4</v>
      </c>
      <c r="AD3" s="26">
        <v>0</v>
      </c>
      <c r="AE3" s="27">
        <f>AD3-G3</f>
        <v>-20</v>
      </c>
      <c r="AF3" s="28"/>
      <c r="AG3" s="29"/>
      <c r="AH3" s="48"/>
      <c r="AI3" s="41">
        <f>AF3+AA3+V3+Q3+L3</f>
        <v>526</v>
      </c>
      <c r="AJ3" s="34">
        <f>AG3*AH3+AB3*AC3+W3*X3+R3*S3+M3*N3</f>
        <v>287.19600000000003</v>
      </c>
      <c r="AM3" s="2" t="s">
        <v>259</v>
      </c>
    </row>
    <row r="4" spans="1:39" x14ac:dyDescent="0.25">
      <c r="A4" s="25" t="s">
        <v>29</v>
      </c>
      <c r="B4" s="17" t="s">
        <v>10</v>
      </c>
      <c r="C4" s="17" t="s">
        <v>11</v>
      </c>
      <c r="D4" s="17" t="s">
        <v>19</v>
      </c>
      <c r="E4" s="17" t="s">
        <v>30</v>
      </c>
      <c r="F4" s="17" t="s">
        <v>14</v>
      </c>
      <c r="G4" s="17">
        <v>20</v>
      </c>
      <c r="H4" s="17" t="s">
        <v>15</v>
      </c>
      <c r="I4" s="39">
        <v>6.5</v>
      </c>
      <c r="J4" s="25">
        <v>21</v>
      </c>
      <c r="K4" s="17">
        <f>J4-G4</f>
        <v>1</v>
      </c>
      <c r="L4" s="17">
        <f>IF(K4&lt;0,0,J4-G4)</f>
        <v>1</v>
      </c>
      <c r="M4" s="20">
        <f>L4*I4/100</f>
        <v>6.5000000000000002E-2</v>
      </c>
      <c r="N4" s="57">
        <v>8.4</v>
      </c>
      <c r="O4" s="25">
        <v>20</v>
      </c>
      <c r="P4" s="17">
        <f>O4-G4</f>
        <v>0</v>
      </c>
      <c r="Q4" s="17">
        <f>IF(P4&lt;0,0,O4-G4)</f>
        <v>0</v>
      </c>
      <c r="R4" s="20">
        <f>Q4*I4/100</f>
        <v>0</v>
      </c>
      <c r="S4" s="57">
        <v>8.4</v>
      </c>
      <c r="T4" s="25">
        <v>20</v>
      </c>
      <c r="U4" s="17">
        <f>T4-G4</f>
        <v>0</v>
      </c>
      <c r="V4" s="17">
        <f>IF(U4&lt;0,0,T4-G4)</f>
        <v>0</v>
      </c>
      <c r="W4" s="20">
        <f>V4*I4/100</f>
        <v>0</v>
      </c>
      <c r="X4" s="57">
        <v>8.4</v>
      </c>
      <c r="Y4" s="25">
        <v>17</v>
      </c>
      <c r="Z4" s="17">
        <f>Y4-G4</f>
        <v>-3</v>
      </c>
      <c r="AA4" s="17">
        <f>IF(Z4&lt;0,0,Y4-G4)</f>
        <v>0</v>
      </c>
      <c r="AB4" s="20">
        <f>AA4*I4/100</f>
        <v>0</v>
      </c>
      <c r="AC4" s="57">
        <v>8.4</v>
      </c>
      <c r="AD4" s="25">
        <v>18</v>
      </c>
      <c r="AE4" s="17">
        <f>AD4-G4</f>
        <v>-2</v>
      </c>
      <c r="AF4" s="18"/>
      <c r="AG4" s="19"/>
      <c r="AH4" s="50"/>
      <c r="AI4" s="42">
        <f>AF4+AA4+V4+Q4+L4</f>
        <v>1</v>
      </c>
      <c r="AJ4" s="35">
        <f>AG4*AH4+AB4*AC4+W4*X4+R4*S4+M4*N4</f>
        <v>0.54600000000000004</v>
      </c>
      <c r="AM4" s="3" t="s">
        <v>260</v>
      </c>
    </row>
    <row r="5" spans="1:39" x14ac:dyDescent="0.25">
      <c r="A5" s="25" t="s">
        <v>21</v>
      </c>
      <c r="B5" s="17" t="s">
        <v>10</v>
      </c>
      <c r="C5" s="17" t="s">
        <v>22</v>
      </c>
      <c r="D5" s="17" t="s">
        <v>19</v>
      </c>
      <c r="E5" s="17" t="s">
        <v>23</v>
      </c>
      <c r="F5" s="17" t="s">
        <v>14</v>
      </c>
      <c r="G5" s="17">
        <v>20</v>
      </c>
      <c r="H5" s="17" t="s">
        <v>15</v>
      </c>
      <c r="I5" s="39">
        <v>11</v>
      </c>
      <c r="J5" s="25">
        <v>16</v>
      </c>
      <c r="K5" s="17">
        <f>J5-G5</f>
        <v>-4</v>
      </c>
      <c r="L5" s="17">
        <f>IF(K5&lt;0,0,J5-G5)</f>
        <v>0</v>
      </c>
      <c r="M5" s="20">
        <f>L5*I5/100</f>
        <v>0</v>
      </c>
      <c r="N5" s="57">
        <v>8.4</v>
      </c>
      <c r="O5" s="25">
        <v>14</v>
      </c>
      <c r="P5" s="17">
        <f>O5-G5</f>
        <v>-6</v>
      </c>
      <c r="Q5" s="17">
        <f>IF(P5&lt;0,0,O5-G5)</f>
        <v>0</v>
      </c>
      <c r="R5" s="20">
        <f>Q5*I5/100</f>
        <v>0</v>
      </c>
      <c r="S5" s="57">
        <v>8.4</v>
      </c>
      <c r="T5" s="25">
        <v>0</v>
      </c>
      <c r="U5" s="17">
        <f>T5-G5</f>
        <v>-20</v>
      </c>
      <c r="V5" s="17">
        <f>IF(U5&lt;0,0,T5-G5)</f>
        <v>0</v>
      </c>
      <c r="W5" s="20">
        <f>V5*I5/100</f>
        <v>0</v>
      </c>
      <c r="X5" s="57">
        <v>8.4</v>
      </c>
      <c r="Y5" s="25">
        <v>0</v>
      </c>
      <c r="Z5" s="17">
        <f>Y5-G5</f>
        <v>-20</v>
      </c>
      <c r="AA5" s="17">
        <f>IF(Z5&lt;0,0,Y5-G5)</f>
        <v>0</v>
      </c>
      <c r="AB5" s="20">
        <f>AA5*I5/100</f>
        <v>0</v>
      </c>
      <c r="AC5" s="57">
        <v>8.4</v>
      </c>
      <c r="AD5" s="25">
        <v>0</v>
      </c>
      <c r="AE5" s="17">
        <f>AD5-G5</f>
        <v>-20</v>
      </c>
      <c r="AF5" s="17">
        <f>IF(AE5&lt;0,0,AD5-G5)</f>
        <v>0</v>
      </c>
      <c r="AG5" s="20">
        <f>AF5*I5/100</f>
        <v>0</v>
      </c>
      <c r="AH5" s="49">
        <v>8.4</v>
      </c>
      <c r="AI5" s="42">
        <f>AF5+AA5+V5+Q5+L5</f>
        <v>0</v>
      </c>
      <c r="AJ5" s="35">
        <f>AG5*AH5+AB5*AC5+W5*X5+R5*S5+M5*N5</f>
        <v>0</v>
      </c>
      <c r="AM5" s="1" t="s">
        <v>261</v>
      </c>
    </row>
    <row r="6" spans="1:39" x14ac:dyDescent="0.25">
      <c r="A6" s="25" t="s">
        <v>16</v>
      </c>
      <c r="B6" s="17" t="s">
        <v>17</v>
      </c>
      <c r="C6" s="17" t="s">
        <v>18</v>
      </c>
      <c r="D6" s="17" t="s">
        <v>19</v>
      </c>
      <c r="E6" s="18" t="s">
        <v>20</v>
      </c>
      <c r="F6" s="17" t="s">
        <v>14</v>
      </c>
      <c r="G6" s="17">
        <v>20</v>
      </c>
      <c r="H6" s="17" t="s">
        <v>15</v>
      </c>
      <c r="I6" s="39">
        <v>6.5</v>
      </c>
      <c r="J6" s="25">
        <v>145</v>
      </c>
      <c r="K6" s="17">
        <f>J6-G6</f>
        <v>125</v>
      </c>
      <c r="L6" s="17">
        <f>IF(K6&lt;0,0,J6-G6)</f>
        <v>125</v>
      </c>
      <c r="M6" s="20">
        <f>L6*I6/100</f>
        <v>8.125</v>
      </c>
      <c r="N6" s="57">
        <v>8.4</v>
      </c>
      <c r="O6" s="25">
        <v>4</v>
      </c>
      <c r="P6" s="17">
        <f>O6-G6</f>
        <v>-16</v>
      </c>
      <c r="Q6" s="17">
        <f>IF(P6&lt;0,0,O6-G6)</f>
        <v>0</v>
      </c>
      <c r="R6" s="20">
        <f>Q6*I6/100</f>
        <v>0</v>
      </c>
      <c r="S6" s="57">
        <v>8.4</v>
      </c>
      <c r="T6" s="45"/>
      <c r="U6" s="18"/>
      <c r="V6" s="18"/>
      <c r="W6" s="19"/>
      <c r="X6" s="58"/>
      <c r="Y6" s="45"/>
      <c r="Z6" s="18"/>
      <c r="AA6" s="18"/>
      <c r="AB6" s="19"/>
      <c r="AC6" s="58"/>
      <c r="AD6" s="45"/>
      <c r="AE6" s="18"/>
      <c r="AF6" s="17">
        <f>IF(AE6&lt;0,0,AD6-G6)</f>
        <v>-20</v>
      </c>
      <c r="AG6" s="20">
        <f>AF6*I6/100</f>
        <v>-1.3</v>
      </c>
      <c r="AH6" s="49">
        <v>8.4</v>
      </c>
      <c r="AI6" s="42">
        <f>AF6+AA6+V6+Q6+L6</f>
        <v>105</v>
      </c>
      <c r="AJ6" s="35">
        <f>AG6*AH6+AB6*AC6+W6*X6+R6*S6+M6*N6</f>
        <v>57.33</v>
      </c>
      <c r="AM6" s="4" t="s">
        <v>262</v>
      </c>
    </row>
    <row r="7" spans="1:39" x14ac:dyDescent="0.25">
      <c r="A7" s="25" t="s">
        <v>28</v>
      </c>
      <c r="B7" s="17" t="s">
        <v>17</v>
      </c>
      <c r="C7" s="17" t="s">
        <v>18</v>
      </c>
      <c r="D7" s="17" t="s">
        <v>19</v>
      </c>
      <c r="E7" s="18" t="s">
        <v>20</v>
      </c>
      <c r="F7" s="17" t="s">
        <v>14</v>
      </c>
      <c r="G7" s="17">
        <v>20</v>
      </c>
      <c r="H7" s="17" t="s">
        <v>15</v>
      </c>
      <c r="I7" s="39">
        <v>6.5</v>
      </c>
      <c r="J7" s="45"/>
      <c r="K7" s="18"/>
      <c r="L7" s="18"/>
      <c r="M7" s="19"/>
      <c r="N7" s="58"/>
      <c r="O7" s="45"/>
      <c r="P7" s="18"/>
      <c r="Q7" s="18"/>
      <c r="R7" s="19"/>
      <c r="S7" s="58"/>
      <c r="T7" s="25">
        <v>22</v>
      </c>
      <c r="U7" s="17">
        <f>T7-G7</f>
        <v>2</v>
      </c>
      <c r="V7" s="17">
        <f>IF(U7&lt;0,0,T7-G7)</f>
        <v>2</v>
      </c>
      <c r="W7" s="20">
        <f>V7*I7/100</f>
        <v>0.13</v>
      </c>
      <c r="X7" s="57">
        <v>8.4</v>
      </c>
      <c r="Y7" s="25">
        <v>0</v>
      </c>
      <c r="Z7" s="17">
        <f>Y7-G7</f>
        <v>-20</v>
      </c>
      <c r="AA7" s="17">
        <f>IF(Z7&lt;0,0,Y7-G7)</f>
        <v>0</v>
      </c>
      <c r="AB7" s="20">
        <f>AA7*I7/100</f>
        <v>0</v>
      </c>
      <c r="AC7" s="57">
        <v>8.4</v>
      </c>
      <c r="AD7" s="25">
        <v>0</v>
      </c>
      <c r="AE7" s="17">
        <f>AD7-G7</f>
        <v>-20</v>
      </c>
      <c r="AF7" s="17">
        <f>IF(AE7&lt;0,0,AD7-G7)</f>
        <v>0</v>
      </c>
      <c r="AG7" s="20">
        <f>AF7*I7/100</f>
        <v>0</v>
      </c>
      <c r="AH7" s="49">
        <v>8.4</v>
      </c>
      <c r="AI7" s="42">
        <f>AF7+AA7+V7+Q7+L7</f>
        <v>2</v>
      </c>
      <c r="AJ7" s="35">
        <f>AG7*AH7+AB7*AC7+W7*X7+R7*S7+M7*N7</f>
        <v>1.0920000000000001</v>
      </c>
      <c r="AM7" s="5" t="s">
        <v>263</v>
      </c>
    </row>
    <row r="8" spans="1:39" x14ac:dyDescent="0.25">
      <c r="A8" s="25"/>
      <c r="B8" s="66" t="s">
        <v>281</v>
      </c>
      <c r="C8" s="17"/>
      <c r="D8" s="17"/>
      <c r="E8" s="18"/>
      <c r="F8" s="17"/>
      <c r="G8" s="17"/>
      <c r="H8" s="17"/>
      <c r="I8" s="39"/>
      <c r="J8" s="67">
        <f t="shared" ref="J8:AJ8" si="0">SUM(J6:J7)</f>
        <v>145</v>
      </c>
      <c r="K8" s="68">
        <f t="shared" si="0"/>
        <v>125</v>
      </c>
      <c r="L8" s="68">
        <f t="shared" si="0"/>
        <v>125</v>
      </c>
      <c r="M8" s="69">
        <f t="shared" si="0"/>
        <v>8.125</v>
      </c>
      <c r="N8" s="70">
        <f t="shared" si="0"/>
        <v>8.4</v>
      </c>
      <c r="O8" s="67">
        <f t="shared" si="0"/>
        <v>4</v>
      </c>
      <c r="P8" s="68">
        <f t="shared" si="0"/>
        <v>-16</v>
      </c>
      <c r="Q8" s="68">
        <f t="shared" si="0"/>
        <v>0</v>
      </c>
      <c r="R8" s="69">
        <f t="shared" si="0"/>
        <v>0</v>
      </c>
      <c r="S8" s="70">
        <f t="shared" si="0"/>
        <v>8.4</v>
      </c>
      <c r="T8" s="71">
        <f t="shared" si="0"/>
        <v>22</v>
      </c>
      <c r="U8" s="66">
        <f t="shared" si="0"/>
        <v>2</v>
      </c>
      <c r="V8" s="66">
        <f t="shared" si="0"/>
        <v>2</v>
      </c>
      <c r="W8" s="72">
        <f t="shared" si="0"/>
        <v>0.13</v>
      </c>
      <c r="X8" s="73">
        <f t="shared" si="0"/>
        <v>8.4</v>
      </c>
      <c r="Y8" s="71">
        <f t="shared" si="0"/>
        <v>0</v>
      </c>
      <c r="Z8" s="66">
        <f t="shared" si="0"/>
        <v>-20</v>
      </c>
      <c r="AA8" s="66">
        <f t="shared" si="0"/>
        <v>0</v>
      </c>
      <c r="AB8" s="72">
        <f t="shared" si="0"/>
        <v>0</v>
      </c>
      <c r="AC8" s="73">
        <f t="shared" si="0"/>
        <v>8.4</v>
      </c>
      <c r="AD8" s="71">
        <f t="shared" si="0"/>
        <v>0</v>
      </c>
      <c r="AE8" s="66">
        <f t="shared" si="0"/>
        <v>-20</v>
      </c>
      <c r="AF8" s="66">
        <f t="shared" si="0"/>
        <v>-20</v>
      </c>
      <c r="AG8" s="72">
        <f t="shared" si="0"/>
        <v>-1.3</v>
      </c>
      <c r="AH8" s="74">
        <f t="shared" si="0"/>
        <v>16.8</v>
      </c>
      <c r="AI8" s="75">
        <f t="shared" si="0"/>
        <v>107</v>
      </c>
      <c r="AJ8" s="76">
        <f t="shared" si="0"/>
        <v>58.421999999999997</v>
      </c>
      <c r="AM8" s="5"/>
    </row>
    <row r="9" spans="1:39" x14ac:dyDescent="0.25">
      <c r="A9" s="25" t="s">
        <v>26</v>
      </c>
      <c r="B9" s="17" t="s">
        <v>10</v>
      </c>
      <c r="C9" s="17" t="s">
        <v>11</v>
      </c>
      <c r="D9" s="17" t="s">
        <v>19</v>
      </c>
      <c r="E9" s="17" t="s">
        <v>27</v>
      </c>
      <c r="F9" s="17" t="s">
        <v>14</v>
      </c>
      <c r="G9" s="17">
        <v>20</v>
      </c>
      <c r="H9" s="17" t="s">
        <v>15</v>
      </c>
      <c r="I9" s="39">
        <v>6.5</v>
      </c>
      <c r="J9" s="25">
        <v>52</v>
      </c>
      <c r="K9" s="17">
        <f>J9-G9</f>
        <v>32</v>
      </c>
      <c r="L9" s="17">
        <f>IF(K9&lt;0,0,J9-G9)</f>
        <v>32</v>
      </c>
      <c r="M9" s="20">
        <f>L9*I9/100</f>
        <v>2.08</v>
      </c>
      <c r="N9" s="57">
        <v>8.4</v>
      </c>
      <c r="O9" s="25">
        <v>20</v>
      </c>
      <c r="P9" s="17">
        <f>O9-G9</f>
        <v>0</v>
      </c>
      <c r="Q9" s="17">
        <f>IF(P9&lt;0,0,O9-G9)</f>
        <v>0</v>
      </c>
      <c r="R9" s="20">
        <f>Q9*I9/100</f>
        <v>0</v>
      </c>
      <c r="S9" s="57">
        <v>8.4</v>
      </c>
      <c r="T9" s="25">
        <v>51</v>
      </c>
      <c r="U9" s="17">
        <f>T9-G9</f>
        <v>31</v>
      </c>
      <c r="V9" s="17">
        <f>IF(U9&lt;0,0,T9-G9)</f>
        <v>31</v>
      </c>
      <c r="W9" s="20">
        <f>V9*I9/100</f>
        <v>2.0150000000000001</v>
      </c>
      <c r="X9" s="57">
        <v>8.4</v>
      </c>
      <c r="Y9" s="25">
        <v>389</v>
      </c>
      <c r="Z9" s="17">
        <f>Y9-G9</f>
        <v>369</v>
      </c>
      <c r="AA9" s="17">
        <f>IF(Z9&lt;0,0,Y9-G9)</f>
        <v>369</v>
      </c>
      <c r="AB9" s="20">
        <f>AA9*I9/100</f>
        <v>23.984999999999999</v>
      </c>
      <c r="AC9" s="57">
        <v>8.4</v>
      </c>
      <c r="AD9" s="25">
        <v>4</v>
      </c>
      <c r="AE9" s="17">
        <f>AD9-G9</f>
        <v>-16</v>
      </c>
      <c r="AF9" s="17">
        <f>IF(AE9&lt;0,0,AD9-G9)</f>
        <v>0</v>
      </c>
      <c r="AG9" s="20">
        <f>AF9*I9/100</f>
        <v>0</v>
      </c>
      <c r="AH9" s="49">
        <v>8.4</v>
      </c>
      <c r="AI9" s="42">
        <f t="shared" ref="AI9:AI14" si="1">AF9+AA9+V9+Q9+L9</f>
        <v>432</v>
      </c>
      <c r="AJ9" s="35">
        <f t="shared" ref="AJ9:AJ14" si="2">AG9*AH9+AB9*AC9+W9*X9+R9*S9+M9*N9</f>
        <v>235.87199999999999</v>
      </c>
      <c r="AM9" s="6" t="s">
        <v>264</v>
      </c>
    </row>
    <row r="10" spans="1:39" x14ac:dyDescent="0.25">
      <c r="A10" s="25" t="s">
        <v>31</v>
      </c>
      <c r="B10" s="17" t="s">
        <v>32</v>
      </c>
      <c r="C10" s="17" t="s">
        <v>33</v>
      </c>
      <c r="D10" s="17" t="s">
        <v>19</v>
      </c>
      <c r="E10" s="17" t="s">
        <v>34</v>
      </c>
      <c r="F10" s="17" t="s">
        <v>14</v>
      </c>
      <c r="G10" s="17">
        <v>20</v>
      </c>
      <c r="H10" s="17" t="s">
        <v>15</v>
      </c>
      <c r="I10" s="39">
        <v>9</v>
      </c>
      <c r="J10" s="25">
        <v>20</v>
      </c>
      <c r="K10" s="17">
        <f>J10-G10</f>
        <v>0</v>
      </c>
      <c r="L10" s="17">
        <f>IF(K10&lt;0,0,J10-G10)</f>
        <v>0</v>
      </c>
      <c r="M10" s="20">
        <f>L10*I10/100</f>
        <v>0</v>
      </c>
      <c r="N10" s="57">
        <v>8.4</v>
      </c>
      <c r="O10" s="25">
        <v>23</v>
      </c>
      <c r="P10" s="17">
        <f>O10-G10</f>
        <v>3</v>
      </c>
      <c r="Q10" s="17">
        <f>IF(P10&lt;0,0,O10-G10)</f>
        <v>3</v>
      </c>
      <c r="R10" s="20">
        <f>Q10*I10/100</f>
        <v>0.27</v>
      </c>
      <c r="S10" s="57">
        <v>8.4</v>
      </c>
      <c r="T10" s="25">
        <v>2</v>
      </c>
      <c r="U10" s="17">
        <f>T10-G10</f>
        <v>-18</v>
      </c>
      <c r="V10" s="17">
        <f>IF(U10&lt;0,0,T10-G10)</f>
        <v>0</v>
      </c>
      <c r="W10" s="20">
        <f>V10*I10/100</f>
        <v>0</v>
      </c>
      <c r="X10" s="57">
        <v>8.4</v>
      </c>
      <c r="Y10" s="25">
        <v>11</v>
      </c>
      <c r="Z10" s="17">
        <f>Y10-G10</f>
        <v>-9</v>
      </c>
      <c r="AA10" s="17">
        <f>IF(Z10&lt;0,0,Y10-G10)</f>
        <v>0</v>
      </c>
      <c r="AB10" s="20">
        <f>AA10*I10/100</f>
        <v>0</v>
      </c>
      <c r="AC10" s="57">
        <v>8.4</v>
      </c>
      <c r="AD10" s="25">
        <v>22</v>
      </c>
      <c r="AE10" s="17">
        <f>AD10-G10</f>
        <v>2</v>
      </c>
      <c r="AF10" s="17">
        <f>IF(AE10&lt;0,0,AD10-G10)</f>
        <v>2</v>
      </c>
      <c r="AG10" s="20">
        <f>AF10*I10/100</f>
        <v>0.18</v>
      </c>
      <c r="AH10" s="49">
        <v>8.4</v>
      </c>
      <c r="AI10" s="42">
        <f t="shared" si="1"/>
        <v>5</v>
      </c>
      <c r="AJ10" s="35">
        <f t="shared" si="2"/>
        <v>3.7800000000000002</v>
      </c>
    </row>
    <row r="11" spans="1:39" x14ac:dyDescent="0.25">
      <c r="A11" s="25" t="s">
        <v>94</v>
      </c>
      <c r="B11" s="17" t="s">
        <v>17</v>
      </c>
      <c r="C11" s="17" t="s">
        <v>18</v>
      </c>
      <c r="D11" s="17" t="s">
        <v>12</v>
      </c>
      <c r="E11" s="18" t="s">
        <v>95</v>
      </c>
      <c r="F11" s="17" t="s">
        <v>14</v>
      </c>
      <c r="G11" s="17">
        <v>20</v>
      </c>
      <c r="H11" s="17" t="s">
        <v>15</v>
      </c>
      <c r="I11" s="39">
        <v>6.5</v>
      </c>
      <c r="J11" s="45"/>
      <c r="K11" s="18"/>
      <c r="L11" s="18"/>
      <c r="M11" s="19"/>
      <c r="N11" s="58"/>
      <c r="O11" s="45"/>
      <c r="P11" s="18"/>
      <c r="Q11" s="18"/>
      <c r="R11" s="19"/>
      <c r="S11" s="58"/>
      <c r="T11" s="25">
        <v>2</v>
      </c>
      <c r="U11" s="17">
        <f>T11-G11</f>
        <v>-18</v>
      </c>
      <c r="V11" s="17">
        <f>IF(U11&lt;0,0,T11-G11)</f>
        <v>0</v>
      </c>
      <c r="W11" s="20">
        <f>V11*I11/100</f>
        <v>0</v>
      </c>
      <c r="X11" s="57">
        <v>8.4</v>
      </c>
      <c r="Y11" s="25">
        <v>63</v>
      </c>
      <c r="Z11" s="17">
        <f>Y11-G11</f>
        <v>43</v>
      </c>
      <c r="AA11" s="17">
        <f>IF(Z11&lt;0,0,Y11-G11)</f>
        <v>43</v>
      </c>
      <c r="AB11" s="20">
        <f>AA11*I11/100</f>
        <v>2.7949999999999999</v>
      </c>
      <c r="AC11" s="57">
        <v>8.4</v>
      </c>
      <c r="AD11" s="25">
        <v>90</v>
      </c>
      <c r="AE11" s="17">
        <f>AD11-G11</f>
        <v>70</v>
      </c>
      <c r="AF11" s="17">
        <f>IF(AE11&lt;0,0,AD11-G11)</f>
        <v>70</v>
      </c>
      <c r="AG11" s="20">
        <f>AF11*I11/100</f>
        <v>4.55</v>
      </c>
      <c r="AH11" s="49">
        <v>8.4</v>
      </c>
      <c r="AI11" s="42">
        <f t="shared" si="1"/>
        <v>113</v>
      </c>
      <c r="AJ11" s="35">
        <f t="shared" si="2"/>
        <v>61.698</v>
      </c>
    </row>
    <row r="12" spans="1:39" x14ac:dyDescent="0.25">
      <c r="A12" s="25" t="s">
        <v>74</v>
      </c>
      <c r="B12" s="17" t="s">
        <v>10</v>
      </c>
      <c r="C12" s="17" t="s">
        <v>22</v>
      </c>
      <c r="D12" s="17" t="s">
        <v>12</v>
      </c>
      <c r="E12" s="18" t="s">
        <v>75</v>
      </c>
      <c r="F12" s="17" t="s">
        <v>14</v>
      </c>
      <c r="G12" s="17">
        <v>20</v>
      </c>
      <c r="H12" s="17" t="s">
        <v>15</v>
      </c>
      <c r="I12" s="39">
        <v>11</v>
      </c>
      <c r="J12" s="45"/>
      <c r="K12" s="18"/>
      <c r="L12" s="18"/>
      <c r="M12" s="19"/>
      <c r="N12" s="58"/>
      <c r="O12" s="45"/>
      <c r="P12" s="18"/>
      <c r="Q12" s="18"/>
      <c r="R12" s="19"/>
      <c r="S12" s="58"/>
      <c r="T12" s="25">
        <v>0</v>
      </c>
      <c r="U12" s="17">
        <f>T12-G12</f>
        <v>-20</v>
      </c>
      <c r="V12" s="17">
        <f>IF(U12&lt;0,0,T12-G12)</f>
        <v>0</v>
      </c>
      <c r="W12" s="20">
        <f>V12*I12/100</f>
        <v>0</v>
      </c>
      <c r="X12" s="57">
        <v>8.4</v>
      </c>
      <c r="Y12" s="25">
        <v>0</v>
      </c>
      <c r="Z12" s="17">
        <f>Y12-G12</f>
        <v>-20</v>
      </c>
      <c r="AA12" s="17">
        <f>IF(Z12&lt;0,0,Y12-G12)</f>
        <v>0</v>
      </c>
      <c r="AB12" s="20">
        <f>AA12*I12/100</f>
        <v>0</v>
      </c>
      <c r="AC12" s="57">
        <v>8.4</v>
      </c>
      <c r="AD12" s="25">
        <v>0</v>
      </c>
      <c r="AE12" s="17">
        <f>AD12-G12</f>
        <v>-20</v>
      </c>
      <c r="AF12" s="17">
        <f>IF(AE12&lt;0,0,AD12-G12)</f>
        <v>0</v>
      </c>
      <c r="AG12" s="20">
        <f>AF12*I12/100</f>
        <v>0</v>
      </c>
      <c r="AH12" s="49">
        <v>7.2</v>
      </c>
      <c r="AI12" s="42">
        <f t="shared" si="1"/>
        <v>0</v>
      </c>
      <c r="AJ12" s="35">
        <f t="shared" si="2"/>
        <v>0</v>
      </c>
    </row>
    <row r="13" spans="1:39" x14ac:dyDescent="0.25">
      <c r="A13" s="25" t="s">
        <v>72</v>
      </c>
      <c r="B13" s="17" t="s">
        <v>10</v>
      </c>
      <c r="C13" s="17" t="s">
        <v>22</v>
      </c>
      <c r="D13" s="17" t="s">
        <v>12</v>
      </c>
      <c r="E13" s="18" t="s">
        <v>73</v>
      </c>
      <c r="F13" s="17" t="s">
        <v>14</v>
      </c>
      <c r="G13" s="17">
        <v>20</v>
      </c>
      <c r="H13" s="17" t="s">
        <v>15</v>
      </c>
      <c r="I13" s="39">
        <v>11</v>
      </c>
      <c r="J13" s="25">
        <v>0</v>
      </c>
      <c r="K13" s="17">
        <f>J13-G13</f>
        <v>-20</v>
      </c>
      <c r="L13" s="17">
        <f>IF(K13&lt;0,0,J13-G13)</f>
        <v>0</v>
      </c>
      <c r="M13" s="20">
        <f>L13*I13/100</f>
        <v>0</v>
      </c>
      <c r="N13" s="57">
        <v>8.4</v>
      </c>
      <c r="O13" s="25">
        <v>0</v>
      </c>
      <c r="P13" s="17">
        <f>O13-G13</f>
        <v>-20</v>
      </c>
      <c r="Q13" s="17">
        <f>IF(P13&lt;0,0,O13-G13)</f>
        <v>0</v>
      </c>
      <c r="R13" s="20">
        <f>Q13*I13/100</f>
        <v>0</v>
      </c>
      <c r="S13" s="57">
        <v>8.4</v>
      </c>
      <c r="T13" s="25">
        <v>0</v>
      </c>
      <c r="U13" s="17">
        <f>T13-G13</f>
        <v>-20</v>
      </c>
      <c r="V13" s="17">
        <f>IF(U13&lt;0,0,T13-G13)</f>
        <v>0</v>
      </c>
      <c r="W13" s="20">
        <f>V13*I13/100</f>
        <v>0</v>
      </c>
      <c r="X13" s="57">
        <v>8.4</v>
      </c>
      <c r="Y13" s="45"/>
      <c r="Z13" s="18"/>
      <c r="AA13" s="18"/>
      <c r="AB13" s="19"/>
      <c r="AC13" s="58"/>
      <c r="AD13" s="25">
        <v>0</v>
      </c>
      <c r="AE13" s="17">
        <f>AD13-G13</f>
        <v>-20</v>
      </c>
      <c r="AF13" s="18"/>
      <c r="AG13" s="19"/>
      <c r="AH13" s="50"/>
      <c r="AI13" s="42">
        <f t="shared" si="1"/>
        <v>0</v>
      </c>
      <c r="AJ13" s="35">
        <f t="shared" si="2"/>
        <v>0</v>
      </c>
      <c r="AM13" s="1" t="s">
        <v>265</v>
      </c>
    </row>
    <row r="14" spans="1:39" x14ac:dyDescent="0.25">
      <c r="A14" s="25" t="s">
        <v>76</v>
      </c>
      <c r="B14" s="17" t="s">
        <v>10</v>
      </c>
      <c r="C14" s="17" t="s">
        <v>22</v>
      </c>
      <c r="D14" s="17" t="s">
        <v>12</v>
      </c>
      <c r="E14" s="18" t="s">
        <v>73</v>
      </c>
      <c r="F14" s="17" t="s">
        <v>14</v>
      </c>
      <c r="G14" s="17">
        <v>20</v>
      </c>
      <c r="H14" s="17" t="s">
        <v>15</v>
      </c>
      <c r="I14" s="39">
        <v>11</v>
      </c>
      <c r="J14" s="45"/>
      <c r="K14" s="18"/>
      <c r="L14" s="18"/>
      <c r="M14" s="19"/>
      <c r="N14" s="58"/>
      <c r="O14" s="45"/>
      <c r="P14" s="18"/>
      <c r="Q14" s="18"/>
      <c r="R14" s="19"/>
      <c r="S14" s="58"/>
      <c r="T14" s="45"/>
      <c r="U14" s="18"/>
      <c r="V14" s="18"/>
      <c r="W14" s="19"/>
      <c r="X14" s="58"/>
      <c r="Y14" s="25">
        <v>0</v>
      </c>
      <c r="Z14" s="17">
        <f>Y14-G14</f>
        <v>-20</v>
      </c>
      <c r="AA14" s="17">
        <f>IF(Z14&lt;0,0,Y14-G14)</f>
        <v>0</v>
      </c>
      <c r="AB14" s="20">
        <f>AA14*I14/100</f>
        <v>0</v>
      </c>
      <c r="AC14" s="57">
        <v>8.4</v>
      </c>
      <c r="AD14" s="45"/>
      <c r="AE14" s="18"/>
      <c r="AF14" s="17">
        <f>IF(AE14&lt;0,0,AD14-G14)</f>
        <v>-20</v>
      </c>
      <c r="AG14" s="20">
        <f>AF14*I14/100</f>
        <v>-2.2000000000000002</v>
      </c>
      <c r="AH14" s="49">
        <v>8.4</v>
      </c>
      <c r="AI14" s="42">
        <f t="shared" si="1"/>
        <v>-20</v>
      </c>
      <c r="AJ14" s="35">
        <f t="shared" si="2"/>
        <v>-18.480000000000004</v>
      </c>
      <c r="AM14" s="1" t="s">
        <v>266</v>
      </c>
    </row>
    <row r="15" spans="1:39" x14ac:dyDescent="0.25">
      <c r="A15" s="25"/>
      <c r="B15" s="66" t="s">
        <v>282</v>
      </c>
      <c r="C15" s="17"/>
      <c r="D15" s="17"/>
      <c r="E15" s="18"/>
      <c r="F15" s="17"/>
      <c r="G15" s="17"/>
      <c r="H15" s="17"/>
      <c r="I15" s="39"/>
      <c r="J15" s="67">
        <f t="shared" ref="J15:AJ15" si="3">SUM(J13:J14)</f>
        <v>0</v>
      </c>
      <c r="K15" s="68">
        <f t="shared" si="3"/>
        <v>-20</v>
      </c>
      <c r="L15" s="68">
        <f t="shared" si="3"/>
        <v>0</v>
      </c>
      <c r="M15" s="69">
        <f t="shared" si="3"/>
        <v>0</v>
      </c>
      <c r="N15" s="70">
        <f t="shared" si="3"/>
        <v>8.4</v>
      </c>
      <c r="O15" s="67">
        <f t="shared" si="3"/>
        <v>0</v>
      </c>
      <c r="P15" s="68">
        <f t="shared" si="3"/>
        <v>-20</v>
      </c>
      <c r="Q15" s="68">
        <f t="shared" si="3"/>
        <v>0</v>
      </c>
      <c r="R15" s="69">
        <f t="shared" si="3"/>
        <v>0</v>
      </c>
      <c r="S15" s="70">
        <f t="shared" si="3"/>
        <v>8.4</v>
      </c>
      <c r="T15" s="67">
        <f t="shared" si="3"/>
        <v>0</v>
      </c>
      <c r="U15" s="68">
        <f t="shared" si="3"/>
        <v>-20</v>
      </c>
      <c r="V15" s="68">
        <f t="shared" si="3"/>
        <v>0</v>
      </c>
      <c r="W15" s="69">
        <f t="shared" si="3"/>
        <v>0</v>
      </c>
      <c r="X15" s="70">
        <f t="shared" si="3"/>
        <v>8.4</v>
      </c>
      <c r="Y15" s="71">
        <f t="shared" si="3"/>
        <v>0</v>
      </c>
      <c r="Z15" s="66">
        <f t="shared" si="3"/>
        <v>-20</v>
      </c>
      <c r="AA15" s="66">
        <f t="shared" si="3"/>
        <v>0</v>
      </c>
      <c r="AB15" s="72">
        <f t="shared" si="3"/>
        <v>0</v>
      </c>
      <c r="AC15" s="73">
        <f t="shared" si="3"/>
        <v>8.4</v>
      </c>
      <c r="AD15" s="67">
        <f t="shared" si="3"/>
        <v>0</v>
      </c>
      <c r="AE15" s="68">
        <f t="shared" si="3"/>
        <v>-20</v>
      </c>
      <c r="AF15" s="66">
        <f t="shared" si="3"/>
        <v>-20</v>
      </c>
      <c r="AG15" s="72">
        <f t="shared" si="3"/>
        <v>-2.2000000000000002</v>
      </c>
      <c r="AH15" s="74">
        <f t="shared" si="3"/>
        <v>8.4</v>
      </c>
      <c r="AI15" s="75">
        <f t="shared" si="3"/>
        <v>-20</v>
      </c>
      <c r="AJ15" s="76">
        <f t="shared" si="3"/>
        <v>-18.480000000000004</v>
      </c>
    </row>
    <row r="16" spans="1:39" x14ac:dyDescent="0.25">
      <c r="A16" s="25" t="s">
        <v>9</v>
      </c>
      <c r="B16" s="17" t="s">
        <v>10</v>
      </c>
      <c r="C16" s="17" t="s">
        <v>11</v>
      </c>
      <c r="D16" s="17" t="s">
        <v>12</v>
      </c>
      <c r="E16" s="18" t="s">
        <v>13</v>
      </c>
      <c r="F16" s="17" t="s">
        <v>14</v>
      </c>
      <c r="G16" s="17">
        <v>20</v>
      </c>
      <c r="H16" s="17" t="s">
        <v>15</v>
      </c>
      <c r="I16" s="39">
        <v>6.5</v>
      </c>
      <c r="J16" s="45"/>
      <c r="K16" s="18"/>
      <c r="L16" s="18"/>
      <c r="M16" s="19"/>
      <c r="N16" s="58"/>
      <c r="O16" s="25">
        <v>0</v>
      </c>
      <c r="P16" s="17">
        <f>O16-G16</f>
        <v>-20</v>
      </c>
      <c r="Q16" s="17">
        <f>IF(P16&lt;0,0,O16-G16)</f>
        <v>0</v>
      </c>
      <c r="R16" s="20">
        <f>Q16*I16/100</f>
        <v>0</v>
      </c>
      <c r="S16" s="57">
        <v>8.4</v>
      </c>
      <c r="T16" s="25">
        <v>0</v>
      </c>
      <c r="U16" s="17">
        <f>T16-G16</f>
        <v>-20</v>
      </c>
      <c r="V16" s="17">
        <f>IF(U16&lt;0,0,T16-G16)</f>
        <v>0</v>
      </c>
      <c r="W16" s="20">
        <f>V16*I16/100</f>
        <v>0</v>
      </c>
      <c r="X16" s="57">
        <v>8.4</v>
      </c>
      <c r="Y16" s="25">
        <v>20</v>
      </c>
      <c r="Z16" s="17">
        <f>Y16-G16</f>
        <v>0</v>
      </c>
      <c r="AA16" s="17">
        <f>IF(Z16&lt;0,0,Y16-G16)</f>
        <v>0</v>
      </c>
      <c r="AB16" s="20">
        <f>AA16*I16/100</f>
        <v>0</v>
      </c>
      <c r="AC16" s="57">
        <v>8.4</v>
      </c>
      <c r="AD16" s="45"/>
      <c r="AE16" s="18"/>
      <c r="AF16" s="17">
        <f t="shared" ref="AF16:AF22" si="4">IF(AE16&lt;0,0,AD16-G16)</f>
        <v>-20</v>
      </c>
      <c r="AG16" s="20">
        <f t="shared" ref="AG16:AG22" si="5">AF16*I16/100</f>
        <v>-1.3</v>
      </c>
      <c r="AH16" s="49">
        <v>8.4</v>
      </c>
      <c r="AI16" s="42">
        <f t="shared" ref="AI16:AI40" si="6">AF16+AA16+V16+Q16+L16</f>
        <v>-20</v>
      </c>
      <c r="AJ16" s="35">
        <f t="shared" ref="AJ16:AJ40" si="7">AG16*AH16+AB16*AC16+W16*X16+R16*S16+M16*N16</f>
        <v>-10.920000000000002</v>
      </c>
      <c r="AM16" s="1" t="s">
        <v>267</v>
      </c>
    </row>
    <row r="17" spans="1:39" x14ac:dyDescent="0.25">
      <c r="A17" s="25" t="s">
        <v>70</v>
      </c>
      <c r="B17" s="17" t="s">
        <v>10</v>
      </c>
      <c r="C17" s="17" t="s">
        <v>22</v>
      </c>
      <c r="D17" s="17" t="s">
        <v>12</v>
      </c>
      <c r="E17" s="18" t="s">
        <v>71</v>
      </c>
      <c r="F17" s="17" t="s">
        <v>14</v>
      </c>
      <c r="G17" s="17">
        <v>20</v>
      </c>
      <c r="H17" s="17" t="s">
        <v>15</v>
      </c>
      <c r="I17" s="39">
        <v>11</v>
      </c>
      <c r="J17" s="45"/>
      <c r="K17" s="18"/>
      <c r="L17" s="18"/>
      <c r="M17" s="19"/>
      <c r="N17" s="58"/>
      <c r="O17" s="45"/>
      <c r="P17" s="18"/>
      <c r="Q17" s="18"/>
      <c r="R17" s="19"/>
      <c r="S17" s="58"/>
      <c r="T17" s="45"/>
      <c r="U17" s="18"/>
      <c r="V17" s="18"/>
      <c r="W17" s="19"/>
      <c r="X17" s="58"/>
      <c r="Y17" s="45"/>
      <c r="Z17" s="18"/>
      <c r="AA17" s="18"/>
      <c r="AB17" s="19"/>
      <c r="AC17" s="58"/>
      <c r="AD17" s="25">
        <v>0</v>
      </c>
      <c r="AE17" s="17">
        <f>AD17-G17</f>
        <v>-20</v>
      </c>
      <c r="AF17" s="17">
        <f t="shared" si="4"/>
        <v>0</v>
      </c>
      <c r="AG17" s="20">
        <f t="shared" si="5"/>
        <v>0</v>
      </c>
      <c r="AH17" s="49">
        <v>8.4</v>
      </c>
      <c r="AI17" s="42">
        <f t="shared" si="6"/>
        <v>0</v>
      </c>
      <c r="AJ17" s="35">
        <f t="shared" si="7"/>
        <v>0</v>
      </c>
      <c r="AM17" s="1" t="s">
        <v>268</v>
      </c>
    </row>
    <row r="18" spans="1:39" x14ac:dyDescent="0.25">
      <c r="A18" s="25" t="s">
        <v>65</v>
      </c>
      <c r="B18" s="17" t="s">
        <v>17</v>
      </c>
      <c r="C18" s="17" t="s">
        <v>66</v>
      </c>
      <c r="D18" s="17" t="s">
        <v>12</v>
      </c>
      <c r="E18" s="18" t="s">
        <v>67</v>
      </c>
      <c r="F18" s="17" t="s">
        <v>14</v>
      </c>
      <c r="G18" s="17">
        <v>20</v>
      </c>
      <c r="H18" s="17" t="s">
        <v>38</v>
      </c>
      <c r="I18" s="39">
        <v>6.5</v>
      </c>
      <c r="J18" s="25">
        <v>340</v>
      </c>
      <c r="K18" s="17">
        <f t="shared" ref="K18:K26" si="8">J18-G18</f>
        <v>320</v>
      </c>
      <c r="L18" s="17">
        <f t="shared" ref="L18:L26" si="9">IF(K18&lt;0,0,J18-G18)</f>
        <v>320</v>
      </c>
      <c r="M18" s="20">
        <f t="shared" ref="M18:M26" si="10">L18*I18/100</f>
        <v>20.8</v>
      </c>
      <c r="N18" s="57">
        <v>7.3</v>
      </c>
      <c r="O18" s="25">
        <v>198</v>
      </c>
      <c r="P18" s="17">
        <f t="shared" ref="P18:P24" si="11">O18-G18</f>
        <v>178</v>
      </c>
      <c r="Q18" s="17">
        <f t="shared" ref="Q18:Q24" si="12">IF(P18&lt;0,0,O18-G18)</f>
        <v>178</v>
      </c>
      <c r="R18" s="20">
        <f t="shared" ref="R18:R24" si="13">Q18*I18/100</f>
        <v>11.57</v>
      </c>
      <c r="S18" s="57">
        <v>7.2</v>
      </c>
      <c r="T18" s="45"/>
      <c r="U18" s="18"/>
      <c r="V18" s="18"/>
      <c r="W18" s="19"/>
      <c r="X18" s="58"/>
      <c r="Y18" s="45"/>
      <c r="Z18" s="18"/>
      <c r="AA18" s="18"/>
      <c r="AB18" s="19"/>
      <c r="AC18" s="58"/>
      <c r="AD18" s="25">
        <v>327</v>
      </c>
      <c r="AE18" s="17">
        <f>AD18-G18</f>
        <v>307</v>
      </c>
      <c r="AF18" s="17">
        <f t="shared" si="4"/>
        <v>307</v>
      </c>
      <c r="AG18" s="20">
        <f t="shared" si="5"/>
        <v>19.954999999999998</v>
      </c>
      <c r="AH18" s="49">
        <v>8.4</v>
      </c>
      <c r="AI18" s="42">
        <f t="shared" si="6"/>
        <v>805</v>
      </c>
      <c r="AJ18" s="35">
        <f t="shared" si="7"/>
        <v>402.76599999999996</v>
      </c>
      <c r="AM18" s="1" t="s">
        <v>269</v>
      </c>
    </row>
    <row r="19" spans="1:39" x14ac:dyDescent="0.25">
      <c r="A19" s="25" t="s">
        <v>82</v>
      </c>
      <c r="B19" s="17" t="s">
        <v>10</v>
      </c>
      <c r="C19" s="17" t="s">
        <v>11</v>
      </c>
      <c r="D19" s="17" t="s">
        <v>12</v>
      </c>
      <c r="E19" s="18" t="s">
        <v>83</v>
      </c>
      <c r="F19" s="17" t="s">
        <v>14</v>
      </c>
      <c r="G19" s="17">
        <v>20</v>
      </c>
      <c r="H19" s="17" t="s">
        <v>15</v>
      </c>
      <c r="I19" s="39">
        <v>6.5</v>
      </c>
      <c r="J19" s="25">
        <v>0</v>
      </c>
      <c r="K19" s="17">
        <f t="shared" si="8"/>
        <v>-20</v>
      </c>
      <c r="L19" s="17">
        <f t="shared" si="9"/>
        <v>0</v>
      </c>
      <c r="M19" s="20">
        <f t="shared" si="10"/>
        <v>0</v>
      </c>
      <c r="N19" s="57">
        <v>8.4</v>
      </c>
      <c r="O19" s="25">
        <v>81</v>
      </c>
      <c r="P19" s="17">
        <f t="shared" si="11"/>
        <v>61</v>
      </c>
      <c r="Q19" s="17">
        <f t="shared" si="12"/>
        <v>61</v>
      </c>
      <c r="R19" s="20">
        <f t="shared" si="13"/>
        <v>3.9649999999999999</v>
      </c>
      <c r="S19" s="57">
        <v>8.4</v>
      </c>
      <c r="T19" s="25">
        <v>0</v>
      </c>
      <c r="U19" s="17">
        <f>T19-G19</f>
        <v>-20</v>
      </c>
      <c r="V19" s="17">
        <f>IF(U19&lt;0,0,T19-G19)</f>
        <v>0</v>
      </c>
      <c r="W19" s="20">
        <f>V19*I19/100</f>
        <v>0</v>
      </c>
      <c r="X19" s="57">
        <v>8.4</v>
      </c>
      <c r="Y19" s="25">
        <v>9</v>
      </c>
      <c r="Z19" s="17">
        <f>Y19-G19</f>
        <v>-11</v>
      </c>
      <c r="AA19" s="17">
        <f>IF(Z19&lt;0,0,Y19-G19)</f>
        <v>0</v>
      </c>
      <c r="AB19" s="20">
        <f>AA19*I19/100</f>
        <v>0</v>
      </c>
      <c r="AC19" s="57">
        <v>8.4</v>
      </c>
      <c r="AD19" s="25">
        <v>9</v>
      </c>
      <c r="AE19" s="17">
        <f>AD19-G19</f>
        <v>-11</v>
      </c>
      <c r="AF19" s="17">
        <f t="shared" si="4"/>
        <v>0</v>
      </c>
      <c r="AG19" s="20">
        <f t="shared" si="5"/>
        <v>0</v>
      </c>
      <c r="AH19" s="49">
        <v>8.4</v>
      </c>
      <c r="AI19" s="42">
        <f t="shared" si="6"/>
        <v>61</v>
      </c>
      <c r="AJ19" s="35">
        <f t="shared" si="7"/>
        <v>33.305999999999997</v>
      </c>
      <c r="AM19" s="1" t="s">
        <v>270</v>
      </c>
    </row>
    <row r="20" spans="1:39" x14ac:dyDescent="0.25">
      <c r="A20" s="25" t="s">
        <v>78</v>
      </c>
      <c r="B20" s="17" t="s">
        <v>10</v>
      </c>
      <c r="C20" s="17" t="s">
        <v>22</v>
      </c>
      <c r="D20" s="17" t="s">
        <v>12</v>
      </c>
      <c r="E20" s="18" t="s">
        <v>79</v>
      </c>
      <c r="F20" s="17" t="s">
        <v>14</v>
      </c>
      <c r="G20" s="17">
        <v>20</v>
      </c>
      <c r="H20" s="17" t="s">
        <v>15</v>
      </c>
      <c r="I20" s="39">
        <v>11</v>
      </c>
      <c r="J20" s="25">
        <v>134</v>
      </c>
      <c r="K20" s="17">
        <f t="shared" si="8"/>
        <v>114</v>
      </c>
      <c r="L20" s="17">
        <f t="shared" si="9"/>
        <v>114</v>
      </c>
      <c r="M20" s="20">
        <f t="shared" si="10"/>
        <v>12.54</v>
      </c>
      <c r="N20" s="57">
        <v>8.4</v>
      </c>
      <c r="O20" s="25">
        <v>0</v>
      </c>
      <c r="P20" s="17">
        <f t="shared" si="11"/>
        <v>-20</v>
      </c>
      <c r="Q20" s="17">
        <f t="shared" si="12"/>
        <v>0</v>
      </c>
      <c r="R20" s="20">
        <f t="shared" si="13"/>
        <v>0</v>
      </c>
      <c r="S20" s="57">
        <v>8.4</v>
      </c>
      <c r="T20" s="45"/>
      <c r="U20" s="18"/>
      <c r="V20" s="18"/>
      <c r="W20" s="19"/>
      <c r="X20" s="58"/>
      <c r="Y20" s="45"/>
      <c r="Z20" s="18"/>
      <c r="AA20" s="18"/>
      <c r="AB20" s="19"/>
      <c r="AC20" s="58"/>
      <c r="AD20" s="45"/>
      <c r="AE20" s="18"/>
      <c r="AF20" s="17">
        <f t="shared" si="4"/>
        <v>-20</v>
      </c>
      <c r="AG20" s="20">
        <f t="shared" si="5"/>
        <v>-2.2000000000000002</v>
      </c>
      <c r="AH20" s="49">
        <v>8.4</v>
      </c>
      <c r="AI20" s="42">
        <f t="shared" si="6"/>
        <v>94</v>
      </c>
      <c r="AJ20" s="35">
        <f t="shared" si="7"/>
        <v>86.855999999999995</v>
      </c>
      <c r="AM20" s="1" t="s">
        <v>271</v>
      </c>
    </row>
    <row r="21" spans="1:39" x14ac:dyDescent="0.25">
      <c r="A21" s="25" t="s">
        <v>90</v>
      </c>
      <c r="B21" s="17" t="s">
        <v>10</v>
      </c>
      <c r="C21" s="17" t="s">
        <v>11</v>
      </c>
      <c r="D21" s="17" t="s">
        <v>12</v>
      </c>
      <c r="E21" s="18" t="s">
        <v>91</v>
      </c>
      <c r="F21" s="17" t="s">
        <v>14</v>
      </c>
      <c r="G21" s="17">
        <v>20</v>
      </c>
      <c r="H21" s="17" t="s">
        <v>15</v>
      </c>
      <c r="I21" s="39">
        <v>6.5</v>
      </c>
      <c r="J21" s="25">
        <v>0</v>
      </c>
      <c r="K21" s="17">
        <f t="shared" si="8"/>
        <v>-20</v>
      </c>
      <c r="L21" s="17">
        <f t="shared" si="9"/>
        <v>0</v>
      </c>
      <c r="M21" s="20">
        <f t="shared" si="10"/>
        <v>0</v>
      </c>
      <c r="N21" s="57">
        <v>8.4</v>
      </c>
      <c r="O21" s="25">
        <v>8</v>
      </c>
      <c r="P21" s="17">
        <f t="shared" si="11"/>
        <v>-12</v>
      </c>
      <c r="Q21" s="17">
        <f t="shared" si="12"/>
        <v>0</v>
      </c>
      <c r="R21" s="20">
        <f t="shared" si="13"/>
        <v>0</v>
      </c>
      <c r="S21" s="57">
        <v>8.4</v>
      </c>
      <c r="T21" s="25">
        <v>15</v>
      </c>
      <c r="U21" s="17">
        <f t="shared" ref="U21:U35" si="14">T21-G21</f>
        <v>-5</v>
      </c>
      <c r="V21" s="17">
        <f t="shared" ref="V21:V35" si="15">IF(U21&lt;0,0,T21-G21)</f>
        <v>0</v>
      </c>
      <c r="W21" s="20">
        <f t="shared" ref="W21:W35" si="16">V21*I21/100</f>
        <v>0</v>
      </c>
      <c r="X21" s="57">
        <v>8.4</v>
      </c>
      <c r="Y21" s="25">
        <v>412</v>
      </c>
      <c r="Z21" s="17">
        <f t="shared" ref="Z21:Z26" si="17">Y21-G21</f>
        <v>392</v>
      </c>
      <c r="AA21" s="17">
        <f t="shared" ref="AA21:AA26" si="18">IF(Z21&lt;0,0,Y21-G21)</f>
        <v>392</v>
      </c>
      <c r="AB21" s="20">
        <f t="shared" ref="AB21:AB26" si="19">AA21*I21/100</f>
        <v>25.48</v>
      </c>
      <c r="AC21" s="57">
        <v>8.4</v>
      </c>
      <c r="AD21" s="25">
        <v>64</v>
      </c>
      <c r="AE21" s="17">
        <f t="shared" ref="AE21:AE29" si="20">AD21-G21</f>
        <v>44</v>
      </c>
      <c r="AF21" s="17">
        <f t="shared" si="4"/>
        <v>44</v>
      </c>
      <c r="AG21" s="20">
        <f t="shared" si="5"/>
        <v>2.86</v>
      </c>
      <c r="AH21" s="49">
        <v>8.4</v>
      </c>
      <c r="AI21" s="42">
        <f t="shared" si="6"/>
        <v>436</v>
      </c>
      <c r="AJ21" s="35">
        <f t="shared" si="7"/>
        <v>238.05600000000001</v>
      </c>
      <c r="AM21" s="1" t="s">
        <v>272</v>
      </c>
    </row>
    <row r="22" spans="1:39" x14ac:dyDescent="0.25">
      <c r="A22" s="25" t="s">
        <v>59</v>
      </c>
      <c r="B22" s="17" t="s">
        <v>32</v>
      </c>
      <c r="C22" s="17">
        <v>308</v>
      </c>
      <c r="D22" s="17" t="s">
        <v>12</v>
      </c>
      <c r="E22" s="18" t="s">
        <v>60</v>
      </c>
      <c r="F22" s="17" t="s">
        <v>14</v>
      </c>
      <c r="G22" s="17">
        <v>20</v>
      </c>
      <c r="H22" s="17" t="s">
        <v>15</v>
      </c>
      <c r="I22" s="39">
        <v>6.5</v>
      </c>
      <c r="J22" s="25">
        <v>85</v>
      </c>
      <c r="K22" s="17">
        <f t="shared" si="8"/>
        <v>65</v>
      </c>
      <c r="L22" s="17">
        <f t="shared" si="9"/>
        <v>65</v>
      </c>
      <c r="M22" s="20">
        <f t="shared" si="10"/>
        <v>4.2249999999999996</v>
      </c>
      <c r="N22" s="57">
        <v>8.4</v>
      </c>
      <c r="O22" s="25">
        <v>59</v>
      </c>
      <c r="P22" s="17">
        <f t="shared" si="11"/>
        <v>39</v>
      </c>
      <c r="Q22" s="17">
        <f t="shared" si="12"/>
        <v>39</v>
      </c>
      <c r="R22" s="20">
        <f t="shared" si="13"/>
        <v>2.5350000000000001</v>
      </c>
      <c r="S22" s="57">
        <v>8.4</v>
      </c>
      <c r="T22" s="25">
        <v>17</v>
      </c>
      <c r="U22" s="17">
        <f t="shared" si="14"/>
        <v>-3</v>
      </c>
      <c r="V22" s="17">
        <f t="shared" si="15"/>
        <v>0</v>
      </c>
      <c r="W22" s="20">
        <f t="shared" si="16"/>
        <v>0</v>
      </c>
      <c r="X22" s="57">
        <v>8.4</v>
      </c>
      <c r="Y22" s="25">
        <v>17</v>
      </c>
      <c r="Z22" s="17">
        <f t="shared" si="17"/>
        <v>-3</v>
      </c>
      <c r="AA22" s="17">
        <f t="shared" si="18"/>
        <v>0</v>
      </c>
      <c r="AB22" s="20">
        <f t="shared" si="19"/>
        <v>0</v>
      </c>
      <c r="AC22" s="57">
        <v>8.4</v>
      </c>
      <c r="AD22" s="25">
        <v>0</v>
      </c>
      <c r="AE22" s="17">
        <f t="shared" si="20"/>
        <v>-20</v>
      </c>
      <c r="AF22" s="17">
        <f t="shared" si="4"/>
        <v>0</v>
      </c>
      <c r="AG22" s="20">
        <f t="shared" si="5"/>
        <v>0</v>
      </c>
      <c r="AH22" s="49">
        <v>8.4</v>
      </c>
      <c r="AI22" s="42">
        <f t="shared" si="6"/>
        <v>104</v>
      </c>
      <c r="AJ22" s="35">
        <f t="shared" si="7"/>
        <v>56.784000000000006</v>
      </c>
      <c r="AM22" s="1" t="s">
        <v>273</v>
      </c>
    </row>
    <row r="23" spans="1:39" x14ac:dyDescent="0.25">
      <c r="A23" s="25" t="s">
        <v>47</v>
      </c>
      <c r="B23" s="17" t="s">
        <v>32</v>
      </c>
      <c r="C23" s="17">
        <v>308</v>
      </c>
      <c r="D23" s="17" t="s">
        <v>12</v>
      </c>
      <c r="E23" s="17" t="s">
        <v>48</v>
      </c>
      <c r="F23" s="17" t="s">
        <v>14</v>
      </c>
      <c r="G23" s="17">
        <v>20</v>
      </c>
      <c r="H23" s="17" t="s">
        <v>15</v>
      </c>
      <c r="I23" s="39">
        <v>6.5</v>
      </c>
      <c r="J23" s="25">
        <v>0</v>
      </c>
      <c r="K23" s="17">
        <f t="shared" si="8"/>
        <v>-20</v>
      </c>
      <c r="L23" s="17">
        <f t="shared" si="9"/>
        <v>0</v>
      </c>
      <c r="M23" s="20">
        <f t="shared" si="10"/>
        <v>0</v>
      </c>
      <c r="N23" s="57">
        <v>8.4</v>
      </c>
      <c r="O23" s="25">
        <v>0</v>
      </c>
      <c r="P23" s="17">
        <f t="shared" si="11"/>
        <v>-20</v>
      </c>
      <c r="Q23" s="17">
        <f t="shared" si="12"/>
        <v>0</v>
      </c>
      <c r="R23" s="20">
        <f t="shared" si="13"/>
        <v>0</v>
      </c>
      <c r="S23" s="57">
        <v>8.4</v>
      </c>
      <c r="T23" s="25">
        <v>0</v>
      </c>
      <c r="U23" s="17">
        <f t="shared" si="14"/>
        <v>-20</v>
      </c>
      <c r="V23" s="17">
        <f t="shared" si="15"/>
        <v>0</v>
      </c>
      <c r="W23" s="20">
        <f t="shared" si="16"/>
        <v>0</v>
      </c>
      <c r="X23" s="57">
        <v>8.4</v>
      </c>
      <c r="Y23" s="25">
        <v>0</v>
      </c>
      <c r="Z23" s="17">
        <f t="shared" si="17"/>
        <v>-20</v>
      </c>
      <c r="AA23" s="17">
        <f t="shared" si="18"/>
        <v>0</v>
      </c>
      <c r="AB23" s="20">
        <f t="shared" si="19"/>
        <v>0</v>
      </c>
      <c r="AC23" s="57">
        <v>8.4</v>
      </c>
      <c r="AD23" s="25">
        <v>0</v>
      </c>
      <c r="AE23" s="17">
        <f t="shared" si="20"/>
        <v>-20</v>
      </c>
      <c r="AF23" s="18"/>
      <c r="AG23" s="19"/>
      <c r="AH23" s="50"/>
      <c r="AI23" s="42">
        <f t="shared" si="6"/>
        <v>0</v>
      </c>
      <c r="AJ23" s="35">
        <f t="shared" si="7"/>
        <v>0</v>
      </c>
      <c r="AM23" s="1" t="s">
        <v>274</v>
      </c>
    </row>
    <row r="24" spans="1:39" x14ac:dyDescent="0.25">
      <c r="A24" s="25" t="s">
        <v>54</v>
      </c>
      <c r="B24" s="17" t="s">
        <v>10</v>
      </c>
      <c r="C24" s="17" t="s">
        <v>22</v>
      </c>
      <c r="D24" s="17" t="s">
        <v>12</v>
      </c>
      <c r="E24" s="17" t="s">
        <v>55</v>
      </c>
      <c r="F24" s="17" t="s">
        <v>14</v>
      </c>
      <c r="G24" s="17">
        <v>20</v>
      </c>
      <c r="H24" s="17" t="s">
        <v>15</v>
      </c>
      <c r="I24" s="39">
        <v>11</v>
      </c>
      <c r="J24" s="25">
        <v>0</v>
      </c>
      <c r="K24" s="17">
        <f t="shared" si="8"/>
        <v>-20</v>
      </c>
      <c r="L24" s="17">
        <f t="shared" si="9"/>
        <v>0</v>
      </c>
      <c r="M24" s="20">
        <f t="shared" si="10"/>
        <v>0</v>
      </c>
      <c r="N24" s="57">
        <v>8.4</v>
      </c>
      <c r="O24" s="25">
        <v>0</v>
      </c>
      <c r="P24" s="17">
        <f t="shared" si="11"/>
        <v>-20</v>
      </c>
      <c r="Q24" s="17">
        <f t="shared" si="12"/>
        <v>0</v>
      </c>
      <c r="R24" s="20">
        <f t="shared" si="13"/>
        <v>0</v>
      </c>
      <c r="S24" s="57">
        <v>8.4</v>
      </c>
      <c r="T24" s="25">
        <v>0</v>
      </c>
      <c r="U24" s="17">
        <f t="shared" si="14"/>
        <v>-20</v>
      </c>
      <c r="V24" s="17">
        <f t="shared" si="15"/>
        <v>0</v>
      </c>
      <c r="W24" s="20">
        <f t="shared" si="16"/>
        <v>0</v>
      </c>
      <c r="X24" s="57">
        <v>8.4</v>
      </c>
      <c r="Y24" s="25">
        <v>0</v>
      </c>
      <c r="Z24" s="17">
        <f t="shared" si="17"/>
        <v>-20</v>
      </c>
      <c r="AA24" s="17">
        <f t="shared" si="18"/>
        <v>0</v>
      </c>
      <c r="AB24" s="20">
        <f t="shared" si="19"/>
        <v>0</v>
      </c>
      <c r="AC24" s="57">
        <v>8.4</v>
      </c>
      <c r="AD24" s="25">
        <v>0</v>
      </c>
      <c r="AE24" s="17">
        <f t="shared" si="20"/>
        <v>-20</v>
      </c>
      <c r="AF24" s="17">
        <f>IF(AE24&lt;0,0,AD24-G24)</f>
        <v>0</v>
      </c>
      <c r="AG24" s="20">
        <f>AF24*I24/100</f>
        <v>0</v>
      </c>
      <c r="AH24" s="49">
        <v>8.4</v>
      </c>
      <c r="AI24" s="42">
        <f t="shared" si="6"/>
        <v>0</v>
      </c>
      <c r="AJ24" s="35">
        <f t="shared" si="7"/>
        <v>0</v>
      </c>
      <c r="AM24" s="1" t="s">
        <v>275</v>
      </c>
    </row>
    <row r="25" spans="1:39" x14ac:dyDescent="0.25">
      <c r="A25" s="25" t="s">
        <v>56</v>
      </c>
      <c r="B25" s="17" t="s">
        <v>10</v>
      </c>
      <c r="C25" s="17" t="s">
        <v>22</v>
      </c>
      <c r="D25" s="17" t="s">
        <v>12</v>
      </c>
      <c r="E25" s="18" t="s">
        <v>57</v>
      </c>
      <c r="F25" s="17" t="s">
        <v>14</v>
      </c>
      <c r="G25" s="17">
        <v>20</v>
      </c>
      <c r="H25" s="17" t="s">
        <v>15</v>
      </c>
      <c r="I25" s="39">
        <v>11</v>
      </c>
      <c r="J25" s="25">
        <v>0</v>
      </c>
      <c r="K25" s="17">
        <f t="shared" si="8"/>
        <v>-20</v>
      </c>
      <c r="L25" s="17">
        <f t="shared" si="9"/>
        <v>0</v>
      </c>
      <c r="M25" s="20">
        <f t="shared" si="10"/>
        <v>0</v>
      </c>
      <c r="N25" s="57">
        <v>8.4</v>
      </c>
      <c r="O25" s="45"/>
      <c r="P25" s="18"/>
      <c r="Q25" s="18"/>
      <c r="R25" s="19"/>
      <c r="S25" s="58"/>
      <c r="T25" s="25">
        <v>22</v>
      </c>
      <c r="U25" s="17">
        <f t="shared" si="14"/>
        <v>2</v>
      </c>
      <c r="V25" s="17">
        <f t="shared" si="15"/>
        <v>2</v>
      </c>
      <c r="W25" s="20">
        <f t="shared" si="16"/>
        <v>0.22</v>
      </c>
      <c r="X25" s="57">
        <v>8.4</v>
      </c>
      <c r="Y25" s="25">
        <v>0</v>
      </c>
      <c r="Z25" s="17">
        <f t="shared" si="17"/>
        <v>-20</v>
      </c>
      <c r="AA25" s="17">
        <f t="shared" si="18"/>
        <v>0</v>
      </c>
      <c r="AB25" s="20">
        <f t="shared" si="19"/>
        <v>0</v>
      </c>
      <c r="AC25" s="57">
        <v>8.4</v>
      </c>
      <c r="AD25" s="25">
        <v>0</v>
      </c>
      <c r="AE25" s="17">
        <f t="shared" si="20"/>
        <v>-20</v>
      </c>
      <c r="AF25" s="17">
        <f>IF(AE25&lt;0,0,AD25-G25)</f>
        <v>0</v>
      </c>
      <c r="AG25" s="20">
        <f>AF25*I25/100</f>
        <v>0</v>
      </c>
      <c r="AH25" s="49">
        <v>8.4</v>
      </c>
      <c r="AI25" s="42">
        <f t="shared" si="6"/>
        <v>2</v>
      </c>
      <c r="AJ25" s="35">
        <f t="shared" si="7"/>
        <v>1.8480000000000001</v>
      </c>
      <c r="AM25" s="1" t="s">
        <v>276</v>
      </c>
    </row>
    <row r="26" spans="1:39" x14ac:dyDescent="0.25">
      <c r="A26" s="25" t="s">
        <v>45</v>
      </c>
      <c r="B26" s="17" t="s">
        <v>32</v>
      </c>
      <c r="C26" s="17">
        <v>308</v>
      </c>
      <c r="D26" s="17" t="s">
        <v>12</v>
      </c>
      <c r="E26" s="17" t="s">
        <v>46</v>
      </c>
      <c r="F26" s="17" t="s">
        <v>14</v>
      </c>
      <c r="G26" s="17">
        <v>20</v>
      </c>
      <c r="H26" s="17" t="s">
        <v>15</v>
      </c>
      <c r="I26" s="39">
        <v>6.5</v>
      </c>
      <c r="J26" s="25">
        <v>25</v>
      </c>
      <c r="K26" s="17">
        <f t="shared" si="8"/>
        <v>5</v>
      </c>
      <c r="L26" s="17">
        <f t="shared" si="9"/>
        <v>5</v>
      </c>
      <c r="M26" s="20">
        <f t="shared" si="10"/>
        <v>0.32500000000000001</v>
      </c>
      <c r="N26" s="57">
        <v>8.4</v>
      </c>
      <c r="O26" s="25">
        <v>0</v>
      </c>
      <c r="P26" s="17">
        <f t="shared" ref="P26:P39" si="21">O26-G26</f>
        <v>-20</v>
      </c>
      <c r="Q26" s="17">
        <f t="shared" ref="Q26:Q39" si="22">IF(P26&lt;0,0,O26-G26)</f>
        <v>0</v>
      </c>
      <c r="R26" s="20">
        <f t="shared" ref="R26:R39" si="23">Q26*I26/100</f>
        <v>0</v>
      </c>
      <c r="S26" s="57">
        <v>8.4</v>
      </c>
      <c r="T26" s="25">
        <v>0</v>
      </c>
      <c r="U26" s="17">
        <f t="shared" si="14"/>
        <v>-20</v>
      </c>
      <c r="V26" s="17">
        <f t="shared" si="15"/>
        <v>0</v>
      </c>
      <c r="W26" s="20">
        <f t="shared" si="16"/>
        <v>0</v>
      </c>
      <c r="X26" s="57">
        <v>8.4</v>
      </c>
      <c r="Y26" s="25">
        <v>0</v>
      </c>
      <c r="Z26" s="17">
        <f t="shared" si="17"/>
        <v>-20</v>
      </c>
      <c r="AA26" s="17">
        <f t="shared" si="18"/>
        <v>0</v>
      </c>
      <c r="AB26" s="20">
        <f t="shared" si="19"/>
        <v>0</v>
      </c>
      <c r="AC26" s="57">
        <v>8.4</v>
      </c>
      <c r="AD26" s="25">
        <v>1</v>
      </c>
      <c r="AE26" s="17">
        <f t="shared" si="20"/>
        <v>-19</v>
      </c>
      <c r="AF26" s="17">
        <f>IF(AE26&lt;0,0,AD26-G26)</f>
        <v>0</v>
      </c>
      <c r="AG26" s="20">
        <f>AF26*I26/100</f>
        <v>0</v>
      </c>
      <c r="AH26" s="49">
        <v>8.4</v>
      </c>
      <c r="AI26" s="42">
        <f t="shared" si="6"/>
        <v>5</v>
      </c>
      <c r="AJ26" s="35">
        <f t="shared" si="7"/>
        <v>2.7300000000000004</v>
      </c>
      <c r="AM26" s="1" t="s">
        <v>277</v>
      </c>
    </row>
    <row r="27" spans="1:39" x14ac:dyDescent="0.25">
      <c r="A27" s="25" t="s">
        <v>49</v>
      </c>
      <c r="B27" s="17" t="s">
        <v>17</v>
      </c>
      <c r="C27" s="17" t="s">
        <v>18</v>
      </c>
      <c r="D27" s="17" t="s">
        <v>12</v>
      </c>
      <c r="E27" s="18" t="s">
        <v>50</v>
      </c>
      <c r="F27" s="17" t="s">
        <v>14</v>
      </c>
      <c r="G27" s="17">
        <v>20</v>
      </c>
      <c r="H27" s="17" t="s">
        <v>15</v>
      </c>
      <c r="I27" s="39">
        <v>6.5</v>
      </c>
      <c r="J27" s="45"/>
      <c r="K27" s="18"/>
      <c r="L27" s="18"/>
      <c r="M27" s="19"/>
      <c r="N27" s="58"/>
      <c r="O27" s="25">
        <v>0</v>
      </c>
      <c r="P27" s="17">
        <f t="shared" si="21"/>
        <v>-20</v>
      </c>
      <c r="Q27" s="17">
        <f t="shared" si="22"/>
        <v>0</v>
      </c>
      <c r="R27" s="20">
        <f t="shared" si="23"/>
        <v>0</v>
      </c>
      <c r="S27" s="57">
        <v>8.4</v>
      </c>
      <c r="T27" s="25">
        <v>0</v>
      </c>
      <c r="U27" s="17">
        <f t="shared" si="14"/>
        <v>-20</v>
      </c>
      <c r="V27" s="17">
        <f t="shared" si="15"/>
        <v>0</v>
      </c>
      <c r="W27" s="20">
        <f t="shared" si="16"/>
        <v>0</v>
      </c>
      <c r="X27" s="57">
        <v>8.4</v>
      </c>
      <c r="Y27" s="45"/>
      <c r="Z27" s="18"/>
      <c r="AA27" s="18"/>
      <c r="AB27" s="19"/>
      <c r="AC27" s="58"/>
      <c r="AD27" s="25">
        <v>0</v>
      </c>
      <c r="AE27" s="17">
        <f t="shared" si="20"/>
        <v>-20</v>
      </c>
      <c r="AF27" s="17">
        <f>IF(AE27&lt;0,0,AD27-G27)</f>
        <v>0</v>
      </c>
      <c r="AG27" s="20">
        <f>AF27*I27/100</f>
        <v>0</v>
      </c>
      <c r="AH27" s="49">
        <v>7.2</v>
      </c>
      <c r="AI27" s="42">
        <f t="shared" si="6"/>
        <v>0</v>
      </c>
      <c r="AJ27" s="35">
        <f t="shared" si="7"/>
        <v>0</v>
      </c>
      <c r="AM27" s="1" t="s">
        <v>278</v>
      </c>
    </row>
    <row r="28" spans="1:39" x14ac:dyDescent="0.25">
      <c r="A28" s="25" t="s">
        <v>86</v>
      </c>
      <c r="B28" s="17" t="s">
        <v>10</v>
      </c>
      <c r="C28" s="17" t="s">
        <v>11</v>
      </c>
      <c r="D28" s="17" t="s">
        <v>12</v>
      </c>
      <c r="E28" s="17" t="s">
        <v>87</v>
      </c>
      <c r="F28" s="17" t="s">
        <v>14</v>
      </c>
      <c r="G28" s="17">
        <v>50</v>
      </c>
      <c r="H28" s="17" t="s">
        <v>15</v>
      </c>
      <c r="I28" s="39">
        <v>6.5</v>
      </c>
      <c r="J28" s="25">
        <v>0</v>
      </c>
      <c r="K28" s="17">
        <f t="shared" ref="K28:K33" si="24">J28-G28</f>
        <v>-50</v>
      </c>
      <c r="L28" s="17">
        <f t="shared" ref="L28:L33" si="25">IF(K28&lt;0,0,J28-G28)</f>
        <v>0</v>
      </c>
      <c r="M28" s="20">
        <f t="shared" ref="M28:M33" si="26">L28*I28/100</f>
        <v>0</v>
      </c>
      <c r="N28" s="57">
        <v>8.4</v>
      </c>
      <c r="O28" s="25">
        <v>17</v>
      </c>
      <c r="P28" s="17">
        <f t="shared" si="21"/>
        <v>-33</v>
      </c>
      <c r="Q28" s="17">
        <f t="shared" si="22"/>
        <v>0</v>
      </c>
      <c r="R28" s="20">
        <f t="shared" si="23"/>
        <v>0</v>
      </c>
      <c r="S28" s="57">
        <v>8.4</v>
      </c>
      <c r="T28" s="25">
        <v>17</v>
      </c>
      <c r="U28" s="17">
        <f t="shared" si="14"/>
        <v>-33</v>
      </c>
      <c r="V28" s="17">
        <f t="shared" si="15"/>
        <v>0</v>
      </c>
      <c r="W28" s="20">
        <f t="shared" si="16"/>
        <v>0</v>
      </c>
      <c r="X28" s="57">
        <v>8.4</v>
      </c>
      <c r="Y28" s="25">
        <v>16</v>
      </c>
      <c r="Z28" s="17">
        <f>Y28-G28</f>
        <v>-34</v>
      </c>
      <c r="AA28" s="17">
        <f>IF(Z28&lt;0,0,Y28-G28)</f>
        <v>0</v>
      </c>
      <c r="AB28" s="20">
        <f>AA28*I28/100</f>
        <v>0</v>
      </c>
      <c r="AC28" s="57">
        <v>8.4</v>
      </c>
      <c r="AD28" s="25">
        <v>17</v>
      </c>
      <c r="AE28" s="17">
        <f t="shared" si="20"/>
        <v>-33</v>
      </c>
      <c r="AF28" s="18"/>
      <c r="AG28" s="19"/>
      <c r="AH28" s="50"/>
      <c r="AI28" s="42">
        <f t="shared" si="6"/>
        <v>0</v>
      </c>
      <c r="AJ28" s="35">
        <f t="shared" si="7"/>
        <v>0</v>
      </c>
    </row>
    <row r="29" spans="1:39" x14ac:dyDescent="0.25">
      <c r="A29" s="25" t="s">
        <v>98</v>
      </c>
      <c r="B29" s="17" t="s">
        <v>17</v>
      </c>
      <c r="C29" s="17" t="s">
        <v>99</v>
      </c>
      <c r="D29" s="17" t="s">
        <v>12</v>
      </c>
      <c r="E29" s="17" t="s">
        <v>100</v>
      </c>
      <c r="F29" s="17" t="s">
        <v>14</v>
      </c>
      <c r="G29" s="17">
        <v>20</v>
      </c>
      <c r="H29" s="17" t="s">
        <v>38</v>
      </c>
      <c r="I29" s="39">
        <v>6.5</v>
      </c>
      <c r="J29" s="25">
        <v>20</v>
      </c>
      <c r="K29" s="17">
        <f t="shared" si="24"/>
        <v>0</v>
      </c>
      <c r="L29" s="17">
        <f t="shared" si="25"/>
        <v>0</v>
      </c>
      <c r="M29" s="20">
        <f t="shared" si="26"/>
        <v>0</v>
      </c>
      <c r="N29" s="57">
        <v>7.3</v>
      </c>
      <c r="O29" s="25">
        <v>18</v>
      </c>
      <c r="P29" s="17">
        <f t="shared" si="21"/>
        <v>-2</v>
      </c>
      <c r="Q29" s="17">
        <f t="shared" si="22"/>
        <v>0</v>
      </c>
      <c r="R29" s="20">
        <f t="shared" si="23"/>
        <v>0</v>
      </c>
      <c r="S29" s="57">
        <v>7.2</v>
      </c>
      <c r="T29" s="25">
        <v>16</v>
      </c>
      <c r="U29" s="17">
        <f t="shared" si="14"/>
        <v>-4</v>
      </c>
      <c r="V29" s="17">
        <f t="shared" si="15"/>
        <v>0</v>
      </c>
      <c r="W29" s="20">
        <f t="shared" si="16"/>
        <v>0</v>
      </c>
      <c r="X29" s="57">
        <v>7.2</v>
      </c>
      <c r="Y29" s="25">
        <v>17</v>
      </c>
      <c r="Z29" s="17">
        <f>Y29-G29</f>
        <v>-3</v>
      </c>
      <c r="AA29" s="17">
        <f>IF(Z29&lt;0,0,Y29-G29)</f>
        <v>0</v>
      </c>
      <c r="AB29" s="20">
        <f>AA29*I29/100</f>
        <v>0</v>
      </c>
      <c r="AC29" s="57">
        <v>7.2</v>
      </c>
      <c r="AD29" s="25">
        <v>18</v>
      </c>
      <c r="AE29" s="17">
        <f t="shared" si="20"/>
        <v>-2</v>
      </c>
      <c r="AF29" s="17">
        <f>IF(AE29&lt;0,0,AD29-G29)</f>
        <v>0</v>
      </c>
      <c r="AG29" s="20">
        <f>AF29*I29/100</f>
        <v>0</v>
      </c>
      <c r="AH29" s="49">
        <v>8.4</v>
      </c>
      <c r="AI29" s="42">
        <f t="shared" si="6"/>
        <v>0</v>
      </c>
      <c r="AJ29" s="35">
        <f t="shared" si="7"/>
        <v>0</v>
      </c>
    </row>
    <row r="30" spans="1:39" x14ac:dyDescent="0.25">
      <c r="A30" s="25" t="s">
        <v>68</v>
      </c>
      <c r="B30" s="17" t="s">
        <v>10</v>
      </c>
      <c r="C30" s="17" t="s">
        <v>22</v>
      </c>
      <c r="D30" s="17" t="s">
        <v>12</v>
      </c>
      <c r="E30" s="18" t="s">
        <v>69</v>
      </c>
      <c r="F30" s="17" t="s">
        <v>14</v>
      </c>
      <c r="G30" s="17">
        <v>20</v>
      </c>
      <c r="H30" s="17" t="s">
        <v>15</v>
      </c>
      <c r="I30" s="39">
        <v>11</v>
      </c>
      <c r="J30" s="25">
        <v>0</v>
      </c>
      <c r="K30" s="17">
        <f t="shared" si="24"/>
        <v>-20</v>
      </c>
      <c r="L30" s="17">
        <f t="shared" si="25"/>
        <v>0</v>
      </c>
      <c r="M30" s="20">
        <f t="shared" si="26"/>
        <v>0</v>
      </c>
      <c r="N30" s="57">
        <v>8.4</v>
      </c>
      <c r="O30" s="25">
        <v>0</v>
      </c>
      <c r="P30" s="17">
        <f t="shared" si="21"/>
        <v>-20</v>
      </c>
      <c r="Q30" s="17">
        <f t="shared" si="22"/>
        <v>0</v>
      </c>
      <c r="R30" s="20">
        <f t="shared" si="23"/>
        <v>0</v>
      </c>
      <c r="S30" s="57">
        <v>8.4</v>
      </c>
      <c r="T30" s="25">
        <v>0</v>
      </c>
      <c r="U30" s="17">
        <f t="shared" si="14"/>
        <v>-20</v>
      </c>
      <c r="V30" s="17">
        <f t="shared" si="15"/>
        <v>0</v>
      </c>
      <c r="W30" s="20">
        <f t="shared" si="16"/>
        <v>0</v>
      </c>
      <c r="X30" s="57">
        <v>8.4</v>
      </c>
      <c r="Y30" s="25">
        <v>0</v>
      </c>
      <c r="Z30" s="17">
        <f>Y30-G30</f>
        <v>-20</v>
      </c>
      <c r="AA30" s="17">
        <f>IF(Z30&lt;0,0,Y30-G30)</f>
        <v>0</v>
      </c>
      <c r="AB30" s="20">
        <f>AA30*I30/100</f>
        <v>0</v>
      </c>
      <c r="AC30" s="57">
        <v>8.4</v>
      </c>
      <c r="AD30" s="45"/>
      <c r="AE30" s="18"/>
      <c r="AF30" s="18"/>
      <c r="AG30" s="19"/>
      <c r="AH30" s="50"/>
      <c r="AI30" s="42">
        <f t="shared" si="6"/>
        <v>0</v>
      </c>
      <c r="AJ30" s="35">
        <f t="shared" si="7"/>
        <v>0</v>
      </c>
    </row>
    <row r="31" spans="1:39" x14ac:dyDescent="0.25">
      <c r="A31" s="25" t="s">
        <v>41</v>
      </c>
      <c r="B31" s="17" t="s">
        <v>32</v>
      </c>
      <c r="C31" s="17">
        <v>308</v>
      </c>
      <c r="D31" s="17" t="s">
        <v>12</v>
      </c>
      <c r="E31" s="17" t="s">
        <v>42</v>
      </c>
      <c r="F31" s="17" t="s">
        <v>14</v>
      </c>
      <c r="G31" s="17">
        <v>700</v>
      </c>
      <c r="H31" s="17" t="s">
        <v>15</v>
      </c>
      <c r="I31" s="39">
        <v>6.5</v>
      </c>
      <c r="J31" s="25">
        <v>40</v>
      </c>
      <c r="K31" s="17">
        <f t="shared" si="24"/>
        <v>-660</v>
      </c>
      <c r="L31" s="17">
        <f t="shared" si="25"/>
        <v>0</v>
      </c>
      <c r="M31" s="20">
        <f t="shared" si="26"/>
        <v>0</v>
      </c>
      <c r="N31" s="57">
        <v>8.4</v>
      </c>
      <c r="O31" s="25">
        <v>26</v>
      </c>
      <c r="P31" s="17">
        <f t="shared" si="21"/>
        <v>-674</v>
      </c>
      <c r="Q31" s="17">
        <f t="shared" si="22"/>
        <v>0</v>
      </c>
      <c r="R31" s="20">
        <f t="shared" si="23"/>
        <v>0</v>
      </c>
      <c r="S31" s="57">
        <v>8.4</v>
      </c>
      <c r="T31" s="25">
        <v>77</v>
      </c>
      <c r="U31" s="17">
        <f t="shared" si="14"/>
        <v>-623</v>
      </c>
      <c r="V31" s="17">
        <f t="shared" si="15"/>
        <v>0</v>
      </c>
      <c r="W31" s="20">
        <f t="shared" si="16"/>
        <v>0</v>
      </c>
      <c r="X31" s="57">
        <v>8.4</v>
      </c>
      <c r="Y31" s="25">
        <v>90</v>
      </c>
      <c r="Z31" s="17">
        <f>Y31-G31</f>
        <v>-610</v>
      </c>
      <c r="AA31" s="17">
        <f>IF(Z31&lt;0,0,Y31-G31)</f>
        <v>0</v>
      </c>
      <c r="AB31" s="20">
        <f>AA31*I31/100</f>
        <v>0</v>
      </c>
      <c r="AC31" s="57">
        <v>8.4</v>
      </c>
      <c r="AD31" s="25">
        <v>131</v>
      </c>
      <c r="AE31" s="17">
        <f>AD31-G31</f>
        <v>-569</v>
      </c>
      <c r="AF31" s="17">
        <f>IF(AE31&lt;0,0,AD31-G31)</f>
        <v>0</v>
      </c>
      <c r="AG31" s="20">
        <f>AF31*I31/100</f>
        <v>0</v>
      </c>
      <c r="AH31" s="49">
        <v>8.4</v>
      </c>
      <c r="AI31" s="42">
        <f t="shared" si="6"/>
        <v>0</v>
      </c>
      <c r="AJ31" s="35">
        <f t="shared" si="7"/>
        <v>0</v>
      </c>
    </row>
    <row r="32" spans="1:39" x14ac:dyDescent="0.25">
      <c r="A32" s="25" t="s">
        <v>51</v>
      </c>
      <c r="B32" s="17" t="s">
        <v>32</v>
      </c>
      <c r="C32" s="17" t="s">
        <v>52</v>
      </c>
      <c r="D32" s="17" t="s">
        <v>12</v>
      </c>
      <c r="E32" s="17" t="s">
        <v>53</v>
      </c>
      <c r="F32" s="17" t="s">
        <v>14</v>
      </c>
      <c r="G32" s="17">
        <v>20</v>
      </c>
      <c r="H32" s="17" t="s">
        <v>15</v>
      </c>
      <c r="I32" s="39">
        <v>11</v>
      </c>
      <c r="J32" s="25">
        <v>0</v>
      </c>
      <c r="K32" s="17">
        <f t="shared" si="24"/>
        <v>-20</v>
      </c>
      <c r="L32" s="17">
        <f t="shared" si="25"/>
        <v>0</v>
      </c>
      <c r="M32" s="20">
        <f t="shared" si="26"/>
        <v>0</v>
      </c>
      <c r="N32" s="57">
        <v>8.4</v>
      </c>
      <c r="O32" s="25">
        <v>0</v>
      </c>
      <c r="P32" s="17">
        <f t="shared" si="21"/>
        <v>-20</v>
      </c>
      <c r="Q32" s="17">
        <f t="shared" si="22"/>
        <v>0</v>
      </c>
      <c r="R32" s="20">
        <f t="shared" si="23"/>
        <v>0</v>
      </c>
      <c r="S32" s="57">
        <v>8.4</v>
      </c>
      <c r="T32" s="25">
        <v>0</v>
      </c>
      <c r="U32" s="17">
        <f t="shared" si="14"/>
        <v>-20</v>
      </c>
      <c r="V32" s="17">
        <f t="shared" si="15"/>
        <v>0</v>
      </c>
      <c r="W32" s="20">
        <f t="shared" si="16"/>
        <v>0</v>
      </c>
      <c r="X32" s="57">
        <v>8.4</v>
      </c>
      <c r="Y32" s="25">
        <v>0</v>
      </c>
      <c r="Z32" s="17">
        <f>Y32-G32</f>
        <v>-20</v>
      </c>
      <c r="AA32" s="17">
        <f>IF(Z32&lt;0,0,Y32-G32)</f>
        <v>0</v>
      </c>
      <c r="AB32" s="20">
        <f>AA32*I32/100</f>
        <v>0</v>
      </c>
      <c r="AC32" s="57">
        <v>8.4</v>
      </c>
      <c r="AD32" s="25">
        <v>0</v>
      </c>
      <c r="AE32" s="17">
        <f>AD32-G32</f>
        <v>-20</v>
      </c>
      <c r="AF32" s="17">
        <f>IF(AE32&lt;0,0,AD32-G32)</f>
        <v>0</v>
      </c>
      <c r="AG32" s="20">
        <f>AF32*I32/100</f>
        <v>0</v>
      </c>
      <c r="AH32" s="49">
        <v>8.4</v>
      </c>
      <c r="AI32" s="42">
        <f t="shared" si="6"/>
        <v>0</v>
      </c>
      <c r="AJ32" s="35">
        <f t="shared" si="7"/>
        <v>0</v>
      </c>
    </row>
    <row r="33" spans="1:36" x14ac:dyDescent="0.25">
      <c r="A33" s="25" t="s">
        <v>84</v>
      </c>
      <c r="B33" s="17" t="s">
        <v>32</v>
      </c>
      <c r="C33" s="17">
        <v>508</v>
      </c>
      <c r="D33" s="17" t="s">
        <v>12</v>
      </c>
      <c r="E33" s="18" t="s">
        <v>85</v>
      </c>
      <c r="F33" s="17" t="s">
        <v>14</v>
      </c>
      <c r="G33" s="17">
        <v>20</v>
      </c>
      <c r="H33" s="17" t="s">
        <v>15</v>
      </c>
      <c r="I33" s="39">
        <v>6.5</v>
      </c>
      <c r="J33" s="25">
        <v>60</v>
      </c>
      <c r="K33" s="17">
        <f t="shared" si="24"/>
        <v>40</v>
      </c>
      <c r="L33" s="17">
        <f t="shared" si="25"/>
        <v>40</v>
      </c>
      <c r="M33" s="20">
        <f t="shared" si="26"/>
        <v>2.6</v>
      </c>
      <c r="N33" s="57">
        <v>8.4</v>
      </c>
      <c r="O33" s="25">
        <v>118</v>
      </c>
      <c r="P33" s="17">
        <f t="shared" si="21"/>
        <v>98</v>
      </c>
      <c r="Q33" s="17">
        <f t="shared" si="22"/>
        <v>98</v>
      </c>
      <c r="R33" s="20">
        <f t="shared" si="23"/>
        <v>6.37</v>
      </c>
      <c r="S33" s="57">
        <v>8.4</v>
      </c>
      <c r="T33" s="25">
        <v>75</v>
      </c>
      <c r="U33" s="17">
        <f t="shared" si="14"/>
        <v>55</v>
      </c>
      <c r="V33" s="17">
        <f t="shared" si="15"/>
        <v>55</v>
      </c>
      <c r="W33" s="20">
        <f t="shared" si="16"/>
        <v>3.5750000000000002</v>
      </c>
      <c r="X33" s="57">
        <v>8.4</v>
      </c>
      <c r="Y33" s="45"/>
      <c r="Z33" s="18"/>
      <c r="AA33" s="18"/>
      <c r="AB33" s="19"/>
      <c r="AC33" s="58"/>
      <c r="AD33" s="45"/>
      <c r="AE33" s="18"/>
      <c r="AF33" s="18"/>
      <c r="AG33" s="19"/>
      <c r="AH33" s="50"/>
      <c r="AI33" s="42">
        <f t="shared" si="6"/>
        <v>193</v>
      </c>
      <c r="AJ33" s="35">
        <f t="shared" si="7"/>
        <v>105.37800000000001</v>
      </c>
    </row>
    <row r="34" spans="1:36" x14ac:dyDescent="0.25">
      <c r="A34" s="25" t="s">
        <v>96</v>
      </c>
      <c r="B34" s="17" t="s">
        <v>17</v>
      </c>
      <c r="C34" s="17" t="s">
        <v>18</v>
      </c>
      <c r="D34" s="17" t="s">
        <v>12</v>
      </c>
      <c r="E34" s="18" t="s">
        <v>97</v>
      </c>
      <c r="F34" s="17" t="s">
        <v>14</v>
      </c>
      <c r="G34" s="17">
        <v>20</v>
      </c>
      <c r="H34" s="17" t="s">
        <v>15</v>
      </c>
      <c r="I34" s="39">
        <v>6.5</v>
      </c>
      <c r="J34" s="45"/>
      <c r="K34" s="18"/>
      <c r="L34" s="18"/>
      <c r="M34" s="19"/>
      <c r="N34" s="58"/>
      <c r="O34" s="25">
        <v>0</v>
      </c>
      <c r="P34" s="17">
        <f t="shared" si="21"/>
        <v>-20</v>
      </c>
      <c r="Q34" s="17">
        <f t="shared" si="22"/>
        <v>0</v>
      </c>
      <c r="R34" s="20">
        <f t="shared" si="23"/>
        <v>0</v>
      </c>
      <c r="S34" s="57">
        <v>8.4</v>
      </c>
      <c r="T34" s="25">
        <v>14</v>
      </c>
      <c r="U34" s="17">
        <f t="shared" si="14"/>
        <v>-6</v>
      </c>
      <c r="V34" s="17">
        <f t="shared" si="15"/>
        <v>0</v>
      </c>
      <c r="W34" s="20">
        <f t="shared" si="16"/>
        <v>0</v>
      </c>
      <c r="X34" s="57">
        <v>8.4</v>
      </c>
      <c r="Y34" s="25">
        <v>7</v>
      </c>
      <c r="Z34" s="17">
        <f>Y34-G34</f>
        <v>-13</v>
      </c>
      <c r="AA34" s="17">
        <f>IF(Z34&lt;0,0,Y34-G34)</f>
        <v>0</v>
      </c>
      <c r="AB34" s="20">
        <f>AA34*I34/100</f>
        <v>0</v>
      </c>
      <c r="AC34" s="57">
        <v>8.4</v>
      </c>
      <c r="AD34" s="25">
        <v>36</v>
      </c>
      <c r="AE34" s="17">
        <f>AD34-G34</f>
        <v>16</v>
      </c>
      <c r="AF34" s="18"/>
      <c r="AG34" s="19"/>
      <c r="AH34" s="50"/>
      <c r="AI34" s="42">
        <f t="shared" si="6"/>
        <v>0</v>
      </c>
      <c r="AJ34" s="35">
        <f t="shared" si="7"/>
        <v>0</v>
      </c>
    </row>
    <row r="35" spans="1:36" x14ac:dyDescent="0.25">
      <c r="A35" s="25" t="s">
        <v>61</v>
      </c>
      <c r="B35" s="17" t="s">
        <v>10</v>
      </c>
      <c r="C35" s="17" t="s">
        <v>22</v>
      </c>
      <c r="D35" s="17" t="s">
        <v>12</v>
      </c>
      <c r="E35" s="18" t="s">
        <v>62</v>
      </c>
      <c r="F35" s="17" t="s">
        <v>14</v>
      </c>
      <c r="G35" s="17">
        <v>20</v>
      </c>
      <c r="H35" s="17" t="s">
        <v>15</v>
      </c>
      <c r="I35" s="39">
        <v>11</v>
      </c>
      <c r="J35" s="25">
        <v>0</v>
      </c>
      <c r="K35" s="17">
        <f>J35-G35</f>
        <v>-20</v>
      </c>
      <c r="L35" s="17">
        <f>IF(K35&lt;0,0,J35-G35)</f>
        <v>0</v>
      </c>
      <c r="M35" s="20">
        <f>L35*I35/100</f>
        <v>0</v>
      </c>
      <c r="N35" s="57">
        <v>8.4</v>
      </c>
      <c r="O35" s="25">
        <v>0</v>
      </c>
      <c r="P35" s="17">
        <f t="shared" si="21"/>
        <v>-20</v>
      </c>
      <c r="Q35" s="17">
        <f t="shared" si="22"/>
        <v>0</v>
      </c>
      <c r="R35" s="20">
        <f t="shared" si="23"/>
        <v>0</v>
      </c>
      <c r="S35" s="57">
        <v>8.4</v>
      </c>
      <c r="T35" s="25">
        <v>0</v>
      </c>
      <c r="U35" s="17">
        <f t="shared" si="14"/>
        <v>-20</v>
      </c>
      <c r="V35" s="17">
        <f t="shared" si="15"/>
        <v>0</v>
      </c>
      <c r="W35" s="20">
        <f t="shared" si="16"/>
        <v>0</v>
      </c>
      <c r="X35" s="57">
        <v>8.4</v>
      </c>
      <c r="Y35" s="25">
        <v>0</v>
      </c>
      <c r="Z35" s="17">
        <f>Y35-G35</f>
        <v>-20</v>
      </c>
      <c r="AA35" s="17">
        <f>IF(Z35&lt;0,0,Y35-G35)</f>
        <v>0</v>
      </c>
      <c r="AB35" s="20">
        <f>AA35*I35/100</f>
        <v>0</v>
      </c>
      <c r="AC35" s="57">
        <v>8.4</v>
      </c>
      <c r="AD35" s="25">
        <v>0</v>
      </c>
      <c r="AE35" s="17">
        <f>AD35-G35</f>
        <v>-20</v>
      </c>
      <c r="AF35" s="18"/>
      <c r="AG35" s="19"/>
      <c r="AH35" s="50"/>
      <c r="AI35" s="42">
        <f t="shared" si="6"/>
        <v>0</v>
      </c>
      <c r="AJ35" s="35">
        <f t="shared" si="7"/>
        <v>0</v>
      </c>
    </row>
    <row r="36" spans="1:36" x14ac:dyDescent="0.25">
      <c r="A36" s="25" t="s">
        <v>76</v>
      </c>
      <c r="B36" s="17" t="s">
        <v>10</v>
      </c>
      <c r="C36" s="17" t="s">
        <v>22</v>
      </c>
      <c r="D36" s="17" t="s">
        <v>12</v>
      </c>
      <c r="E36" s="18" t="s">
        <v>77</v>
      </c>
      <c r="F36" s="17" t="s">
        <v>14</v>
      </c>
      <c r="G36" s="17">
        <v>20</v>
      </c>
      <c r="H36" s="17" t="s">
        <v>15</v>
      </c>
      <c r="I36" s="39">
        <v>11</v>
      </c>
      <c r="J36" s="25">
        <v>0</v>
      </c>
      <c r="K36" s="17">
        <f>J36-G36</f>
        <v>-20</v>
      </c>
      <c r="L36" s="17">
        <f>IF(K36&lt;0,0,J36-G36)</f>
        <v>0</v>
      </c>
      <c r="M36" s="20">
        <f>L36*I36/100</f>
        <v>0</v>
      </c>
      <c r="N36" s="57">
        <v>8.4</v>
      </c>
      <c r="O36" s="52">
        <v>0</v>
      </c>
      <c r="P36" s="21">
        <f t="shared" si="21"/>
        <v>-20</v>
      </c>
      <c r="Q36" s="21">
        <f t="shared" si="22"/>
        <v>0</v>
      </c>
      <c r="R36" s="22">
        <f t="shared" si="23"/>
        <v>0</v>
      </c>
      <c r="S36" s="61">
        <v>8.4</v>
      </c>
      <c r="T36" s="45"/>
      <c r="U36" s="18"/>
      <c r="V36" s="18"/>
      <c r="W36" s="19"/>
      <c r="X36" s="58"/>
      <c r="Y36" s="45"/>
      <c r="Z36" s="18"/>
      <c r="AA36" s="18"/>
      <c r="AB36" s="19"/>
      <c r="AC36" s="58"/>
      <c r="AD36" s="45"/>
      <c r="AE36" s="18"/>
      <c r="AF36" s="17">
        <f>IF(AE36&lt;0,0,AD36-G36)</f>
        <v>-20</v>
      </c>
      <c r="AG36" s="20">
        <f>AF36*I36/100</f>
        <v>-2.2000000000000002</v>
      </c>
      <c r="AH36" s="49">
        <v>8.4</v>
      </c>
      <c r="AI36" s="42">
        <f t="shared" si="6"/>
        <v>-20</v>
      </c>
      <c r="AJ36" s="35">
        <f t="shared" si="7"/>
        <v>-18.480000000000004</v>
      </c>
    </row>
    <row r="37" spans="1:36" x14ac:dyDescent="0.25">
      <c r="A37" s="25" t="s">
        <v>35</v>
      </c>
      <c r="B37" s="17" t="s">
        <v>17</v>
      </c>
      <c r="C37" s="17" t="s">
        <v>36</v>
      </c>
      <c r="D37" s="17" t="s">
        <v>12</v>
      </c>
      <c r="E37" s="17" t="s">
        <v>37</v>
      </c>
      <c r="F37" s="17" t="s">
        <v>14</v>
      </c>
      <c r="G37" s="17">
        <v>20</v>
      </c>
      <c r="H37" s="17" t="s">
        <v>38</v>
      </c>
      <c r="I37" s="39">
        <v>6.5</v>
      </c>
      <c r="J37" s="25">
        <v>0</v>
      </c>
      <c r="K37" s="17">
        <f>J37-G37</f>
        <v>-20</v>
      </c>
      <c r="L37" s="17">
        <f>IF(K37&lt;0,0,J37-G37)</f>
        <v>0</v>
      </c>
      <c r="M37" s="20">
        <f>L37*I37/100</f>
        <v>0</v>
      </c>
      <c r="N37" s="57">
        <v>7.3</v>
      </c>
      <c r="O37" s="25">
        <v>6</v>
      </c>
      <c r="P37" s="17">
        <f t="shared" si="21"/>
        <v>-14</v>
      </c>
      <c r="Q37" s="17">
        <f t="shared" si="22"/>
        <v>0</v>
      </c>
      <c r="R37" s="20">
        <f t="shared" si="23"/>
        <v>0</v>
      </c>
      <c r="S37" s="57">
        <v>7.2</v>
      </c>
      <c r="T37" s="25">
        <v>0</v>
      </c>
      <c r="U37" s="17">
        <f>T37-G37</f>
        <v>-20</v>
      </c>
      <c r="V37" s="17">
        <f>IF(U37&lt;0,0,T37-G37)</f>
        <v>0</v>
      </c>
      <c r="W37" s="20">
        <f>V37*I37/100</f>
        <v>0</v>
      </c>
      <c r="X37" s="57">
        <v>7.2</v>
      </c>
      <c r="Y37" s="25">
        <v>0</v>
      </c>
      <c r="Z37" s="17">
        <f>Y37-G37</f>
        <v>-20</v>
      </c>
      <c r="AA37" s="17">
        <f>IF(Z37&lt;0,0,Y37-G37)</f>
        <v>0</v>
      </c>
      <c r="AB37" s="20">
        <f>AA37*I37/100</f>
        <v>0</v>
      </c>
      <c r="AC37" s="57">
        <v>7.2</v>
      </c>
      <c r="AD37" s="25">
        <v>0</v>
      </c>
      <c r="AE37" s="17">
        <f>AD37-G37</f>
        <v>-20</v>
      </c>
      <c r="AF37" s="17">
        <f>IF(AE37&lt;0,0,AD37-G37)</f>
        <v>0</v>
      </c>
      <c r="AG37" s="20">
        <f>AF37*I37/100</f>
        <v>0</v>
      </c>
      <c r="AH37" s="49">
        <v>8.4</v>
      </c>
      <c r="AI37" s="42">
        <f t="shared" si="6"/>
        <v>0</v>
      </c>
      <c r="AJ37" s="35">
        <f t="shared" si="7"/>
        <v>0</v>
      </c>
    </row>
    <row r="38" spans="1:36" x14ac:dyDescent="0.25">
      <c r="A38" s="25" t="s">
        <v>63</v>
      </c>
      <c r="B38" s="17" t="s">
        <v>32</v>
      </c>
      <c r="C38" s="17" t="s">
        <v>33</v>
      </c>
      <c r="D38" s="17" t="s">
        <v>12</v>
      </c>
      <c r="E38" s="18" t="s">
        <v>64</v>
      </c>
      <c r="F38" s="17" t="s">
        <v>14</v>
      </c>
      <c r="G38" s="17">
        <v>20</v>
      </c>
      <c r="H38" s="17" t="s">
        <v>15</v>
      </c>
      <c r="I38" s="39">
        <v>9</v>
      </c>
      <c r="J38" s="45"/>
      <c r="K38" s="18"/>
      <c r="L38" s="18"/>
      <c r="M38" s="19"/>
      <c r="N38" s="58"/>
      <c r="O38" s="25">
        <v>0</v>
      </c>
      <c r="P38" s="17">
        <f t="shared" si="21"/>
        <v>-20</v>
      </c>
      <c r="Q38" s="17">
        <f t="shared" si="22"/>
        <v>0</v>
      </c>
      <c r="R38" s="20">
        <f t="shared" si="23"/>
        <v>0</v>
      </c>
      <c r="S38" s="57">
        <v>8.4</v>
      </c>
      <c r="T38" s="25">
        <v>0</v>
      </c>
      <c r="U38" s="17">
        <f>T38-G38</f>
        <v>-20</v>
      </c>
      <c r="V38" s="17">
        <f>IF(U38&lt;0,0,T38-G38)</f>
        <v>0</v>
      </c>
      <c r="W38" s="20">
        <f>V38*I38/100</f>
        <v>0</v>
      </c>
      <c r="X38" s="57">
        <v>8.4</v>
      </c>
      <c r="Y38" s="25">
        <v>0</v>
      </c>
      <c r="Z38" s="17">
        <f>Y38-G38</f>
        <v>-20</v>
      </c>
      <c r="AA38" s="17">
        <f>IF(Z38&lt;0,0,Y38-G38)</f>
        <v>0</v>
      </c>
      <c r="AB38" s="20">
        <f>AA38*I38/100</f>
        <v>0</v>
      </c>
      <c r="AC38" s="57">
        <v>8.4</v>
      </c>
      <c r="AD38" s="25">
        <v>0</v>
      </c>
      <c r="AE38" s="17">
        <f>AD38-G38</f>
        <v>-20</v>
      </c>
      <c r="AF38" s="18"/>
      <c r="AG38" s="19"/>
      <c r="AH38" s="50"/>
      <c r="AI38" s="42">
        <f t="shared" si="6"/>
        <v>0</v>
      </c>
      <c r="AJ38" s="35">
        <f t="shared" si="7"/>
        <v>0</v>
      </c>
    </row>
    <row r="39" spans="1:36" x14ac:dyDescent="0.25">
      <c r="A39" s="25" t="s">
        <v>56</v>
      </c>
      <c r="B39" s="17" t="s">
        <v>10</v>
      </c>
      <c r="C39" s="17" t="s">
        <v>22</v>
      </c>
      <c r="D39" s="17" t="s">
        <v>12</v>
      </c>
      <c r="E39" s="18" t="s">
        <v>58</v>
      </c>
      <c r="F39" s="17" t="s">
        <v>14</v>
      </c>
      <c r="G39" s="17">
        <v>20</v>
      </c>
      <c r="H39" s="17" t="s">
        <v>15</v>
      </c>
      <c r="I39" s="39">
        <v>11</v>
      </c>
      <c r="J39" s="45"/>
      <c r="K39" s="18"/>
      <c r="L39" s="18"/>
      <c r="M39" s="19"/>
      <c r="N39" s="58"/>
      <c r="O39" s="25">
        <v>37</v>
      </c>
      <c r="P39" s="17">
        <f t="shared" si="21"/>
        <v>17</v>
      </c>
      <c r="Q39" s="17">
        <f t="shared" si="22"/>
        <v>17</v>
      </c>
      <c r="R39" s="20">
        <f t="shared" si="23"/>
        <v>1.87</v>
      </c>
      <c r="S39" s="57">
        <v>8.4</v>
      </c>
      <c r="T39" s="45"/>
      <c r="U39" s="18"/>
      <c r="V39" s="18"/>
      <c r="W39" s="19"/>
      <c r="X39" s="58"/>
      <c r="Y39" s="45"/>
      <c r="Z39" s="18"/>
      <c r="AA39" s="18"/>
      <c r="AB39" s="19"/>
      <c r="AC39" s="58"/>
      <c r="AD39" s="45"/>
      <c r="AE39" s="18"/>
      <c r="AF39" s="17">
        <f>IF(AE39&lt;0,0,AD39-G39)</f>
        <v>-20</v>
      </c>
      <c r="AG39" s="20">
        <f>AF39*I39/100</f>
        <v>-2.2000000000000002</v>
      </c>
      <c r="AH39" s="49">
        <v>8.4</v>
      </c>
      <c r="AI39" s="42">
        <f t="shared" si="6"/>
        <v>-3</v>
      </c>
      <c r="AJ39" s="35">
        <f t="shared" si="7"/>
        <v>-2.772000000000002</v>
      </c>
    </row>
    <row r="40" spans="1:36" x14ac:dyDescent="0.25">
      <c r="A40" s="25" t="s">
        <v>70</v>
      </c>
      <c r="B40" s="17" t="s">
        <v>10</v>
      </c>
      <c r="C40" s="17" t="s">
        <v>22</v>
      </c>
      <c r="D40" s="17" t="s">
        <v>12</v>
      </c>
      <c r="E40" s="18" t="s">
        <v>58</v>
      </c>
      <c r="F40" s="17" t="s">
        <v>14</v>
      </c>
      <c r="G40" s="17">
        <v>20</v>
      </c>
      <c r="H40" s="17" t="s">
        <v>15</v>
      </c>
      <c r="I40" s="39">
        <v>11</v>
      </c>
      <c r="J40" s="45"/>
      <c r="K40" s="18"/>
      <c r="L40" s="18"/>
      <c r="M40" s="19"/>
      <c r="N40" s="58"/>
      <c r="O40" s="45"/>
      <c r="P40" s="18"/>
      <c r="Q40" s="18"/>
      <c r="R40" s="19"/>
      <c r="S40" s="58"/>
      <c r="T40" s="25">
        <v>24</v>
      </c>
      <c r="U40" s="17">
        <f>T40-G40</f>
        <v>4</v>
      </c>
      <c r="V40" s="17">
        <f>IF(U40&lt;0,0,T40-G40)</f>
        <v>4</v>
      </c>
      <c r="W40" s="20">
        <f>V40*I40/100</f>
        <v>0.44</v>
      </c>
      <c r="X40" s="57">
        <v>8.4</v>
      </c>
      <c r="Y40" s="45"/>
      <c r="Z40" s="18"/>
      <c r="AA40" s="18"/>
      <c r="AB40" s="19"/>
      <c r="AC40" s="58"/>
      <c r="AD40" s="45"/>
      <c r="AE40" s="18"/>
      <c r="AF40" s="17">
        <f>IF(AE40&lt;0,0,AD40-G40)</f>
        <v>-20</v>
      </c>
      <c r="AG40" s="20">
        <f>AF40*I40/100</f>
        <v>-2.2000000000000002</v>
      </c>
      <c r="AH40" s="49">
        <v>8.4</v>
      </c>
      <c r="AI40" s="42">
        <f t="shared" si="6"/>
        <v>-16</v>
      </c>
      <c r="AJ40" s="35">
        <f t="shared" si="7"/>
        <v>-14.784000000000004</v>
      </c>
    </row>
    <row r="41" spans="1:36" x14ac:dyDescent="0.25">
      <c r="A41" s="25"/>
      <c r="B41" s="66" t="s">
        <v>283</v>
      </c>
      <c r="C41" s="17"/>
      <c r="D41" s="17"/>
      <c r="E41" s="18"/>
      <c r="F41" s="17"/>
      <c r="G41" s="17"/>
      <c r="H41" s="17"/>
      <c r="I41" s="39"/>
      <c r="J41" s="67">
        <f t="shared" ref="J41:AJ41" si="27">SUM(J39:J40)</f>
        <v>0</v>
      </c>
      <c r="K41" s="68">
        <f t="shared" si="27"/>
        <v>0</v>
      </c>
      <c r="L41" s="68">
        <f t="shared" si="27"/>
        <v>0</v>
      </c>
      <c r="M41" s="69">
        <f t="shared" si="27"/>
        <v>0</v>
      </c>
      <c r="N41" s="70">
        <f t="shared" si="27"/>
        <v>0</v>
      </c>
      <c r="O41" s="67">
        <f t="shared" si="27"/>
        <v>37</v>
      </c>
      <c r="P41" s="68">
        <f t="shared" si="27"/>
        <v>17</v>
      </c>
      <c r="Q41" s="68">
        <f t="shared" si="27"/>
        <v>17</v>
      </c>
      <c r="R41" s="69">
        <f t="shared" si="27"/>
        <v>1.87</v>
      </c>
      <c r="S41" s="70">
        <f t="shared" si="27"/>
        <v>8.4</v>
      </c>
      <c r="T41" s="71">
        <f t="shared" si="27"/>
        <v>24</v>
      </c>
      <c r="U41" s="66">
        <f t="shared" si="27"/>
        <v>4</v>
      </c>
      <c r="V41" s="66">
        <f t="shared" si="27"/>
        <v>4</v>
      </c>
      <c r="W41" s="72">
        <f t="shared" si="27"/>
        <v>0.44</v>
      </c>
      <c r="X41" s="73">
        <f t="shared" si="27"/>
        <v>8.4</v>
      </c>
      <c r="Y41" s="67">
        <f t="shared" si="27"/>
        <v>0</v>
      </c>
      <c r="Z41" s="68">
        <f t="shared" si="27"/>
        <v>0</v>
      </c>
      <c r="AA41" s="68">
        <f t="shared" si="27"/>
        <v>0</v>
      </c>
      <c r="AB41" s="69">
        <f t="shared" si="27"/>
        <v>0</v>
      </c>
      <c r="AC41" s="70">
        <f t="shared" si="27"/>
        <v>0</v>
      </c>
      <c r="AD41" s="67">
        <f t="shared" si="27"/>
        <v>0</v>
      </c>
      <c r="AE41" s="68">
        <f t="shared" si="27"/>
        <v>0</v>
      </c>
      <c r="AF41" s="66">
        <f t="shared" si="27"/>
        <v>-40</v>
      </c>
      <c r="AG41" s="72">
        <f t="shared" si="27"/>
        <v>-4.4000000000000004</v>
      </c>
      <c r="AH41" s="74">
        <f t="shared" si="27"/>
        <v>16.8</v>
      </c>
      <c r="AI41" s="75">
        <f t="shared" si="27"/>
        <v>-19</v>
      </c>
      <c r="AJ41" s="76">
        <f t="shared" si="27"/>
        <v>-17.556000000000004</v>
      </c>
    </row>
    <row r="42" spans="1:36" x14ac:dyDescent="0.25">
      <c r="A42" s="25" t="s">
        <v>39</v>
      </c>
      <c r="B42" s="17" t="s">
        <v>17</v>
      </c>
      <c r="C42" s="17" t="s">
        <v>18</v>
      </c>
      <c r="D42" s="17" t="s">
        <v>12</v>
      </c>
      <c r="E42" s="18" t="s">
        <v>40</v>
      </c>
      <c r="F42" s="17" t="s">
        <v>14</v>
      </c>
      <c r="G42" s="17">
        <v>20</v>
      </c>
      <c r="H42" s="17" t="s">
        <v>15</v>
      </c>
      <c r="I42" s="39">
        <v>6.5</v>
      </c>
      <c r="J42" s="45"/>
      <c r="K42" s="18"/>
      <c r="L42" s="18"/>
      <c r="M42" s="19"/>
      <c r="N42" s="58"/>
      <c r="O42" s="25">
        <v>0</v>
      </c>
      <c r="P42" s="17">
        <f t="shared" ref="P42:P48" si="28">O42-G42</f>
        <v>-20</v>
      </c>
      <c r="Q42" s="17">
        <f t="shared" ref="Q42:Q48" si="29">IF(P42&lt;0,0,O42-G42)</f>
        <v>0</v>
      </c>
      <c r="R42" s="20">
        <f t="shared" ref="R42:R48" si="30">Q42*I42/100</f>
        <v>0</v>
      </c>
      <c r="S42" s="57">
        <v>8.4</v>
      </c>
      <c r="T42" s="45"/>
      <c r="U42" s="18"/>
      <c r="V42" s="18"/>
      <c r="W42" s="19"/>
      <c r="X42" s="58"/>
      <c r="Y42" s="45"/>
      <c r="Z42" s="18"/>
      <c r="AA42" s="18"/>
      <c r="AB42" s="19"/>
      <c r="AC42" s="58"/>
      <c r="AD42" s="45"/>
      <c r="AE42" s="18"/>
      <c r="AF42" s="17">
        <f t="shared" ref="AF42:AF50" si="31">IF(AE42&lt;0,0,AD42-G42)</f>
        <v>-20</v>
      </c>
      <c r="AG42" s="20">
        <f t="shared" ref="AG42:AG50" si="32">AF42*I42/100</f>
        <v>-1.3</v>
      </c>
      <c r="AH42" s="49">
        <v>8.4</v>
      </c>
      <c r="AI42" s="42">
        <f t="shared" ref="AI42:AI50" si="33">AF42+AA42+V42+Q42+L42</f>
        <v>-20</v>
      </c>
      <c r="AJ42" s="35">
        <f t="shared" ref="AJ42:AJ50" si="34">AG42*AH42+AB42*AC42+W42*X42+R42*S42+M42*N42</f>
        <v>-10.920000000000002</v>
      </c>
    </row>
    <row r="43" spans="1:36" x14ac:dyDescent="0.25">
      <c r="A43" s="25" t="s">
        <v>88</v>
      </c>
      <c r="B43" s="17" t="s">
        <v>10</v>
      </c>
      <c r="C43" s="17" t="s">
        <v>11</v>
      </c>
      <c r="D43" s="17" t="s">
        <v>12</v>
      </c>
      <c r="E43" s="18" t="s">
        <v>89</v>
      </c>
      <c r="F43" s="17" t="s">
        <v>14</v>
      </c>
      <c r="G43" s="17">
        <v>20</v>
      </c>
      <c r="H43" s="17" t="s">
        <v>15</v>
      </c>
      <c r="I43" s="39">
        <v>6.5</v>
      </c>
      <c r="J43" s="25">
        <v>5</v>
      </c>
      <c r="K43" s="17">
        <f t="shared" ref="K43:K48" si="35">J43-G43</f>
        <v>-15</v>
      </c>
      <c r="L43" s="17">
        <f t="shared" ref="L43:L48" si="36">IF(K43&lt;0,0,J43-G43)</f>
        <v>0</v>
      </c>
      <c r="M43" s="20">
        <f t="shared" ref="M43:M48" si="37">L43*I43/100</f>
        <v>0</v>
      </c>
      <c r="N43" s="57">
        <v>8.4</v>
      </c>
      <c r="O43" s="25">
        <v>0</v>
      </c>
      <c r="P43" s="17">
        <f t="shared" si="28"/>
        <v>-20</v>
      </c>
      <c r="Q43" s="17">
        <f t="shared" si="29"/>
        <v>0</v>
      </c>
      <c r="R43" s="20">
        <f t="shared" si="30"/>
        <v>0</v>
      </c>
      <c r="S43" s="57">
        <v>8.4</v>
      </c>
      <c r="T43" s="25">
        <v>3</v>
      </c>
      <c r="U43" s="17">
        <f>T43-G43</f>
        <v>-17</v>
      </c>
      <c r="V43" s="17">
        <f>IF(U43&lt;0,0,T43-G43)</f>
        <v>0</v>
      </c>
      <c r="W43" s="20">
        <f>V43*I43/100</f>
        <v>0</v>
      </c>
      <c r="X43" s="57">
        <v>8.4</v>
      </c>
      <c r="Y43" s="25">
        <v>0</v>
      </c>
      <c r="Z43" s="17">
        <f>Y43-G43</f>
        <v>-20</v>
      </c>
      <c r="AA43" s="17">
        <f>IF(Z43&lt;0,0,Y43-G43)</f>
        <v>0</v>
      </c>
      <c r="AB43" s="20">
        <f>AA43*I43/100</f>
        <v>0</v>
      </c>
      <c r="AC43" s="57">
        <v>8.4</v>
      </c>
      <c r="AD43" s="25">
        <v>3</v>
      </c>
      <c r="AE43" s="17">
        <f t="shared" ref="AE43:AE49" si="38">AD43-G43</f>
        <v>-17</v>
      </c>
      <c r="AF43" s="17">
        <f t="shared" si="31"/>
        <v>0</v>
      </c>
      <c r="AG43" s="20">
        <f t="shared" si="32"/>
        <v>0</v>
      </c>
      <c r="AH43" s="49">
        <v>8.4</v>
      </c>
      <c r="AI43" s="42">
        <f t="shared" si="33"/>
        <v>0</v>
      </c>
      <c r="AJ43" s="35">
        <f t="shared" si="34"/>
        <v>0</v>
      </c>
    </row>
    <row r="44" spans="1:36" x14ac:dyDescent="0.25">
      <c r="A44" s="25" t="s">
        <v>80</v>
      </c>
      <c r="B44" s="17" t="s">
        <v>10</v>
      </c>
      <c r="C44" s="17" t="s">
        <v>22</v>
      </c>
      <c r="D44" s="17" t="s">
        <v>12</v>
      </c>
      <c r="E44" s="18" t="s">
        <v>81</v>
      </c>
      <c r="F44" s="17" t="s">
        <v>14</v>
      </c>
      <c r="G44" s="17">
        <v>20</v>
      </c>
      <c r="H44" s="17" t="s">
        <v>15</v>
      </c>
      <c r="I44" s="39">
        <v>11</v>
      </c>
      <c r="J44" s="25">
        <v>0</v>
      </c>
      <c r="K44" s="17">
        <f t="shared" si="35"/>
        <v>-20</v>
      </c>
      <c r="L44" s="17">
        <f t="shared" si="36"/>
        <v>0</v>
      </c>
      <c r="M44" s="20">
        <f t="shared" si="37"/>
        <v>0</v>
      </c>
      <c r="N44" s="57">
        <v>8.4</v>
      </c>
      <c r="O44" s="25">
        <v>0</v>
      </c>
      <c r="P44" s="17">
        <f t="shared" si="28"/>
        <v>-20</v>
      </c>
      <c r="Q44" s="17">
        <f t="shared" si="29"/>
        <v>0</v>
      </c>
      <c r="R44" s="20">
        <f t="shared" si="30"/>
        <v>0</v>
      </c>
      <c r="S44" s="57">
        <v>8.4</v>
      </c>
      <c r="T44" s="45"/>
      <c r="U44" s="18"/>
      <c r="V44" s="18"/>
      <c r="W44" s="19"/>
      <c r="X44" s="58"/>
      <c r="Y44" s="45"/>
      <c r="Z44" s="18"/>
      <c r="AA44" s="18"/>
      <c r="AB44" s="19"/>
      <c r="AC44" s="58"/>
      <c r="AD44" s="25">
        <v>0</v>
      </c>
      <c r="AE44" s="17">
        <f t="shared" si="38"/>
        <v>-20</v>
      </c>
      <c r="AF44" s="17">
        <f t="shared" si="31"/>
        <v>0</v>
      </c>
      <c r="AG44" s="20">
        <f t="shared" si="32"/>
        <v>0</v>
      </c>
      <c r="AH44" s="49">
        <v>8.4</v>
      </c>
      <c r="AI44" s="42">
        <f t="shared" si="33"/>
        <v>0</v>
      </c>
      <c r="AJ44" s="35">
        <f t="shared" si="34"/>
        <v>0</v>
      </c>
    </row>
    <row r="45" spans="1:36" x14ac:dyDescent="0.25">
      <c r="A45" s="25" t="s">
        <v>43</v>
      </c>
      <c r="B45" s="17" t="s">
        <v>17</v>
      </c>
      <c r="C45" s="17" t="s">
        <v>18</v>
      </c>
      <c r="D45" s="17" t="s">
        <v>12</v>
      </c>
      <c r="E45" s="17" t="s">
        <v>44</v>
      </c>
      <c r="F45" s="17" t="s">
        <v>14</v>
      </c>
      <c r="G45" s="17">
        <v>20</v>
      </c>
      <c r="H45" s="17" t="s">
        <v>15</v>
      </c>
      <c r="I45" s="39">
        <v>6.5</v>
      </c>
      <c r="J45" s="25">
        <v>0</v>
      </c>
      <c r="K45" s="17">
        <f t="shared" si="35"/>
        <v>-20</v>
      </c>
      <c r="L45" s="17">
        <f t="shared" si="36"/>
        <v>0</v>
      </c>
      <c r="M45" s="20">
        <f t="shared" si="37"/>
        <v>0</v>
      </c>
      <c r="N45" s="57">
        <v>8.4</v>
      </c>
      <c r="O45" s="25">
        <v>0</v>
      </c>
      <c r="P45" s="17">
        <f t="shared" si="28"/>
        <v>-20</v>
      </c>
      <c r="Q45" s="17">
        <f t="shared" si="29"/>
        <v>0</v>
      </c>
      <c r="R45" s="20">
        <f t="shared" si="30"/>
        <v>0</v>
      </c>
      <c r="S45" s="57">
        <v>8.4</v>
      </c>
      <c r="T45" s="25">
        <v>0</v>
      </c>
      <c r="U45" s="17">
        <f>T45-G45</f>
        <v>-20</v>
      </c>
      <c r="V45" s="17">
        <f>IF(U45&lt;0,0,T45-G45)</f>
        <v>0</v>
      </c>
      <c r="W45" s="20">
        <f>V45*I45/100</f>
        <v>0</v>
      </c>
      <c r="X45" s="57">
        <v>8.4</v>
      </c>
      <c r="Y45" s="25">
        <v>0</v>
      </c>
      <c r="Z45" s="17">
        <f>Y45-G45</f>
        <v>-20</v>
      </c>
      <c r="AA45" s="17">
        <f>IF(Z45&lt;0,0,Y45-G45)</f>
        <v>0</v>
      </c>
      <c r="AB45" s="20">
        <f>AA45*I45/100</f>
        <v>0</v>
      </c>
      <c r="AC45" s="57">
        <v>8.4</v>
      </c>
      <c r="AD45" s="25">
        <v>0</v>
      </c>
      <c r="AE45" s="17">
        <f t="shared" si="38"/>
        <v>-20</v>
      </c>
      <c r="AF45" s="17">
        <f t="shared" si="31"/>
        <v>0</v>
      </c>
      <c r="AG45" s="20">
        <f t="shared" si="32"/>
        <v>0</v>
      </c>
      <c r="AH45" s="49">
        <v>8.4</v>
      </c>
      <c r="AI45" s="42">
        <f t="shared" si="33"/>
        <v>0</v>
      </c>
      <c r="AJ45" s="35">
        <f t="shared" si="34"/>
        <v>0</v>
      </c>
    </row>
    <row r="46" spans="1:36" x14ac:dyDescent="0.25">
      <c r="A46" s="25" t="s">
        <v>92</v>
      </c>
      <c r="B46" s="17" t="s">
        <v>32</v>
      </c>
      <c r="C46" s="17">
        <v>208</v>
      </c>
      <c r="D46" s="17" t="s">
        <v>12</v>
      </c>
      <c r="E46" s="17" t="s">
        <v>93</v>
      </c>
      <c r="F46" s="17" t="s">
        <v>14</v>
      </c>
      <c r="G46" s="17">
        <v>20</v>
      </c>
      <c r="H46" s="17" t="s">
        <v>15</v>
      </c>
      <c r="I46" s="39">
        <v>6.5</v>
      </c>
      <c r="J46" s="25">
        <v>17</v>
      </c>
      <c r="K46" s="17">
        <f t="shared" si="35"/>
        <v>-3</v>
      </c>
      <c r="L46" s="17">
        <f t="shared" si="36"/>
        <v>0</v>
      </c>
      <c r="M46" s="20">
        <f t="shared" si="37"/>
        <v>0</v>
      </c>
      <c r="N46" s="57">
        <v>8.4</v>
      </c>
      <c r="O46" s="25">
        <v>496</v>
      </c>
      <c r="P46" s="17">
        <f t="shared" si="28"/>
        <v>476</v>
      </c>
      <c r="Q46" s="17">
        <f t="shared" si="29"/>
        <v>476</v>
      </c>
      <c r="R46" s="20">
        <f t="shared" si="30"/>
        <v>30.94</v>
      </c>
      <c r="S46" s="57">
        <v>8.4</v>
      </c>
      <c r="T46" s="25">
        <v>297</v>
      </c>
      <c r="U46" s="17">
        <f>T46-G46</f>
        <v>277</v>
      </c>
      <c r="V46" s="17">
        <f>IF(U46&lt;0,0,T46-G46)</f>
        <v>277</v>
      </c>
      <c r="W46" s="20">
        <f>V46*I46/100</f>
        <v>18.004999999999999</v>
      </c>
      <c r="X46" s="57">
        <v>8.4</v>
      </c>
      <c r="Y46" s="25">
        <v>18</v>
      </c>
      <c r="Z46" s="17">
        <f>Y46-G46</f>
        <v>-2</v>
      </c>
      <c r="AA46" s="17">
        <f>IF(Z46&lt;0,0,Y46-G46)</f>
        <v>0</v>
      </c>
      <c r="AB46" s="20">
        <f>AA46*I46/100</f>
        <v>0</v>
      </c>
      <c r="AC46" s="57">
        <v>8.4</v>
      </c>
      <c r="AD46" s="25">
        <v>46</v>
      </c>
      <c r="AE46" s="17">
        <f t="shared" si="38"/>
        <v>26</v>
      </c>
      <c r="AF46" s="17">
        <f t="shared" si="31"/>
        <v>26</v>
      </c>
      <c r="AG46" s="20">
        <f t="shared" si="32"/>
        <v>1.69</v>
      </c>
      <c r="AH46" s="49">
        <v>7.2</v>
      </c>
      <c r="AI46" s="42">
        <f t="shared" si="33"/>
        <v>779</v>
      </c>
      <c r="AJ46" s="35">
        <f t="shared" si="34"/>
        <v>423.30600000000004</v>
      </c>
    </row>
    <row r="47" spans="1:36" x14ac:dyDescent="0.25">
      <c r="A47" s="25" t="s">
        <v>116</v>
      </c>
      <c r="B47" s="17" t="s">
        <v>10</v>
      </c>
      <c r="C47" s="17" t="s">
        <v>22</v>
      </c>
      <c r="D47" s="17" t="s">
        <v>102</v>
      </c>
      <c r="E47" s="18" t="s">
        <v>117</v>
      </c>
      <c r="F47" s="17" t="s">
        <v>14</v>
      </c>
      <c r="G47" s="17">
        <v>20</v>
      </c>
      <c r="H47" s="17" t="s">
        <v>15</v>
      </c>
      <c r="I47" s="39">
        <v>11</v>
      </c>
      <c r="J47" s="25">
        <v>0</v>
      </c>
      <c r="K47" s="17">
        <f t="shared" si="35"/>
        <v>-20</v>
      </c>
      <c r="L47" s="17">
        <f t="shared" si="36"/>
        <v>0</v>
      </c>
      <c r="M47" s="20">
        <f t="shared" si="37"/>
        <v>0</v>
      </c>
      <c r="N47" s="57">
        <v>8.4</v>
      </c>
      <c r="O47" s="25">
        <v>0</v>
      </c>
      <c r="P47" s="17">
        <f t="shared" si="28"/>
        <v>-20</v>
      </c>
      <c r="Q47" s="17">
        <f t="shared" si="29"/>
        <v>0</v>
      </c>
      <c r="R47" s="20">
        <f t="shared" si="30"/>
        <v>0</v>
      </c>
      <c r="S47" s="57">
        <v>8.4</v>
      </c>
      <c r="T47" s="25">
        <v>0</v>
      </c>
      <c r="U47" s="17">
        <f>T47-G47</f>
        <v>-20</v>
      </c>
      <c r="V47" s="17">
        <f>IF(U47&lt;0,0,T47-G47)</f>
        <v>0</v>
      </c>
      <c r="W47" s="20">
        <f>V47*I47/100</f>
        <v>0</v>
      </c>
      <c r="X47" s="57">
        <v>8.4</v>
      </c>
      <c r="Y47" s="25">
        <v>29</v>
      </c>
      <c r="Z47" s="17">
        <f>Y47-G47</f>
        <v>9</v>
      </c>
      <c r="AA47" s="17">
        <f>IF(Z47&lt;0,0,Y47-G47)</f>
        <v>9</v>
      </c>
      <c r="AB47" s="20">
        <f>AA47*I47/100</f>
        <v>0.99</v>
      </c>
      <c r="AC47" s="57">
        <v>8.4</v>
      </c>
      <c r="AD47" s="25">
        <v>10</v>
      </c>
      <c r="AE47" s="17">
        <f t="shared" si="38"/>
        <v>-10</v>
      </c>
      <c r="AF47" s="17">
        <f t="shared" si="31"/>
        <v>0</v>
      </c>
      <c r="AG47" s="20">
        <f t="shared" si="32"/>
        <v>0</v>
      </c>
      <c r="AH47" s="49">
        <v>8.4</v>
      </c>
      <c r="AI47" s="42">
        <f t="shared" si="33"/>
        <v>9</v>
      </c>
      <c r="AJ47" s="35">
        <f t="shared" si="34"/>
        <v>8.3160000000000007</v>
      </c>
    </row>
    <row r="48" spans="1:36" x14ac:dyDescent="0.25">
      <c r="A48" s="25" t="s">
        <v>113</v>
      </c>
      <c r="B48" s="17" t="s">
        <v>10</v>
      </c>
      <c r="C48" s="17" t="s">
        <v>22</v>
      </c>
      <c r="D48" s="17" t="s">
        <v>102</v>
      </c>
      <c r="E48" s="18" t="s">
        <v>114</v>
      </c>
      <c r="F48" s="17" t="s">
        <v>14</v>
      </c>
      <c r="G48" s="17">
        <v>20</v>
      </c>
      <c r="H48" s="17" t="s">
        <v>15</v>
      </c>
      <c r="I48" s="39">
        <v>11</v>
      </c>
      <c r="J48" s="25">
        <v>0</v>
      </c>
      <c r="K48" s="17">
        <f t="shared" si="35"/>
        <v>-20</v>
      </c>
      <c r="L48" s="17">
        <f t="shared" si="36"/>
        <v>0</v>
      </c>
      <c r="M48" s="20">
        <f t="shared" si="37"/>
        <v>0</v>
      </c>
      <c r="N48" s="57">
        <v>8.4</v>
      </c>
      <c r="O48" s="25">
        <v>1</v>
      </c>
      <c r="P48" s="17">
        <f t="shared" si="28"/>
        <v>-19</v>
      </c>
      <c r="Q48" s="17">
        <f t="shared" si="29"/>
        <v>0</v>
      </c>
      <c r="R48" s="20">
        <f t="shared" si="30"/>
        <v>0</v>
      </c>
      <c r="S48" s="57">
        <v>8.4</v>
      </c>
      <c r="T48" s="25">
        <v>0</v>
      </c>
      <c r="U48" s="17">
        <f>T48-G48</f>
        <v>-20</v>
      </c>
      <c r="V48" s="17">
        <f>IF(U48&lt;0,0,T48-G48)</f>
        <v>0</v>
      </c>
      <c r="W48" s="20">
        <f>V48*I48/100</f>
        <v>0</v>
      </c>
      <c r="X48" s="57">
        <v>8.4</v>
      </c>
      <c r="Y48" s="25">
        <v>0</v>
      </c>
      <c r="Z48" s="17">
        <f>Y48-G48</f>
        <v>-20</v>
      </c>
      <c r="AA48" s="17">
        <f>IF(Z48&lt;0,0,Y48-G48)</f>
        <v>0</v>
      </c>
      <c r="AB48" s="20">
        <f>AA48*I48/100</f>
        <v>0</v>
      </c>
      <c r="AC48" s="57">
        <v>8.4</v>
      </c>
      <c r="AD48" s="25">
        <v>0</v>
      </c>
      <c r="AE48" s="17">
        <f t="shared" si="38"/>
        <v>-20</v>
      </c>
      <c r="AF48" s="17">
        <f t="shared" si="31"/>
        <v>0</v>
      </c>
      <c r="AG48" s="20">
        <f t="shared" si="32"/>
        <v>0</v>
      </c>
      <c r="AH48" s="49">
        <v>8.4</v>
      </c>
      <c r="AI48" s="42">
        <f t="shared" si="33"/>
        <v>0</v>
      </c>
      <c r="AJ48" s="35">
        <f t="shared" si="34"/>
        <v>0</v>
      </c>
    </row>
    <row r="49" spans="1:36" x14ac:dyDescent="0.25">
      <c r="A49" s="25" t="s">
        <v>107</v>
      </c>
      <c r="B49" s="17" t="s">
        <v>10</v>
      </c>
      <c r="C49" s="17" t="s">
        <v>11</v>
      </c>
      <c r="D49" s="17" t="s">
        <v>102</v>
      </c>
      <c r="E49" s="18" t="s">
        <v>108</v>
      </c>
      <c r="F49" s="17" t="s">
        <v>14</v>
      </c>
      <c r="G49" s="17">
        <v>20</v>
      </c>
      <c r="H49" s="17" t="s">
        <v>15</v>
      </c>
      <c r="I49" s="39">
        <v>6.5</v>
      </c>
      <c r="J49" s="45"/>
      <c r="K49" s="18"/>
      <c r="L49" s="18"/>
      <c r="M49" s="19"/>
      <c r="N49" s="58"/>
      <c r="O49" s="45"/>
      <c r="P49" s="18"/>
      <c r="Q49" s="18"/>
      <c r="R49" s="19"/>
      <c r="S49" s="58"/>
      <c r="T49" s="25">
        <v>30</v>
      </c>
      <c r="U49" s="17">
        <f>T49-G49</f>
        <v>10</v>
      </c>
      <c r="V49" s="17">
        <f>IF(U49&lt;0,0,T49-G49)</f>
        <v>10</v>
      </c>
      <c r="W49" s="20">
        <f>V49*I49/100</f>
        <v>0.65</v>
      </c>
      <c r="X49" s="57">
        <v>8.4</v>
      </c>
      <c r="Y49" s="25">
        <v>138</v>
      </c>
      <c r="Z49" s="17">
        <f>Y49-G49</f>
        <v>118</v>
      </c>
      <c r="AA49" s="17">
        <f>IF(Z49&lt;0,0,Y49-G49)</f>
        <v>118</v>
      </c>
      <c r="AB49" s="20">
        <f>AA49*I49/100</f>
        <v>7.67</v>
      </c>
      <c r="AC49" s="57">
        <v>8.4</v>
      </c>
      <c r="AD49" s="25">
        <v>0</v>
      </c>
      <c r="AE49" s="17">
        <f t="shared" si="38"/>
        <v>-20</v>
      </c>
      <c r="AF49" s="17">
        <f t="shared" si="31"/>
        <v>0</v>
      </c>
      <c r="AG49" s="20">
        <f t="shared" si="32"/>
        <v>0</v>
      </c>
      <c r="AH49" s="49">
        <v>8.4</v>
      </c>
      <c r="AI49" s="42">
        <f t="shared" si="33"/>
        <v>128</v>
      </c>
      <c r="AJ49" s="35">
        <f t="shared" si="34"/>
        <v>69.888000000000005</v>
      </c>
    </row>
    <row r="50" spans="1:36" x14ac:dyDescent="0.25">
      <c r="A50" s="25" t="s">
        <v>115</v>
      </c>
      <c r="B50" s="17" t="s">
        <v>17</v>
      </c>
      <c r="C50" s="17" t="s">
        <v>36</v>
      </c>
      <c r="D50" s="17" t="s">
        <v>102</v>
      </c>
      <c r="E50" s="18" t="s">
        <v>108</v>
      </c>
      <c r="F50" s="17" t="s">
        <v>14</v>
      </c>
      <c r="G50" s="17">
        <v>20</v>
      </c>
      <c r="H50" s="17" t="s">
        <v>38</v>
      </c>
      <c r="I50" s="39">
        <v>6.5</v>
      </c>
      <c r="J50" s="25">
        <v>0</v>
      </c>
      <c r="K50" s="17">
        <f>J50-G50</f>
        <v>-20</v>
      </c>
      <c r="L50" s="17">
        <f>IF(K50&lt;0,0,J50-G50)</f>
        <v>0</v>
      </c>
      <c r="M50" s="20">
        <f>L50*I50/100</f>
        <v>0</v>
      </c>
      <c r="N50" s="57">
        <v>7.3</v>
      </c>
      <c r="O50" s="25">
        <v>0</v>
      </c>
      <c r="P50" s="17">
        <f>O50-G50</f>
        <v>-20</v>
      </c>
      <c r="Q50" s="17">
        <f>IF(P50&lt;0,0,O50-G50)</f>
        <v>0</v>
      </c>
      <c r="R50" s="20">
        <f>Q50*I50/100</f>
        <v>0</v>
      </c>
      <c r="S50" s="57">
        <v>7.2</v>
      </c>
      <c r="T50" s="45"/>
      <c r="U50" s="18"/>
      <c r="V50" s="18"/>
      <c r="W50" s="19"/>
      <c r="X50" s="58"/>
      <c r="Y50" s="45"/>
      <c r="Z50" s="18"/>
      <c r="AA50" s="18"/>
      <c r="AB50" s="19"/>
      <c r="AC50" s="58"/>
      <c r="AD50" s="45"/>
      <c r="AE50" s="18"/>
      <c r="AF50" s="17">
        <f t="shared" si="31"/>
        <v>-20</v>
      </c>
      <c r="AG50" s="20">
        <f t="shared" si="32"/>
        <v>-1.3</v>
      </c>
      <c r="AH50" s="49">
        <v>8.4</v>
      </c>
      <c r="AI50" s="42">
        <f t="shared" si="33"/>
        <v>-20</v>
      </c>
      <c r="AJ50" s="35">
        <f t="shared" si="34"/>
        <v>-10.920000000000002</v>
      </c>
    </row>
    <row r="51" spans="1:36" x14ac:dyDescent="0.25">
      <c r="A51" s="25"/>
      <c r="B51" s="66" t="s">
        <v>284</v>
      </c>
      <c r="C51" s="17"/>
      <c r="D51" s="17"/>
      <c r="E51" s="18"/>
      <c r="F51" s="17"/>
      <c r="G51" s="17"/>
      <c r="H51" s="17"/>
      <c r="I51" s="39"/>
      <c r="J51" s="71">
        <f t="shared" ref="J51:AJ51" si="39">SUM(J49:J50)</f>
        <v>0</v>
      </c>
      <c r="K51" s="66">
        <f t="shared" si="39"/>
        <v>-20</v>
      </c>
      <c r="L51" s="66">
        <f t="shared" si="39"/>
        <v>0</v>
      </c>
      <c r="M51" s="72">
        <f t="shared" si="39"/>
        <v>0</v>
      </c>
      <c r="N51" s="73">
        <f t="shared" si="39"/>
        <v>7.3</v>
      </c>
      <c r="O51" s="71">
        <f t="shared" si="39"/>
        <v>0</v>
      </c>
      <c r="P51" s="66">
        <f t="shared" si="39"/>
        <v>-20</v>
      </c>
      <c r="Q51" s="66">
        <f t="shared" si="39"/>
        <v>0</v>
      </c>
      <c r="R51" s="72">
        <f t="shared" si="39"/>
        <v>0</v>
      </c>
      <c r="S51" s="73">
        <f t="shared" si="39"/>
        <v>7.2</v>
      </c>
      <c r="T51" s="67">
        <f t="shared" si="39"/>
        <v>30</v>
      </c>
      <c r="U51" s="68">
        <f t="shared" si="39"/>
        <v>10</v>
      </c>
      <c r="V51" s="68">
        <f t="shared" si="39"/>
        <v>10</v>
      </c>
      <c r="W51" s="69">
        <f t="shared" si="39"/>
        <v>0.65</v>
      </c>
      <c r="X51" s="70">
        <f t="shared" si="39"/>
        <v>8.4</v>
      </c>
      <c r="Y51" s="67">
        <f t="shared" si="39"/>
        <v>138</v>
      </c>
      <c r="Z51" s="68">
        <f t="shared" si="39"/>
        <v>118</v>
      </c>
      <c r="AA51" s="68">
        <f t="shared" si="39"/>
        <v>118</v>
      </c>
      <c r="AB51" s="69">
        <f t="shared" si="39"/>
        <v>7.67</v>
      </c>
      <c r="AC51" s="70">
        <f t="shared" si="39"/>
        <v>8.4</v>
      </c>
      <c r="AD51" s="67">
        <f t="shared" si="39"/>
        <v>0</v>
      </c>
      <c r="AE51" s="68">
        <f t="shared" si="39"/>
        <v>-20</v>
      </c>
      <c r="AF51" s="66">
        <f t="shared" si="39"/>
        <v>-20</v>
      </c>
      <c r="AG51" s="72">
        <f t="shared" si="39"/>
        <v>-1.3</v>
      </c>
      <c r="AH51" s="74">
        <f t="shared" si="39"/>
        <v>16.8</v>
      </c>
      <c r="AI51" s="75">
        <f t="shared" si="39"/>
        <v>108</v>
      </c>
      <c r="AJ51" s="76">
        <f t="shared" si="39"/>
        <v>58.968000000000004</v>
      </c>
    </row>
    <row r="52" spans="1:36" x14ac:dyDescent="0.25">
      <c r="A52" s="25" t="s">
        <v>101</v>
      </c>
      <c r="B52" s="17" t="s">
        <v>10</v>
      </c>
      <c r="C52" s="17" t="s">
        <v>11</v>
      </c>
      <c r="D52" s="17" t="s">
        <v>102</v>
      </c>
      <c r="E52" s="17" t="s">
        <v>103</v>
      </c>
      <c r="F52" s="17" t="s">
        <v>14</v>
      </c>
      <c r="G52" s="17">
        <v>35</v>
      </c>
      <c r="H52" s="17" t="s">
        <v>15</v>
      </c>
      <c r="I52" s="39">
        <v>6.5</v>
      </c>
      <c r="J52" s="25">
        <v>76</v>
      </c>
      <c r="K52" s="17">
        <f>J52-G52</f>
        <v>41</v>
      </c>
      <c r="L52" s="17">
        <f>IF(K52&lt;0,0,J52-G52)</f>
        <v>41</v>
      </c>
      <c r="M52" s="20">
        <f>L52*I52/100</f>
        <v>2.665</v>
      </c>
      <c r="N52" s="57">
        <v>8.4</v>
      </c>
      <c r="O52" s="25">
        <v>312</v>
      </c>
      <c r="P52" s="17">
        <f>O52-G52</f>
        <v>277</v>
      </c>
      <c r="Q52" s="17">
        <f>IF(P52&lt;0,0,O52-G52)</f>
        <v>277</v>
      </c>
      <c r="R52" s="20">
        <f>Q52*I52/100</f>
        <v>18.004999999999999</v>
      </c>
      <c r="S52" s="57">
        <v>8.4</v>
      </c>
      <c r="T52" s="25">
        <v>46</v>
      </c>
      <c r="U52" s="17">
        <f>T52-G52</f>
        <v>11</v>
      </c>
      <c r="V52" s="17">
        <f>IF(U52&lt;0,0,T52-G52)</f>
        <v>11</v>
      </c>
      <c r="W52" s="20">
        <f>V52*I52/100</f>
        <v>0.71499999999999997</v>
      </c>
      <c r="X52" s="57">
        <v>8.4</v>
      </c>
      <c r="Y52" s="25">
        <v>100</v>
      </c>
      <c r="Z52" s="17">
        <f>Y52-G52</f>
        <v>65</v>
      </c>
      <c r="AA52" s="17">
        <f>IF(Z52&lt;0,0,Y52-G52)</f>
        <v>65</v>
      </c>
      <c r="AB52" s="20">
        <f>AA52*I52/100</f>
        <v>4.2249999999999996</v>
      </c>
      <c r="AC52" s="57">
        <v>8.4</v>
      </c>
      <c r="AD52" s="25">
        <v>89</v>
      </c>
      <c r="AE52" s="17">
        <f>AD52-G52</f>
        <v>54</v>
      </c>
      <c r="AF52" s="17">
        <f>IF(AE52&lt;0,0,AD52-G52)</f>
        <v>54</v>
      </c>
      <c r="AG52" s="20">
        <f>AF52*I52/100</f>
        <v>3.51</v>
      </c>
      <c r="AH52" s="49">
        <v>8.4</v>
      </c>
      <c r="AI52" s="42">
        <f>AF52+AA52+V52+Q52+L52</f>
        <v>448</v>
      </c>
      <c r="AJ52" s="35">
        <f>AG52*AH52+AB52*AC52+W52*X52+R52*S52+M52*N52</f>
        <v>244.60799999999998</v>
      </c>
    </row>
    <row r="53" spans="1:36" x14ac:dyDescent="0.25">
      <c r="A53" s="25" t="s">
        <v>118</v>
      </c>
      <c r="B53" s="17" t="s">
        <v>10</v>
      </c>
      <c r="C53" s="17" t="s">
        <v>105</v>
      </c>
      <c r="D53" s="17" t="s">
        <v>102</v>
      </c>
      <c r="E53" s="18" t="s">
        <v>103</v>
      </c>
      <c r="F53" s="17" t="s">
        <v>14</v>
      </c>
      <c r="G53" s="17">
        <v>35</v>
      </c>
      <c r="H53" s="17" t="s">
        <v>15</v>
      </c>
      <c r="I53" s="39">
        <v>6.5</v>
      </c>
      <c r="J53" s="45"/>
      <c r="K53" s="18"/>
      <c r="L53" s="18"/>
      <c r="M53" s="19"/>
      <c r="N53" s="58"/>
      <c r="O53" s="25">
        <v>109</v>
      </c>
      <c r="P53" s="17">
        <f>O53-G53</f>
        <v>74</v>
      </c>
      <c r="Q53" s="17">
        <f>IF(P53&lt;0,0,O53-G53)</f>
        <v>74</v>
      </c>
      <c r="R53" s="20">
        <f>Q53*I53/100</f>
        <v>4.8099999999999996</v>
      </c>
      <c r="S53" s="57">
        <v>8.4</v>
      </c>
      <c r="T53" s="45"/>
      <c r="U53" s="18"/>
      <c r="V53" s="18"/>
      <c r="W53" s="19"/>
      <c r="X53" s="58"/>
      <c r="Y53" s="45"/>
      <c r="Z53" s="18"/>
      <c r="AA53" s="18"/>
      <c r="AB53" s="19"/>
      <c r="AC53" s="58"/>
      <c r="AD53" s="45"/>
      <c r="AE53" s="18"/>
      <c r="AF53" s="17">
        <f>IF(AE53&lt;0,0,AD53-G53)</f>
        <v>-35</v>
      </c>
      <c r="AG53" s="20">
        <f>AF53*I53/100</f>
        <v>-2.2749999999999999</v>
      </c>
      <c r="AH53" s="49">
        <v>8.4</v>
      </c>
      <c r="AI53" s="42">
        <f>AF53+AA53+V53+Q53+L53</f>
        <v>39</v>
      </c>
      <c r="AJ53" s="35">
        <f>AG53*AH53+AB53*AC53+W53*X53+R53*S53+M53*N53</f>
        <v>21.293999999999997</v>
      </c>
    </row>
    <row r="54" spans="1:36" x14ac:dyDescent="0.25">
      <c r="A54" s="25"/>
      <c r="B54" s="66" t="s">
        <v>285</v>
      </c>
      <c r="C54" s="17"/>
      <c r="D54" s="17"/>
      <c r="E54" s="18"/>
      <c r="F54" s="17"/>
      <c r="G54" s="17"/>
      <c r="H54" s="17"/>
      <c r="I54" s="39"/>
      <c r="J54" s="67">
        <f t="shared" ref="J54:AJ54" si="40">SUM(J52:J53)</f>
        <v>76</v>
      </c>
      <c r="K54" s="68">
        <f t="shared" si="40"/>
        <v>41</v>
      </c>
      <c r="L54" s="68">
        <f t="shared" si="40"/>
        <v>41</v>
      </c>
      <c r="M54" s="69">
        <f t="shared" si="40"/>
        <v>2.665</v>
      </c>
      <c r="N54" s="70">
        <f t="shared" si="40"/>
        <v>8.4</v>
      </c>
      <c r="O54" s="71">
        <f t="shared" si="40"/>
        <v>421</v>
      </c>
      <c r="P54" s="66">
        <f t="shared" si="40"/>
        <v>351</v>
      </c>
      <c r="Q54" s="66">
        <f t="shared" si="40"/>
        <v>351</v>
      </c>
      <c r="R54" s="72">
        <f t="shared" si="40"/>
        <v>22.814999999999998</v>
      </c>
      <c r="S54" s="73">
        <f t="shared" si="40"/>
        <v>16.8</v>
      </c>
      <c r="T54" s="67">
        <f t="shared" si="40"/>
        <v>46</v>
      </c>
      <c r="U54" s="68">
        <f t="shared" si="40"/>
        <v>11</v>
      </c>
      <c r="V54" s="68">
        <f t="shared" si="40"/>
        <v>11</v>
      </c>
      <c r="W54" s="69">
        <f t="shared" si="40"/>
        <v>0.71499999999999997</v>
      </c>
      <c r="X54" s="70">
        <f t="shared" si="40"/>
        <v>8.4</v>
      </c>
      <c r="Y54" s="67">
        <f t="shared" si="40"/>
        <v>100</v>
      </c>
      <c r="Z54" s="68">
        <f t="shared" si="40"/>
        <v>65</v>
      </c>
      <c r="AA54" s="68">
        <f t="shared" si="40"/>
        <v>65</v>
      </c>
      <c r="AB54" s="69">
        <f t="shared" si="40"/>
        <v>4.2249999999999996</v>
      </c>
      <c r="AC54" s="70">
        <f t="shared" si="40"/>
        <v>8.4</v>
      </c>
      <c r="AD54" s="67">
        <f t="shared" si="40"/>
        <v>89</v>
      </c>
      <c r="AE54" s="68">
        <f t="shared" si="40"/>
        <v>54</v>
      </c>
      <c r="AF54" s="66">
        <f t="shared" si="40"/>
        <v>19</v>
      </c>
      <c r="AG54" s="72">
        <f t="shared" si="40"/>
        <v>1.2349999999999999</v>
      </c>
      <c r="AH54" s="74">
        <f t="shared" si="40"/>
        <v>16.8</v>
      </c>
      <c r="AI54" s="75">
        <f t="shared" si="40"/>
        <v>487</v>
      </c>
      <c r="AJ54" s="76">
        <f t="shared" si="40"/>
        <v>265.90199999999999</v>
      </c>
    </row>
    <row r="55" spans="1:36" x14ac:dyDescent="0.25">
      <c r="A55" s="25" t="s">
        <v>104</v>
      </c>
      <c r="B55" s="17" t="s">
        <v>10</v>
      </c>
      <c r="C55" s="17" t="s">
        <v>105</v>
      </c>
      <c r="D55" s="17" t="s">
        <v>102</v>
      </c>
      <c r="E55" s="17" t="s">
        <v>106</v>
      </c>
      <c r="F55" s="17" t="s">
        <v>14</v>
      </c>
      <c r="G55" s="17">
        <v>30</v>
      </c>
      <c r="H55" s="17" t="s">
        <v>15</v>
      </c>
      <c r="I55" s="39">
        <v>6.5</v>
      </c>
      <c r="J55" s="25">
        <v>21</v>
      </c>
      <c r="K55" s="17">
        <f t="shared" ref="K55:K63" si="41">J55-G55</f>
        <v>-9</v>
      </c>
      <c r="L55" s="17">
        <f t="shared" ref="L55:L63" si="42">IF(K55&lt;0,0,J55-G55)</f>
        <v>0</v>
      </c>
      <c r="M55" s="20">
        <f t="shared" ref="M55:M63" si="43">L55*I55/100</f>
        <v>0</v>
      </c>
      <c r="N55" s="57">
        <v>8.4</v>
      </c>
      <c r="O55" s="25">
        <v>57</v>
      </c>
      <c r="P55" s="17">
        <f t="shared" ref="P55:P63" si="44">O55-G55</f>
        <v>27</v>
      </c>
      <c r="Q55" s="17">
        <f t="shared" ref="Q55:Q63" si="45">IF(P55&lt;0,0,O55-G55)</f>
        <v>27</v>
      </c>
      <c r="R55" s="20">
        <f t="shared" ref="R55:R63" si="46">Q55*I55/100</f>
        <v>1.7549999999999999</v>
      </c>
      <c r="S55" s="57">
        <v>8.4</v>
      </c>
      <c r="T55" s="25">
        <v>22</v>
      </c>
      <c r="U55" s="17">
        <f t="shared" ref="U55:U63" si="47">T55-G55</f>
        <v>-8</v>
      </c>
      <c r="V55" s="17">
        <f t="shared" ref="V55:V63" si="48">IF(U55&lt;0,0,T55-G55)</f>
        <v>0</v>
      </c>
      <c r="W55" s="20">
        <f t="shared" ref="W55:W63" si="49">V55*I55/100</f>
        <v>0</v>
      </c>
      <c r="X55" s="57">
        <v>8.4</v>
      </c>
      <c r="Y55" s="25">
        <v>24</v>
      </c>
      <c r="Z55" s="17">
        <f t="shared" ref="Z55:Z63" si="50">Y55-G55</f>
        <v>-6</v>
      </c>
      <c r="AA55" s="17">
        <f t="shared" ref="AA55:AA63" si="51">IF(Z55&lt;0,0,Y55-G55)</f>
        <v>0</v>
      </c>
      <c r="AB55" s="20">
        <f t="shared" ref="AB55:AB63" si="52">AA55*I55/100</f>
        <v>0</v>
      </c>
      <c r="AC55" s="57">
        <v>8.4</v>
      </c>
      <c r="AD55" s="25">
        <v>28</v>
      </c>
      <c r="AE55" s="17">
        <f t="shared" ref="AE55:AE64" si="53">AD55-G55</f>
        <v>-2</v>
      </c>
      <c r="AF55" s="18"/>
      <c r="AG55" s="19"/>
      <c r="AH55" s="50"/>
      <c r="AI55" s="42">
        <f t="shared" ref="AI55:AI64" si="54">AF55+AA55+V55+Q55+L55</f>
        <v>27</v>
      </c>
      <c r="AJ55" s="35">
        <f t="shared" ref="AJ55:AJ64" si="55">AG55*AH55+AB55*AC55+W55*X55+R55*S55+M55*N55</f>
        <v>14.741999999999999</v>
      </c>
    </row>
    <row r="56" spans="1:36" x14ac:dyDescent="0.25">
      <c r="A56" s="25" t="s">
        <v>111</v>
      </c>
      <c r="B56" s="17" t="s">
        <v>10</v>
      </c>
      <c r="C56" s="17" t="s">
        <v>11</v>
      </c>
      <c r="D56" s="17" t="s">
        <v>102</v>
      </c>
      <c r="E56" s="17" t="s">
        <v>112</v>
      </c>
      <c r="F56" s="17" t="s">
        <v>14</v>
      </c>
      <c r="G56" s="17">
        <v>20</v>
      </c>
      <c r="H56" s="17" t="s">
        <v>15</v>
      </c>
      <c r="I56" s="39">
        <v>6.5</v>
      </c>
      <c r="J56" s="25">
        <v>43</v>
      </c>
      <c r="K56" s="17">
        <f t="shared" si="41"/>
        <v>23</v>
      </c>
      <c r="L56" s="17">
        <f t="shared" si="42"/>
        <v>23</v>
      </c>
      <c r="M56" s="20">
        <f t="shared" si="43"/>
        <v>1.4950000000000001</v>
      </c>
      <c r="N56" s="57">
        <v>8.4</v>
      </c>
      <c r="O56" s="25">
        <v>203</v>
      </c>
      <c r="P56" s="17">
        <f t="shared" si="44"/>
        <v>183</v>
      </c>
      <c r="Q56" s="17">
        <f t="shared" si="45"/>
        <v>183</v>
      </c>
      <c r="R56" s="20">
        <f t="shared" si="46"/>
        <v>11.895</v>
      </c>
      <c r="S56" s="57">
        <v>8.4</v>
      </c>
      <c r="T56" s="25">
        <v>303</v>
      </c>
      <c r="U56" s="17">
        <f t="shared" si="47"/>
        <v>283</v>
      </c>
      <c r="V56" s="17">
        <f t="shared" si="48"/>
        <v>283</v>
      </c>
      <c r="W56" s="20">
        <f t="shared" si="49"/>
        <v>18.395</v>
      </c>
      <c r="X56" s="57">
        <v>8.4</v>
      </c>
      <c r="Y56" s="25">
        <v>2</v>
      </c>
      <c r="Z56" s="17">
        <f t="shared" si="50"/>
        <v>-18</v>
      </c>
      <c r="AA56" s="17">
        <f t="shared" si="51"/>
        <v>0</v>
      </c>
      <c r="AB56" s="20">
        <f t="shared" si="52"/>
        <v>0</v>
      </c>
      <c r="AC56" s="57">
        <v>8.4</v>
      </c>
      <c r="AD56" s="25">
        <v>210</v>
      </c>
      <c r="AE56" s="17">
        <f t="shared" si="53"/>
        <v>190</v>
      </c>
      <c r="AF56" s="17">
        <f>IF(AE56&lt;0,0,AD56-G56)</f>
        <v>190</v>
      </c>
      <c r="AG56" s="20">
        <f>AF56*I56/100</f>
        <v>12.35</v>
      </c>
      <c r="AH56" s="49">
        <v>8.4</v>
      </c>
      <c r="AI56" s="42">
        <f t="shared" si="54"/>
        <v>679</v>
      </c>
      <c r="AJ56" s="35">
        <f t="shared" si="55"/>
        <v>370.73399999999998</v>
      </c>
    </row>
    <row r="57" spans="1:36" x14ac:dyDescent="0.25">
      <c r="A57" s="25" t="s">
        <v>109</v>
      </c>
      <c r="B57" s="17" t="s">
        <v>10</v>
      </c>
      <c r="C57" s="17" t="s">
        <v>11</v>
      </c>
      <c r="D57" s="17" t="s">
        <v>102</v>
      </c>
      <c r="E57" s="17" t="s">
        <v>110</v>
      </c>
      <c r="F57" s="17" t="s">
        <v>14</v>
      </c>
      <c r="G57" s="17">
        <v>20</v>
      </c>
      <c r="H57" s="17" t="s">
        <v>15</v>
      </c>
      <c r="I57" s="39">
        <v>6.5</v>
      </c>
      <c r="J57" s="25">
        <v>0</v>
      </c>
      <c r="K57" s="17">
        <f t="shared" si="41"/>
        <v>-20</v>
      </c>
      <c r="L57" s="17">
        <f t="shared" si="42"/>
        <v>0</v>
      </c>
      <c r="M57" s="20">
        <f t="shared" si="43"/>
        <v>0</v>
      </c>
      <c r="N57" s="57">
        <v>8.4</v>
      </c>
      <c r="O57" s="25">
        <v>23</v>
      </c>
      <c r="P57" s="17">
        <f t="shared" si="44"/>
        <v>3</v>
      </c>
      <c r="Q57" s="17">
        <f t="shared" si="45"/>
        <v>3</v>
      </c>
      <c r="R57" s="20">
        <f t="shared" si="46"/>
        <v>0.19500000000000001</v>
      </c>
      <c r="S57" s="57">
        <v>8.4</v>
      </c>
      <c r="T57" s="25">
        <v>5</v>
      </c>
      <c r="U57" s="17">
        <f t="shared" si="47"/>
        <v>-15</v>
      </c>
      <c r="V57" s="17">
        <f t="shared" si="48"/>
        <v>0</v>
      </c>
      <c r="W57" s="20">
        <f t="shared" si="49"/>
        <v>0</v>
      </c>
      <c r="X57" s="57">
        <v>8.4</v>
      </c>
      <c r="Y57" s="25">
        <v>15</v>
      </c>
      <c r="Z57" s="17">
        <f t="shared" si="50"/>
        <v>-5</v>
      </c>
      <c r="AA57" s="17">
        <f t="shared" si="51"/>
        <v>0</v>
      </c>
      <c r="AB57" s="20">
        <f t="shared" si="52"/>
        <v>0</v>
      </c>
      <c r="AC57" s="57">
        <v>8.4</v>
      </c>
      <c r="AD57" s="25">
        <v>0</v>
      </c>
      <c r="AE57" s="17">
        <f t="shared" si="53"/>
        <v>-20</v>
      </c>
      <c r="AF57" s="18"/>
      <c r="AG57" s="19"/>
      <c r="AH57" s="50"/>
      <c r="AI57" s="42">
        <f t="shared" si="54"/>
        <v>3</v>
      </c>
      <c r="AJ57" s="35">
        <f t="shared" si="55"/>
        <v>1.6380000000000001</v>
      </c>
    </row>
    <row r="58" spans="1:36" x14ac:dyDescent="0.25">
      <c r="A58" s="25" t="s">
        <v>145</v>
      </c>
      <c r="B58" s="17" t="s">
        <v>17</v>
      </c>
      <c r="C58" s="17" t="s">
        <v>18</v>
      </c>
      <c r="D58" s="17" t="s">
        <v>129</v>
      </c>
      <c r="E58" s="17" t="s">
        <v>146</v>
      </c>
      <c r="F58" s="17" t="s">
        <v>14</v>
      </c>
      <c r="G58" s="17">
        <v>20</v>
      </c>
      <c r="H58" s="17" t="s">
        <v>15</v>
      </c>
      <c r="I58" s="39">
        <v>6.5</v>
      </c>
      <c r="J58" s="25">
        <v>5</v>
      </c>
      <c r="K58" s="17">
        <f t="shared" si="41"/>
        <v>-15</v>
      </c>
      <c r="L58" s="17">
        <f t="shared" si="42"/>
        <v>0</v>
      </c>
      <c r="M58" s="20">
        <f t="shared" si="43"/>
        <v>0</v>
      </c>
      <c r="N58" s="57">
        <v>8.4</v>
      </c>
      <c r="O58" s="25">
        <v>0</v>
      </c>
      <c r="P58" s="17">
        <f t="shared" si="44"/>
        <v>-20</v>
      </c>
      <c r="Q58" s="17">
        <f t="shared" si="45"/>
        <v>0</v>
      </c>
      <c r="R58" s="20">
        <f t="shared" si="46"/>
        <v>0</v>
      </c>
      <c r="S58" s="57">
        <v>8.4</v>
      </c>
      <c r="T58" s="25">
        <v>16</v>
      </c>
      <c r="U58" s="17">
        <f t="shared" si="47"/>
        <v>-4</v>
      </c>
      <c r="V58" s="17">
        <f t="shared" si="48"/>
        <v>0</v>
      </c>
      <c r="W58" s="20">
        <f t="shared" si="49"/>
        <v>0</v>
      </c>
      <c r="X58" s="57">
        <v>8.4</v>
      </c>
      <c r="Y58" s="25">
        <v>30</v>
      </c>
      <c r="Z58" s="17">
        <f t="shared" si="50"/>
        <v>10</v>
      </c>
      <c r="AA58" s="17">
        <f t="shared" si="51"/>
        <v>10</v>
      </c>
      <c r="AB58" s="20">
        <f t="shared" si="52"/>
        <v>0.65</v>
      </c>
      <c r="AC58" s="57">
        <v>8.4</v>
      </c>
      <c r="AD58" s="25">
        <v>35</v>
      </c>
      <c r="AE58" s="17">
        <f t="shared" si="53"/>
        <v>15</v>
      </c>
      <c r="AF58" s="17">
        <f t="shared" ref="AF58:AF64" si="56">IF(AE58&lt;0,0,AD58-G58)</f>
        <v>15</v>
      </c>
      <c r="AG58" s="20">
        <f t="shared" ref="AG58:AG64" si="57">AF58*I58/100</f>
        <v>0.97499999999999998</v>
      </c>
      <c r="AH58" s="49">
        <v>8.4</v>
      </c>
      <c r="AI58" s="42">
        <f t="shared" si="54"/>
        <v>25</v>
      </c>
      <c r="AJ58" s="35">
        <f t="shared" si="55"/>
        <v>13.65</v>
      </c>
    </row>
    <row r="59" spans="1:36" x14ac:dyDescent="0.25">
      <c r="A59" s="25" t="s">
        <v>141</v>
      </c>
      <c r="B59" s="17" t="s">
        <v>10</v>
      </c>
      <c r="C59" s="17" t="s">
        <v>105</v>
      </c>
      <c r="D59" s="17" t="s">
        <v>129</v>
      </c>
      <c r="E59" s="18" t="s">
        <v>142</v>
      </c>
      <c r="F59" s="17" t="s">
        <v>14</v>
      </c>
      <c r="G59" s="17">
        <v>20</v>
      </c>
      <c r="H59" s="17" t="s">
        <v>15</v>
      </c>
      <c r="I59" s="39">
        <v>6.5</v>
      </c>
      <c r="J59" s="25">
        <v>0</v>
      </c>
      <c r="K59" s="17">
        <f t="shared" si="41"/>
        <v>-20</v>
      </c>
      <c r="L59" s="17">
        <f t="shared" si="42"/>
        <v>0</v>
      </c>
      <c r="M59" s="20">
        <f t="shared" si="43"/>
        <v>0</v>
      </c>
      <c r="N59" s="57">
        <v>8.4</v>
      </c>
      <c r="O59" s="25">
        <v>0</v>
      </c>
      <c r="P59" s="17">
        <f t="shared" si="44"/>
        <v>-20</v>
      </c>
      <c r="Q59" s="17">
        <f t="shared" si="45"/>
        <v>0</v>
      </c>
      <c r="R59" s="20">
        <f t="shared" si="46"/>
        <v>0</v>
      </c>
      <c r="S59" s="57">
        <v>8.4</v>
      </c>
      <c r="T59" s="25">
        <v>0</v>
      </c>
      <c r="U59" s="17">
        <f t="shared" si="47"/>
        <v>-20</v>
      </c>
      <c r="V59" s="17">
        <f t="shared" si="48"/>
        <v>0</v>
      </c>
      <c r="W59" s="20">
        <f t="shared" si="49"/>
        <v>0</v>
      </c>
      <c r="X59" s="57">
        <v>8.4</v>
      </c>
      <c r="Y59" s="25">
        <v>0</v>
      </c>
      <c r="Z59" s="17">
        <f t="shared" si="50"/>
        <v>-20</v>
      </c>
      <c r="AA59" s="17">
        <f t="shared" si="51"/>
        <v>0</v>
      </c>
      <c r="AB59" s="20">
        <f t="shared" si="52"/>
        <v>0</v>
      </c>
      <c r="AC59" s="57">
        <v>8.4</v>
      </c>
      <c r="AD59" s="25">
        <v>0</v>
      </c>
      <c r="AE59" s="17">
        <f t="shared" si="53"/>
        <v>-20</v>
      </c>
      <c r="AF59" s="17">
        <f t="shared" si="56"/>
        <v>0</v>
      </c>
      <c r="AG59" s="20">
        <f t="shared" si="57"/>
        <v>0</v>
      </c>
      <c r="AH59" s="49">
        <v>8.4</v>
      </c>
      <c r="AI59" s="42">
        <f t="shared" si="54"/>
        <v>0</v>
      </c>
      <c r="AJ59" s="35">
        <f t="shared" si="55"/>
        <v>0</v>
      </c>
    </row>
    <row r="60" spans="1:36" x14ac:dyDescent="0.25">
      <c r="A60" s="25" t="s">
        <v>137</v>
      </c>
      <c r="B60" s="17" t="s">
        <v>10</v>
      </c>
      <c r="C60" s="17" t="s">
        <v>11</v>
      </c>
      <c r="D60" s="17" t="s">
        <v>129</v>
      </c>
      <c r="E60" s="18" t="s">
        <v>138</v>
      </c>
      <c r="F60" s="17" t="s">
        <v>14</v>
      </c>
      <c r="G60" s="17">
        <v>20</v>
      </c>
      <c r="H60" s="17" t="s">
        <v>15</v>
      </c>
      <c r="I60" s="39">
        <v>6.5</v>
      </c>
      <c r="J60" s="25">
        <v>30</v>
      </c>
      <c r="K60" s="17">
        <f t="shared" si="41"/>
        <v>10</v>
      </c>
      <c r="L60" s="17">
        <f t="shared" si="42"/>
        <v>10</v>
      </c>
      <c r="M60" s="20">
        <f t="shared" si="43"/>
        <v>0.65</v>
      </c>
      <c r="N60" s="57">
        <v>8.4</v>
      </c>
      <c r="O60" s="25">
        <v>34</v>
      </c>
      <c r="P60" s="17">
        <f t="shared" si="44"/>
        <v>14</v>
      </c>
      <c r="Q60" s="17">
        <f t="shared" si="45"/>
        <v>14</v>
      </c>
      <c r="R60" s="20">
        <f t="shared" si="46"/>
        <v>0.91</v>
      </c>
      <c r="S60" s="57">
        <v>8.4</v>
      </c>
      <c r="T60" s="25">
        <v>0</v>
      </c>
      <c r="U60" s="17">
        <f t="shared" si="47"/>
        <v>-20</v>
      </c>
      <c r="V60" s="17">
        <f t="shared" si="48"/>
        <v>0</v>
      </c>
      <c r="W60" s="20">
        <f t="shared" si="49"/>
        <v>0</v>
      </c>
      <c r="X60" s="57">
        <v>8.4</v>
      </c>
      <c r="Y60" s="25">
        <v>5</v>
      </c>
      <c r="Z60" s="17">
        <f t="shared" si="50"/>
        <v>-15</v>
      </c>
      <c r="AA60" s="17">
        <f t="shared" si="51"/>
        <v>0</v>
      </c>
      <c r="AB60" s="20">
        <f t="shared" si="52"/>
        <v>0</v>
      </c>
      <c r="AC60" s="57">
        <v>8.4</v>
      </c>
      <c r="AD60" s="25">
        <v>5</v>
      </c>
      <c r="AE60" s="17">
        <f t="shared" si="53"/>
        <v>-15</v>
      </c>
      <c r="AF60" s="17">
        <f t="shared" si="56"/>
        <v>0</v>
      </c>
      <c r="AG60" s="20">
        <f t="shared" si="57"/>
        <v>0</v>
      </c>
      <c r="AH60" s="49">
        <v>8.4</v>
      </c>
      <c r="AI60" s="42">
        <f t="shared" si="54"/>
        <v>24</v>
      </c>
      <c r="AJ60" s="35">
        <f t="shared" si="55"/>
        <v>13.104000000000003</v>
      </c>
    </row>
    <row r="61" spans="1:36" x14ac:dyDescent="0.25">
      <c r="A61" s="25" t="s">
        <v>153</v>
      </c>
      <c r="B61" s="17" t="s">
        <v>10</v>
      </c>
      <c r="C61" s="17" t="s">
        <v>11</v>
      </c>
      <c r="D61" s="17" t="s">
        <v>129</v>
      </c>
      <c r="E61" s="17" t="s">
        <v>154</v>
      </c>
      <c r="F61" s="17" t="s">
        <v>14</v>
      </c>
      <c r="G61" s="17">
        <v>20</v>
      </c>
      <c r="H61" s="17" t="s">
        <v>15</v>
      </c>
      <c r="I61" s="39">
        <v>6.5</v>
      </c>
      <c r="J61" s="25">
        <v>35</v>
      </c>
      <c r="K61" s="17">
        <f t="shared" si="41"/>
        <v>15</v>
      </c>
      <c r="L61" s="17">
        <f t="shared" si="42"/>
        <v>15</v>
      </c>
      <c r="M61" s="20">
        <f t="shared" si="43"/>
        <v>0.97499999999999998</v>
      </c>
      <c r="N61" s="57">
        <v>8.4</v>
      </c>
      <c r="O61" s="25">
        <v>51</v>
      </c>
      <c r="P61" s="17">
        <f t="shared" si="44"/>
        <v>31</v>
      </c>
      <c r="Q61" s="17">
        <f t="shared" si="45"/>
        <v>31</v>
      </c>
      <c r="R61" s="20">
        <f t="shared" si="46"/>
        <v>2.0150000000000001</v>
      </c>
      <c r="S61" s="57">
        <v>8.4</v>
      </c>
      <c r="T61" s="25">
        <v>74</v>
      </c>
      <c r="U61" s="17">
        <f t="shared" si="47"/>
        <v>54</v>
      </c>
      <c r="V61" s="17">
        <f t="shared" si="48"/>
        <v>54</v>
      </c>
      <c r="W61" s="20">
        <f t="shared" si="49"/>
        <v>3.51</v>
      </c>
      <c r="X61" s="57">
        <v>8.4</v>
      </c>
      <c r="Y61" s="25">
        <v>34</v>
      </c>
      <c r="Z61" s="17">
        <f t="shared" si="50"/>
        <v>14</v>
      </c>
      <c r="AA61" s="17">
        <f t="shared" si="51"/>
        <v>14</v>
      </c>
      <c r="AB61" s="20">
        <f t="shared" si="52"/>
        <v>0.91</v>
      </c>
      <c r="AC61" s="57">
        <v>8.4</v>
      </c>
      <c r="AD61" s="25">
        <v>47</v>
      </c>
      <c r="AE61" s="17">
        <f t="shared" si="53"/>
        <v>27</v>
      </c>
      <c r="AF61" s="17">
        <f t="shared" si="56"/>
        <v>27</v>
      </c>
      <c r="AG61" s="20">
        <f t="shared" si="57"/>
        <v>1.7549999999999999</v>
      </c>
      <c r="AH61" s="49">
        <v>8.4</v>
      </c>
      <c r="AI61" s="42">
        <f t="shared" si="54"/>
        <v>141</v>
      </c>
      <c r="AJ61" s="35">
        <f t="shared" si="55"/>
        <v>76.98599999999999</v>
      </c>
    </row>
    <row r="62" spans="1:36" x14ac:dyDescent="0.25">
      <c r="A62" s="25" t="s">
        <v>133</v>
      </c>
      <c r="B62" s="17" t="s">
        <v>10</v>
      </c>
      <c r="C62" s="17" t="s">
        <v>11</v>
      </c>
      <c r="D62" s="17" t="s">
        <v>129</v>
      </c>
      <c r="E62" s="17" t="s">
        <v>134</v>
      </c>
      <c r="F62" s="17" t="s">
        <v>14</v>
      </c>
      <c r="G62" s="17">
        <v>20</v>
      </c>
      <c r="H62" s="17" t="s">
        <v>15</v>
      </c>
      <c r="I62" s="39">
        <v>6.5</v>
      </c>
      <c r="J62" s="25">
        <v>120</v>
      </c>
      <c r="K62" s="17">
        <f t="shared" si="41"/>
        <v>100</v>
      </c>
      <c r="L62" s="17">
        <f t="shared" si="42"/>
        <v>100</v>
      </c>
      <c r="M62" s="20">
        <f t="shared" si="43"/>
        <v>6.5</v>
      </c>
      <c r="N62" s="57">
        <v>8.4</v>
      </c>
      <c r="O62" s="25">
        <v>41</v>
      </c>
      <c r="P62" s="17">
        <f t="shared" si="44"/>
        <v>21</v>
      </c>
      <c r="Q62" s="17">
        <f t="shared" si="45"/>
        <v>21</v>
      </c>
      <c r="R62" s="20">
        <f t="shared" si="46"/>
        <v>1.365</v>
      </c>
      <c r="S62" s="57">
        <v>8.4</v>
      </c>
      <c r="T62" s="25">
        <v>181</v>
      </c>
      <c r="U62" s="17">
        <f t="shared" si="47"/>
        <v>161</v>
      </c>
      <c r="V62" s="17">
        <f t="shared" si="48"/>
        <v>161</v>
      </c>
      <c r="W62" s="20">
        <f t="shared" si="49"/>
        <v>10.465</v>
      </c>
      <c r="X62" s="57">
        <v>8.4</v>
      </c>
      <c r="Y62" s="25">
        <v>68</v>
      </c>
      <c r="Z62" s="17">
        <f t="shared" si="50"/>
        <v>48</v>
      </c>
      <c r="AA62" s="17">
        <f t="shared" si="51"/>
        <v>48</v>
      </c>
      <c r="AB62" s="20">
        <f t="shared" si="52"/>
        <v>3.12</v>
      </c>
      <c r="AC62" s="57">
        <v>8.4</v>
      </c>
      <c r="AD62" s="25">
        <v>68</v>
      </c>
      <c r="AE62" s="17">
        <f t="shared" si="53"/>
        <v>48</v>
      </c>
      <c r="AF62" s="17">
        <f t="shared" si="56"/>
        <v>48</v>
      </c>
      <c r="AG62" s="20">
        <f t="shared" si="57"/>
        <v>3.12</v>
      </c>
      <c r="AH62" s="49">
        <v>8.4</v>
      </c>
      <c r="AI62" s="42">
        <f t="shared" si="54"/>
        <v>378</v>
      </c>
      <c r="AJ62" s="35">
        <f t="shared" si="55"/>
        <v>206.38800000000001</v>
      </c>
    </row>
    <row r="63" spans="1:36" x14ac:dyDescent="0.25">
      <c r="A63" s="25" t="s">
        <v>147</v>
      </c>
      <c r="B63" s="17" t="s">
        <v>10</v>
      </c>
      <c r="C63" s="17" t="s">
        <v>22</v>
      </c>
      <c r="D63" s="17" t="s">
        <v>129</v>
      </c>
      <c r="E63" s="18" t="s">
        <v>148</v>
      </c>
      <c r="F63" s="17" t="s">
        <v>14</v>
      </c>
      <c r="G63" s="17">
        <v>20</v>
      </c>
      <c r="H63" s="17" t="s">
        <v>15</v>
      </c>
      <c r="I63" s="39">
        <v>11</v>
      </c>
      <c r="J63" s="25">
        <v>0</v>
      </c>
      <c r="K63" s="17">
        <f t="shared" si="41"/>
        <v>-20</v>
      </c>
      <c r="L63" s="17">
        <f t="shared" si="42"/>
        <v>0</v>
      </c>
      <c r="M63" s="20">
        <f t="shared" si="43"/>
        <v>0</v>
      </c>
      <c r="N63" s="57">
        <v>8.4</v>
      </c>
      <c r="O63" s="25">
        <v>0</v>
      </c>
      <c r="P63" s="17">
        <f t="shared" si="44"/>
        <v>-20</v>
      </c>
      <c r="Q63" s="17">
        <f t="shared" si="45"/>
        <v>0</v>
      </c>
      <c r="R63" s="20">
        <f t="shared" si="46"/>
        <v>0</v>
      </c>
      <c r="S63" s="57">
        <v>8.4</v>
      </c>
      <c r="T63" s="25">
        <v>0</v>
      </c>
      <c r="U63" s="17">
        <f t="shared" si="47"/>
        <v>-20</v>
      </c>
      <c r="V63" s="17">
        <f t="shared" si="48"/>
        <v>0</v>
      </c>
      <c r="W63" s="20">
        <f t="shared" si="49"/>
        <v>0</v>
      </c>
      <c r="X63" s="57">
        <v>8.4</v>
      </c>
      <c r="Y63" s="25">
        <v>0</v>
      </c>
      <c r="Z63" s="17">
        <f t="shared" si="50"/>
        <v>-20</v>
      </c>
      <c r="AA63" s="17">
        <f t="shared" si="51"/>
        <v>0</v>
      </c>
      <c r="AB63" s="20">
        <f t="shared" si="52"/>
        <v>0</v>
      </c>
      <c r="AC63" s="57">
        <v>8.4</v>
      </c>
      <c r="AD63" s="25">
        <v>0</v>
      </c>
      <c r="AE63" s="17">
        <f t="shared" si="53"/>
        <v>-20</v>
      </c>
      <c r="AF63" s="17">
        <f t="shared" si="56"/>
        <v>0</v>
      </c>
      <c r="AG63" s="20">
        <f t="shared" si="57"/>
        <v>0</v>
      </c>
      <c r="AH63" s="49">
        <v>7.2</v>
      </c>
      <c r="AI63" s="42">
        <f t="shared" si="54"/>
        <v>0</v>
      </c>
      <c r="AJ63" s="35">
        <f t="shared" si="55"/>
        <v>0</v>
      </c>
    </row>
    <row r="64" spans="1:36" x14ac:dyDescent="0.25">
      <c r="A64" s="25" t="s">
        <v>149</v>
      </c>
      <c r="B64" s="17" t="s">
        <v>10</v>
      </c>
      <c r="C64" s="17" t="s">
        <v>22</v>
      </c>
      <c r="D64" s="17" t="s">
        <v>129</v>
      </c>
      <c r="E64" s="18" t="s">
        <v>148</v>
      </c>
      <c r="F64" s="17" t="s">
        <v>14</v>
      </c>
      <c r="G64" s="17">
        <v>20</v>
      </c>
      <c r="H64" s="17" t="s">
        <v>15</v>
      </c>
      <c r="I64" s="39">
        <v>11</v>
      </c>
      <c r="J64" s="45"/>
      <c r="K64" s="18"/>
      <c r="L64" s="18"/>
      <c r="M64" s="19"/>
      <c r="N64" s="58"/>
      <c r="O64" s="45"/>
      <c r="P64" s="18"/>
      <c r="Q64" s="18"/>
      <c r="R64" s="19"/>
      <c r="S64" s="58"/>
      <c r="T64" s="45"/>
      <c r="U64" s="18"/>
      <c r="V64" s="18"/>
      <c r="W64" s="19"/>
      <c r="X64" s="58"/>
      <c r="Y64" s="45"/>
      <c r="Z64" s="18"/>
      <c r="AA64" s="18"/>
      <c r="AB64" s="19"/>
      <c r="AC64" s="58"/>
      <c r="AD64" s="25">
        <v>0</v>
      </c>
      <c r="AE64" s="17">
        <f t="shared" si="53"/>
        <v>-20</v>
      </c>
      <c r="AF64" s="17">
        <f t="shared" si="56"/>
        <v>0</v>
      </c>
      <c r="AG64" s="20">
        <f t="shared" si="57"/>
        <v>0</v>
      </c>
      <c r="AH64" s="49">
        <v>8.4</v>
      </c>
      <c r="AI64" s="42">
        <f t="shared" si="54"/>
        <v>0</v>
      </c>
      <c r="AJ64" s="35">
        <f t="shared" si="55"/>
        <v>0</v>
      </c>
    </row>
    <row r="65" spans="1:36" x14ac:dyDescent="0.25">
      <c r="A65" s="25"/>
      <c r="B65" s="66" t="s">
        <v>286</v>
      </c>
      <c r="C65" s="17"/>
      <c r="D65" s="17"/>
      <c r="E65" s="18"/>
      <c r="F65" s="17"/>
      <c r="G65" s="17"/>
      <c r="H65" s="17"/>
      <c r="I65" s="39"/>
      <c r="J65" s="67">
        <f t="shared" ref="J65:AJ65" si="58">SUM(J63:J64)</f>
        <v>0</v>
      </c>
      <c r="K65" s="68">
        <f t="shared" si="58"/>
        <v>-20</v>
      </c>
      <c r="L65" s="68">
        <f t="shared" si="58"/>
        <v>0</v>
      </c>
      <c r="M65" s="69">
        <f t="shared" si="58"/>
        <v>0</v>
      </c>
      <c r="N65" s="70">
        <f t="shared" si="58"/>
        <v>8.4</v>
      </c>
      <c r="O65" s="67">
        <f t="shared" si="58"/>
        <v>0</v>
      </c>
      <c r="P65" s="68">
        <f t="shared" si="58"/>
        <v>-20</v>
      </c>
      <c r="Q65" s="68">
        <f t="shared" si="58"/>
        <v>0</v>
      </c>
      <c r="R65" s="69">
        <f t="shared" si="58"/>
        <v>0</v>
      </c>
      <c r="S65" s="70">
        <f t="shared" si="58"/>
        <v>8.4</v>
      </c>
      <c r="T65" s="67">
        <f t="shared" si="58"/>
        <v>0</v>
      </c>
      <c r="U65" s="68">
        <f t="shared" si="58"/>
        <v>-20</v>
      </c>
      <c r="V65" s="68">
        <f t="shared" si="58"/>
        <v>0</v>
      </c>
      <c r="W65" s="69">
        <f t="shared" si="58"/>
        <v>0</v>
      </c>
      <c r="X65" s="70">
        <f t="shared" si="58"/>
        <v>8.4</v>
      </c>
      <c r="Y65" s="67">
        <f t="shared" si="58"/>
        <v>0</v>
      </c>
      <c r="Z65" s="68">
        <f t="shared" si="58"/>
        <v>-20</v>
      </c>
      <c r="AA65" s="68">
        <f t="shared" si="58"/>
        <v>0</v>
      </c>
      <c r="AB65" s="69">
        <f t="shared" si="58"/>
        <v>0</v>
      </c>
      <c r="AC65" s="70">
        <f t="shared" si="58"/>
        <v>8.4</v>
      </c>
      <c r="AD65" s="71">
        <f t="shared" si="58"/>
        <v>0</v>
      </c>
      <c r="AE65" s="66">
        <f t="shared" si="58"/>
        <v>-40</v>
      </c>
      <c r="AF65" s="66">
        <f t="shared" si="58"/>
        <v>0</v>
      </c>
      <c r="AG65" s="72">
        <f t="shared" si="58"/>
        <v>0</v>
      </c>
      <c r="AH65" s="74">
        <f t="shared" si="58"/>
        <v>15.600000000000001</v>
      </c>
      <c r="AI65" s="75">
        <f t="shared" si="58"/>
        <v>0</v>
      </c>
      <c r="AJ65" s="76">
        <f t="shared" si="58"/>
        <v>0</v>
      </c>
    </row>
    <row r="66" spans="1:36" x14ac:dyDescent="0.25">
      <c r="A66" s="25" t="s">
        <v>139</v>
      </c>
      <c r="B66" s="17" t="s">
        <v>10</v>
      </c>
      <c r="C66" s="17" t="s">
        <v>11</v>
      </c>
      <c r="D66" s="17" t="s">
        <v>129</v>
      </c>
      <c r="E66" s="17" t="s">
        <v>140</v>
      </c>
      <c r="F66" s="17" t="s">
        <v>14</v>
      </c>
      <c r="G66" s="17">
        <v>80</v>
      </c>
      <c r="H66" s="17" t="s">
        <v>15</v>
      </c>
      <c r="I66" s="39">
        <v>6.5</v>
      </c>
      <c r="J66" s="25">
        <v>84</v>
      </c>
      <c r="K66" s="17">
        <f>J66-G66</f>
        <v>4</v>
      </c>
      <c r="L66" s="17">
        <f>IF(K66&lt;0,0,J66-G66)</f>
        <v>4</v>
      </c>
      <c r="M66" s="20">
        <f>L66*I66/100</f>
        <v>0.26</v>
      </c>
      <c r="N66" s="57">
        <v>8.4</v>
      </c>
      <c r="O66" s="25">
        <v>83</v>
      </c>
      <c r="P66" s="17">
        <f>O66-G66</f>
        <v>3</v>
      </c>
      <c r="Q66" s="17">
        <f>IF(P66&lt;0,0,O66-G66)</f>
        <v>3</v>
      </c>
      <c r="R66" s="20">
        <f>Q66*I66/100</f>
        <v>0.19500000000000001</v>
      </c>
      <c r="S66" s="57">
        <v>8.4</v>
      </c>
      <c r="T66" s="25">
        <v>83</v>
      </c>
      <c r="U66" s="17">
        <f>T66-G66</f>
        <v>3</v>
      </c>
      <c r="V66" s="17">
        <f>IF(U66&lt;0,0,T66-G66)</f>
        <v>3</v>
      </c>
      <c r="W66" s="20">
        <f>V66*I66/100</f>
        <v>0.19500000000000001</v>
      </c>
      <c r="X66" s="57">
        <v>8.4</v>
      </c>
      <c r="Y66" s="25">
        <v>82</v>
      </c>
      <c r="Z66" s="17">
        <f>Y66-G66</f>
        <v>2</v>
      </c>
      <c r="AA66" s="17">
        <f>IF(Z66&lt;0,0,Y66-G66)</f>
        <v>2</v>
      </c>
      <c r="AB66" s="20">
        <f>AA66*I66/100</f>
        <v>0.13</v>
      </c>
      <c r="AC66" s="57">
        <v>8.4</v>
      </c>
      <c r="AD66" s="25">
        <v>83</v>
      </c>
      <c r="AE66" s="17">
        <f>AD66-G66</f>
        <v>3</v>
      </c>
      <c r="AF66" s="17">
        <f>IF(AE66&lt;0,0,AD66-G66)</f>
        <v>3</v>
      </c>
      <c r="AG66" s="20">
        <f>AF66*I66/100</f>
        <v>0.19500000000000001</v>
      </c>
      <c r="AH66" s="49">
        <v>8.4</v>
      </c>
      <c r="AI66" s="42">
        <f>AF66+AA66+V66+Q66+L66</f>
        <v>15</v>
      </c>
      <c r="AJ66" s="35">
        <f>AG66*AH66+AB66*AC66+W66*X66+R66*S66+M66*N66</f>
        <v>8.1900000000000013</v>
      </c>
    </row>
    <row r="67" spans="1:36" x14ac:dyDescent="0.25">
      <c r="A67" s="25" t="s">
        <v>135</v>
      </c>
      <c r="B67" s="17" t="s">
        <v>32</v>
      </c>
      <c r="C67" s="17" t="s">
        <v>33</v>
      </c>
      <c r="D67" s="17" t="s">
        <v>129</v>
      </c>
      <c r="E67" s="17" t="s">
        <v>136</v>
      </c>
      <c r="F67" s="17" t="s">
        <v>14</v>
      </c>
      <c r="G67" s="17">
        <v>50</v>
      </c>
      <c r="H67" s="17" t="s">
        <v>15</v>
      </c>
      <c r="I67" s="39">
        <v>9</v>
      </c>
      <c r="J67" s="25">
        <v>34</v>
      </c>
      <c r="K67" s="17">
        <f>J67-G67</f>
        <v>-16</v>
      </c>
      <c r="L67" s="17">
        <f>IF(K67&lt;0,0,J67-G67)</f>
        <v>0</v>
      </c>
      <c r="M67" s="20">
        <f>L67*I67/100</f>
        <v>0</v>
      </c>
      <c r="N67" s="57">
        <v>8.4</v>
      </c>
      <c r="O67" s="25">
        <v>58</v>
      </c>
      <c r="P67" s="17">
        <f>O67-G67</f>
        <v>8</v>
      </c>
      <c r="Q67" s="17">
        <f>IF(P67&lt;0,0,O67-G67)</f>
        <v>8</v>
      </c>
      <c r="R67" s="20">
        <f>Q67*I67/100</f>
        <v>0.72</v>
      </c>
      <c r="S67" s="57">
        <v>8.4</v>
      </c>
      <c r="T67" s="25">
        <v>3</v>
      </c>
      <c r="U67" s="17">
        <f>T67-G67</f>
        <v>-47</v>
      </c>
      <c r="V67" s="17">
        <f>IF(U67&lt;0,0,T67-G67)</f>
        <v>0</v>
      </c>
      <c r="W67" s="20">
        <f>V67*I67/100</f>
        <v>0</v>
      </c>
      <c r="X67" s="57">
        <v>8.4</v>
      </c>
      <c r="Y67" s="25">
        <v>15</v>
      </c>
      <c r="Z67" s="17">
        <f>Y67-G67</f>
        <v>-35</v>
      </c>
      <c r="AA67" s="17">
        <f>IF(Z67&lt;0,0,Y67-G67)</f>
        <v>0</v>
      </c>
      <c r="AB67" s="20">
        <f>AA67*I67/100</f>
        <v>0</v>
      </c>
      <c r="AC67" s="57">
        <v>8.4</v>
      </c>
      <c r="AD67" s="25">
        <v>33</v>
      </c>
      <c r="AE67" s="17">
        <f>AD67-G67</f>
        <v>-17</v>
      </c>
      <c r="AF67" s="17">
        <f>IF(AE67&lt;0,0,AD67-G67)</f>
        <v>0</v>
      </c>
      <c r="AG67" s="20">
        <f>AF67*I67/100</f>
        <v>0</v>
      </c>
      <c r="AH67" s="49">
        <v>8.4</v>
      </c>
      <c r="AI67" s="42">
        <f>AF67+AA67+V67+Q67+L67</f>
        <v>8</v>
      </c>
      <c r="AJ67" s="35">
        <f>AG67*AH67+AB67*AC67+W67*X67+R67*S67+M67*N67</f>
        <v>6.048</v>
      </c>
    </row>
    <row r="68" spans="1:36" x14ac:dyDescent="0.25">
      <c r="A68" s="25" t="s">
        <v>149</v>
      </c>
      <c r="B68" s="17" t="s">
        <v>10</v>
      </c>
      <c r="C68" s="17" t="s">
        <v>22</v>
      </c>
      <c r="D68" s="17" t="s">
        <v>129</v>
      </c>
      <c r="E68" s="18" t="s">
        <v>136</v>
      </c>
      <c r="F68" s="17" t="s">
        <v>14</v>
      </c>
      <c r="G68" s="17">
        <v>50</v>
      </c>
      <c r="H68" s="17" t="s">
        <v>15</v>
      </c>
      <c r="I68" s="39">
        <v>11</v>
      </c>
      <c r="J68" s="25">
        <v>0</v>
      </c>
      <c r="K68" s="17">
        <f>J68-G68</f>
        <v>-50</v>
      </c>
      <c r="L68" s="17">
        <f>IF(K68&lt;0,0,J68-G68)</f>
        <v>0</v>
      </c>
      <c r="M68" s="20">
        <f>L68*I68/100</f>
        <v>0</v>
      </c>
      <c r="N68" s="57">
        <v>8.4</v>
      </c>
      <c r="O68" s="45"/>
      <c r="P68" s="18"/>
      <c r="Q68" s="18"/>
      <c r="R68" s="19"/>
      <c r="S68" s="58"/>
      <c r="T68" s="45"/>
      <c r="U68" s="18"/>
      <c r="V68" s="18"/>
      <c r="W68" s="19"/>
      <c r="X68" s="58"/>
      <c r="Y68" s="45"/>
      <c r="Z68" s="18"/>
      <c r="AA68" s="18"/>
      <c r="AB68" s="19"/>
      <c r="AC68" s="58"/>
      <c r="AD68" s="45"/>
      <c r="AE68" s="18"/>
      <c r="AF68" s="17">
        <f>IF(AE68&lt;0,0,AD68-G68)</f>
        <v>-50</v>
      </c>
      <c r="AG68" s="20">
        <f>AF68*I68/100</f>
        <v>-5.5</v>
      </c>
      <c r="AH68" s="49">
        <v>8.4</v>
      </c>
      <c r="AI68" s="42">
        <f>AF68+AA68+V68+Q68+L68</f>
        <v>-50</v>
      </c>
      <c r="AJ68" s="35">
        <f>AG68*AH68+AB68*AC68+W68*X68+R68*S68+M68*N68</f>
        <v>-46.2</v>
      </c>
    </row>
    <row r="69" spans="1:36" x14ac:dyDescent="0.25">
      <c r="A69" s="25"/>
      <c r="B69" s="66" t="s">
        <v>287</v>
      </c>
      <c r="C69" s="17"/>
      <c r="D69" s="17"/>
      <c r="E69" s="18"/>
      <c r="F69" s="17"/>
      <c r="G69" s="17"/>
      <c r="H69" s="17"/>
      <c r="I69" s="39"/>
      <c r="J69" s="71">
        <f t="shared" ref="J69:AJ69" si="59">SUM(J67:J68)</f>
        <v>34</v>
      </c>
      <c r="K69" s="66">
        <f t="shared" si="59"/>
        <v>-66</v>
      </c>
      <c r="L69" s="66">
        <f t="shared" si="59"/>
        <v>0</v>
      </c>
      <c r="M69" s="72">
        <f t="shared" si="59"/>
        <v>0</v>
      </c>
      <c r="N69" s="73">
        <f t="shared" si="59"/>
        <v>16.8</v>
      </c>
      <c r="O69" s="67">
        <f t="shared" si="59"/>
        <v>58</v>
      </c>
      <c r="P69" s="68">
        <f t="shared" si="59"/>
        <v>8</v>
      </c>
      <c r="Q69" s="68">
        <f t="shared" si="59"/>
        <v>8</v>
      </c>
      <c r="R69" s="69">
        <f t="shared" si="59"/>
        <v>0.72</v>
      </c>
      <c r="S69" s="70">
        <f t="shared" si="59"/>
        <v>8.4</v>
      </c>
      <c r="T69" s="67">
        <f t="shared" si="59"/>
        <v>3</v>
      </c>
      <c r="U69" s="68">
        <f t="shared" si="59"/>
        <v>-47</v>
      </c>
      <c r="V69" s="68">
        <f t="shared" si="59"/>
        <v>0</v>
      </c>
      <c r="W69" s="69">
        <f t="shared" si="59"/>
        <v>0</v>
      </c>
      <c r="X69" s="70">
        <f t="shared" si="59"/>
        <v>8.4</v>
      </c>
      <c r="Y69" s="67">
        <f t="shared" si="59"/>
        <v>15</v>
      </c>
      <c r="Z69" s="68">
        <f t="shared" si="59"/>
        <v>-35</v>
      </c>
      <c r="AA69" s="68">
        <f t="shared" si="59"/>
        <v>0</v>
      </c>
      <c r="AB69" s="69">
        <f t="shared" si="59"/>
        <v>0</v>
      </c>
      <c r="AC69" s="70">
        <f t="shared" si="59"/>
        <v>8.4</v>
      </c>
      <c r="AD69" s="67">
        <f t="shared" si="59"/>
        <v>33</v>
      </c>
      <c r="AE69" s="68">
        <f t="shared" si="59"/>
        <v>-17</v>
      </c>
      <c r="AF69" s="66">
        <f t="shared" si="59"/>
        <v>-50</v>
      </c>
      <c r="AG69" s="72">
        <f t="shared" si="59"/>
        <v>-5.5</v>
      </c>
      <c r="AH69" s="74">
        <f t="shared" si="59"/>
        <v>16.8</v>
      </c>
      <c r="AI69" s="75">
        <f t="shared" si="59"/>
        <v>-42</v>
      </c>
      <c r="AJ69" s="76">
        <f t="shared" si="59"/>
        <v>-40.152000000000001</v>
      </c>
    </row>
    <row r="70" spans="1:36" x14ac:dyDescent="0.25">
      <c r="A70" s="25" t="s">
        <v>128</v>
      </c>
      <c r="B70" s="17" t="s">
        <v>17</v>
      </c>
      <c r="C70" s="17" t="s">
        <v>36</v>
      </c>
      <c r="D70" s="17" t="s">
        <v>129</v>
      </c>
      <c r="E70" s="17" t="s">
        <v>130</v>
      </c>
      <c r="F70" s="17" t="s">
        <v>14</v>
      </c>
      <c r="G70" s="17">
        <v>20</v>
      </c>
      <c r="H70" s="17" t="s">
        <v>38</v>
      </c>
      <c r="I70" s="39">
        <v>6.5</v>
      </c>
      <c r="J70" s="25">
        <v>30</v>
      </c>
      <c r="K70" s="17">
        <f>J70-G70</f>
        <v>10</v>
      </c>
      <c r="L70" s="17">
        <f>IF(K70&lt;0,0,J70-G70)</f>
        <v>10</v>
      </c>
      <c r="M70" s="20">
        <f>L70*I70/100</f>
        <v>0.65</v>
      </c>
      <c r="N70" s="57">
        <v>7.3</v>
      </c>
      <c r="O70" s="25">
        <v>48</v>
      </c>
      <c r="P70" s="17">
        <f>O70-G70</f>
        <v>28</v>
      </c>
      <c r="Q70" s="17">
        <f>IF(P70&lt;0,0,O70-G70)</f>
        <v>28</v>
      </c>
      <c r="R70" s="20">
        <f>Q70*I70/100</f>
        <v>1.82</v>
      </c>
      <c r="S70" s="57">
        <v>7.2</v>
      </c>
      <c r="T70" s="25">
        <v>40</v>
      </c>
      <c r="U70" s="17">
        <f>T70-G70</f>
        <v>20</v>
      </c>
      <c r="V70" s="17">
        <f>IF(U70&lt;0,0,T70-G70)</f>
        <v>20</v>
      </c>
      <c r="W70" s="20">
        <f>V70*I70/100</f>
        <v>1.3</v>
      </c>
      <c r="X70" s="57">
        <v>7.2</v>
      </c>
      <c r="Y70" s="25">
        <v>514</v>
      </c>
      <c r="Z70" s="17">
        <f>Y70-G70</f>
        <v>494</v>
      </c>
      <c r="AA70" s="17">
        <f>IF(Z70&lt;0,0,Y70-G70)</f>
        <v>494</v>
      </c>
      <c r="AB70" s="20">
        <f>AA70*I70/100</f>
        <v>32.11</v>
      </c>
      <c r="AC70" s="57">
        <v>7.2</v>
      </c>
      <c r="AD70" s="25">
        <v>39</v>
      </c>
      <c r="AE70" s="17">
        <f>AD70-G70</f>
        <v>19</v>
      </c>
      <c r="AF70" s="17">
        <f>IF(AE70&lt;0,0,AD70-G70)</f>
        <v>19</v>
      </c>
      <c r="AG70" s="20">
        <f>AF70*I70/100</f>
        <v>1.2350000000000001</v>
      </c>
      <c r="AH70" s="49">
        <v>8.4</v>
      </c>
      <c r="AI70" s="42">
        <f>AF70+AA70+V70+Q70+L70</f>
        <v>571</v>
      </c>
      <c r="AJ70" s="35">
        <f>AG70*AH70+AB70*AC70+W70*X70+R70*S70+M70*N70</f>
        <v>268.77500000000003</v>
      </c>
    </row>
    <row r="71" spans="1:36" x14ac:dyDescent="0.25">
      <c r="A71" s="25" t="s">
        <v>149</v>
      </c>
      <c r="B71" s="17" t="s">
        <v>10</v>
      </c>
      <c r="C71" s="17" t="s">
        <v>22</v>
      </c>
      <c r="D71" s="17" t="s">
        <v>129</v>
      </c>
      <c r="E71" s="18" t="s">
        <v>150</v>
      </c>
      <c r="F71" s="17" t="s">
        <v>14</v>
      </c>
      <c r="G71" s="17">
        <v>20</v>
      </c>
      <c r="H71" s="17" t="s">
        <v>15</v>
      </c>
      <c r="I71" s="39">
        <v>11</v>
      </c>
      <c r="J71" s="25">
        <v>0</v>
      </c>
      <c r="K71" s="17">
        <f>J71-G71</f>
        <v>-20</v>
      </c>
      <c r="L71" s="17">
        <f>IF(K71&lt;0,0,J71-G71)</f>
        <v>0</v>
      </c>
      <c r="M71" s="20">
        <f>L71*I71/100</f>
        <v>0</v>
      </c>
      <c r="N71" s="57">
        <v>8.4</v>
      </c>
      <c r="O71" s="25">
        <v>0</v>
      </c>
      <c r="P71" s="17">
        <f>O71-G71</f>
        <v>-20</v>
      </c>
      <c r="Q71" s="17">
        <f>IF(P71&lt;0,0,O71-G71)</f>
        <v>0</v>
      </c>
      <c r="R71" s="20">
        <f>Q71*I71/100</f>
        <v>0</v>
      </c>
      <c r="S71" s="57">
        <v>8.4</v>
      </c>
      <c r="T71" s="25">
        <v>0</v>
      </c>
      <c r="U71" s="17">
        <f>T71-G71</f>
        <v>-20</v>
      </c>
      <c r="V71" s="17">
        <f>IF(U71&lt;0,0,T71-G71)</f>
        <v>0</v>
      </c>
      <c r="W71" s="20">
        <f>V71*I71/100</f>
        <v>0</v>
      </c>
      <c r="X71" s="57">
        <v>8.4</v>
      </c>
      <c r="Y71" s="25">
        <v>0</v>
      </c>
      <c r="Z71" s="17">
        <f>Y71-G71</f>
        <v>-20</v>
      </c>
      <c r="AA71" s="17">
        <f>IF(Z71&lt;0,0,Y71-G71)</f>
        <v>0</v>
      </c>
      <c r="AB71" s="20">
        <f>AA71*I71/100</f>
        <v>0</v>
      </c>
      <c r="AC71" s="57">
        <v>8.4</v>
      </c>
      <c r="AD71" s="25">
        <v>0</v>
      </c>
      <c r="AE71" s="17">
        <f>AD71-G71</f>
        <v>-20</v>
      </c>
      <c r="AF71" s="17">
        <f>IF(AE71&lt;0,0,AD71-G71)</f>
        <v>0</v>
      </c>
      <c r="AG71" s="20">
        <f>AF71*I71/100</f>
        <v>0</v>
      </c>
      <c r="AH71" s="49">
        <v>8.4</v>
      </c>
      <c r="AI71" s="42">
        <f>AF71+AA71+V71+Q71+L71</f>
        <v>0</v>
      </c>
      <c r="AJ71" s="35">
        <f>AG71*AH71+AB71*AC71+W71*X71+R71*S71+M71*N71</f>
        <v>0</v>
      </c>
    </row>
    <row r="72" spans="1:36" x14ac:dyDescent="0.25">
      <c r="A72" s="25" t="s">
        <v>155</v>
      </c>
      <c r="B72" s="17" t="s">
        <v>10</v>
      </c>
      <c r="C72" s="17" t="s">
        <v>22</v>
      </c>
      <c r="D72" s="17" t="s">
        <v>129</v>
      </c>
      <c r="E72" s="17" t="s">
        <v>150</v>
      </c>
      <c r="F72" s="17" t="s">
        <v>14</v>
      </c>
      <c r="G72" s="17">
        <v>20</v>
      </c>
      <c r="H72" s="17" t="s">
        <v>15</v>
      </c>
      <c r="I72" s="39">
        <v>11</v>
      </c>
      <c r="J72" s="25">
        <v>0</v>
      </c>
      <c r="K72" s="17">
        <f>J72-G72</f>
        <v>-20</v>
      </c>
      <c r="L72" s="17">
        <f>IF(K72&lt;0,0,J72-G72)</f>
        <v>0</v>
      </c>
      <c r="M72" s="20">
        <f>L72*I72/100</f>
        <v>0</v>
      </c>
      <c r="N72" s="57">
        <v>8.4</v>
      </c>
      <c r="O72" s="25">
        <v>0</v>
      </c>
      <c r="P72" s="17">
        <f>O72-G72</f>
        <v>-20</v>
      </c>
      <c r="Q72" s="17">
        <f>IF(P72&lt;0,0,O72-G72)</f>
        <v>0</v>
      </c>
      <c r="R72" s="20">
        <f>Q72*I72/100</f>
        <v>0</v>
      </c>
      <c r="S72" s="57">
        <v>8.4</v>
      </c>
      <c r="T72" s="25">
        <v>0</v>
      </c>
      <c r="U72" s="17">
        <f>T72-G72</f>
        <v>-20</v>
      </c>
      <c r="V72" s="17">
        <f>IF(U72&lt;0,0,T72-G72)</f>
        <v>0</v>
      </c>
      <c r="W72" s="20">
        <f>V72*I72/100</f>
        <v>0</v>
      </c>
      <c r="X72" s="57">
        <v>8.4</v>
      </c>
      <c r="Y72" s="25">
        <v>0</v>
      </c>
      <c r="Z72" s="17">
        <f>Y72-G72</f>
        <v>-20</v>
      </c>
      <c r="AA72" s="17">
        <f>IF(Z72&lt;0,0,Y72-G72)</f>
        <v>0</v>
      </c>
      <c r="AB72" s="20">
        <f>AA72*I72/100</f>
        <v>0</v>
      </c>
      <c r="AC72" s="57">
        <v>8.4</v>
      </c>
      <c r="AD72" s="25">
        <v>0</v>
      </c>
      <c r="AE72" s="17">
        <f>AD72-G72</f>
        <v>-20</v>
      </c>
      <c r="AF72" s="17">
        <f>IF(AE72&lt;0,0,AD72-G72)</f>
        <v>0</v>
      </c>
      <c r="AG72" s="20">
        <f>AF72*I72/100</f>
        <v>0</v>
      </c>
      <c r="AH72" s="49">
        <v>7.2</v>
      </c>
      <c r="AI72" s="42">
        <f>AF72+AA72+V72+Q72+L72</f>
        <v>0</v>
      </c>
      <c r="AJ72" s="35">
        <f>AG72*AH72+AB72*AC72+W72*X72+R72*S72+M72*N72</f>
        <v>0</v>
      </c>
    </row>
    <row r="73" spans="1:36" x14ac:dyDescent="0.25">
      <c r="A73" s="25"/>
      <c r="B73" s="66" t="s">
        <v>288</v>
      </c>
      <c r="C73" s="17"/>
      <c r="D73" s="17"/>
      <c r="E73" s="17"/>
      <c r="F73" s="17"/>
      <c r="G73" s="17"/>
      <c r="H73" s="17"/>
      <c r="I73" s="39"/>
      <c r="J73" s="71">
        <f t="shared" ref="J73:AJ73" si="60">SUM(J71:J72)</f>
        <v>0</v>
      </c>
      <c r="K73" s="66">
        <f t="shared" si="60"/>
        <v>-40</v>
      </c>
      <c r="L73" s="66">
        <f t="shared" si="60"/>
        <v>0</v>
      </c>
      <c r="M73" s="72">
        <f t="shared" si="60"/>
        <v>0</v>
      </c>
      <c r="N73" s="73">
        <f t="shared" si="60"/>
        <v>16.8</v>
      </c>
      <c r="O73" s="71">
        <f t="shared" si="60"/>
        <v>0</v>
      </c>
      <c r="P73" s="66">
        <f t="shared" si="60"/>
        <v>-40</v>
      </c>
      <c r="Q73" s="66">
        <f t="shared" si="60"/>
        <v>0</v>
      </c>
      <c r="R73" s="72">
        <f t="shared" si="60"/>
        <v>0</v>
      </c>
      <c r="S73" s="73">
        <f t="shared" si="60"/>
        <v>16.8</v>
      </c>
      <c r="T73" s="71">
        <f t="shared" si="60"/>
        <v>0</v>
      </c>
      <c r="U73" s="66">
        <f t="shared" si="60"/>
        <v>-40</v>
      </c>
      <c r="V73" s="66">
        <f t="shared" si="60"/>
        <v>0</v>
      </c>
      <c r="W73" s="72">
        <f t="shared" si="60"/>
        <v>0</v>
      </c>
      <c r="X73" s="73">
        <f t="shared" si="60"/>
        <v>16.8</v>
      </c>
      <c r="Y73" s="71">
        <f t="shared" si="60"/>
        <v>0</v>
      </c>
      <c r="Z73" s="66">
        <f t="shared" si="60"/>
        <v>-40</v>
      </c>
      <c r="AA73" s="66">
        <f t="shared" si="60"/>
        <v>0</v>
      </c>
      <c r="AB73" s="72">
        <f t="shared" si="60"/>
        <v>0</v>
      </c>
      <c r="AC73" s="73">
        <f t="shared" si="60"/>
        <v>16.8</v>
      </c>
      <c r="AD73" s="71">
        <f t="shared" si="60"/>
        <v>0</v>
      </c>
      <c r="AE73" s="66">
        <f t="shared" si="60"/>
        <v>-40</v>
      </c>
      <c r="AF73" s="66">
        <f t="shared" si="60"/>
        <v>0</v>
      </c>
      <c r="AG73" s="72">
        <f t="shared" si="60"/>
        <v>0</v>
      </c>
      <c r="AH73" s="74">
        <f t="shared" si="60"/>
        <v>15.600000000000001</v>
      </c>
      <c r="AI73" s="75">
        <f t="shared" si="60"/>
        <v>0</v>
      </c>
      <c r="AJ73" s="76">
        <f t="shared" si="60"/>
        <v>0</v>
      </c>
    </row>
    <row r="74" spans="1:36" x14ac:dyDescent="0.25">
      <c r="A74" s="25" t="s">
        <v>131</v>
      </c>
      <c r="B74" s="17" t="s">
        <v>17</v>
      </c>
      <c r="C74" s="17" t="s">
        <v>99</v>
      </c>
      <c r="D74" s="17" t="s">
        <v>129</v>
      </c>
      <c r="E74" s="17" t="s">
        <v>132</v>
      </c>
      <c r="F74" s="17" t="s">
        <v>14</v>
      </c>
      <c r="G74" s="17">
        <v>20</v>
      </c>
      <c r="H74" s="17" t="s">
        <v>15</v>
      </c>
      <c r="I74" s="39">
        <v>6.5</v>
      </c>
      <c r="J74" s="25">
        <v>7</v>
      </c>
      <c r="K74" s="17">
        <f t="shared" ref="K74:K84" si="61">J74-G74</f>
        <v>-13</v>
      </c>
      <c r="L74" s="17">
        <f t="shared" ref="L74:L84" si="62">IF(K74&lt;0,0,J74-G74)</f>
        <v>0</v>
      </c>
      <c r="M74" s="20">
        <f t="shared" ref="M74:M84" si="63">L74*I74/100</f>
        <v>0</v>
      </c>
      <c r="N74" s="57">
        <v>8.4</v>
      </c>
      <c r="O74" s="25">
        <v>216</v>
      </c>
      <c r="P74" s="17">
        <f t="shared" ref="P74:P84" si="64">O74-G74</f>
        <v>196</v>
      </c>
      <c r="Q74" s="17">
        <f t="shared" ref="Q74:Q84" si="65">IF(P74&lt;0,0,O74-G74)</f>
        <v>196</v>
      </c>
      <c r="R74" s="20">
        <f t="shared" ref="R74:R84" si="66">Q74*I74/100</f>
        <v>12.74</v>
      </c>
      <c r="S74" s="57">
        <v>8.4</v>
      </c>
      <c r="T74" s="25">
        <v>72</v>
      </c>
      <c r="U74" s="17">
        <f t="shared" ref="U74:U86" si="67">T74-G74</f>
        <v>52</v>
      </c>
      <c r="V74" s="17">
        <f t="shared" ref="V74:V86" si="68">IF(U74&lt;0,0,T74-G74)</f>
        <v>52</v>
      </c>
      <c r="W74" s="20">
        <f t="shared" ref="W74:W86" si="69">V74*I74/100</f>
        <v>3.38</v>
      </c>
      <c r="X74" s="57">
        <v>8.4</v>
      </c>
      <c r="Y74" s="25">
        <v>161</v>
      </c>
      <c r="Z74" s="17">
        <f t="shared" ref="Z74:Z79" si="70">Y74-G74</f>
        <v>141</v>
      </c>
      <c r="AA74" s="17">
        <f t="shared" ref="AA74:AA79" si="71">IF(Z74&lt;0,0,Y74-G74)</f>
        <v>141</v>
      </c>
      <c r="AB74" s="20">
        <f t="shared" ref="AB74:AB79" si="72">AA74*I74/100</f>
        <v>9.1649999999999991</v>
      </c>
      <c r="AC74" s="57">
        <v>8.4</v>
      </c>
      <c r="AD74" s="25">
        <v>162</v>
      </c>
      <c r="AE74" s="17">
        <f>AD74-G74</f>
        <v>142</v>
      </c>
      <c r="AF74" s="17">
        <f>IF(AE74&lt;0,0,AD74-G74)</f>
        <v>142</v>
      </c>
      <c r="AG74" s="20">
        <f>AF74*I74/100</f>
        <v>9.23</v>
      </c>
      <c r="AH74" s="49">
        <v>8.4</v>
      </c>
      <c r="AI74" s="42">
        <f t="shared" ref="AI74:AI86" si="73">AF74+AA74+V74+Q74+L74</f>
        <v>531</v>
      </c>
      <c r="AJ74" s="35">
        <f t="shared" ref="AJ74:AJ86" si="74">AG74*AH74+AB74*AC74+W74*X74+R74*S74+M74*N74</f>
        <v>289.92599999999999</v>
      </c>
    </row>
    <row r="75" spans="1:36" x14ac:dyDescent="0.25">
      <c r="A75" s="25" t="s">
        <v>151</v>
      </c>
      <c r="B75" s="17" t="s">
        <v>10</v>
      </c>
      <c r="C75" s="17" t="s">
        <v>11</v>
      </c>
      <c r="D75" s="17" t="s">
        <v>129</v>
      </c>
      <c r="E75" s="18" t="s">
        <v>152</v>
      </c>
      <c r="F75" s="17" t="s">
        <v>14</v>
      </c>
      <c r="G75" s="17">
        <v>20</v>
      </c>
      <c r="H75" s="17" t="s">
        <v>15</v>
      </c>
      <c r="I75" s="39">
        <v>6.5</v>
      </c>
      <c r="J75" s="25">
        <v>2</v>
      </c>
      <c r="K75" s="17">
        <f t="shared" si="61"/>
        <v>-18</v>
      </c>
      <c r="L75" s="17">
        <f t="shared" si="62"/>
        <v>0</v>
      </c>
      <c r="M75" s="20">
        <f t="shared" si="63"/>
        <v>0</v>
      </c>
      <c r="N75" s="57">
        <v>8.4</v>
      </c>
      <c r="O75" s="25">
        <v>0</v>
      </c>
      <c r="P75" s="17">
        <f t="shared" si="64"/>
        <v>-20</v>
      </c>
      <c r="Q75" s="17">
        <f t="shared" si="65"/>
        <v>0</v>
      </c>
      <c r="R75" s="20">
        <f t="shared" si="66"/>
        <v>0</v>
      </c>
      <c r="S75" s="57">
        <v>8.4</v>
      </c>
      <c r="T75" s="25">
        <v>228</v>
      </c>
      <c r="U75" s="17">
        <f t="shared" si="67"/>
        <v>208</v>
      </c>
      <c r="V75" s="17">
        <f t="shared" si="68"/>
        <v>208</v>
      </c>
      <c r="W75" s="20">
        <f t="shared" si="69"/>
        <v>13.52</v>
      </c>
      <c r="X75" s="57">
        <v>8.4</v>
      </c>
      <c r="Y75" s="25">
        <v>329</v>
      </c>
      <c r="Z75" s="17">
        <f t="shared" si="70"/>
        <v>309</v>
      </c>
      <c r="AA75" s="17">
        <f t="shared" si="71"/>
        <v>309</v>
      </c>
      <c r="AB75" s="20">
        <f t="shared" si="72"/>
        <v>20.085000000000001</v>
      </c>
      <c r="AC75" s="57">
        <v>8.4</v>
      </c>
      <c r="AD75" s="25">
        <v>42</v>
      </c>
      <c r="AE75" s="17">
        <f>AD75-G75</f>
        <v>22</v>
      </c>
      <c r="AF75" s="17">
        <f>IF(AE75&lt;0,0,AD75-G75)</f>
        <v>22</v>
      </c>
      <c r="AG75" s="20">
        <f>AF75*I75/100</f>
        <v>1.43</v>
      </c>
      <c r="AH75" s="49">
        <v>8.4</v>
      </c>
      <c r="AI75" s="42">
        <f t="shared" si="73"/>
        <v>539</v>
      </c>
      <c r="AJ75" s="35">
        <f t="shared" si="74"/>
        <v>294.29400000000004</v>
      </c>
    </row>
    <row r="76" spans="1:36" x14ac:dyDescent="0.25">
      <c r="A76" s="25" t="s">
        <v>143</v>
      </c>
      <c r="B76" s="17" t="s">
        <v>17</v>
      </c>
      <c r="C76" s="17" t="s">
        <v>99</v>
      </c>
      <c r="D76" s="17" t="s">
        <v>129</v>
      </c>
      <c r="E76" s="18" t="s">
        <v>144</v>
      </c>
      <c r="F76" s="17" t="s">
        <v>14</v>
      </c>
      <c r="G76" s="17">
        <v>20</v>
      </c>
      <c r="H76" s="17" t="s">
        <v>38</v>
      </c>
      <c r="I76" s="39">
        <v>6.5</v>
      </c>
      <c r="J76" s="25">
        <v>21</v>
      </c>
      <c r="K76" s="17">
        <f t="shared" si="61"/>
        <v>1</v>
      </c>
      <c r="L76" s="17">
        <f t="shared" si="62"/>
        <v>1</v>
      </c>
      <c r="M76" s="20">
        <f t="shared" si="63"/>
        <v>6.5000000000000002E-2</v>
      </c>
      <c r="N76" s="57">
        <v>7.3</v>
      </c>
      <c r="O76" s="25">
        <v>0</v>
      </c>
      <c r="P76" s="17">
        <f t="shared" si="64"/>
        <v>-20</v>
      </c>
      <c r="Q76" s="17">
        <f t="shared" si="65"/>
        <v>0</v>
      </c>
      <c r="R76" s="20">
        <f t="shared" si="66"/>
        <v>0</v>
      </c>
      <c r="S76" s="57">
        <v>7.2</v>
      </c>
      <c r="T76" s="25">
        <v>345</v>
      </c>
      <c r="U76" s="17">
        <f t="shared" si="67"/>
        <v>325</v>
      </c>
      <c r="V76" s="17">
        <f t="shared" si="68"/>
        <v>325</v>
      </c>
      <c r="W76" s="20">
        <f t="shared" si="69"/>
        <v>21.125</v>
      </c>
      <c r="X76" s="57">
        <v>7.2</v>
      </c>
      <c r="Y76" s="25">
        <v>38</v>
      </c>
      <c r="Z76" s="17">
        <f t="shared" si="70"/>
        <v>18</v>
      </c>
      <c r="AA76" s="17">
        <f t="shared" si="71"/>
        <v>18</v>
      </c>
      <c r="AB76" s="20">
        <f t="shared" si="72"/>
        <v>1.17</v>
      </c>
      <c r="AC76" s="57">
        <v>7.2</v>
      </c>
      <c r="AD76" s="25">
        <v>38</v>
      </c>
      <c r="AE76" s="17">
        <f>AD76-G76</f>
        <v>18</v>
      </c>
      <c r="AF76" s="17">
        <f>IF(AE76&lt;0,0,AD76-G76)</f>
        <v>18</v>
      </c>
      <c r="AG76" s="20">
        <f>AF76*I76/100</f>
        <v>1.17</v>
      </c>
      <c r="AH76" s="49">
        <v>8.4</v>
      </c>
      <c r="AI76" s="42">
        <f t="shared" si="73"/>
        <v>362</v>
      </c>
      <c r="AJ76" s="35">
        <f t="shared" si="74"/>
        <v>170.82650000000001</v>
      </c>
    </row>
    <row r="77" spans="1:36" x14ac:dyDescent="0.25">
      <c r="A77" s="25" t="s">
        <v>161</v>
      </c>
      <c r="B77" s="17" t="s">
        <v>10</v>
      </c>
      <c r="C77" s="17" t="s">
        <v>11</v>
      </c>
      <c r="D77" s="17" t="s">
        <v>157</v>
      </c>
      <c r="E77" s="17" t="s">
        <v>162</v>
      </c>
      <c r="F77" s="17" t="s">
        <v>14</v>
      </c>
      <c r="G77" s="17">
        <v>20</v>
      </c>
      <c r="H77" s="17" t="s">
        <v>15</v>
      </c>
      <c r="I77" s="39">
        <v>6.5</v>
      </c>
      <c r="J77" s="25">
        <v>5</v>
      </c>
      <c r="K77" s="17">
        <f t="shared" si="61"/>
        <v>-15</v>
      </c>
      <c r="L77" s="17">
        <f t="shared" si="62"/>
        <v>0</v>
      </c>
      <c r="M77" s="20">
        <f t="shared" si="63"/>
        <v>0</v>
      </c>
      <c r="N77" s="57">
        <v>8.4</v>
      </c>
      <c r="O77" s="25">
        <v>23</v>
      </c>
      <c r="P77" s="17">
        <f t="shared" si="64"/>
        <v>3</v>
      </c>
      <c r="Q77" s="17">
        <f t="shared" si="65"/>
        <v>3</v>
      </c>
      <c r="R77" s="20">
        <f t="shared" si="66"/>
        <v>0.19500000000000001</v>
      </c>
      <c r="S77" s="57">
        <v>8.4</v>
      </c>
      <c r="T77" s="25">
        <v>28</v>
      </c>
      <c r="U77" s="17">
        <f t="shared" si="67"/>
        <v>8</v>
      </c>
      <c r="V77" s="17">
        <f t="shared" si="68"/>
        <v>8</v>
      </c>
      <c r="W77" s="20">
        <f t="shared" si="69"/>
        <v>0.52</v>
      </c>
      <c r="X77" s="57">
        <v>8.4</v>
      </c>
      <c r="Y77" s="25">
        <v>8</v>
      </c>
      <c r="Z77" s="17">
        <f t="shared" si="70"/>
        <v>-12</v>
      </c>
      <c r="AA77" s="17">
        <f t="shared" si="71"/>
        <v>0</v>
      </c>
      <c r="AB77" s="20">
        <f t="shared" si="72"/>
        <v>0</v>
      </c>
      <c r="AC77" s="57">
        <v>8.4</v>
      </c>
      <c r="AD77" s="25">
        <v>32</v>
      </c>
      <c r="AE77" s="17">
        <f>AD77-G77</f>
        <v>12</v>
      </c>
      <c r="AF77" s="18"/>
      <c r="AG77" s="19"/>
      <c r="AH77" s="50"/>
      <c r="AI77" s="42">
        <f t="shared" si="73"/>
        <v>11</v>
      </c>
      <c r="AJ77" s="35">
        <f t="shared" si="74"/>
        <v>6.0060000000000002</v>
      </c>
    </row>
    <row r="78" spans="1:36" x14ac:dyDescent="0.25">
      <c r="A78" s="25" t="s">
        <v>167</v>
      </c>
      <c r="B78" s="17" t="s">
        <v>17</v>
      </c>
      <c r="C78" s="17" t="s">
        <v>18</v>
      </c>
      <c r="D78" s="17" t="s">
        <v>157</v>
      </c>
      <c r="E78" s="18" t="s">
        <v>168</v>
      </c>
      <c r="F78" s="17" t="s">
        <v>14</v>
      </c>
      <c r="G78" s="17">
        <v>20</v>
      </c>
      <c r="H78" s="17" t="s">
        <v>15</v>
      </c>
      <c r="I78" s="39">
        <v>6.5</v>
      </c>
      <c r="J78" s="25">
        <v>0</v>
      </c>
      <c r="K78" s="17">
        <f t="shared" si="61"/>
        <v>-20</v>
      </c>
      <c r="L78" s="17">
        <f t="shared" si="62"/>
        <v>0</v>
      </c>
      <c r="M78" s="20">
        <f t="shared" si="63"/>
        <v>0</v>
      </c>
      <c r="N78" s="57">
        <v>8.4</v>
      </c>
      <c r="O78" s="25">
        <v>312</v>
      </c>
      <c r="P78" s="17">
        <f t="shared" si="64"/>
        <v>292</v>
      </c>
      <c r="Q78" s="17">
        <f t="shared" si="65"/>
        <v>292</v>
      </c>
      <c r="R78" s="20">
        <f t="shared" si="66"/>
        <v>18.98</v>
      </c>
      <c r="S78" s="57">
        <v>8.4</v>
      </c>
      <c r="T78" s="25">
        <v>42</v>
      </c>
      <c r="U78" s="17">
        <f t="shared" si="67"/>
        <v>22</v>
      </c>
      <c r="V78" s="17">
        <f t="shared" si="68"/>
        <v>22</v>
      </c>
      <c r="W78" s="20">
        <f t="shared" si="69"/>
        <v>1.43</v>
      </c>
      <c r="X78" s="57">
        <v>8.4</v>
      </c>
      <c r="Y78" s="25">
        <v>187</v>
      </c>
      <c r="Z78" s="17">
        <f t="shared" si="70"/>
        <v>167</v>
      </c>
      <c r="AA78" s="17">
        <f t="shared" si="71"/>
        <v>167</v>
      </c>
      <c r="AB78" s="20">
        <f t="shared" si="72"/>
        <v>10.855</v>
      </c>
      <c r="AC78" s="57">
        <v>8.4</v>
      </c>
      <c r="AD78" s="25">
        <v>253</v>
      </c>
      <c r="AE78" s="17">
        <f>AD78-G78</f>
        <v>233</v>
      </c>
      <c r="AF78" s="17">
        <f>IF(AE78&lt;0,0,AD78-G78)</f>
        <v>233</v>
      </c>
      <c r="AG78" s="20">
        <f>AF78*I78/100</f>
        <v>15.145</v>
      </c>
      <c r="AH78" s="49">
        <v>8.4</v>
      </c>
      <c r="AI78" s="42">
        <f t="shared" si="73"/>
        <v>714</v>
      </c>
      <c r="AJ78" s="35">
        <f t="shared" si="74"/>
        <v>389.84400000000005</v>
      </c>
    </row>
    <row r="79" spans="1:36" x14ac:dyDescent="0.25">
      <c r="A79" s="25" t="s">
        <v>156</v>
      </c>
      <c r="B79" s="17" t="s">
        <v>10</v>
      </c>
      <c r="C79" s="17" t="s">
        <v>11</v>
      </c>
      <c r="D79" s="17" t="s">
        <v>157</v>
      </c>
      <c r="E79" s="18" t="s">
        <v>158</v>
      </c>
      <c r="F79" s="17" t="s">
        <v>14</v>
      </c>
      <c r="G79" s="17">
        <v>20</v>
      </c>
      <c r="H79" s="17" t="s">
        <v>15</v>
      </c>
      <c r="I79" s="39">
        <v>6.5</v>
      </c>
      <c r="J79" s="25">
        <v>43</v>
      </c>
      <c r="K79" s="17">
        <f t="shared" si="61"/>
        <v>23</v>
      </c>
      <c r="L79" s="17">
        <f t="shared" si="62"/>
        <v>23</v>
      </c>
      <c r="M79" s="20">
        <f t="shared" si="63"/>
        <v>1.4950000000000001</v>
      </c>
      <c r="N79" s="57">
        <v>8.4</v>
      </c>
      <c r="O79" s="25">
        <v>166</v>
      </c>
      <c r="P79" s="17">
        <f t="shared" si="64"/>
        <v>146</v>
      </c>
      <c r="Q79" s="17">
        <f t="shared" si="65"/>
        <v>146</v>
      </c>
      <c r="R79" s="20">
        <f t="shared" si="66"/>
        <v>9.49</v>
      </c>
      <c r="S79" s="57">
        <v>8.4</v>
      </c>
      <c r="T79" s="25">
        <v>42</v>
      </c>
      <c r="U79" s="17">
        <f t="shared" si="67"/>
        <v>22</v>
      </c>
      <c r="V79" s="17">
        <f t="shared" si="68"/>
        <v>22</v>
      </c>
      <c r="W79" s="20">
        <f t="shared" si="69"/>
        <v>1.43</v>
      </c>
      <c r="X79" s="57">
        <v>8.4</v>
      </c>
      <c r="Y79" s="25">
        <v>0</v>
      </c>
      <c r="Z79" s="17">
        <f t="shared" si="70"/>
        <v>-20</v>
      </c>
      <c r="AA79" s="17">
        <f t="shared" si="71"/>
        <v>0</v>
      </c>
      <c r="AB79" s="20">
        <f t="shared" si="72"/>
        <v>0</v>
      </c>
      <c r="AC79" s="57">
        <v>8.4</v>
      </c>
      <c r="AD79" s="45"/>
      <c r="AE79" s="18"/>
      <c r="AF79" s="17">
        <f>IF(AE79&lt;0,0,AD79-G79)</f>
        <v>-20</v>
      </c>
      <c r="AG79" s="20">
        <f>AF79*I79/100</f>
        <v>-1.3</v>
      </c>
      <c r="AH79" s="49">
        <v>8.4</v>
      </c>
      <c r="AI79" s="42">
        <f t="shared" si="73"/>
        <v>171</v>
      </c>
      <c r="AJ79" s="35">
        <f t="shared" si="74"/>
        <v>93.366000000000014</v>
      </c>
    </row>
    <row r="80" spans="1:36" x14ac:dyDescent="0.25">
      <c r="A80" s="25" t="s">
        <v>163</v>
      </c>
      <c r="B80" s="17" t="s">
        <v>10</v>
      </c>
      <c r="C80" s="17" t="s">
        <v>11</v>
      </c>
      <c r="D80" s="17" t="s">
        <v>157</v>
      </c>
      <c r="E80" s="18" t="s">
        <v>164</v>
      </c>
      <c r="F80" s="17" t="s">
        <v>14</v>
      </c>
      <c r="G80" s="17">
        <v>20</v>
      </c>
      <c r="H80" s="17" t="s">
        <v>15</v>
      </c>
      <c r="I80" s="39">
        <v>6.5</v>
      </c>
      <c r="J80" s="25">
        <v>34</v>
      </c>
      <c r="K80" s="17">
        <f t="shared" si="61"/>
        <v>14</v>
      </c>
      <c r="L80" s="17">
        <f t="shared" si="62"/>
        <v>14</v>
      </c>
      <c r="M80" s="20">
        <f t="shared" si="63"/>
        <v>0.91</v>
      </c>
      <c r="N80" s="57">
        <v>8.4</v>
      </c>
      <c r="O80" s="25">
        <v>9</v>
      </c>
      <c r="P80" s="17">
        <f t="shared" si="64"/>
        <v>-11</v>
      </c>
      <c r="Q80" s="17">
        <f t="shared" si="65"/>
        <v>0</v>
      </c>
      <c r="R80" s="20">
        <f t="shared" si="66"/>
        <v>0</v>
      </c>
      <c r="S80" s="57">
        <v>8.4</v>
      </c>
      <c r="T80" s="25">
        <v>0</v>
      </c>
      <c r="U80" s="17">
        <f t="shared" si="67"/>
        <v>-20</v>
      </c>
      <c r="V80" s="17">
        <f t="shared" si="68"/>
        <v>0</v>
      </c>
      <c r="W80" s="20">
        <f t="shared" si="69"/>
        <v>0</v>
      </c>
      <c r="X80" s="57">
        <v>8.4</v>
      </c>
      <c r="Y80" s="45"/>
      <c r="Z80" s="18"/>
      <c r="AA80" s="18"/>
      <c r="AB80" s="19"/>
      <c r="AC80" s="58"/>
      <c r="AD80" s="45"/>
      <c r="AE80" s="18"/>
      <c r="AF80" s="17">
        <f>IF(AE80&lt;0,0,AD80-G80)</f>
        <v>-20</v>
      </c>
      <c r="AG80" s="20">
        <f>AF80*I80/100</f>
        <v>-1.3</v>
      </c>
      <c r="AH80" s="49">
        <v>8.4</v>
      </c>
      <c r="AI80" s="42">
        <f t="shared" si="73"/>
        <v>-6</v>
      </c>
      <c r="AJ80" s="35">
        <f t="shared" si="74"/>
        <v>-3.2760000000000007</v>
      </c>
    </row>
    <row r="81" spans="1:36" x14ac:dyDescent="0.25">
      <c r="A81" s="25" t="s">
        <v>169</v>
      </c>
      <c r="B81" s="17" t="s">
        <v>10</v>
      </c>
      <c r="C81" s="17" t="s">
        <v>22</v>
      </c>
      <c r="D81" s="17" t="s">
        <v>157</v>
      </c>
      <c r="E81" s="18" t="s">
        <v>170</v>
      </c>
      <c r="F81" s="17" t="s">
        <v>14</v>
      </c>
      <c r="G81" s="17">
        <v>20</v>
      </c>
      <c r="H81" s="17" t="s">
        <v>15</v>
      </c>
      <c r="I81" s="39">
        <v>11</v>
      </c>
      <c r="J81" s="25">
        <v>0</v>
      </c>
      <c r="K81" s="17">
        <f t="shared" si="61"/>
        <v>-20</v>
      </c>
      <c r="L81" s="17">
        <f t="shared" si="62"/>
        <v>0</v>
      </c>
      <c r="M81" s="20">
        <f t="shared" si="63"/>
        <v>0</v>
      </c>
      <c r="N81" s="57">
        <v>8.4</v>
      </c>
      <c r="O81" s="25">
        <v>0</v>
      </c>
      <c r="P81" s="17">
        <f t="shared" si="64"/>
        <v>-20</v>
      </c>
      <c r="Q81" s="17">
        <f t="shared" si="65"/>
        <v>0</v>
      </c>
      <c r="R81" s="20">
        <f t="shared" si="66"/>
        <v>0</v>
      </c>
      <c r="S81" s="57">
        <v>8.4</v>
      </c>
      <c r="T81" s="25">
        <v>0</v>
      </c>
      <c r="U81" s="17">
        <f t="shared" si="67"/>
        <v>-20</v>
      </c>
      <c r="V81" s="17">
        <f t="shared" si="68"/>
        <v>0</v>
      </c>
      <c r="W81" s="20">
        <f t="shared" si="69"/>
        <v>0</v>
      </c>
      <c r="X81" s="57">
        <v>8.4</v>
      </c>
      <c r="Y81" s="25">
        <v>0</v>
      </c>
      <c r="Z81" s="17">
        <f t="shared" ref="Z81:Z86" si="75">Y81-G81</f>
        <v>-20</v>
      </c>
      <c r="AA81" s="17">
        <f t="shared" ref="AA81:AA86" si="76">IF(Z81&lt;0,0,Y81-G81)</f>
        <v>0</v>
      </c>
      <c r="AB81" s="20">
        <f t="shared" ref="AB81:AB86" si="77">AA81*I81/100</f>
        <v>0</v>
      </c>
      <c r="AC81" s="57">
        <v>8.4</v>
      </c>
      <c r="AD81" s="25">
        <v>0</v>
      </c>
      <c r="AE81" s="17">
        <f t="shared" ref="AE81:AE86" si="78">AD81-G81</f>
        <v>-20</v>
      </c>
      <c r="AF81" s="17">
        <f>IF(AE81&lt;0,0,AD81-G81)</f>
        <v>0</v>
      </c>
      <c r="AG81" s="20">
        <f>AF81*I81/100</f>
        <v>0</v>
      </c>
      <c r="AH81" s="49">
        <v>8.4</v>
      </c>
      <c r="AI81" s="42">
        <f t="shared" si="73"/>
        <v>0</v>
      </c>
      <c r="AJ81" s="35">
        <f t="shared" si="74"/>
        <v>0</v>
      </c>
    </row>
    <row r="82" spans="1:36" x14ac:dyDescent="0.25">
      <c r="A82" s="25" t="s">
        <v>165</v>
      </c>
      <c r="B82" s="17" t="s">
        <v>32</v>
      </c>
      <c r="C82" s="17" t="s">
        <v>52</v>
      </c>
      <c r="D82" s="17" t="s">
        <v>157</v>
      </c>
      <c r="E82" s="18" t="s">
        <v>166</v>
      </c>
      <c r="F82" s="17" t="s">
        <v>14</v>
      </c>
      <c r="G82" s="17">
        <v>20</v>
      </c>
      <c r="H82" s="17" t="s">
        <v>15</v>
      </c>
      <c r="I82" s="39">
        <v>11</v>
      </c>
      <c r="J82" s="25">
        <v>0</v>
      </c>
      <c r="K82" s="17">
        <f t="shared" si="61"/>
        <v>-20</v>
      </c>
      <c r="L82" s="17">
        <f t="shared" si="62"/>
        <v>0</v>
      </c>
      <c r="M82" s="20">
        <f t="shared" si="63"/>
        <v>0</v>
      </c>
      <c r="N82" s="57">
        <v>8.4</v>
      </c>
      <c r="O82" s="25">
        <v>0</v>
      </c>
      <c r="P82" s="17">
        <f t="shared" si="64"/>
        <v>-20</v>
      </c>
      <c r="Q82" s="17">
        <f t="shared" si="65"/>
        <v>0</v>
      </c>
      <c r="R82" s="20">
        <f t="shared" si="66"/>
        <v>0</v>
      </c>
      <c r="S82" s="57">
        <v>8.4</v>
      </c>
      <c r="T82" s="25">
        <v>0</v>
      </c>
      <c r="U82" s="17">
        <f t="shared" si="67"/>
        <v>-20</v>
      </c>
      <c r="V82" s="17">
        <f t="shared" si="68"/>
        <v>0</v>
      </c>
      <c r="W82" s="20">
        <f t="shared" si="69"/>
        <v>0</v>
      </c>
      <c r="X82" s="57">
        <v>8.4</v>
      </c>
      <c r="Y82" s="25">
        <v>0</v>
      </c>
      <c r="Z82" s="17">
        <f t="shared" si="75"/>
        <v>-20</v>
      </c>
      <c r="AA82" s="17">
        <f t="shared" si="76"/>
        <v>0</v>
      </c>
      <c r="AB82" s="20">
        <f t="shared" si="77"/>
        <v>0</v>
      </c>
      <c r="AC82" s="57">
        <v>8.4</v>
      </c>
      <c r="AD82" s="25">
        <v>0</v>
      </c>
      <c r="AE82" s="17">
        <f t="shared" si="78"/>
        <v>-20</v>
      </c>
      <c r="AF82" s="18"/>
      <c r="AG82" s="19"/>
      <c r="AH82" s="50"/>
      <c r="AI82" s="42">
        <f t="shared" si="73"/>
        <v>0</v>
      </c>
      <c r="AJ82" s="35">
        <f t="shared" si="74"/>
        <v>0</v>
      </c>
    </row>
    <row r="83" spans="1:36" x14ac:dyDescent="0.25">
      <c r="A83" s="25" t="s">
        <v>159</v>
      </c>
      <c r="B83" s="17" t="s">
        <v>17</v>
      </c>
      <c r="C83" s="17" t="s">
        <v>36</v>
      </c>
      <c r="D83" s="17" t="s">
        <v>157</v>
      </c>
      <c r="E83" s="17" t="s">
        <v>160</v>
      </c>
      <c r="F83" s="17" t="s">
        <v>14</v>
      </c>
      <c r="G83" s="17">
        <v>20</v>
      </c>
      <c r="H83" s="17" t="s">
        <v>38</v>
      </c>
      <c r="I83" s="39">
        <v>6.5</v>
      </c>
      <c r="J83" s="25">
        <v>15</v>
      </c>
      <c r="K83" s="17">
        <f t="shared" si="61"/>
        <v>-5</v>
      </c>
      <c r="L83" s="17">
        <f t="shared" si="62"/>
        <v>0</v>
      </c>
      <c r="M83" s="20">
        <f t="shared" si="63"/>
        <v>0</v>
      </c>
      <c r="N83" s="57">
        <v>7.3</v>
      </c>
      <c r="O83" s="25">
        <v>11</v>
      </c>
      <c r="P83" s="17">
        <f t="shared" si="64"/>
        <v>-9</v>
      </c>
      <c r="Q83" s="17">
        <f t="shared" si="65"/>
        <v>0</v>
      </c>
      <c r="R83" s="20">
        <f t="shared" si="66"/>
        <v>0</v>
      </c>
      <c r="S83" s="57">
        <v>7.2</v>
      </c>
      <c r="T83" s="25">
        <v>18</v>
      </c>
      <c r="U83" s="17">
        <f t="shared" si="67"/>
        <v>-2</v>
      </c>
      <c r="V83" s="17">
        <f t="shared" si="68"/>
        <v>0</v>
      </c>
      <c r="W83" s="20">
        <f t="shared" si="69"/>
        <v>0</v>
      </c>
      <c r="X83" s="57">
        <v>7.2</v>
      </c>
      <c r="Y83" s="25">
        <v>18</v>
      </c>
      <c r="Z83" s="17">
        <f t="shared" si="75"/>
        <v>-2</v>
      </c>
      <c r="AA83" s="17">
        <f t="shared" si="76"/>
        <v>0</v>
      </c>
      <c r="AB83" s="20">
        <f t="shared" si="77"/>
        <v>0</v>
      </c>
      <c r="AC83" s="57">
        <v>7.2</v>
      </c>
      <c r="AD83" s="25">
        <v>18</v>
      </c>
      <c r="AE83" s="17">
        <f t="shared" si="78"/>
        <v>-2</v>
      </c>
      <c r="AF83" s="17">
        <f>IF(AE83&lt;0,0,AD83-G83)</f>
        <v>0</v>
      </c>
      <c r="AG83" s="20">
        <f>AF83*I83/100</f>
        <v>0</v>
      </c>
      <c r="AH83" s="49">
        <v>7.2</v>
      </c>
      <c r="AI83" s="42">
        <f t="shared" si="73"/>
        <v>0</v>
      </c>
      <c r="AJ83" s="35">
        <f t="shared" si="74"/>
        <v>0</v>
      </c>
    </row>
    <row r="84" spans="1:36" x14ac:dyDescent="0.25">
      <c r="A84" s="25" t="s">
        <v>171</v>
      </c>
      <c r="B84" s="17" t="s">
        <v>10</v>
      </c>
      <c r="C84" s="17" t="s">
        <v>11</v>
      </c>
      <c r="D84" s="17" t="s">
        <v>157</v>
      </c>
      <c r="E84" s="18" t="s">
        <v>172</v>
      </c>
      <c r="F84" s="17" t="s">
        <v>14</v>
      </c>
      <c r="G84" s="17">
        <v>20</v>
      </c>
      <c r="H84" s="17" t="s">
        <v>15</v>
      </c>
      <c r="I84" s="39">
        <v>6.5</v>
      </c>
      <c r="J84" s="25">
        <v>317</v>
      </c>
      <c r="K84" s="17">
        <f t="shared" si="61"/>
        <v>297</v>
      </c>
      <c r="L84" s="17">
        <f t="shared" si="62"/>
        <v>297</v>
      </c>
      <c r="M84" s="20">
        <f t="shared" si="63"/>
        <v>19.305</v>
      </c>
      <c r="N84" s="57">
        <v>8.4</v>
      </c>
      <c r="O84" s="25">
        <v>32</v>
      </c>
      <c r="P84" s="17">
        <f t="shared" si="64"/>
        <v>12</v>
      </c>
      <c r="Q84" s="17">
        <f t="shared" si="65"/>
        <v>12</v>
      </c>
      <c r="R84" s="20">
        <f t="shared" si="66"/>
        <v>0.78</v>
      </c>
      <c r="S84" s="57">
        <v>8.4</v>
      </c>
      <c r="T84" s="25">
        <v>0</v>
      </c>
      <c r="U84" s="17">
        <f t="shared" si="67"/>
        <v>-20</v>
      </c>
      <c r="V84" s="17">
        <f t="shared" si="68"/>
        <v>0</v>
      </c>
      <c r="W84" s="20">
        <f t="shared" si="69"/>
        <v>0</v>
      </c>
      <c r="X84" s="57">
        <v>8.4</v>
      </c>
      <c r="Y84" s="25">
        <v>13</v>
      </c>
      <c r="Z84" s="17">
        <f t="shared" si="75"/>
        <v>-7</v>
      </c>
      <c r="AA84" s="17">
        <f t="shared" si="76"/>
        <v>0</v>
      </c>
      <c r="AB84" s="20">
        <f t="shared" si="77"/>
        <v>0</v>
      </c>
      <c r="AC84" s="57">
        <v>8.4</v>
      </c>
      <c r="AD84" s="25">
        <v>0</v>
      </c>
      <c r="AE84" s="17">
        <f t="shared" si="78"/>
        <v>-20</v>
      </c>
      <c r="AF84" s="17">
        <f>IF(AE84&lt;0,0,AD84-G84)</f>
        <v>0</v>
      </c>
      <c r="AG84" s="20">
        <f>AF84*I84/100</f>
        <v>0</v>
      </c>
      <c r="AH84" s="49">
        <v>8.4</v>
      </c>
      <c r="AI84" s="42">
        <f t="shared" si="73"/>
        <v>309</v>
      </c>
      <c r="AJ84" s="35">
        <f t="shared" si="74"/>
        <v>168.714</v>
      </c>
    </row>
    <row r="85" spans="1:36" x14ac:dyDescent="0.25">
      <c r="A85" s="25" t="s">
        <v>176</v>
      </c>
      <c r="B85" s="17" t="s">
        <v>10</v>
      </c>
      <c r="C85" s="17" t="s">
        <v>11</v>
      </c>
      <c r="D85" s="17" t="s">
        <v>174</v>
      </c>
      <c r="E85" s="18" t="s">
        <v>177</v>
      </c>
      <c r="F85" s="17" t="s">
        <v>14</v>
      </c>
      <c r="G85" s="17">
        <v>20</v>
      </c>
      <c r="H85" s="17" t="s">
        <v>15</v>
      </c>
      <c r="I85" s="39">
        <v>6.5</v>
      </c>
      <c r="J85" s="45"/>
      <c r="K85" s="18"/>
      <c r="L85" s="18"/>
      <c r="M85" s="19"/>
      <c r="N85" s="58"/>
      <c r="O85" s="45"/>
      <c r="P85" s="18"/>
      <c r="Q85" s="18"/>
      <c r="R85" s="19"/>
      <c r="S85" s="58"/>
      <c r="T85" s="25">
        <v>0</v>
      </c>
      <c r="U85" s="17">
        <f t="shared" si="67"/>
        <v>-20</v>
      </c>
      <c r="V85" s="17">
        <f t="shared" si="68"/>
        <v>0</v>
      </c>
      <c r="W85" s="20">
        <f t="shared" si="69"/>
        <v>0</v>
      </c>
      <c r="X85" s="57">
        <v>8.4</v>
      </c>
      <c r="Y85" s="25">
        <v>0</v>
      </c>
      <c r="Z85" s="17">
        <f t="shared" si="75"/>
        <v>-20</v>
      </c>
      <c r="AA85" s="17">
        <f t="shared" si="76"/>
        <v>0</v>
      </c>
      <c r="AB85" s="20">
        <f t="shared" si="77"/>
        <v>0</v>
      </c>
      <c r="AC85" s="57">
        <v>8.4</v>
      </c>
      <c r="AD85" s="25">
        <v>0</v>
      </c>
      <c r="AE85" s="17">
        <f t="shared" si="78"/>
        <v>-20</v>
      </c>
      <c r="AF85" s="18"/>
      <c r="AG85" s="19"/>
      <c r="AH85" s="50"/>
      <c r="AI85" s="42">
        <f t="shared" si="73"/>
        <v>0</v>
      </c>
      <c r="AJ85" s="35">
        <f t="shared" si="74"/>
        <v>0</v>
      </c>
    </row>
    <row r="86" spans="1:36" x14ac:dyDescent="0.25">
      <c r="A86" s="25" t="s">
        <v>179</v>
      </c>
      <c r="B86" s="17" t="s">
        <v>17</v>
      </c>
      <c r="C86" s="17" t="s">
        <v>18</v>
      </c>
      <c r="D86" s="17" t="s">
        <v>174</v>
      </c>
      <c r="E86" s="17" t="s">
        <v>177</v>
      </c>
      <c r="F86" s="17" t="s">
        <v>14</v>
      </c>
      <c r="G86" s="17">
        <v>20</v>
      </c>
      <c r="H86" s="17" t="s">
        <v>15</v>
      </c>
      <c r="I86" s="39">
        <v>6.5</v>
      </c>
      <c r="J86" s="25">
        <v>0</v>
      </c>
      <c r="K86" s="17">
        <f>J86-G86</f>
        <v>-20</v>
      </c>
      <c r="L86" s="17">
        <f>IF(K86&lt;0,0,J86-G86)</f>
        <v>0</v>
      </c>
      <c r="M86" s="20">
        <f>L86*I86/100</f>
        <v>0</v>
      </c>
      <c r="N86" s="57">
        <v>8.4</v>
      </c>
      <c r="O86" s="25">
        <v>271</v>
      </c>
      <c r="P86" s="17">
        <f>O86-G86</f>
        <v>251</v>
      </c>
      <c r="Q86" s="17">
        <f>IF(P86&lt;0,0,O86-G86)</f>
        <v>251</v>
      </c>
      <c r="R86" s="20">
        <f>Q86*I86/100</f>
        <v>16.315000000000001</v>
      </c>
      <c r="S86" s="57">
        <v>8.4</v>
      </c>
      <c r="T86" s="25">
        <v>43</v>
      </c>
      <c r="U86" s="17">
        <f t="shared" si="67"/>
        <v>23</v>
      </c>
      <c r="V86" s="17">
        <f t="shared" si="68"/>
        <v>23</v>
      </c>
      <c r="W86" s="20">
        <f t="shared" si="69"/>
        <v>1.4950000000000001</v>
      </c>
      <c r="X86" s="57">
        <v>8.4</v>
      </c>
      <c r="Y86" s="25">
        <v>236</v>
      </c>
      <c r="Z86" s="17">
        <f t="shared" si="75"/>
        <v>216</v>
      </c>
      <c r="AA86" s="17">
        <f t="shared" si="76"/>
        <v>216</v>
      </c>
      <c r="AB86" s="20">
        <f t="shared" si="77"/>
        <v>14.04</v>
      </c>
      <c r="AC86" s="57">
        <v>8.4</v>
      </c>
      <c r="AD86" s="25">
        <v>48</v>
      </c>
      <c r="AE86" s="17">
        <f t="shared" si="78"/>
        <v>28</v>
      </c>
      <c r="AF86" s="17">
        <f>IF(AE86&lt;0,0,AD86-G86)</f>
        <v>28</v>
      </c>
      <c r="AG86" s="20">
        <f>AF86*I86/100</f>
        <v>1.82</v>
      </c>
      <c r="AH86" s="49">
        <v>8.4</v>
      </c>
      <c r="AI86" s="42">
        <f t="shared" si="73"/>
        <v>518</v>
      </c>
      <c r="AJ86" s="35">
        <f t="shared" si="74"/>
        <v>282.82799999999997</v>
      </c>
    </row>
    <row r="87" spans="1:36" x14ac:dyDescent="0.25">
      <c r="A87" s="25"/>
      <c r="B87" s="66" t="s">
        <v>289</v>
      </c>
      <c r="C87" s="17"/>
      <c r="D87" s="17"/>
      <c r="E87" s="17"/>
      <c r="F87" s="17"/>
      <c r="G87" s="17"/>
      <c r="H87" s="17"/>
      <c r="I87" s="39"/>
      <c r="J87" s="71">
        <f t="shared" ref="J87:AJ87" si="79">SUM(J85:J86)</f>
        <v>0</v>
      </c>
      <c r="K87" s="66">
        <f t="shared" si="79"/>
        <v>-20</v>
      </c>
      <c r="L87" s="66">
        <f t="shared" si="79"/>
        <v>0</v>
      </c>
      <c r="M87" s="72">
        <f t="shared" si="79"/>
        <v>0</v>
      </c>
      <c r="N87" s="73">
        <f t="shared" si="79"/>
        <v>8.4</v>
      </c>
      <c r="O87" s="71">
        <f t="shared" si="79"/>
        <v>271</v>
      </c>
      <c r="P87" s="66">
        <f t="shared" si="79"/>
        <v>251</v>
      </c>
      <c r="Q87" s="66">
        <f t="shared" si="79"/>
        <v>251</v>
      </c>
      <c r="R87" s="72">
        <f t="shared" si="79"/>
        <v>16.315000000000001</v>
      </c>
      <c r="S87" s="73">
        <f t="shared" si="79"/>
        <v>8.4</v>
      </c>
      <c r="T87" s="71">
        <f t="shared" si="79"/>
        <v>43</v>
      </c>
      <c r="U87" s="66">
        <f t="shared" si="79"/>
        <v>3</v>
      </c>
      <c r="V87" s="66">
        <f t="shared" si="79"/>
        <v>23</v>
      </c>
      <c r="W87" s="72">
        <f t="shared" si="79"/>
        <v>1.4950000000000001</v>
      </c>
      <c r="X87" s="73">
        <f t="shared" si="79"/>
        <v>16.8</v>
      </c>
      <c r="Y87" s="71">
        <f t="shared" si="79"/>
        <v>236</v>
      </c>
      <c r="Z87" s="66">
        <f t="shared" si="79"/>
        <v>196</v>
      </c>
      <c r="AA87" s="66">
        <f t="shared" si="79"/>
        <v>216</v>
      </c>
      <c r="AB87" s="72">
        <f t="shared" si="79"/>
        <v>14.04</v>
      </c>
      <c r="AC87" s="73">
        <f t="shared" si="79"/>
        <v>16.8</v>
      </c>
      <c r="AD87" s="71">
        <f t="shared" si="79"/>
        <v>48</v>
      </c>
      <c r="AE87" s="66">
        <f t="shared" si="79"/>
        <v>8</v>
      </c>
      <c r="AF87" s="66">
        <f t="shared" si="79"/>
        <v>28</v>
      </c>
      <c r="AG87" s="72">
        <f t="shared" si="79"/>
        <v>1.82</v>
      </c>
      <c r="AH87" s="74">
        <f t="shared" si="79"/>
        <v>8.4</v>
      </c>
      <c r="AI87" s="75">
        <f t="shared" si="79"/>
        <v>518</v>
      </c>
      <c r="AJ87" s="76">
        <f t="shared" si="79"/>
        <v>282.82799999999997</v>
      </c>
    </row>
    <row r="88" spans="1:36" x14ac:dyDescent="0.25">
      <c r="A88" s="25" t="s">
        <v>176</v>
      </c>
      <c r="B88" s="17" t="s">
        <v>10</v>
      </c>
      <c r="C88" s="17" t="s">
        <v>11</v>
      </c>
      <c r="D88" s="17" t="s">
        <v>174</v>
      </c>
      <c r="E88" s="18" t="s">
        <v>178</v>
      </c>
      <c r="F88" s="17" t="s">
        <v>14</v>
      </c>
      <c r="G88" s="17">
        <v>20</v>
      </c>
      <c r="H88" s="17" t="s">
        <v>15</v>
      </c>
      <c r="I88" s="39">
        <v>6.5</v>
      </c>
      <c r="J88" s="25">
        <v>0</v>
      </c>
      <c r="K88" s="17">
        <f t="shared" ref="K88:K98" si="80">J88-G88</f>
        <v>-20</v>
      </c>
      <c r="L88" s="17">
        <f t="shared" ref="L88:L98" si="81">IF(K88&lt;0,0,J88-G88)</f>
        <v>0</v>
      </c>
      <c r="M88" s="20">
        <f t="shared" ref="M88:M98" si="82">L88*I88/100</f>
        <v>0</v>
      </c>
      <c r="N88" s="57">
        <v>8.4</v>
      </c>
      <c r="O88" s="25">
        <v>0</v>
      </c>
      <c r="P88" s="17">
        <f t="shared" ref="P88:P98" si="83">O88-G88</f>
        <v>-20</v>
      </c>
      <c r="Q88" s="17">
        <f t="shared" ref="Q88:Q98" si="84">IF(P88&lt;0,0,O88-G88)</f>
        <v>0</v>
      </c>
      <c r="R88" s="20">
        <f t="shared" ref="R88:R98" si="85">Q88*I88/100</f>
        <v>0</v>
      </c>
      <c r="S88" s="57">
        <v>8.4</v>
      </c>
      <c r="T88" s="45"/>
      <c r="U88" s="18"/>
      <c r="V88" s="18"/>
      <c r="W88" s="19"/>
      <c r="X88" s="58"/>
      <c r="Y88" s="45"/>
      <c r="Z88" s="18"/>
      <c r="AA88" s="18"/>
      <c r="AB88" s="19"/>
      <c r="AC88" s="58"/>
      <c r="AD88" s="45"/>
      <c r="AE88" s="18"/>
      <c r="AF88" s="17">
        <f>IF(AE88&lt;0,0,AD88-G88)</f>
        <v>-20</v>
      </c>
      <c r="AG88" s="20">
        <f>AF88*I88/100</f>
        <v>-1.3</v>
      </c>
      <c r="AH88" s="49">
        <v>8.4</v>
      </c>
      <c r="AI88" s="42">
        <f t="shared" ref="AI88:AI98" si="86">AF88+AA88+V88+Q88+L88</f>
        <v>-20</v>
      </c>
      <c r="AJ88" s="35">
        <f t="shared" ref="AJ88:AJ98" si="87">AG88*AH88+AB88*AC88+W88*X88+R88*S88+M88*N88</f>
        <v>-10.920000000000002</v>
      </c>
    </row>
    <row r="89" spans="1:36" x14ac:dyDescent="0.25">
      <c r="A89" s="25" t="s">
        <v>182</v>
      </c>
      <c r="B89" s="17" t="s">
        <v>32</v>
      </c>
      <c r="C89" s="17">
        <v>308</v>
      </c>
      <c r="D89" s="17" t="s">
        <v>174</v>
      </c>
      <c r="E89" s="17" t="s">
        <v>183</v>
      </c>
      <c r="F89" s="17" t="s">
        <v>14</v>
      </c>
      <c r="G89" s="17">
        <v>20</v>
      </c>
      <c r="H89" s="17" t="s">
        <v>15</v>
      </c>
      <c r="I89" s="39">
        <v>6.5</v>
      </c>
      <c r="J89" s="25">
        <v>20</v>
      </c>
      <c r="K89" s="17">
        <f t="shared" si="80"/>
        <v>0</v>
      </c>
      <c r="L89" s="17">
        <f t="shared" si="81"/>
        <v>0</v>
      </c>
      <c r="M89" s="20">
        <f t="shared" si="82"/>
        <v>0</v>
      </c>
      <c r="N89" s="57">
        <v>8.4</v>
      </c>
      <c r="O89" s="25">
        <v>0</v>
      </c>
      <c r="P89" s="17">
        <f t="shared" si="83"/>
        <v>-20</v>
      </c>
      <c r="Q89" s="17">
        <f t="shared" si="84"/>
        <v>0</v>
      </c>
      <c r="R89" s="20">
        <f t="shared" si="85"/>
        <v>0</v>
      </c>
      <c r="S89" s="57">
        <v>8.4</v>
      </c>
      <c r="T89" s="25">
        <v>0</v>
      </c>
      <c r="U89" s="17">
        <f t="shared" ref="U89:U98" si="88">T89-G89</f>
        <v>-20</v>
      </c>
      <c r="V89" s="17">
        <f t="shared" ref="V89:V98" si="89">IF(U89&lt;0,0,T89-G89)</f>
        <v>0</v>
      </c>
      <c r="W89" s="20">
        <f t="shared" ref="W89:W98" si="90">V89*I89/100</f>
        <v>0</v>
      </c>
      <c r="X89" s="57">
        <v>8.4</v>
      </c>
      <c r="Y89" s="25">
        <v>0</v>
      </c>
      <c r="Z89" s="17">
        <f t="shared" ref="Z89:Z98" si="91">Y89-G89</f>
        <v>-20</v>
      </c>
      <c r="AA89" s="17">
        <f t="shared" ref="AA89:AA98" si="92">IF(Z89&lt;0,0,Y89-G89)</f>
        <v>0</v>
      </c>
      <c r="AB89" s="20">
        <f t="shared" ref="AB89:AB98" si="93">AA89*I89/100</f>
        <v>0</v>
      </c>
      <c r="AC89" s="57">
        <v>8.4</v>
      </c>
      <c r="AD89" s="25">
        <v>0</v>
      </c>
      <c r="AE89" s="17">
        <f t="shared" ref="AE89:AE98" si="94">AD89-G89</f>
        <v>-20</v>
      </c>
      <c r="AF89" s="17">
        <f>IF(AE89&lt;0,0,AD89-G89)</f>
        <v>0</v>
      </c>
      <c r="AG89" s="20">
        <f>AF89*I89/100</f>
        <v>0</v>
      </c>
      <c r="AH89" s="49">
        <v>8.4</v>
      </c>
      <c r="AI89" s="42">
        <f t="shared" si="86"/>
        <v>0</v>
      </c>
      <c r="AJ89" s="35">
        <f t="shared" si="87"/>
        <v>0</v>
      </c>
    </row>
    <row r="90" spans="1:36" x14ac:dyDescent="0.25">
      <c r="A90" s="25" t="s">
        <v>173</v>
      </c>
      <c r="B90" s="17" t="s">
        <v>10</v>
      </c>
      <c r="C90" s="17" t="s">
        <v>11</v>
      </c>
      <c r="D90" s="17" t="s">
        <v>174</v>
      </c>
      <c r="E90" s="17" t="s">
        <v>175</v>
      </c>
      <c r="F90" s="17" t="s">
        <v>14</v>
      </c>
      <c r="G90" s="17">
        <v>20</v>
      </c>
      <c r="H90" s="17" t="s">
        <v>15</v>
      </c>
      <c r="I90" s="39">
        <v>6.5</v>
      </c>
      <c r="J90" s="25">
        <v>70</v>
      </c>
      <c r="K90" s="17">
        <f t="shared" si="80"/>
        <v>50</v>
      </c>
      <c r="L90" s="17">
        <f t="shared" si="81"/>
        <v>50</v>
      </c>
      <c r="M90" s="20">
        <f t="shared" si="82"/>
        <v>3.25</v>
      </c>
      <c r="N90" s="57">
        <v>8.4</v>
      </c>
      <c r="O90" s="25">
        <v>81</v>
      </c>
      <c r="P90" s="17">
        <f t="shared" si="83"/>
        <v>61</v>
      </c>
      <c r="Q90" s="17">
        <f t="shared" si="84"/>
        <v>61</v>
      </c>
      <c r="R90" s="20">
        <f t="shared" si="85"/>
        <v>3.9649999999999999</v>
      </c>
      <c r="S90" s="57">
        <v>8.4</v>
      </c>
      <c r="T90" s="25">
        <v>48</v>
      </c>
      <c r="U90" s="17">
        <f t="shared" si="88"/>
        <v>28</v>
      </c>
      <c r="V90" s="17">
        <f t="shared" si="89"/>
        <v>28</v>
      </c>
      <c r="W90" s="20">
        <f t="shared" si="90"/>
        <v>1.82</v>
      </c>
      <c r="X90" s="57">
        <v>8.4</v>
      </c>
      <c r="Y90" s="25">
        <v>14</v>
      </c>
      <c r="Z90" s="17">
        <f t="shared" si="91"/>
        <v>-6</v>
      </c>
      <c r="AA90" s="17">
        <f t="shared" si="92"/>
        <v>0</v>
      </c>
      <c r="AB90" s="20">
        <f t="shared" si="93"/>
        <v>0</v>
      </c>
      <c r="AC90" s="57">
        <v>8.4</v>
      </c>
      <c r="AD90" s="25">
        <v>238</v>
      </c>
      <c r="AE90" s="17">
        <f t="shared" si="94"/>
        <v>218</v>
      </c>
      <c r="AF90" s="17">
        <f>IF(AE90&lt;0,0,AD90-G90)</f>
        <v>218</v>
      </c>
      <c r="AG90" s="20">
        <f>AF90*I90/100</f>
        <v>14.17</v>
      </c>
      <c r="AH90" s="49">
        <v>8.4</v>
      </c>
      <c r="AI90" s="42">
        <f t="shared" si="86"/>
        <v>357</v>
      </c>
      <c r="AJ90" s="35">
        <f t="shared" si="87"/>
        <v>194.92200000000003</v>
      </c>
    </row>
    <row r="91" spans="1:36" x14ac:dyDescent="0.25">
      <c r="A91" s="25" t="s">
        <v>180</v>
      </c>
      <c r="B91" s="17" t="s">
        <v>32</v>
      </c>
      <c r="C91" s="17" t="s">
        <v>52</v>
      </c>
      <c r="D91" s="17" t="s">
        <v>174</v>
      </c>
      <c r="E91" s="17" t="s">
        <v>181</v>
      </c>
      <c r="F91" s="17" t="s">
        <v>14</v>
      </c>
      <c r="G91" s="17">
        <v>20</v>
      </c>
      <c r="H91" s="17" t="s">
        <v>15</v>
      </c>
      <c r="I91" s="39">
        <v>11</v>
      </c>
      <c r="J91" s="25">
        <v>0</v>
      </c>
      <c r="K91" s="17">
        <f t="shared" si="80"/>
        <v>-20</v>
      </c>
      <c r="L91" s="17">
        <f t="shared" si="81"/>
        <v>0</v>
      </c>
      <c r="M91" s="20">
        <f t="shared" si="82"/>
        <v>0</v>
      </c>
      <c r="N91" s="57">
        <v>8.4</v>
      </c>
      <c r="O91" s="25">
        <v>0</v>
      </c>
      <c r="P91" s="17">
        <f t="shared" si="83"/>
        <v>-20</v>
      </c>
      <c r="Q91" s="17">
        <f t="shared" si="84"/>
        <v>0</v>
      </c>
      <c r="R91" s="20">
        <f t="shared" si="85"/>
        <v>0</v>
      </c>
      <c r="S91" s="57">
        <v>8.4</v>
      </c>
      <c r="T91" s="25">
        <v>0</v>
      </c>
      <c r="U91" s="17">
        <f t="shared" si="88"/>
        <v>-20</v>
      </c>
      <c r="V91" s="17">
        <f t="shared" si="89"/>
        <v>0</v>
      </c>
      <c r="W91" s="20">
        <f t="shared" si="90"/>
        <v>0</v>
      </c>
      <c r="X91" s="57">
        <v>8.4</v>
      </c>
      <c r="Y91" s="25">
        <v>0</v>
      </c>
      <c r="Z91" s="17">
        <f t="shared" si="91"/>
        <v>-20</v>
      </c>
      <c r="AA91" s="17">
        <f t="shared" si="92"/>
        <v>0</v>
      </c>
      <c r="AB91" s="20">
        <f t="shared" si="93"/>
        <v>0</v>
      </c>
      <c r="AC91" s="57">
        <v>8.4</v>
      </c>
      <c r="AD91" s="25">
        <v>0</v>
      </c>
      <c r="AE91" s="17">
        <f t="shared" si="94"/>
        <v>-20</v>
      </c>
      <c r="AF91" s="17">
        <f>IF(AE91&lt;0,0,AD91-G91)</f>
        <v>0</v>
      </c>
      <c r="AG91" s="20">
        <f>AF91*I91/100</f>
        <v>0</v>
      </c>
      <c r="AH91" s="49">
        <v>8.4</v>
      </c>
      <c r="AI91" s="42">
        <f t="shared" si="86"/>
        <v>0</v>
      </c>
      <c r="AJ91" s="35">
        <f t="shared" si="87"/>
        <v>0</v>
      </c>
    </row>
    <row r="92" spans="1:36" x14ac:dyDescent="0.25">
      <c r="A92" s="25" t="s">
        <v>184</v>
      </c>
      <c r="B92" s="17" t="s">
        <v>10</v>
      </c>
      <c r="C92" s="17" t="s">
        <v>11</v>
      </c>
      <c r="D92" s="17" t="s">
        <v>174</v>
      </c>
      <c r="E92" s="17" t="s">
        <v>185</v>
      </c>
      <c r="F92" s="17" t="s">
        <v>14</v>
      </c>
      <c r="G92" s="17">
        <v>20</v>
      </c>
      <c r="H92" s="17" t="s">
        <v>15</v>
      </c>
      <c r="I92" s="39">
        <v>6.5</v>
      </c>
      <c r="J92" s="25">
        <v>20</v>
      </c>
      <c r="K92" s="17">
        <f t="shared" si="80"/>
        <v>0</v>
      </c>
      <c r="L92" s="17">
        <f t="shared" si="81"/>
        <v>0</v>
      </c>
      <c r="M92" s="20">
        <f t="shared" si="82"/>
        <v>0</v>
      </c>
      <c r="N92" s="57">
        <v>8.4</v>
      </c>
      <c r="O92" s="25">
        <v>21</v>
      </c>
      <c r="P92" s="17">
        <f t="shared" si="83"/>
        <v>1</v>
      </c>
      <c r="Q92" s="17">
        <f t="shared" si="84"/>
        <v>1</v>
      </c>
      <c r="R92" s="20">
        <f t="shared" si="85"/>
        <v>6.5000000000000002E-2</v>
      </c>
      <c r="S92" s="57">
        <v>8.4</v>
      </c>
      <c r="T92" s="25">
        <v>18</v>
      </c>
      <c r="U92" s="17">
        <f t="shared" si="88"/>
        <v>-2</v>
      </c>
      <c r="V92" s="17">
        <f t="shared" si="89"/>
        <v>0</v>
      </c>
      <c r="W92" s="20">
        <f t="shared" si="90"/>
        <v>0</v>
      </c>
      <c r="X92" s="57">
        <v>8.4</v>
      </c>
      <c r="Y92" s="25">
        <v>16</v>
      </c>
      <c r="Z92" s="17">
        <f t="shared" si="91"/>
        <v>-4</v>
      </c>
      <c r="AA92" s="17">
        <f t="shared" si="92"/>
        <v>0</v>
      </c>
      <c r="AB92" s="20">
        <f t="shared" si="93"/>
        <v>0</v>
      </c>
      <c r="AC92" s="57">
        <v>8.4</v>
      </c>
      <c r="AD92" s="25">
        <v>4</v>
      </c>
      <c r="AE92" s="17">
        <f t="shared" si="94"/>
        <v>-16</v>
      </c>
      <c r="AF92" s="17">
        <f>IF(AE92&lt;0,0,AD92-G92)</f>
        <v>0</v>
      </c>
      <c r="AG92" s="20">
        <f>AF92*I92/100</f>
        <v>0</v>
      </c>
      <c r="AH92" s="49">
        <v>8.4</v>
      </c>
      <c r="AI92" s="42">
        <f t="shared" si="86"/>
        <v>1</v>
      </c>
      <c r="AJ92" s="35">
        <f t="shared" si="87"/>
        <v>0.54600000000000004</v>
      </c>
    </row>
    <row r="93" spans="1:36" x14ac:dyDescent="0.25">
      <c r="A93" s="25" t="s">
        <v>196</v>
      </c>
      <c r="B93" s="17" t="s">
        <v>32</v>
      </c>
      <c r="C93" s="17" t="s">
        <v>52</v>
      </c>
      <c r="D93" s="17" t="s">
        <v>187</v>
      </c>
      <c r="E93" s="17" t="s">
        <v>197</v>
      </c>
      <c r="F93" s="17" t="s">
        <v>14</v>
      </c>
      <c r="G93" s="17">
        <v>20</v>
      </c>
      <c r="H93" s="17" t="s">
        <v>15</v>
      </c>
      <c r="I93" s="39">
        <v>11</v>
      </c>
      <c r="J93" s="25">
        <v>0</v>
      </c>
      <c r="K93" s="17">
        <f t="shared" si="80"/>
        <v>-20</v>
      </c>
      <c r="L93" s="17">
        <f t="shared" si="81"/>
        <v>0</v>
      </c>
      <c r="M93" s="20">
        <f t="shared" si="82"/>
        <v>0</v>
      </c>
      <c r="N93" s="57">
        <v>8.4</v>
      </c>
      <c r="O93" s="25">
        <v>1</v>
      </c>
      <c r="P93" s="17">
        <f t="shared" si="83"/>
        <v>-19</v>
      </c>
      <c r="Q93" s="17">
        <f t="shared" si="84"/>
        <v>0</v>
      </c>
      <c r="R93" s="20">
        <f t="shared" si="85"/>
        <v>0</v>
      </c>
      <c r="S93" s="57">
        <v>8.4</v>
      </c>
      <c r="T93" s="25">
        <v>0</v>
      </c>
      <c r="U93" s="17">
        <f t="shared" si="88"/>
        <v>-20</v>
      </c>
      <c r="V93" s="17">
        <f t="shared" si="89"/>
        <v>0</v>
      </c>
      <c r="W93" s="20">
        <f t="shared" si="90"/>
        <v>0</v>
      </c>
      <c r="X93" s="57">
        <v>8.4</v>
      </c>
      <c r="Y93" s="25">
        <v>0</v>
      </c>
      <c r="Z93" s="17">
        <f t="shared" si="91"/>
        <v>-20</v>
      </c>
      <c r="AA93" s="17">
        <f t="shared" si="92"/>
        <v>0</v>
      </c>
      <c r="AB93" s="20">
        <f t="shared" si="93"/>
        <v>0</v>
      </c>
      <c r="AC93" s="57">
        <v>8.4</v>
      </c>
      <c r="AD93" s="25">
        <v>0</v>
      </c>
      <c r="AE93" s="17">
        <f t="shared" si="94"/>
        <v>-20</v>
      </c>
      <c r="AF93" s="18"/>
      <c r="AG93" s="19"/>
      <c r="AH93" s="50"/>
      <c r="AI93" s="42">
        <f t="shared" si="86"/>
        <v>0</v>
      </c>
      <c r="AJ93" s="35">
        <f t="shared" si="87"/>
        <v>0</v>
      </c>
    </row>
    <row r="94" spans="1:36" x14ac:dyDescent="0.25">
      <c r="A94" s="25" t="s">
        <v>189</v>
      </c>
      <c r="B94" s="17" t="s">
        <v>17</v>
      </c>
      <c r="C94" s="17" t="s">
        <v>18</v>
      </c>
      <c r="D94" s="17" t="s">
        <v>187</v>
      </c>
      <c r="E94" s="17" t="s">
        <v>190</v>
      </c>
      <c r="F94" s="17" t="s">
        <v>14</v>
      </c>
      <c r="G94" s="17">
        <v>20</v>
      </c>
      <c r="H94" s="17" t="s">
        <v>15</v>
      </c>
      <c r="I94" s="39">
        <v>6.5</v>
      </c>
      <c r="J94" s="25">
        <v>8</v>
      </c>
      <c r="K94" s="17">
        <f t="shared" si="80"/>
        <v>-12</v>
      </c>
      <c r="L94" s="17">
        <f t="shared" si="81"/>
        <v>0</v>
      </c>
      <c r="M94" s="20">
        <f t="shared" si="82"/>
        <v>0</v>
      </c>
      <c r="N94" s="57">
        <v>8.4</v>
      </c>
      <c r="O94" s="25">
        <v>12</v>
      </c>
      <c r="P94" s="17">
        <f t="shared" si="83"/>
        <v>-8</v>
      </c>
      <c r="Q94" s="17">
        <f t="shared" si="84"/>
        <v>0</v>
      </c>
      <c r="R94" s="20">
        <f t="shared" si="85"/>
        <v>0</v>
      </c>
      <c r="S94" s="57">
        <v>8.4</v>
      </c>
      <c r="T94" s="25">
        <v>10</v>
      </c>
      <c r="U94" s="17">
        <f t="shared" si="88"/>
        <v>-10</v>
      </c>
      <c r="V94" s="17">
        <f t="shared" si="89"/>
        <v>0</v>
      </c>
      <c r="W94" s="20">
        <f t="shared" si="90"/>
        <v>0</v>
      </c>
      <c r="X94" s="57">
        <v>8.4</v>
      </c>
      <c r="Y94" s="25">
        <v>4</v>
      </c>
      <c r="Z94" s="17">
        <f t="shared" si="91"/>
        <v>-16</v>
      </c>
      <c r="AA94" s="17">
        <f t="shared" si="92"/>
        <v>0</v>
      </c>
      <c r="AB94" s="20">
        <f t="shared" si="93"/>
        <v>0</v>
      </c>
      <c r="AC94" s="57">
        <v>8.4</v>
      </c>
      <c r="AD94" s="25">
        <v>15</v>
      </c>
      <c r="AE94" s="17">
        <f t="shared" si="94"/>
        <v>-5</v>
      </c>
      <c r="AF94" s="17">
        <f>IF(AE94&lt;0,0,AD94-G94)</f>
        <v>0</v>
      </c>
      <c r="AG94" s="20">
        <f>AF94*I94/100</f>
        <v>0</v>
      </c>
      <c r="AH94" s="49">
        <v>8.4</v>
      </c>
      <c r="AI94" s="42">
        <f t="shared" si="86"/>
        <v>0</v>
      </c>
      <c r="AJ94" s="35">
        <f t="shared" si="87"/>
        <v>0</v>
      </c>
    </row>
    <row r="95" spans="1:36" x14ac:dyDescent="0.25">
      <c r="A95" s="25" t="s">
        <v>193</v>
      </c>
      <c r="B95" s="17" t="s">
        <v>32</v>
      </c>
      <c r="C95" s="17" t="s">
        <v>33</v>
      </c>
      <c r="D95" s="17" t="s">
        <v>187</v>
      </c>
      <c r="E95" s="17" t="s">
        <v>194</v>
      </c>
      <c r="F95" s="17" t="s">
        <v>14</v>
      </c>
      <c r="G95" s="17">
        <v>20</v>
      </c>
      <c r="H95" s="17" t="s">
        <v>15</v>
      </c>
      <c r="I95" s="39">
        <v>9</v>
      </c>
      <c r="J95" s="25">
        <v>0</v>
      </c>
      <c r="K95" s="17">
        <f t="shared" si="80"/>
        <v>-20</v>
      </c>
      <c r="L95" s="17">
        <f t="shared" si="81"/>
        <v>0</v>
      </c>
      <c r="M95" s="20">
        <f t="shared" si="82"/>
        <v>0</v>
      </c>
      <c r="N95" s="57">
        <v>8.4</v>
      </c>
      <c r="O95" s="25">
        <v>0</v>
      </c>
      <c r="P95" s="17">
        <f t="shared" si="83"/>
        <v>-20</v>
      </c>
      <c r="Q95" s="17">
        <f t="shared" si="84"/>
        <v>0</v>
      </c>
      <c r="R95" s="20">
        <f t="shared" si="85"/>
        <v>0</v>
      </c>
      <c r="S95" s="57">
        <v>8.4</v>
      </c>
      <c r="T95" s="25">
        <v>33</v>
      </c>
      <c r="U95" s="17">
        <f t="shared" si="88"/>
        <v>13</v>
      </c>
      <c r="V95" s="17">
        <f t="shared" si="89"/>
        <v>13</v>
      </c>
      <c r="W95" s="20">
        <f t="shared" si="90"/>
        <v>1.17</v>
      </c>
      <c r="X95" s="57">
        <v>8.4</v>
      </c>
      <c r="Y95" s="25">
        <v>4</v>
      </c>
      <c r="Z95" s="17">
        <f t="shared" si="91"/>
        <v>-16</v>
      </c>
      <c r="AA95" s="17">
        <f t="shared" si="92"/>
        <v>0</v>
      </c>
      <c r="AB95" s="20">
        <f t="shared" si="93"/>
        <v>0</v>
      </c>
      <c r="AC95" s="57">
        <v>8.4</v>
      </c>
      <c r="AD95" s="25">
        <v>0</v>
      </c>
      <c r="AE95" s="17">
        <f t="shared" si="94"/>
        <v>-20</v>
      </c>
      <c r="AF95" s="17">
        <f>IF(AE95&lt;0,0,AD95-G95)</f>
        <v>0</v>
      </c>
      <c r="AG95" s="20">
        <f>AF95*I95/100</f>
        <v>0</v>
      </c>
      <c r="AH95" s="49">
        <v>8.4</v>
      </c>
      <c r="AI95" s="42">
        <f t="shared" si="86"/>
        <v>13</v>
      </c>
      <c r="AJ95" s="35">
        <f t="shared" si="87"/>
        <v>9.8279999999999994</v>
      </c>
    </row>
    <row r="96" spans="1:36" x14ac:dyDescent="0.25">
      <c r="A96" s="25" t="s">
        <v>186</v>
      </c>
      <c r="B96" s="17" t="s">
        <v>10</v>
      </c>
      <c r="C96" s="17" t="s">
        <v>11</v>
      </c>
      <c r="D96" s="17" t="s">
        <v>187</v>
      </c>
      <c r="E96" s="17" t="s">
        <v>188</v>
      </c>
      <c r="F96" s="17" t="s">
        <v>14</v>
      </c>
      <c r="G96" s="17">
        <v>20</v>
      </c>
      <c r="H96" s="17" t="s">
        <v>15</v>
      </c>
      <c r="I96" s="39">
        <v>6.5</v>
      </c>
      <c r="J96" s="25">
        <v>20</v>
      </c>
      <c r="K96" s="17">
        <f t="shared" si="80"/>
        <v>0</v>
      </c>
      <c r="L96" s="17">
        <f t="shared" si="81"/>
        <v>0</v>
      </c>
      <c r="M96" s="20">
        <f t="shared" si="82"/>
        <v>0</v>
      </c>
      <c r="N96" s="57">
        <v>8.4</v>
      </c>
      <c r="O96" s="25">
        <v>6</v>
      </c>
      <c r="P96" s="17">
        <f t="shared" si="83"/>
        <v>-14</v>
      </c>
      <c r="Q96" s="17">
        <f t="shared" si="84"/>
        <v>0</v>
      </c>
      <c r="R96" s="20">
        <f t="shared" si="85"/>
        <v>0</v>
      </c>
      <c r="S96" s="57">
        <v>8.4</v>
      </c>
      <c r="T96" s="25">
        <v>14</v>
      </c>
      <c r="U96" s="17">
        <f t="shared" si="88"/>
        <v>-6</v>
      </c>
      <c r="V96" s="17">
        <f t="shared" si="89"/>
        <v>0</v>
      </c>
      <c r="W96" s="20">
        <f t="shared" si="90"/>
        <v>0</v>
      </c>
      <c r="X96" s="57">
        <v>8.4</v>
      </c>
      <c r="Y96" s="25">
        <v>30</v>
      </c>
      <c r="Z96" s="17">
        <f t="shared" si="91"/>
        <v>10</v>
      </c>
      <c r="AA96" s="17">
        <f t="shared" si="92"/>
        <v>10</v>
      </c>
      <c r="AB96" s="20">
        <f t="shared" si="93"/>
        <v>0.65</v>
      </c>
      <c r="AC96" s="57">
        <v>8.4</v>
      </c>
      <c r="AD96" s="25">
        <v>0</v>
      </c>
      <c r="AE96" s="17">
        <f t="shared" si="94"/>
        <v>-20</v>
      </c>
      <c r="AF96" s="17">
        <f>IF(AE96&lt;0,0,AD96-G96)</f>
        <v>0</v>
      </c>
      <c r="AG96" s="20">
        <f>AF96*I96/100</f>
        <v>0</v>
      </c>
      <c r="AH96" s="49">
        <v>8.4</v>
      </c>
      <c r="AI96" s="42">
        <f t="shared" si="86"/>
        <v>10</v>
      </c>
      <c r="AJ96" s="35">
        <f t="shared" si="87"/>
        <v>5.4600000000000009</v>
      </c>
    </row>
    <row r="97" spans="1:36" x14ac:dyDescent="0.25">
      <c r="A97" s="25" t="s">
        <v>191</v>
      </c>
      <c r="B97" s="17" t="s">
        <v>10</v>
      </c>
      <c r="C97" s="17" t="s">
        <v>22</v>
      </c>
      <c r="D97" s="17" t="s">
        <v>187</v>
      </c>
      <c r="E97" s="18" t="s">
        <v>192</v>
      </c>
      <c r="F97" s="17" t="s">
        <v>14</v>
      </c>
      <c r="G97" s="17">
        <v>20</v>
      </c>
      <c r="H97" s="17" t="s">
        <v>15</v>
      </c>
      <c r="I97" s="39">
        <v>11</v>
      </c>
      <c r="J97" s="25">
        <v>0</v>
      </c>
      <c r="K97" s="17">
        <f t="shared" si="80"/>
        <v>-20</v>
      </c>
      <c r="L97" s="17">
        <f t="shared" si="81"/>
        <v>0</v>
      </c>
      <c r="M97" s="20">
        <f t="shared" si="82"/>
        <v>0</v>
      </c>
      <c r="N97" s="57">
        <v>8.4</v>
      </c>
      <c r="O97" s="25">
        <v>0</v>
      </c>
      <c r="P97" s="17">
        <f t="shared" si="83"/>
        <v>-20</v>
      </c>
      <c r="Q97" s="17">
        <f t="shared" si="84"/>
        <v>0</v>
      </c>
      <c r="R97" s="20">
        <f t="shared" si="85"/>
        <v>0</v>
      </c>
      <c r="S97" s="57">
        <v>8.4</v>
      </c>
      <c r="T97" s="25">
        <v>0</v>
      </c>
      <c r="U97" s="17">
        <f t="shared" si="88"/>
        <v>-20</v>
      </c>
      <c r="V97" s="17">
        <f t="shared" si="89"/>
        <v>0</v>
      </c>
      <c r="W97" s="20">
        <f t="shared" si="90"/>
        <v>0</v>
      </c>
      <c r="X97" s="57">
        <v>8.4</v>
      </c>
      <c r="Y97" s="25">
        <v>0</v>
      </c>
      <c r="Z97" s="17">
        <f t="shared" si="91"/>
        <v>-20</v>
      </c>
      <c r="AA97" s="17">
        <f t="shared" si="92"/>
        <v>0</v>
      </c>
      <c r="AB97" s="20">
        <f t="shared" si="93"/>
        <v>0</v>
      </c>
      <c r="AC97" s="57">
        <v>8.4</v>
      </c>
      <c r="AD97" s="25">
        <v>0</v>
      </c>
      <c r="AE97" s="17">
        <f t="shared" si="94"/>
        <v>-20</v>
      </c>
      <c r="AF97" s="17">
        <f>IF(AE97&lt;0,0,AD97-G97)</f>
        <v>0</v>
      </c>
      <c r="AG97" s="20">
        <f>AF97*I97/100</f>
        <v>0</v>
      </c>
      <c r="AH97" s="49">
        <v>8.4</v>
      </c>
      <c r="AI97" s="42">
        <f t="shared" si="86"/>
        <v>0</v>
      </c>
      <c r="AJ97" s="35">
        <f t="shared" si="87"/>
        <v>0</v>
      </c>
    </row>
    <row r="98" spans="1:36" x14ac:dyDescent="0.25">
      <c r="A98" s="25" t="s">
        <v>195</v>
      </c>
      <c r="B98" s="17" t="s">
        <v>32</v>
      </c>
      <c r="C98" s="17">
        <v>301</v>
      </c>
      <c r="D98" s="17" t="s">
        <v>187</v>
      </c>
      <c r="E98" s="18" t="s">
        <v>192</v>
      </c>
      <c r="F98" s="17" t="s">
        <v>14</v>
      </c>
      <c r="G98" s="17">
        <v>20</v>
      </c>
      <c r="H98" s="17" t="s">
        <v>15</v>
      </c>
      <c r="I98" s="39">
        <v>6.5</v>
      </c>
      <c r="J98" s="25">
        <v>0</v>
      </c>
      <c r="K98" s="17">
        <f t="shared" si="80"/>
        <v>-20</v>
      </c>
      <c r="L98" s="17">
        <f t="shared" si="81"/>
        <v>0</v>
      </c>
      <c r="M98" s="20">
        <f t="shared" si="82"/>
        <v>0</v>
      </c>
      <c r="N98" s="57">
        <v>8.4</v>
      </c>
      <c r="O98" s="25">
        <v>58</v>
      </c>
      <c r="P98" s="17">
        <f t="shared" si="83"/>
        <v>38</v>
      </c>
      <c r="Q98" s="17">
        <f t="shared" si="84"/>
        <v>38</v>
      </c>
      <c r="R98" s="20">
        <f t="shared" si="85"/>
        <v>2.4700000000000002</v>
      </c>
      <c r="S98" s="57">
        <v>8.4</v>
      </c>
      <c r="T98" s="25">
        <v>90</v>
      </c>
      <c r="U98" s="17">
        <f t="shared" si="88"/>
        <v>70</v>
      </c>
      <c r="V98" s="17">
        <f t="shared" si="89"/>
        <v>70</v>
      </c>
      <c r="W98" s="20">
        <f t="shared" si="90"/>
        <v>4.55</v>
      </c>
      <c r="X98" s="57">
        <v>8.4</v>
      </c>
      <c r="Y98" s="25">
        <v>5</v>
      </c>
      <c r="Z98" s="17">
        <f t="shared" si="91"/>
        <v>-15</v>
      </c>
      <c r="AA98" s="17">
        <f t="shared" si="92"/>
        <v>0</v>
      </c>
      <c r="AB98" s="20">
        <f t="shared" si="93"/>
        <v>0</v>
      </c>
      <c r="AC98" s="57">
        <v>8.4</v>
      </c>
      <c r="AD98" s="25">
        <v>0</v>
      </c>
      <c r="AE98" s="17">
        <f t="shared" si="94"/>
        <v>-20</v>
      </c>
      <c r="AF98" s="17">
        <f>IF(AE98&lt;0,0,AD98-G98)</f>
        <v>0</v>
      </c>
      <c r="AG98" s="20">
        <f>AF98*I98/100</f>
        <v>0</v>
      </c>
      <c r="AH98" s="49">
        <v>8.4</v>
      </c>
      <c r="AI98" s="42">
        <f t="shared" si="86"/>
        <v>108</v>
      </c>
      <c r="AJ98" s="35">
        <f t="shared" si="87"/>
        <v>58.968000000000004</v>
      </c>
    </row>
    <row r="99" spans="1:36" x14ac:dyDescent="0.25">
      <c r="A99" s="25"/>
      <c r="B99" s="66" t="s">
        <v>290</v>
      </c>
      <c r="C99" s="17"/>
      <c r="D99" s="17"/>
      <c r="E99" s="18"/>
      <c r="F99" s="17"/>
      <c r="G99" s="17"/>
      <c r="H99" s="17"/>
      <c r="I99" s="39"/>
      <c r="J99" s="71">
        <f t="shared" ref="J99:AJ99" si="95">SUM(J97:J98)</f>
        <v>0</v>
      </c>
      <c r="K99" s="66">
        <f t="shared" si="95"/>
        <v>-40</v>
      </c>
      <c r="L99" s="66">
        <f t="shared" si="95"/>
        <v>0</v>
      </c>
      <c r="M99" s="72">
        <f t="shared" si="95"/>
        <v>0</v>
      </c>
      <c r="N99" s="73">
        <f t="shared" si="95"/>
        <v>16.8</v>
      </c>
      <c r="O99" s="71">
        <f t="shared" si="95"/>
        <v>58</v>
      </c>
      <c r="P99" s="66">
        <f t="shared" si="95"/>
        <v>18</v>
      </c>
      <c r="Q99" s="66">
        <f t="shared" si="95"/>
        <v>38</v>
      </c>
      <c r="R99" s="72">
        <f t="shared" si="95"/>
        <v>2.4700000000000002</v>
      </c>
      <c r="S99" s="73">
        <f t="shared" si="95"/>
        <v>16.8</v>
      </c>
      <c r="T99" s="71">
        <f t="shared" si="95"/>
        <v>90</v>
      </c>
      <c r="U99" s="66">
        <f t="shared" si="95"/>
        <v>50</v>
      </c>
      <c r="V99" s="66">
        <f t="shared" si="95"/>
        <v>70</v>
      </c>
      <c r="W99" s="72">
        <f t="shared" si="95"/>
        <v>4.55</v>
      </c>
      <c r="X99" s="73">
        <f t="shared" si="95"/>
        <v>16.8</v>
      </c>
      <c r="Y99" s="71">
        <f t="shared" si="95"/>
        <v>5</v>
      </c>
      <c r="Z99" s="66">
        <f t="shared" si="95"/>
        <v>-35</v>
      </c>
      <c r="AA99" s="66">
        <f t="shared" si="95"/>
        <v>0</v>
      </c>
      <c r="AB99" s="72">
        <f t="shared" si="95"/>
        <v>0</v>
      </c>
      <c r="AC99" s="73">
        <f t="shared" si="95"/>
        <v>16.8</v>
      </c>
      <c r="AD99" s="71">
        <f t="shared" si="95"/>
        <v>0</v>
      </c>
      <c r="AE99" s="66">
        <f t="shared" si="95"/>
        <v>-40</v>
      </c>
      <c r="AF99" s="66">
        <f t="shared" si="95"/>
        <v>0</v>
      </c>
      <c r="AG99" s="72">
        <f t="shared" si="95"/>
        <v>0</v>
      </c>
      <c r="AH99" s="74">
        <f t="shared" si="95"/>
        <v>16.8</v>
      </c>
      <c r="AI99" s="75">
        <f t="shared" si="95"/>
        <v>108</v>
      </c>
      <c r="AJ99" s="76">
        <f t="shared" si="95"/>
        <v>58.968000000000004</v>
      </c>
    </row>
    <row r="100" spans="1:36" x14ac:dyDescent="0.25">
      <c r="A100" s="25" t="s">
        <v>203</v>
      </c>
      <c r="B100" s="17" t="s">
        <v>10</v>
      </c>
      <c r="C100" s="17" t="s">
        <v>11</v>
      </c>
      <c r="D100" s="17" t="s">
        <v>199</v>
      </c>
      <c r="E100" s="17" t="s">
        <v>204</v>
      </c>
      <c r="F100" s="17" t="s">
        <v>14</v>
      </c>
      <c r="G100" s="17">
        <v>20</v>
      </c>
      <c r="H100" s="17" t="s">
        <v>15</v>
      </c>
      <c r="I100" s="39">
        <v>6.5</v>
      </c>
      <c r="J100" s="25">
        <v>12</v>
      </c>
      <c r="K100" s="17">
        <f>J100-G100</f>
        <v>-8</v>
      </c>
      <c r="L100" s="17">
        <f>IF(K100&lt;0,0,J100-G100)</f>
        <v>0</v>
      </c>
      <c r="M100" s="20">
        <f>L100*I100/100</f>
        <v>0</v>
      </c>
      <c r="N100" s="57">
        <v>8.4</v>
      </c>
      <c r="O100" s="25">
        <v>176</v>
      </c>
      <c r="P100" s="17">
        <f>O100-G100</f>
        <v>156</v>
      </c>
      <c r="Q100" s="17">
        <f>IF(P100&lt;0,0,O100-G100)</f>
        <v>156</v>
      </c>
      <c r="R100" s="20">
        <f>Q100*I100/100</f>
        <v>10.14</v>
      </c>
      <c r="S100" s="57">
        <v>8.4</v>
      </c>
      <c r="T100" s="25">
        <v>26</v>
      </c>
      <c r="U100" s="17">
        <f>T100-G100</f>
        <v>6</v>
      </c>
      <c r="V100" s="17">
        <f>IF(U100&lt;0,0,T100-G100)</f>
        <v>6</v>
      </c>
      <c r="W100" s="20">
        <f>V100*I100/100</f>
        <v>0.39</v>
      </c>
      <c r="X100" s="57">
        <v>8.4</v>
      </c>
      <c r="Y100" s="25">
        <v>5</v>
      </c>
      <c r="Z100" s="17">
        <f>Y100-G100</f>
        <v>-15</v>
      </c>
      <c r="AA100" s="17">
        <f>IF(Z100&lt;0,0,Y100-G100)</f>
        <v>0</v>
      </c>
      <c r="AB100" s="20">
        <f>AA100*I100/100</f>
        <v>0</v>
      </c>
      <c r="AC100" s="57">
        <v>8.4</v>
      </c>
      <c r="AD100" s="25">
        <v>7</v>
      </c>
      <c r="AE100" s="17">
        <f>AD100-G100</f>
        <v>-13</v>
      </c>
      <c r="AF100" s="17">
        <f t="shared" ref="AF100:AF105" si="96">IF(AE100&lt;0,0,AD100-G100)</f>
        <v>0</v>
      </c>
      <c r="AG100" s="20">
        <f t="shared" ref="AG100:AG105" si="97">AF100*I100/100</f>
        <v>0</v>
      </c>
      <c r="AH100" s="49">
        <v>8.4</v>
      </c>
      <c r="AI100" s="42">
        <f t="shared" ref="AI100:AI105" si="98">AF100+AA100+V100+Q100+L100</f>
        <v>162</v>
      </c>
      <c r="AJ100" s="35">
        <f t="shared" ref="AJ100:AJ105" si="99">AG100*AH100+AB100*AC100+W100*X100+R100*S100+M100*N100</f>
        <v>88.451999999999998</v>
      </c>
    </row>
    <row r="101" spans="1:36" x14ac:dyDescent="0.25">
      <c r="A101" s="25" t="s">
        <v>198</v>
      </c>
      <c r="B101" s="17" t="s">
        <v>17</v>
      </c>
      <c r="C101" s="17" t="s">
        <v>18</v>
      </c>
      <c r="D101" s="17" t="s">
        <v>199</v>
      </c>
      <c r="E101" s="18" t="s">
        <v>200</v>
      </c>
      <c r="F101" s="17" t="s">
        <v>14</v>
      </c>
      <c r="G101" s="17">
        <v>20</v>
      </c>
      <c r="H101" s="17" t="s">
        <v>15</v>
      </c>
      <c r="I101" s="39">
        <v>6.5</v>
      </c>
      <c r="J101" s="25">
        <v>80</v>
      </c>
      <c r="K101" s="17">
        <f>J101-G101</f>
        <v>60</v>
      </c>
      <c r="L101" s="17">
        <f>IF(K101&lt;0,0,J101-G101)</f>
        <v>60</v>
      </c>
      <c r="M101" s="20">
        <f>L101*I101/100</f>
        <v>3.9</v>
      </c>
      <c r="N101" s="57">
        <v>8.4</v>
      </c>
      <c r="O101" s="25">
        <v>20</v>
      </c>
      <c r="P101" s="17">
        <f>O101-G101</f>
        <v>0</v>
      </c>
      <c r="Q101" s="17">
        <f>IF(P101&lt;0,0,O101-G101)</f>
        <v>0</v>
      </c>
      <c r="R101" s="20">
        <f>Q101*I101/100</f>
        <v>0</v>
      </c>
      <c r="S101" s="57">
        <v>8.4</v>
      </c>
      <c r="T101" s="25">
        <v>0</v>
      </c>
      <c r="U101" s="17">
        <f>T101-G101</f>
        <v>-20</v>
      </c>
      <c r="V101" s="17">
        <f>IF(U101&lt;0,0,T101-G101)</f>
        <v>0</v>
      </c>
      <c r="W101" s="20">
        <f>V101*I101/100</f>
        <v>0</v>
      </c>
      <c r="X101" s="57">
        <v>8.4</v>
      </c>
      <c r="Y101" s="25">
        <v>25</v>
      </c>
      <c r="Z101" s="17">
        <f>Y101-G101</f>
        <v>5</v>
      </c>
      <c r="AA101" s="17">
        <f>IF(Z101&lt;0,0,Y101-G101)</f>
        <v>5</v>
      </c>
      <c r="AB101" s="20">
        <f>AA101*I101/100</f>
        <v>0.32500000000000001</v>
      </c>
      <c r="AC101" s="57">
        <v>8.4</v>
      </c>
      <c r="AD101" s="25">
        <v>469</v>
      </c>
      <c r="AE101" s="17">
        <f>AD101-G101</f>
        <v>449</v>
      </c>
      <c r="AF101" s="17">
        <f t="shared" si="96"/>
        <v>449</v>
      </c>
      <c r="AG101" s="20">
        <f t="shared" si="97"/>
        <v>29.184999999999999</v>
      </c>
      <c r="AH101" s="49">
        <v>8.4</v>
      </c>
      <c r="AI101" s="42">
        <f t="shared" si="98"/>
        <v>514</v>
      </c>
      <c r="AJ101" s="35">
        <f t="shared" si="99"/>
        <v>280.64400000000001</v>
      </c>
    </row>
    <row r="102" spans="1:36" x14ac:dyDescent="0.25">
      <c r="A102" s="25" t="s">
        <v>201</v>
      </c>
      <c r="B102" s="17" t="s">
        <v>10</v>
      </c>
      <c r="C102" s="17" t="s">
        <v>105</v>
      </c>
      <c r="D102" s="17" t="s">
        <v>199</v>
      </c>
      <c r="E102" s="18" t="s">
        <v>202</v>
      </c>
      <c r="F102" s="17" t="s">
        <v>14</v>
      </c>
      <c r="G102" s="17">
        <v>20</v>
      </c>
      <c r="H102" s="17" t="s">
        <v>15</v>
      </c>
      <c r="I102" s="39">
        <v>6.5</v>
      </c>
      <c r="J102" s="45"/>
      <c r="K102" s="18"/>
      <c r="L102" s="18"/>
      <c r="M102" s="19"/>
      <c r="N102" s="58"/>
      <c r="O102" s="25">
        <v>314</v>
      </c>
      <c r="P102" s="17">
        <f>O102-G102</f>
        <v>294</v>
      </c>
      <c r="Q102" s="17">
        <f>IF(P102&lt;0,0,O102-G102)</f>
        <v>294</v>
      </c>
      <c r="R102" s="20">
        <f>Q102*I102/100</f>
        <v>19.11</v>
      </c>
      <c r="S102" s="57">
        <v>8.4</v>
      </c>
      <c r="T102" s="25">
        <v>8</v>
      </c>
      <c r="U102" s="17">
        <f>T102-G102</f>
        <v>-12</v>
      </c>
      <c r="V102" s="17">
        <f>IF(U102&lt;0,0,T102-G102)</f>
        <v>0</v>
      </c>
      <c r="W102" s="20">
        <f>V102*I102/100</f>
        <v>0</v>
      </c>
      <c r="X102" s="57">
        <v>8.4</v>
      </c>
      <c r="Y102" s="25">
        <v>256</v>
      </c>
      <c r="Z102" s="17">
        <f>Y102-G102</f>
        <v>236</v>
      </c>
      <c r="AA102" s="17">
        <f>IF(Z102&lt;0,0,Y102-G102)</f>
        <v>236</v>
      </c>
      <c r="AB102" s="20">
        <f>AA102*I102/100</f>
        <v>15.34</v>
      </c>
      <c r="AC102" s="57">
        <v>8.4</v>
      </c>
      <c r="AD102" s="45"/>
      <c r="AE102" s="18"/>
      <c r="AF102" s="17">
        <f t="shared" si="96"/>
        <v>-20</v>
      </c>
      <c r="AG102" s="20">
        <f t="shared" si="97"/>
        <v>-1.3</v>
      </c>
      <c r="AH102" s="49">
        <v>8.4</v>
      </c>
      <c r="AI102" s="42">
        <f t="shared" si="98"/>
        <v>510</v>
      </c>
      <c r="AJ102" s="35">
        <f t="shared" si="99"/>
        <v>278.45999999999998</v>
      </c>
    </row>
    <row r="103" spans="1:36" x14ac:dyDescent="0.25">
      <c r="A103" s="25" t="s">
        <v>205</v>
      </c>
      <c r="B103" s="17" t="s">
        <v>17</v>
      </c>
      <c r="C103" s="17" t="s">
        <v>36</v>
      </c>
      <c r="D103" s="17" t="s">
        <v>199</v>
      </c>
      <c r="E103" s="17" t="s">
        <v>206</v>
      </c>
      <c r="F103" s="17" t="s">
        <v>14</v>
      </c>
      <c r="G103" s="17">
        <v>20</v>
      </c>
      <c r="H103" s="17" t="s">
        <v>38</v>
      </c>
      <c r="I103" s="39">
        <v>6.5</v>
      </c>
      <c r="J103" s="25">
        <v>0</v>
      </c>
      <c r="K103" s="17">
        <f>J103-G103</f>
        <v>-20</v>
      </c>
      <c r="L103" s="17">
        <f>IF(K103&lt;0,0,J103-G103)</f>
        <v>0</v>
      </c>
      <c r="M103" s="20">
        <f>L103*I103/100</f>
        <v>0</v>
      </c>
      <c r="N103" s="57">
        <v>7.3</v>
      </c>
      <c r="O103" s="25">
        <v>329</v>
      </c>
      <c r="P103" s="17">
        <f>O103-G103</f>
        <v>309</v>
      </c>
      <c r="Q103" s="17">
        <f>IF(P103&lt;0,0,O103-G103)</f>
        <v>309</v>
      </c>
      <c r="R103" s="20">
        <f>Q103*I103/100</f>
        <v>20.085000000000001</v>
      </c>
      <c r="S103" s="57">
        <v>7.2</v>
      </c>
      <c r="T103" s="25">
        <v>204</v>
      </c>
      <c r="U103" s="17">
        <f>T103-G103</f>
        <v>184</v>
      </c>
      <c r="V103" s="17">
        <f>IF(U103&lt;0,0,T103-G103)</f>
        <v>184</v>
      </c>
      <c r="W103" s="20">
        <f>V103*I103/100</f>
        <v>11.96</v>
      </c>
      <c r="X103" s="57">
        <v>7.2</v>
      </c>
      <c r="Y103" s="25">
        <v>24</v>
      </c>
      <c r="Z103" s="17">
        <f>Y103-G103</f>
        <v>4</v>
      </c>
      <c r="AA103" s="17">
        <f>IF(Z103&lt;0,0,Y103-G103)</f>
        <v>4</v>
      </c>
      <c r="AB103" s="20">
        <f>AA103*I103/100</f>
        <v>0.26</v>
      </c>
      <c r="AC103" s="57">
        <v>7.2</v>
      </c>
      <c r="AD103" s="25">
        <v>128</v>
      </c>
      <c r="AE103" s="17">
        <f>AD103-G103</f>
        <v>108</v>
      </c>
      <c r="AF103" s="17">
        <f t="shared" si="96"/>
        <v>108</v>
      </c>
      <c r="AG103" s="20">
        <f t="shared" si="97"/>
        <v>7.02</v>
      </c>
      <c r="AH103" s="49">
        <v>8.4</v>
      </c>
      <c r="AI103" s="42">
        <f t="shared" si="98"/>
        <v>605</v>
      </c>
      <c r="AJ103" s="35">
        <f t="shared" si="99"/>
        <v>291.56400000000002</v>
      </c>
    </row>
    <row r="104" spans="1:36" x14ac:dyDescent="0.25">
      <c r="A104" s="25" t="s">
        <v>122</v>
      </c>
      <c r="B104" s="17" t="s">
        <v>10</v>
      </c>
      <c r="C104" s="17" t="s">
        <v>11</v>
      </c>
      <c r="D104" s="17" t="s">
        <v>120</v>
      </c>
      <c r="E104" s="18" t="s">
        <v>123</v>
      </c>
      <c r="F104" s="17" t="s">
        <v>14</v>
      </c>
      <c r="G104" s="17">
        <v>20</v>
      </c>
      <c r="H104" s="17" t="s">
        <v>15</v>
      </c>
      <c r="I104" s="39">
        <v>6.5</v>
      </c>
      <c r="J104" s="45"/>
      <c r="K104" s="18"/>
      <c r="L104" s="18"/>
      <c r="M104" s="19"/>
      <c r="N104" s="58"/>
      <c r="O104" s="45"/>
      <c r="P104" s="18"/>
      <c r="Q104" s="18"/>
      <c r="R104" s="19"/>
      <c r="S104" s="58"/>
      <c r="T104" s="45"/>
      <c r="U104" s="18"/>
      <c r="V104" s="18"/>
      <c r="W104" s="19"/>
      <c r="X104" s="58"/>
      <c r="Y104" s="45"/>
      <c r="Z104" s="18"/>
      <c r="AA104" s="18"/>
      <c r="AB104" s="19"/>
      <c r="AC104" s="58"/>
      <c r="AD104" s="25">
        <v>0</v>
      </c>
      <c r="AE104" s="17">
        <f>AD104-G104</f>
        <v>-20</v>
      </c>
      <c r="AF104" s="17">
        <f t="shared" si="96"/>
        <v>0</v>
      </c>
      <c r="AG104" s="20">
        <f t="shared" si="97"/>
        <v>0</v>
      </c>
      <c r="AH104" s="49">
        <v>8.4</v>
      </c>
      <c r="AI104" s="42">
        <f t="shared" si="98"/>
        <v>0</v>
      </c>
      <c r="AJ104" s="35">
        <f t="shared" si="99"/>
        <v>0</v>
      </c>
    </row>
    <row r="105" spans="1:36" x14ac:dyDescent="0.25">
      <c r="A105" s="25" t="s">
        <v>127</v>
      </c>
      <c r="B105" s="17" t="s">
        <v>10</v>
      </c>
      <c r="C105" s="17" t="s">
        <v>11</v>
      </c>
      <c r="D105" s="17" t="s">
        <v>120</v>
      </c>
      <c r="E105" s="17" t="s">
        <v>123</v>
      </c>
      <c r="F105" s="17" t="s">
        <v>14</v>
      </c>
      <c r="G105" s="17">
        <v>20</v>
      </c>
      <c r="H105" s="17" t="s">
        <v>15</v>
      </c>
      <c r="I105" s="39">
        <v>6.5</v>
      </c>
      <c r="J105" s="25">
        <v>14</v>
      </c>
      <c r="K105" s="17">
        <f>J105-G105</f>
        <v>-6</v>
      </c>
      <c r="L105" s="17">
        <f>IF(K105&lt;0,0,J105-G105)</f>
        <v>0</v>
      </c>
      <c r="M105" s="20">
        <f>L105*I105/100</f>
        <v>0</v>
      </c>
      <c r="N105" s="57">
        <v>8.4</v>
      </c>
      <c r="O105" s="25">
        <v>0</v>
      </c>
      <c r="P105" s="17">
        <f>O105-G105</f>
        <v>-20</v>
      </c>
      <c r="Q105" s="17">
        <f>IF(P105&lt;0,0,O105-G105)</f>
        <v>0</v>
      </c>
      <c r="R105" s="20">
        <f>Q105*I105/100</f>
        <v>0</v>
      </c>
      <c r="S105" s="57">
        <v>8.4</v>
      </c>
      <c r="T105" s="25">
        <v>0</v>
      </c>
      <c r="U105" s="17">
        <f>T105-G105</f>
        <v>-20</v>
      </c>
      <c r="V105" s="17">
        <f>IF(U105&lt;0,0,T105-G105)</f>
        <v>0</v>
      </c>
      <c r="W105" s="20">
        <f>V105*I105/100</f>
        <v>0</v>
      </c>
      <c r="X105" s="57">
        <v>8.4</v>
      </c>
      <c r="Y105" s="25">
        <v>0</v>
      </c>
      <c r="Z105" s="17">
        <f>Y105-G105</f>
        <v>-20</v>
      </c>
      <c r="AA105" s="17">
        <f>IF(Z105&lt;0,0,Y105-G105)</f>
        <v>0</v>
      </c>
      <c r="AB105" s="20">
        <f>AA105*I105/100</f>
        <v>0</v>
      </c>
      <c r="AC105" s="57">
        <v>8.4</v>
      </c>
      <c r="AD105" s="25">
        <v>0</v>
      </c>
      <c r="AE105" s="17">
        <f>AD105-G105</f>
        <v>-20</v>
      </c>
      <c r="AF105" s="17">
        <f t="shared" si="96"/>
        <v>0</v>
      </c>
      <c r="AG105" s="20">
        <f t="shared" si="97"/>
        <v>0</v>
      </c>
      <c r="AH105" s="49">
        <v>8.4</v>
      </c>
      <c r="AI105" s="42">
        <f t="shared" si="98"/>
        <v>0</v>
      </c>
      <c r="AJ105" s="35">
        <f t="shared" si="99"/>
        <v>0</v>
      </c>
    </row>
    <row r="106" spans="1:36" x14ac:dyDescent="0.25">
      <c r="A106" s="25"/>
      <c r="B106" s="66" t="s">
        <v>291</v>
      </c>
      <c r="C106" s="17"/>
      <c r="D106" s="17"/>
      <c r="E106" s="17"/>
      <c r="F106" s="17"/>
      <c r="G106" s="17"/>
      <c r="H106" s="17"/>
      <c r="I106" s="39"/>
      <c r="J106" s="71">
        <f t="shared" ref="J106:AJ106" si="100">SUM(J104:J105)</f>
        <v>14</v>
      </c>
      <c r="K106" s="66">
        <f t="shared" si="100"/>
        <v>-6</v>
      </c>
      <c r="L106" s="66">
        <f t="shared" si="100"/>
        <v>0</v>
      </c>
      <c r="M106" s="72">
        <f t="shared" si="100"/>
        <v>0</v>
      </c>
      <c r="N106" s="73">
        <f t="shared" si="100"/>
        <v>8.4</v>
      </c>
      <c r="O106" s="71">
        <f t="shared" si="100"/>
        <v>0</v>
      </c>
      <c r="P106" s="66">
        <f t="shared" si="100"/>
        <v>-20</v>
      </c>
      <c r="Q106" s="66">
        <f t="shared" si="100"/>
        <v>0</v>
      </c>
      <c r="R106" s="72">
        <f t="shared" si="100"/>
        <v>0</v>
      </c>
      <c r="S106" s="73">
        <f t="shared" si="100"/>
        <v>8.4</v>
      </c>
      <c r="T106" s="71">
        <f t="shared" si="100"/>
        <v>0</v>
      </c>
      <c r="U106" s="66">
        <f t="shared" si="100"/>
        <v>-20</v>
      </c>
      <c r="V106" s="66">
        <f t="shared" si="100"/>
        <v>0</v>
      </c>
      <c r="W106" s="72">
        <f t="shared" si="100"/>
        <v>0</v>
      </c>
      <c r="X106" s="73">
        <f t="shared" si="100"/>
        <v>8.4</v>
      </c>
      <c r="Y106" s="71">
        <f t="shared" si="100"/>
        <v>0</v>
      </c>
      <c r="Z106" s="66">
        <f t="shared" si="100"/>
        <v>-20</v>
      </c>
      <c r="AA106" s="66">
        <f t="shared" si="100"/>
        <v>0</v>
      </c>
      <c r="AB106" s="72">
        <f t="shared" si="100"/>
        <v>0</v>
      </c>
      <c r="AC106" s="73">
        <f t="shared" si="100"/>
        <v>8.4</v>
      </c>
      <c r="AD106" s="71">
        <f t="shared" si="100"/>
        <v>0</v>
      </c>
      <c r="AE106" s="66">
        <f t="shared" si="100"/>
        <v>-40</v>
      </c>
      <c r="AF106" s="66">
        <f t="shared" si="100"/>
        <v>0</v>
      </c>
      <c r="AG106" s="72">
        <f t="shared" si="100"/>
        <v>0</v>
      </c>
      <c r="AH106" s="74">
        <f t="shared" si="100"/>
        <v>16.8</v>
      </c>
      <c r="AI106" s="75">
        <f t="shared" si="100"/>
        <v>0</v>
      </c>
      <c r="AJ106" s="76">
        <f t="shared" si="100"/>
        <v>0</v>
      </c>
    </row>
    <row r="107" spans="1:36" x14ac:dyDescent="0.25">
      <c r="A107" s="25" t="s">
        <v>122</v>
      </c>
      <c r="B107" s="17" t="s">
        <v>10</v>
      </c>
      <c r="C107" s="17" t="s">
        <v>11</v>
      </c>
      <c r="D107" s="17" t="s">
        <v>120</v>
      </c>
      <c r="E107" s="17" t="s">
        <v>124</v>
      </c>
      <c r="F107" s="17" t="s">
        <v>14</v>
      </c>
      <c r="G107" s="17">
        <v>20</v>
      </c>
      <c r="H107" s="17" t="s">
        <v>15</v>
      </c>
      <c r="I107" s="39">
        <v>6.5</v>
      </c>
      <c r="J107" s="25">
        <v>4</v>
      </c>
      <c r="K107" s="17">
        <f>J107-G107</f>
        <v>-16</v>
      </c>
      <c r="L107" s="17">
        <f>IF(K107&lt;0,0,J107-G107)</f>
        <v>0</v>
      </c>
      <c r="M107" s="20">
        <f>L107*I107/100</f>
        <v>0</v>
      </c>
      <c r="N107" s="57">
        <v>8.4</v>
      </c>
      <c r="O107" s="25">
        <v>12</v>
      </c>
      <c r="P107" s="17">
        <f>O107-G107</f>
        <v>-8</v>
      </c>
      <c r="Q107" s="17">
        <f>IF(P107&lt;0,0,O107-G107)</f>
        <v>0</v>
      </c>
      <c r="R107" s="20">
        <f>Q107*I107/100</f>
        <v>0</v>
      </c>
      <c r="S107" s="57">
        <v>8.4</v>
      </c>
      <c r="T107" s="25">
        <v>5</v>
      </c>
      <c r="U107" s="17">
        <f t="shared" ref="U107:U115" si="101">T107-G107</f>
        <v>-15</v>
      </c>
      <c r="V107" s="17">
        <f t="shared" ref="V107:V115" si="102">IF(U107&lt;0,0,T107-G107)</f>
        <v>0</v>
      </c>
      <c r="W107" s="20">
        <f t="shared" ref="W107:W115" si="103">V107*I107/100</f>
        <v>0</v>
      </c>
      <c r="X107" s="57">
        <v>8.4</v>
      </c>
      <c r="Y107" s="25">
        <v>0</v>
      </c>
      <c r="Z107" s="17">
        <f t="shared" ref="Z107:Z115" si="104">Y107-G107</f>
        <v>-20</v>
      </c>
      <c r="AA107" s="17">
        <f t="shared" ref="AA107:AA115" si="105">IF(Z107&lt;0,0,Y107-G107)</f>
        <v>0</v>
      </c>
      <c r="AB107" s="20">
        <f t="shared" ref="AB107:AB115" si="106">AA107*I107/100</f>
        <v>0</v>
      </c>
      <c r="AC107" s="57">
        <v>8.4</v>
      </c>
      <c r="AD107" s="25">
        <v>120</v>
      </c>
      <c r="AE107" s="17">
        <f>AD107-G107</f>
        <v>100</v>
      </c>
      <c r="AF107" s="18"/>
      <c r="AG107" s="19"/>
      <c r="AH107" s="50"/>
      <c r="AI107" s="42">
        <f t="shared" ref="AI107:AI120" si="107">AF107+AA107+V107+Q107+L107</f>
        <v>0</v>
      </c>
      <c r="AJ107" s="35">
        <f t="shared" ref="AJ107:AJ120" si="108">AG107*AH107+AB107*AC107+W107*X107+R107*S107+M107*N107</f>
        <v>0</v>
      </c>
    </row>
    <row r="108" spans="1:36" x14ac:dyDescent="0.25">
      <c r="A108" s="25" t="s">
        <v>119</v>
      </c>
      <c r="B108" s="17" t="s">
        <v>10</v>
      </c>
      <c r="C108" s="17" t="s">
        <v>22</v>
      </c>
      <c r="D108" s="17" t="s">
        <v>120</v>
      </c>
      <c r="E108" s="17" t="s">
        <v>121</v>
      </c>
      <c r="F108" s="17" t="s">
        <v>14</v>
      </c>
      <c r="G108" s="17">
        <v>20</v>
      </c>
      <c r="H108" s="17" t="s">
        <v>15</v>
      </c>
      <c r="I108" s="39">
        <v>11</v>
      </c>
      <c r="J108" s="25">
        <v>0</v>
      </c>
      <c r="K108" s="17">
        <f>J108-G108</f>
        <v>-20</v>
      </c>
      <c r="L108" s="17">
        <f>IF(K108&lt;0,0,J108-G108)</f>
        <v>0</v>
      </c>
      <c r="M108" s="20">
        <f>L108*I108/100</f>
        <v>0</v>
      </c>
      <c r="N108" s="57">
        <v>8.4</v>
      </c>
      <c r="O108" s="25">
        <v>0</v>
      </c>
      <c r="P108" s="17">
        <f>O108-G108</f>
        <v>-20</v>
      </c>
      <c r="Q108" s="17">
        <f>IF(P108&lt;0,0,O108-G108)</f>
        <v>0</v>
      </c>
      <c r="R108" s="20">
        <f>Q108*I108/100</f>
        <v>0</v>
      </c>
      <c r="S108" s="57">
        <v>8.4</v>
      </c>
      <c r="T108" s="25">
        <v>40</v>
      </c>
      <c r="U108" s="17">
        <f t="shared" si="101"/>
        <v>20</v>
      </c>
      <c r="V108" s="17">
        <f t="shared" si="102"/>
        <v>20</v>
      </c>
      <c r="W108" s="20">
        <f t="shared" si="103"/>
        <v>2.2000000000000002</v>
      </c>
      <c r="X108" s="57">
        <v>8.4</v>
      </c>
      <c r="Y108" s="25">
        <v>5</v>
      </c>
      <c r="Z108" s="17">
        <f t="shared" si="104"/>
        <v>-15</v>
      </c>
      <c r="AA108" s="17">
        <f t="shared" si="105"/>
        <v>0</v>
      </c>
      <c r="AB108" s="20">
        <f t="shared" si="106"/>
        <v>0</v>
      </c>
      <c r="AC108" s="57">
        <v>8.4</v>
      </c>
      <c r="AD108" s="25">
        <v>22</v>
      </c>
      <c r="AE108" s="17">
        <f>AD108-G108</f>
        <v>2</v>
      </c>
      <c r="AF108" s="17">
        <f t="shared" ref="AF108:AF114" si="109">IF(AE108&lt;0,0,AD108-G108)</f>
        <v>2</v>
      </c>
      <c r="AG108" s="20">
        <f t="shared" ref="AG108:AG114" si="110">AF108*I108/100</f>
        <v>0.22</v>
      </c>
      <c r="AH108" s="49">
        <v>8.4</v>
      </c>
      <c r="AI108" s="42">
        <f t="shared" si="107"/>
        <v>22</v>
      </c>
      <c r="AJ108" s="35">
        <f t="shared" si="108"/>
        <v>20.328000000000003</v>
      </c>
    </row>
    <row r="109" spans="1:36" x14ac:dyDescent="0.25">
      <c r="A109" s="25" t="s">
        <v>125</v>
      </c>
      <c r="B109" s="17" t="s">
        <v>17</v>
      </c>
      <c r="C109" s="17" t="s">
        <v>18</v>
      </c>
      <c r="D109" s="17" t="s">
        <v>120</v>
      </c>
      <c r="E109" s="17" t="s">
        <v>126</v>
      </c>
      <c r="F109" s="17" t="s">
        <v>14</v>
      </c>
      <c r="G109" s="17">
        <v>20</v>
      </c>
      <c r="H109" s="17" t="s">
        <v>15</v>
      </c>
      <c r="I109" s="39">
        <v>6.5</v>
      </c>
      <c r="J109" s="25">
        <v>114</v>
      </c>
      <c r="K109" s="17">
        <f>J109-G109</f>
        <v>94</v>
      </c>
      <c r="L109" s="17">
        <f>IF(K109&lt;0,0,J109-G109)</f>
        <v>94</v>
      </c>
      <c r="M109" s="20">
        <f>L109*I109/100</f>
        <v>6.11</v>
      </c>
      <c r="N109" s="57">
        <v>8.4</v>
      </c>
      <c r="O109" s="25">
        <v>71</v>
      </c>
      <c r="P109" s="17">
        <f>O109-G109</f>
        <v>51</v>
      </c>
      <c r="Q109" s="17">
        <f>IF(P109&lt;0,0,O109-G109)</f>
        <v>51</v>
      </c>
      <c r="R109" s="20">
        <f>Q109*I109/100</f>
        <v>3.3149999999999999</v>
      </c>
      <c r="S109" s="57">
        <v>8.4</v>
      </c>
      <c r="T109" s="25">
        <v>0</v>
      </c>
      <c r="U109" s="17">
        <f t="shared" si="101"/>
        <v>-20</v>
      </c>
      <c r="V109" s="17">
        <f t="shared" si="102"/>
        <v>0</v>
      </c>
      <c r="W109" s="20">
        <f t="shared" si="103"/>
        <v>0</v>
      </c>
      <c r="X109" s="57">
        <v>8.4</v>
      </c>
      <c r="Y109" s="25">
        <v>150</v>
      </c>
      <c r="Z109" s="17">
        <f t="shared" si="104"/>
        <v>130</v>
      </c>
      <c r="AA109" s="17">
        <f t="shared" si="105"/>
        <v>130</v>
      </c>
      <c r="AB109" s="20">
        <f t="shared" si="106"/>
        <v>8.4499999999999993</v>
      </c>
      <c r="AC109" s="57">
        <v>8.4</v>
      </c>
      <c r="AD109" s="25">
        <v>94</v>
      </c>
      <c r="AE109" s="17">
        <f>AD109-G109</f>
        <v>74</v>
      </c>
      <c r="AF109" s="17">
        <f t="shared" si="109"/>
        <v>74</v>
      </c>
      <c r="AG109" s="20">
        <f t="shared" si="110"/>
        <v>4.8099999999999996</v>
      </c>
      <c r="AH109" s="49">
        <v>7.2</v>
      </c>
      <c r="AI109" s="42">
        <f t="shared" si="107"/>
        <v>349</v>
      </c>
      <c r="AJ109" s="35">
        <f t="shared" si="108"/>
        <v>184.78200000000001</v>
      </c>
    </row>
    <row r="110" spans="1:36" x14ac:dyDescent="0.25">
      <c r="A110" s="25" t="s">
        <v>214</v>
      </c>
      <c r="B110" s="17" t="s">
        <v>17</v>
      </c>
      <c r="C110" s="17" t="s">
        <v>18</v>
      </c>
      <c r="D110" s="17" t="s">
        <v>208</v>
      </c>
      <c r="E110" s="18" t="s">
        <v>215</v>
      </c>
      <c r="F110" s="17" t="s">
        <v>14</v>
      </c>
      <c r="G110" s="17">
        <v>50</v>
      </c>
      <c r="H110" s="17" t="s">
        <v>15</v>
      </c>
      <c r="I110" s="39">
        <v>6.5</v>
      </c>
      <c r="J110" s="25">
        <v>349</v>
      </c>
      <c r="K110" s="17">
        <f>J110-G110</f>
        <v>299</v>
      </c>
      <c r="L110" s="17">
        <f>IF(K110&lt;0,0,J110-G110)</f>
        <v>299</v>
      </c>
      <c r="M110" s="20">
        <f>L110*I110/100</f>
        <v>19.434999999999999</v>
      </c>
      <c r="N110" s="57">
        <v>8.4</v>
      </c>
      <c r="O110" s="25">
        <v>0</v>
      </c>
      <c r="P110" s="17">
        <f>O110-G110</f>
        <v>-50</v>
      </c>
      <c r="Q110" s="17">
        <f>IF(P110&lt;0,0,O110-G110)</f>
        <v>0</v>
      </c>
      <c r="R110" s="20">
        <f>Q110*I110/100</f>
        <v>0</v>
      </c>
      <c r="S110" s="57">
        <v>8.4</v>
      </c>
      <c r="T110" s="25">
        <v>0</v>
      </c>
      <c r="U110" s="17">
        <f t="shared" si="101"/>
        <v>-50</v>
      </c>
      <c r="V110" s="17">
        <f t="shared" si="102"/>
        <v>0</v>
      </c>
      <c r="W110" s="20">
        <f t="shared" si="103"/>
        <v>0</v>
      </c>
      <c r="X110" s="57">
        <v>8.4</v>
      </c>
      <c r="Y110" s="25">
        <v>194</v>
      </c>
      <c r="Z110" s="17">
        <f t="shared" si="104"/>
        <v>144</v>
      </c>
      <c r="AA110" s="17">
        <f t="shared" si="105"/>
        <v>144</v>
      </c>
      <c r="AB110" s="20">
        <f t="shared" si="106"/>
        <v>9.36</v>
      </c>
      <c r="AC110" s="57">
        <v>8.4</v>
      </c>
      <c r="AD110" s="25">
        <v>157</v>
      </c>
      <c r="AE110" s="17">
        <f>AD110-G110</f>
        <v>107</v>
      </c>
      <c r="AF110" s="17">
        <f t="shared" si="109"/>
        <v>107</v>
      </c>
      <c r="AG110" s="20">
        <f t="shared" si="110"/>
        <v>6.9550000000000001</v>
      </c>
      <c r="AH110" s="49">
        <v>7.2</v>
      </c>
      <c r="AI110" s="42">
        <f t="shared" si="107"/>
        <v>550</v>
      </c>
      <c r="AJ110" s="35">
        <f t="shared" si="108"/>
        <v>291.95399999999995</v>
      </c>
    </row>
    <row r="111" spans="1:36" x14ac:dyDescent="0.25">
      <c r="A111" s="25" t="s">
        <v>218</v>
      </c>
      <c r="B111" s="17" t="s">
        <v>10</v>
      </c>
      <c r="C111" s="17" t="s">
        <v>22</v>
      </c>
      <c r="D111" s="17" t="s">
        <v>208</v>
      </c>
      <c r="E111" s="18" t="s">
        <v>219</v>
      </c>
      <c r="F111" s="17" t="s">
        <v>14</v>
      </c>
      <c r="G111" s="17">
        <v>20</v>
      </c>
      <c r="H111" s="17" t="s">
        <v>15</v>
      </c>
      <c r="I111" s="39">
        <v>11</v>
      </c>
      <c r="J111" s="45"/>
      <c r="K111" s="18"/>
      <c r="L111" s="18"/>
      <c r="M111" s="19"/>
      <c r="N111" s="58"/>
      <c r="O111" s="45"/>
      <c r="P111" s="18"/>
      <c r="Q111" s="18"/>
      <c r="R111" s="19"/>
      <c r="S111" s="58"/>
      <c r="T111" s="25">
        <v>1</v>
      </c>
      <c r="U111" s="17">
        <f t="shared" si="101"/>
        <v>-19</v>
      </c>
      <c r="V111" s="17">
        <f t="shared" si="102"/>
        <v>0</v>
      </c>
      <c r="W111" s="20">
        <f t="shared" si="103"/>
        <v>0</v>
      </c>
      <c r="X111" s="57">
        <v>8.4</v>
      </c>
      <c r="Y111" s="25">
        <v>0</v>
      </c>
      <c r="Z111" s="17">
        <f t="shared" si="104"/>
        <v>-20</v>
      </c>
      <c r="AA111" s="17">
        <f t="shared" si="105"/>
        <v>0</v>
      </c>
      <c r="AB111" s="20">
        <f t="shared" si="106"/>
        <v>0</v>
      </c>
      <c r="AC111" s="57">
        <v>8.4</v>
      </c>
      <c r="AD111" s="45"/>
      <c r="AE111" s="18"/>
      <c r="AF111" s="17">
        <f t="shared" si="109"/>
        <v>-20</v>
      </c>
      <c r="AG111" s="20">
        <f t="shared" si="110"/>
        <v>-2.2000000000000002</v>
      </c>
      <c r="AH111" s="49">
        <v>8.4</v>
      </c>
      <c r="AI111" s="42">
        <f t="shared" si="107"/>
        <v>-20</v>
      </c>
      <c r="AJ111" s="35">
        <f t="shared" si="108"/>
        <v>-18.480000000000004</v>
      </c>
    </row>
    <row r="112" spans="1:36" x14ac:dyDescent="0.25">
      <c r="A112" s="25" t="s">
        <v>216</v>
      </c>
      <c r="B112" s="17" t="s">
        <v>17</v>
      </c>
      <c r="C112" s="17" t="s">
        <v>99</v>
      </c>
      <c r="D112" s="17" t="s">
        <v>208</v>
      </c>
      <c r="E112" s="17" t="s">
        <v>217</v>
      </c>
      <c r="F112" s="17" t="s">
        <v>14</v>
      </c>
      <c r="G112" s="17">
        <v>20</v>
      </c>
      <c r="H112" s="17" t="s">
        <v>38</v>
      </c>
      <c r="I112" s="39">
        <v>6.5</v>
      </c>
      <c r="J112" s="25">
        <v>3</v>
      </c>
      <c r="K112" s="17">
        <f>J112-G112</f>
        <v>-17</v>
      </c>
      <c r="L112" s="17">
        <f>IF(K112&lt;0,0,J112-G112)</f>
        <v>0</v>
      </c>
      <c r="M112" s="20">
        <f>L112*I112/100</f>
        <v>0</v>
      </c>
      <c r="N112" s="57">
        <v>7.3</v>
      </c>
      <c r="O112" s="25">
        <v>0</v>
      </c>
      <c r="P112" s="17">
        <f>O112-G112</f>
        <v>-20</v>
      </c>
      <c r="Q112" s="17">
        <f>IF(P112&lt;0,0,O112-G112)</f>
        <v>0</v>
      </c>
      <c r="R112" s="20">
        <f>Q112*I112/100</f>
        <v>0</v>
      </c>
      <c r="S112" s="57">
        <v>7.2</v>
      </c>
      <c r="T112" s="25">
        <v>0</v>
      </c>
      <c r="U112" s="17">
        <f t="shared" si="101"/>
        <v>-20</v>
      </c>
      <c r="V112" s="17">
        <f t="shared" si="102"/>
        <v>0</v>
      </c>
      <c r="W112" s="20">
        <f t="shared" si="103"/>
        <v>0</v>
      </c>
      <c r="X112" s="57">
        <v>7.2</v>
      </c>
      <c r="Y112" s="25">
        <v>0</v>
      </c>
      <c r="Z112" s="17">
        <f t="shared" si="104"/>
        <v>-20</v>
      </c>
      <c r="AA112" s="17">
        <f t="shared" si="105"/>
        <v>0</v>
      </c>
      <c r="AB112" s="20">
        <f t="shared" si="106"/>
        <v>0</v>
      </c>
      <c r="AC112" s="57">
        <v>7.2</v>
      </c>
      <c r="AD112" s="25">
        <v>6</v>
      </c>
      <c r="AE112" s="17">
        <f t="shared" ref="AE112:AE120" si="111">AD112-G112</f>
        <v>-14</v>
      </c>
      <c r="AF112" s="17">
        <f t="shared" si="109"/>
        <v>0</v>
      </c>
      <c r="AG112" s="20">
        <f t="shared" si="110"/>
        <v>0</v>
      </c>
      <c r="AH112" s="49">
        <v>8.4</v>
      </c>
      <c r="AI112" s="42">
        <f t="shared" si="107"/>
        <v>0</v>
      </c>
      <c r="AJ112" s="35">
        <f t="shared" si="108"/>
        <v>0</v>
      </c>
    </row>
    <row r="113" spans="1:36" x14ac:dyDescent="0.25">
      <c r="A113" s="25" t="s">
        <v>212</v>
      </c>
      <c r="B113" s="17" t="s">
        <v>10</v>
      </c>
      <c r="C113" s="17" t="s">
        <v>11</v>
      </c>
      <c r="D113" s="17" t="s">
        <v>208</v>
      </c>
      <c r="E113" s="18" t="s">
        <v>213</v>
      </c>
      <c r="F113" s="17" t="s">
        <v>14</v>
      </c>
      <c r="G113" s="17">
        <v>50</v>
      </c>
      <c r="H113" s="17" t="s">
        <v>15</v>
      </c>
      <c r="I113" s="39">
        <v>6.5</v>
      </c>
      <c r="J113" s="25">
        <v>5</v>
      </c>
      <c r="K113" s="17">
        <f>J113-G113</f>
        <v>-45</v>
      </c>
      <c r="L113" s="17">
        <f>IF(K113&lt;0,0,J113-G113)</f>
        <v>0</v>
      </c>
      <c r="M113" s="20">
        <f>L113*I113/100</f>
        <v>0</v>
      </c>
      <c r="N113" s="57">
        <v>8.4</v>
      </c>
      <c r="O113" s="53">
        <v>852</v>
      </c>
      <c r="P113" s="23">
        <f>O113-G113</f>
        <v>802</v>
      </c>
      <c r="Q113" s="23">
        <f>IF(P113&lt;0,0,O113-G113)</f>
        <v>802</v>
      </c>
      <c r="R113" s="24">
        <f>Q113*I113/100</f>
        <v>52.13</v>
      </c>
      <c r="S113" s="62">
        <v>8.4</v>
      </c>
      <c r="T113" s="25">
        <v>73</v>
      </c>
      <c r="U113" s="17">
        <f t="shared" si="101"/>
        <v>23</v>
      </c>
      <c r="V113" s="17">
        <f t="shared" si="102"/>
        <v>23</v>
      </c>
      <c r="W113" s="20">
        <f t="shared" si="103"/>
        <v>1.4950000000000001</v>
      </c>
      <c r="X113" s="57">
        <v>8.4</v>
      </c>
      <c r="Y113" s="25">
        <v>18</v>
      </c>
      <c r="Z113" s="17">
        <f t="shared" si="104"/>
        <v>-32</v>
      </c>
      <c r="AA113" s="17">
        <f t="shared" si="105"/>
        <v>0</v>
      </c>
      <c r="AB113" s="20">
        <f t="shared" si="106"/>
        <v>0</v>
      </c>
      <c r="AC113" s="57">
        <v>8.4</v>
      </c>
      <c r="AD113" s="25">
        <v>3</v>
      </c>
      <c r="AE113" s="17">
        <f t="shared" si="111"/>
        <v>-47</v>
      </c>
      <c r="AF113" s="17">
        <f t="shared" si="109"/>
        <v>0</v>
      </c>
      <c r="AG113" s="20">
        <f t="shared" si="110"/>
        <v>0</v>
      </c>
      <c r="AH113" s="49">
        <v>8.4</v>
      </c>
      <c r="AI113" s="42">
        <f t="shared" si="107"/>
        <v>825</v>
      </c>
      <c r="AJ113" s="35">
        <f t="shared" si="108"/>
        <v>450.45000000000005</v>
      </c>
    </row>
    <row r="114" spans="1:36" x14ac:dyDescent="0.25">
      <c r="A114" s="25" t="s">
        <v>207</v>
      </c>
      <c r="B114" s="17" t="s">
        <v>17</v>
      </c>
      <c r="C114" s="17" t="s">
        <v>36</v>
      </c>
      <c r="D114" s="17" t="s">
        <v>208</v>
      </c>
      <c r="E114" s="18" t="s">
        <v>209</v>
      </c>
      <c r="F114" s="17" t="s">
        <v>14</v>
      </c>
      <c r="G114" s="17">
        <v>20</v>
      </c>
      <c r="H114" s="17" t="s">
        <v>38</v>
      </c>
      <c r="I114" s="39">
        <v>6.5</v>
      </c>
      <c r="J114" s="25">
        <v>44</v>
      </c>
      <c r="K114" s="17">
        <f>J114-G114</f>
        <v>24</v>
      </c>
      <c r="L114" s="17">
        <f>IF(K114&lt;0,0,J114-G114)</f>
        <v>24</v>
      </c>
      <c r="M114" s="20">
        <f>L114*I114/100</f>
        <v>1.56</v>
      </c>
      <c r="N114" s="57">
        <v>7.3</v>
      </c>
      <c r="O114" s="25">
        <v>0</v>
      </c>
      <c r="P114" s="17">
        <f>O114-G114</f>
        <v>-20</v>
      </c>
      <c r="Q114" s="17">
        <f>IF(P114&lt;0,0,O114-G114)</f>
        <v>0</v>
      </c>
      <c r="R114" s="20">
        <f>Q114*I114/100</f>
        <v>0</v>
      </c>
      <c r="S114" s="57">
        <v>7.2</v>
      </c>
      <c r="T114" s="25">
        <v>19</v>
      </c>
      <c r="U114" s="17">
        <f t="shared" si="101"/>
        <v>-1</v>
      </c>
      <c r="V114" s="17">
        <f t="shared" si="102"/>
        <v>0</v>
      </c>
      <c r="W114" s="20">
        <f t="shared" si="103"/>
        <v>0</v>
      </c>
      <c r="X114" s="57">
        <v>7.2</v>
      </c>
      <c r="Y114" s="25">
        <v>0</v>
      </c>
      <c r="Z114" s="17">
        <f t="shared" si="104"/>
        <v>-20</v>
      </c>
      <c r="AA114" s="17">
        <f t="shared" si="105"/>
        <v>0</v>
      </c>
      <c r="AB114" s="20">
        <f t="shared" si="106"/>
        <v>0</v>
      </c>
      <c r="AC114" s="57">
        <v>7.2</v>
      </c>
      <c r="AD114" s="25">
        <v>58</v>
      </c>
      <c r="AE114" s="17">
        <f t="shared" si="111"/>
        <v>38</v>
      </c>
      <c r="AF114" s="17">
        <f t="shared" si="109"/>
        <v>38</v>
      </c>
      <c r="AG114" s="20">
        <f t="shared" si="110"/>
        <v>2.4700000000000002</v>
      </c>
      <c r="AH114" s="49">
        <v>7.2</v>
      </c>
      <c r="AI114" s="42">
        <f t="shared" si="107"/>
        <v>62</v>
      </c>
      <c r="AJ114" s="35">
        <f t="shared" si="108"/>
        <v>29.172000000000004</v>
      </c>
    </row>
    <row r="115" spans="1:36" x14ac:dyDescent="0.25">
      <c r="A115" s="25" t="s">
        <v>210</v>
      </c>
      <c r="B115" s="17" t="s">
        <v>10</v>
      </c>
      <c r="C115" s="17" t="s">
        <v>11</v>
      </c>
      <c r="D115" s="17" t="s">
        <v>208</v>
      </c>
      <c r="E115" s="17" t="s">
        <v>211</v>
      </c>
      <c r="F115" s="17" t="s">
        <v>14</v>
      </c>
      <c r="G115" s="17">
        <v>50</v>
      </c>
      <c r="H115" s="17" t="s">
        <v>15</v>
      </c>
      <c r="I115" s="39">
        <v>6.5</v>
      </c>
      <c r="J115" s="25">
        <v>41</v>
      </c>
      <c r="K115" s="17">
        <f>J115-G115</f>
        <v>-9</v>
      </c>
      <c r="L115" s="17">
        <f>IF(K115&lt;0,0,J115-G115)</f>
        <v>0</v>
      </c>
      <c r="M115" s="20">
        <f>L115*I115/100</f>
        <v>0</v>
      </c>
      <c r="N115" s="57">
        <v>8.4</v>
      </c>
      <c r="O115" s="25">
        <v>39</v>
      </c>
      <c r="P115" s="17">
        <f>O115-G115</f>
        <v>-11</v>
      </c>
      <c r="Q115" s="17">
        <f>IF(P115&lt;0,0,O115-G115)</f>
        <v>0</v>
      </c>
      <c r="R115" s="20">
        <f>Q115*I115/100</f>
        <v>0</v>
      </c>
      <c r="S115" s="57">
        <v>8.4</v>
      </c>
      <c r="T115" s="25">
        <v>112</v>
      </c>
      <c r="U115" s="17">
        <f t="shared" si="101"/>
        <v>62</v>
      </c>
      <c r="V115" s="17">
        <f t="shared" si="102"/>
        <v>62</v>
      </c>
      <c r="W115" s="20">
        <f t="shared" si="103"/>
        <v>4.03</v>
      </c>
      <c r="X115" s="57">
        <v>8.4</v>
      </c>
      <c r="Y115" s="25">
        <v>39</v>
      </c>
      <c r="Z115" s="17">
        <f t="shared" si="104"/>
        <v>-11</v>
      </c>
      <c r="AA115" s="17">
        <f t="shared" si="105"/>
        <v>0</v>
      </c>
      <c r="AB115" s="20">
        <f t="shared" si="106"/>
        <v>0</v>
      </c>
      <c r="AC115" s="57">
        <v>8.4</v>
      </c>
      <c r="AD115" s="25">
        <v>73</v>
      </c>
      <c r="AE115" s="17">
        <f t="shared" si="111"/>
        <v>23</v>
      </c>
      <c r="AF115" s="18"/>
      <c r="AG115" s="19"/>
      <c r="AH115" s="50"/>
      <c r="AI115" s="42">
        <f t="shared" si="107"/>
        <v>62</v>
      </c>
      <c r="AJ115" s="35">
        <f t="shared" si="108"/>
        <v>33.852000000000004</v>
      </c>
    </row>
    <row r="116" spans="1:36" x14ac:dyDescent="0.25">
      <c r="A116" s="25" t="s">
        <v>218</v>
      </c>
      <c r="B116" s="17" t="s">
        <v>10</v>
      </c>
      <c r="C116" s="17" t="s">
        <v>22</v>
      </c>
      <c r="D116" s="17" t="s">
        <v>208</v>
      </c>
      <c r="E116" s="18" t="s">
        <v>58</v>
      </c>
      <c r="F116" s="17" t="s">
        <v>14</v>
      </c>
      <c r="G116" s="17">
        <v>20</v>
      </c>
      <c r="H116" s="17" t="s">
        <v>15</v>
      </c>
      <c r="I116" s="39">
        <v>11</v>
      </c>
      <c r="J116" s="45"/>
      <c r="K116" s="18"/>
      <c r="L116" s="18"/>
      <c r="M116" s="19"/>
      <c r="N116" s="58"/>
      <c r="O116" s="45"/>
      <c r="P116" s="18"/>
      <c r="Q116" s="18"/>
      <c r="R116" s="19"/>
      <c r="S116" s="58"/>
      <c r="T116" s="45"/>
      <c r="U116" s="18"/>
      <c r="V116" s="18"/>
      <c r="W116" s="19"/>
      <c r="X116" s="58"/>
      <c r="Y116" s="45"/>
      <c r="Z116" s="18"/>
      <c r="AA116" s="18"/>
      <c r="AB116" s="19"/>
      <c r="AC116" s="58"/>
      <c r="AD116" s="25">
        <v>0</v>
      </c>
      <c r="AE116" s="17">
        <f t="shared" si="111"/>
        <v>-20</v>
      </c>
      <c r="AF116" s="17">
        <f>IF(AE116&lt;0,0,AD116-G116)</f>
        <v>0</v>
      </c>
      <c r="AG116" s="20">
        <f>AF116*I116/100</f>
        <v>0</v>
      </c>
      <c r="AH116" s="49">
        <v>8.4</v>
      </c>
      <c r="AI116" s="42">
        <f t="shared" si="107"/>
        <v>0</v>
      </c>
      <c r="AJ116" s="35">
        <f t="shared" si="108"/>
        <v>0</v>
      </c>
    </row>
    <row r="117" spans="1:36" x14ac:dyDescent="0.25">
      <c r="A117" s="25" t="s">
        <v>222</v>
      </c>
      <c r="B117" s="17" t="s">
        <v>10</v>
      </c>
      <c r="C117" s="17" t="s">
        <v>105</v>
      </c>
      <c r="D117" s="17" t="s">
        <v>208</v>
      </c>
      <c r="E117" s="17" t="s">
        <v>223</v>
      </c>
      <c r="F117" s="17" t="s">
        <v>14</v>
      </c>
      <c r="G117" s="17">
        <v>20</v>
      </c>
      <c r="H117" s="17" t="s">
        <v>15</v>
      </c>
      <c r="I117" s="39">
        <v>6.5</v>
      </c>
      <c r="J117" s="25">
        <v>0</v>
      </c>
      <c r="K117" s="17">
        <f>J117-G117</f>
        <v>-20</v>
      </c>
      <c r="L117" s="17">
        <f>IF(K117&lt;0,0,J117-G117)</f>
        <v>0</v>
      </c>
      <c r="M117" s="20">
        <f>L117*I117/100</f>
        <v>0</v>
      </c>
      <c r="N117" s="57">
        <v>8.4</v>
      </c>
      <c r="O117" s="25">
        <v>15</v>
      </c>
      <c r="P117" s="17">
        <f>O117-G117</f>
        <v>-5</v>
      </c>
      <c r="Q117" s="17">
        <f>IF(P117&lt;0,0,O117-G117)</f>
        <v>0</v>
      </c>
      <c r="R117" s="20">
        <f>Q117*I117/100</f>
        <v>0</v>
      </c>
      <c r="S117" s="57">
        <v>8.4</v>
      </c>
      <c r="T117" s="25">
        <v>0</v>
      </c>
      <c r="U117" s="17">
        <f>T117-G117</f>
        <v>-20</v>
      </c>
      <c r="V117" s="17">
        <f>IF(U117&lt;0,0,T117-G117)</f>
        <v>0</v>
      </c>
      <c r="W117" s="20">
        <f>V117*I117/100</f>
        <v>0</v>
      </c>
      <c r="X117" s="57">
        <v>8.4</v>
      </c>
      <c r="Y117" s="25">
        <v>120</v>
      </c>
      <c r="Z117" s="17">
        <f>Y117-G117</f>
        <v>100</v>
      </c>
      <c r="AA117" s="17">
        <f>IF(Z117&lt;0,0,Y117-G117)</f>
        <v>100</v>
      </c>
      <c r="AB117" s="20">
        <f>AA117*I117/100</f>
        <v>6.5</v>
      </c>
      <c r="AC117" s="57">
        <v>8.4</v>
      </c>
      <c r="AD117" s="25">
        <v>0</v>
      </c>
      <c r="AE117" s="17">
        <f t="shared" si="111"/>
        <v>-20</v>
      </c>
      <c r="AF117" s="17">
        <f>IF(AE117&lt;0,0,AD117-G117)</f>
        <v>0</v>
      </c>
      <c r="AG117" s="20">
        <f>AF117*I117/100</f>
        <v>0</v>
      </c>
      <c r="AH117" s="49">
        <v>8.4</v>
      </c>
      <c r="AI117" s="42">
        <f t="shared" si="107"/>
        <v>100</v>
      </c>
      <c r="AJ117" s="35">
        <f t="shared" si="108"/>
        <v>54.6</v>
      </c>
    </row>
    <row r="118" spans="1:36" x14ac:dyDescent="0.25">
      <c r="A118" s="25" t="s">
        <v>220</v>
      </c>
      <c r="B118" s="17" t="s">
        <v>10</v>
      </c>
      <c r="C118" s="17" t="s">
        <v>11</v>
      </c>
      <c r="D118" s="17" t="s">
        <v>208</v>
      </c>
      <c r="E118" s="17" t="s">
        <v>221</v>
      </c>
      <c r="F118" s="17" t="s">
        <v>14</v>
      </c>
      <c r="G118" s="17">
        <v>20</v>
      </c>
      <c r="H118" s="17" t="s">
        <v>15</v>
      </c>
      <c r="I118" s="39">
        <v>6.5</v>
      </c>
      <c r="J118" s="25">
        <v>44</v>
      </c>
      <c r="K118" s="17">
        <f>J118-G118</f>
        <v>24</v>
      </c>
      <c r="L118" s="17">
        <f>IF(K118&lt;0,0,J118-G118)</f>
        <v>24</v>
      </c>
      <c r="M118" s="20">
        <f>L118*I118/100</f>
        <v>1.56</v>
      </c>
      <c r="N118" s="57">
        <v>8.4</v>
      </c>
      <c r="O118" s="25">
        <v>53</v>
      </c>
      <c r="P118" s="17">
        <f>O118-G118</f>
        <v>33</v>
      </c>
      <c r="Q118" s="17">
        <f>IF(P118&lt;0,0,O118-G118)</f>
        <v>33</v>
      </c>
      <c r="R118" s="20">
        <f>Q118*I118/100</f>
        <v>2.145</v>
      </c>
      <c r="S118" s="57">
        <v>8.4</v>
      </c>
      <c r="T118" s="25">
        <v>28</v>
      </c>
      <c r="U118" s="17">
        <f>T118-G118</f>
        <v>8</v>
      </c>
      <c r="V118" s="17">
        <f>IF(U118&lt;0,0,T118-G118)</f>
        <v>8</v>
      </c>
      <c r="W118" s="20">
        <f>V118*I118/100</f>
        <v>0.52</v>
      </c>
      <c r="X118" s="57">
        <v>8.4</v>
      </c>
      <c r="Y118" s="25">
        <v>46</v>
      </c>
      <c r="Z118" s="17">
        <f>Y118-G118</f>
        <v>26</v>
      </c>
      <c r="AA118" s="17">
        <f>IF(Z118&lt;0,0,Y118-G118)</f>
        <v>26</v>
      </c>
      <c r="AB118" s="20">
        <f>AA118*I118/100</f>
        <v>1.69</v>
      </c>
      <c r="AC118" s="57">
        <v>8.4</v>
      </c>
      <c r="AD118" s="25">
        <v>109</v>
      </c>
      <c r="AE118" s="17">
        <f t="shared" si="111"/>
        <v>89</v>
      </c>
      <c r="AF118" s="17">
        <f>IF(AE118&lt;0,0,AD118-G118)</f>
        <v>89</v>
      </c>
      <c r="AG118" s="20">
        <f>AF118*I118/100</f>
        <v>5.7850000000000001</v>
      </c>
      <c r="AH118" s="49">
        <v>8.4</v>
      </c>
      <c r="AI118" s="42">
        <f t="shared" si="107"/>
        <v>180</v>
      </c>
      <c r="AJ118" s="35">
        <f t="shared" si="108"/>
        <v>98.28</v>
      </c>
    </row>
    <row r="119" spans="1:36" x14ac:dyDescent="0.25">
      <c r="A119" s="25" t="s">
        <v>226</v>
      </c>
      <c r="B119" s="17" t="s">
        <v>17</v>
      </c>
      <c r="C119" s="17" t="s">
        <v>18</v>
      </c>
      <c r="D119" s="17" t="s">
        <v>225</v>
      </c>
      <c r="E119" s="17" t="s">
        <v>227</v>
      </c>
      <c r="F119" s="17" t="s">
        <v>14</v>
      </c>
      <c r="G119" s="17">
        <v>40</v>
      </c>
      <c r="H119" s="17" t="s">
        <v>15</v>
      </c>
      <c r="I119" s="39">
        <v>6.5</v>
      </c>
      <c r="J119" s="25">
        <v>439</v>
      </c>
      <c r="K119" s="17">
        <f>J119-G119</f>
        <v>399</v>
      </c>
      <c r="L119" s="17">
        <f>IF(K119&lt;0,0,J119-G119)</f>
        <v>399</v>
      </c>
      <c r="M119" s="20">
        <f>L119*I119/100</f>
        <v>25.934999999999999</v>
      </c>
      <c r="N119" s="57">
        <v>8.4</v>
      </c>
      <c r="O119" s="25">
        <v>61</v>
      </c>
      <c r="P119" s="17">
        <f>O119-G119</f>
        <v>21</v>
      </c>
      <c r="Q119" s="17">
        <f>IF(P119&lt;0,0,O119-G119)</f>
        <v>21</v>
      </c>
      <c r="R119" s="20">
        <f>Q119*I119/100</f>
        <v>1.365</v>
      </c>
      <c r="S119" s="57">
        <v>8.4</v>
      </c>
      <c r="T119" s="25">
        <v>7</v>
      </c>
      <c r="U119" s="17">
        <f>T119-G119</f>
        <v>-33</v>
      </c>
      <c r="V119" s="17">
        <f>IF(U119&lt;0,0,T119-G119)</f>
        <v>0</v>
      </c>
      <c r="W119" s="20">
        <f>V119*I119/100</f>
        <v>0</v>
      </c>
      <c r="X119" s="57">
        <v>8.4</v>
      </c>
      <c r="Y119" s="25">
        <v>65</v>
      </c>
      <c r="Z119" s="17">
        <f>Y119-G119</f>
        <v>25</v>
      </c>
      <c r="AA119" s="17">
        <f>IF(Z119&lt;0,0,Y119-G119)</f>
        <v>25</v>
      </c>
      <c r="AB119" s="20">
        <f>AA119*I119/100</f>
        <v>1.625</v>
      </c>
      <c r="AC119" s="57">
        <v>8.4</v>
      </c>
      <c r="AD119" s="25">
        <v>76</v>
      </c>
      <c r="AE119" s="17">
        <f t="shared" si="111"/>
        <v>36</v>
      </c>
      <c r="AF119" s="17">
        <f>IF(AE119&lt;0,0,AD119-G119)</f>
        <v>36</v>
      </c>
      <c r="AG119" s="20">
        <f>AF119*I119/100</f>
        <v>2.34</v>
      </c>
      <c r="AH119" s="49">
        <v>8.4</v>
      </c>
      <c r="AI119" s="42">
        <f t="shared" si="107"/>
        <v>481</v>
      </c>
      <c r="AJ119" s="35">
        <f t="shared" si="108"/>
        <v>262.62599999999998</v>
      </c>
    </row>
    <row r="120" spans="1:36" x14ac:dyDescent="0.25">
      <c r="A120" s="25" t="s">
        <v>228</v>
      </c>
      <c r="B120" s="17" t="s">
        <v>10</v>
      </c>
      <c r="C120" s="17" t="s">
        <v>11</v>
      </c>
      <c r="D120" s="17" t="s">
        <v>225</v>
      </c>
      <c r="E120" s="17" t="s">
        <v>227</v>
      </c>
      <c r="F120" s="17" t="s">
        <v>14</v>
      </c>
      <c r="G120" s="17">
        <v>40</v>
      </c>
      <c r="H120" s="17" t="s">
        <v>15</v>
      </c>
      <c r="I120" s="39">
        <v>6.5</v>
      </c>
      <c r="J120" s="25">
        <v>0</v>
      </c>
      <c r="K120" s="17">
        <f>J120-G120</f>
        <v>-40</v>
      </c>
      <c r="L120" s="17">
        <f>IF(K120&lt;0,0,J120-G120)</f>
        <v>0</v>
      </c>
      <c r="M120" s="20">
        <f>L120*I120/100</f>
        <v>0</v>
      </c>
      <c r="N120" s="57">
        <v>8.4</v>
      </c>
      <c r="O120" s="25">
        <v>0</v>
      </c>
      <c r="P120" s="17">
        <f>O120-G120</f>
        <v>-40</v>
      </c>
      <c r="Q120" s="17">
        <f>IF(P120&lt;0,0,O120-G120)</f>
        <v>0</v>
      </c>
      <c r="R120" s="20">
        <f>Q120*I120/100</f>
        <v>0</v>
      </c>
      <c r="S120" s="57">
        <v>8.4</v>
      </c>
      <c r="T120" s="25">
        <v>0</v>
      </c>
      <c r="U120" s="17">
        <f>T120-G120</f>
        <v>-40</v>
      </c>
      <c r="V120" s="17">
        <f>IF(U120&lt;0,0,T120-G120)</f>
        <v>0</v>
      </c>
      <c r="W120" s="20">
        <f>V120*I120/100</f>
        <v>0</v>
      </c>
      <c r="X120" s="57">
        <v>8.4</v>
      </c>
      <c r="Y120" s="25">
        <v>0</v>
      </c>
      <c r="Z120" s="17">
        <f>Y120-G120</f>
        <v>-40</v>
      </c>
      <c r="AA120" s="17">
        <f>IF(Z120&lt;0,0,Y120-G120)</f>
        <v>0</v>
      </c>
      <c r="AB120" s="20">
        <f>AA120*I120/100</f>
        <v>0</v>
      </c>
      <c r="AC120" s="57">
        <v>8.4</v>
      </c>
      <c r="AD120" s="25">
        <v>0</v>
      </c>
      <c r="AE120" s="17">
        <f t="shared" si="111"/>
        <v>-40</v>
      </c>
      <c r="AF120" s="17">
        <f>IF(AE120&lt;0,0,AD120-G120)</f>
        <v>0</v>
      </c>
      <c r="AG120" s="20">
        <f>AF120*I120/100</f>
        <v>0</v>
      </c>
      <c r="AH120" s="49">
        <v>8.4</v>
      </c>
      <c r="AI120" s="42">
        <f t="shared" si="107"/>
        <v>0</v>
      </c>
      <c r="AJ120" s="35">
        <f t="shared" si="108"/>
        <v>0</v>
      </c>
    </row>
    <row r="121" spans="1:36" x14ac:dyDescent="0.25">
      <c r="A121" s="25"/>
      <c r="B121" s="66" t="s">
        <v>292</v>
      </c>
      <c r="C121" s="17"/>
      <c r="D121" s="17"/>
      <c r="E121" s="17"/>
      <c r="F121" s="17"/>
      <c r="G121" s="17"/>
      <c r="H121" s="17"/>
      <c r="I121" s="39"/>
      <c r="J121" s="71">
        <f t="shared" ref="J121:AJ121" si="112">SUM(J119:J120)</f>
        <v>439</v>
      </c>
      <c r="K121" s="66">
        <f t="shared" si="112"/>
        <v>359</v>
      </c>
      <c r="L121" s="66">
        <f t="shared" si="112"/>
        <v>399</v>
      </c>
      <c r="M121" s="72">
        <f t="shared" si="112"/>
        <v>25.934999999999999</v>
      </c>
      <c r="N121" s="73">
        <f t="shared" si="112"/>
        <v>16.8</v>
      </c>
      <c r="O121" s="71">
        <f t="shared" si="112"/>
        <v>61</v>
      </c>
      <c r="P121" s="66">
        <f t="shared" si="112"/>
        <v>-19</v>
      </c>
      <c r="Q121" s="66">
        <f t="shared" si="112"/>
        <v>21</v>
      </c>
      <c r="R121" s="72">
        <f t="shared" si="112"/>
        <v>1.365</v>
      </c>
      <c r="S121" s="73">
        <f t="shared" si="112"/>
        <v>16.8</v>
      </c>
      <c r="T121" s="71">
        <f t="shared" si="112"/>
        <v>7</v>
      </c>
      <c r="U121" s="66">
        <f t="shared" si="112"/>
        <v>-73</v>
      </c>
      <c r="V121" s="66">
        <f t="shared" si="112"/>
        <v>0</v>
      </c>
      <c r="W121" s="72">
        <f t="shared" si="112"/>
        <v>0</v>
      </c>
      <c r="X121" s="73">
        <f t="shared" si="112"/>
        <v>16.8</v>
      </c>
      <c r="Y121" s="71">
        <f t="shared" si="112"/>
        <v>65</v>
      </c>
      <c r="Z121" s="66">
        <f t="shared" si="112"/>
        <v>-15</v>
      </c>
      <c r="AA121" s="66">
        <f t="shared" si="112"/>
        <v>25</v>
      </c>
      <c r="AB121" s="72">
        <f t="shared" si="112"/>
        <v>1.625</v>
      </c>
      <c r="AC121" s="73">
        <f t="shared" si="112"/>
        <v>16.8</v>
      </c>
      <c r="AD121" s="71">
        <f t="shared" si="112"/>
        <v>76</v>
      </c>
      <c r="AE121" s="66">
        <f t="shared" si="112"/>
        <v>-4</v>
      </c>
      <c r="AF121" s="66">
        <f t="shared" si="112"/>
        <v>36</v>
      </c>
      <c r="AG121" s="72">
        <f t="shared" si="112"/>
        <v>2.34</v>
      </c>
      <c r="AH121" s="74">
        <f t="shared" si="112"/>
        <v>16.8</v>
      </c>
      <c r="AI121" s="75">
        <f t="shared" si="112"/>
        <v>481</v>
      </c>
      <c r="AJ121" s="76">
        <f t="shared" si="112"/>
        <v>262.62599999999998</v>
      </c>
    </row>
    <row r="122" spans="1:36" x14ac:dyDescent="0.25">
      <c r="A122" s="25" t="s">
        <v>224</v>
      </c>
      <c r="B122" s="17" t="s">
        <v>32</v>
      </c>
      <c r="C122" s="17" t="s">
        <v>52</v>
      </c>
      <c r="D122" s="17" t="s">
        <v>225</v>
      </c>
      <c r="E122" s="18" t="s">
        <v>79</v>
      </c>
      <c r="F122" s="17" t="s">
        <v>14</v>
      </c>
      <c r="G122" s="17">
        <v>20</v>
      </c>
      <c r="H122" s="17" t="s">
        <v>15</v>
      </c>
      <c r="I122" s="39">
        <v>11</v>
      </c>
      <c r="J122" s="45"/>
      <c r="K122" s="18"/>
      <c r="L122" s="18"/>
      <c r="M122" s="19"/>
      <c r="N122" s="58"/>
      <c r="O122" s="45"/>
      <c r="P122" s="18"/>
      <c r="Q122" s="18"/>
      <c r="R122" s="19"/>
      <c r="S122" s="58"/>
      <c r="T122" s="25">
        <v>0</v>
      </c>
      <c r="U122" s="17">
        <f>T122-G122</f>
        <v>-20</v>
      </c>
      <c r="V122" s="17">
        <f>IF(U122&lt;0,0,T122-G122)</f>
        <v>0</v>
      </c>
      <c r="W122" s="20">
        <f>V122*I122/100</f>
        <v>0</v>
      </c>
      <c r="X122" s="57">
        <v>8.4</v>
      </c>
      <c r="Y122" s="25">
        <v>0</v>
      </c>
      <c r="Z122" s="17">
        <f>Y122-G122</f>
        <v>-20</v>
      </c>
      <c r="AA122" s="17">
        <f>IF(Z122&lt;0,0,Y122-G122)</f>
        <v>0</v>
      </c>
      <c r="AB122" s="20">
        <f>AA122*I122/100</f>
        <v>0</v>
      </c>
      <c r="AC122" s="57">
        <v>8.4</v>
      </c>
      <c r="AD122" s="25">
        <v>0</v>
      </c>
      <c r="AE122" s="17">
        <f>AD122-G122</f>
        <v>-20</v>
      </c>
      <c r="AF122" s="17">
        <f>IF(AE122&lt;0,0,AD122-G122)</f>
        <v>0</v>
      </c>
      <c r="AG122" s="20">
        <f>AF122*I122/100</f>
        <v>0</v>
      </c>
      <c r="AH122" s="49">
        <v>8.4</v>
      </c>
      <c r="AI122" s="42">
        <f>AF122+AA122+V122+Q122+L122</f>
        <v>0</v>
      </c>
      <c r="AJ122" s="35">
        <f>AG122*AH122+AB122*AC122+W122*X122+R122*S122+M122*N122</f>
        <v>0</v>
      </c>
    </row>
    <row r="123" spans="1:36" x14ac:dyDescent="0.25">
      <c r="A123" s="25" t="s">
        <v>228</v>
      </c>
      <c r="B123" s="17" t="s">
        <v>10</v>
      </c>
      <c r="C123" s="17" t="s">
        <v>11</v>
      </c>
      <c r="D123" s="17" t="s">
        <v>225</v>
      </c>
      <c r="E123" s="18" t="s">
        <v>79</v>
      </c>
      <c r="F123" s="17" t="s">
        <v>14</v>
      </c>
      <c r="G123" s="17">
        <v>20</v>
      </c>
      <c r="H123" s="17" t="s">
        <v>15</v>
      </c>
      <c r="I123" s="39">
        <v>6.5</v>
      </c>
      <c r="J123" s="25">
        <v>0</v>
      </c>
      <c r="K123" s="17">
        <f>J123-G123</f>
        <v>-20</v>
      </c>
      <c r="L123" s="17">
        <f>IF(K123&lt;0,0,J123-G123)</f>
        <v>0</v>
      </c>
      <c r="M123" s="20">
        <f>L123*I123/100</f>
        <v>0</v>
      </c>
      <c r="N123" s="57">
        <v>8.4</v>
      </c>
      <c r="O123" s="45"/>
      <c r="P123" s="18"/>
      <c r="Q123" s="18"/>
      <c r="R123" s="19"/>
      <c r="S123" s="58"/>
      <c r="T123" s="45"/>
      <c r="U123" s="18"/>
      <c r="V123" s="18"/>
      <c r="W123" s="19"/>
      <c r="X123" s="58"/>
      <c r="Y123" s="45"/>
      <c r="Z123" s="18"/>
      <c r="AA123" s="18"/>
      <c r="AB123" s="19"/>
      <c r="AC123" s="58"/>
      <c r="AD123" s="45"/>
      <c r="AE123" s="18"/>
      <c r="AF123" s="18"/>
      <c r="AG123" s="19"/>
      <c r="AH123" s="50"/>
      <c r="AI123" s="42">
        <f>AF123+AA123+V123+Q123+L123</f>
        <v>0</v>
      </c>
      <c r="AJ123" s="35">
        <f>AG123*AH123+AB123*AC123+W123*X123+R123*S123+M123*N123</f>
        <v>0</v>
      </c>
    </row>
    <row r="124" spans="1:36" x14ac:dyDescent="0.25">
      <c r="A124" s="25"/>
      <c r="B124" s="66" t="s">
        <v>293</v>
      </c>
      <c r="C124" s="17"/>
      <c r="D124" s="17"/>
      <c r="E124" s="18"/>
      <c r="F124" s="17"/>
      <c r="G124" s="17"/>
      <c r="H124" s="17"/>
      <c r="I124" s="39"/>
      <c r="J124" s="71">
        <f t="shared" ref="J124:AJ124" si="113">SUM(J122:J123)</f>
        <v>0</v>
      </c>
      <c r="K124" s="66">
        <f t="shared" si="113"/>
        <v>-20</v>
      </c>
      <c r="L124" s="66">
        <f t="shared" si="113"/>
        <v>0</v>
      </c>
      <c r="M124" s="72">
        <f t="shared" si="113"/>
        <v>0</v>
      </c>
      <c r="N124" s="73">
        <f t="shared" si="113"/>
        <v>8.4</v>
      </c>
      <c r="O124" s="67">
        <f t="shared" si="113"/>
        <v>0</v>
      </c>
      <c r="P124" s="68">
        <f t="shared" si="113"/>
        <v>0</v>
      </c>
      <c r="Q124" s="68">
        <f t="shared" si="113"/>
        <v>0</v>
      </c>
      <c r="R124" s="69">
        <f t="shared" si="113"/>
        <v>0</v>
      </c>
      <c r="S124" s="70">
        <f t="shared" si="113"/>
        <v>0</v>
      </c>
      <c r="T124" s="67">
        <f t="shared" si="113"/>
        <v>0</v>
      </c>
      <c r="U124" s="68">
        <f t="shared" si="113"/>
        <v>-20</v>
      </c>
      <c r="V124" s="68">
        <f t="shared" si="113"/>
        <v>0</v>
      </c>
      <c r="W124" s="69">
        <f t="shared" si="113"/>
        <v>0</v>
      </c>
      <c r="X124" s="70">
        <f t="shared" si="113"/>
        <v>8.4</v>
      </c>
      <c r="Y124" s="67">
        <f t="shared" si="113"/>
        <v>0</v>
      </c>
      <c r="Z124" s="68">
        <f t="shared" si="113"/>
        <v>-20</v>
      </c>
      <c r="AA124" s="68">
        <f t="shared" si="113"/>
        <v>0</v>
      </c>
      <c r="AB124" s="69">
        <f t="shared" si="113"/>
        <v>0</v>
      </c>
      <c r="AC124" s="70">
        <f t="shared" si="113"/>
        <v>8.4</v>
      </c>
      <c r="AD124" s="67">
        <f t="shared" si="113"/>
        <v>0</v>
      </c>
      <c r="AE124" s="68">
        <f t="shared" si="113"/>
        <v>-20</v>
      </c>
      <c r="AF124" s="68">
        <f t="shared" si="113"/>
        <v>0</v>
      </c>
      <c r="AG124" s="69">
        <f t="shared" si="113"/>
        <v>0</v>
      </c>
      <c r="AH124" s="77">
        <f t="shared" si="113"/>
        <v>8.4</v>
      </c>
      <c r="AI124" s="75">
        <f t="shared" si="113"/>
        <v>0</v>
      </c>
      <c r="AJ124" s="76">
        <f t="shared" si="113"/>
        <v>0</v>
      </c>
    </row>
    <row r="125" spans="1:36" x14ac:dyDescent="0.25">
      <c r="A125" s="25" t="s">
        <v>234</v>
      </c>
      <c r="B125" s="17" t="s">
        <v>17</v>
      </c>
      <c r="C125" s="17" t="s">
        <v>18</v>
      </c>
      <c r="D125" s="17" t="s">
        <v>230</v>
      </c>
      <c r="E125" s="18" t="s">
        <v>235</v>
      </c>
      <c r="F125" s="17" t="s">
        <v>14</v>
      </c>
      <c r="G125" s="17">
        <v>20</v>
      </c>
      <c r="H125" s="17" t="s">
        <v>15</v>
      </c>
      <c r="I125" s="39">
        <v>6.5</v>
      </c>
      <c r="J125" s="25">
        <v>0</v>
      </c>
      <c r="K125" s="17">
        <f t="shared" ref="K125:K131" si="114">J125-G125</f>
        <v>-20</v>
      </c>
      <c r="L125" s="17">
        <f t="shared" ref="L125:L131" si="115">IF(K125&lt;0,0,J125-G125)</f>
        <v>0</v>
      </c>
      <c r="M125" s="20">
        <f t="shared" ref="M125:M131" si="116">L125*I125/100</f>
        <v>0</v>
      </c>
      <c r="N125" s="57">
        <v>8.4</v>
      </c>
      <c r="O125" s="25">
        <v>0</v>
      </c>
      <c r="P125" s="17">
        <f t="shared" ref="P125:P131" si="117">O125-G125</f>
        <v>-20</v>
      </c>
      <c r="Q125" s="17">
        <f t="shared" ref="Q125:Q131" si="118">IF(P125&lt;0,0,O125-G125)</f>
        <v>0</v>
      </c>
      <c r="R125" s="20">
        <f t="shared" ref="R125:R131" si="119">Q125*I125/100</f>
        <v>0</v>
      </c>
      <c r="S125" s="57">
        <v>8.4</v>
      </c>
      <c r="T125" s="25">
        <v>37</v>
      </c>
      <c r="U125" s="17">
        <f t="shared" ref="U125:U131" si="120">T125-G125</f>
        <v>17</v>
      </c>
      <c r="V125" s="17">
        <f t="shared" ref="V125:V131" si="121">IF(U125&lt;0,0,T125-G125)</f>
        <v>17</v>
      </c>
      <c r="W125" s="20">
        <f t="shared" ref="W125:W131" si="122">V125*I125/100</f>
        <v>1.105</v>
      </c>
      <c r="X125" s="57">
        <v>8.4</v>
      </c>
      <c r="Y125" s="45"/>
      <c r="Z125" s="18"/>
      <c r="AA125" s="18"/>
      <c r="AB125" s="19"/>
      <c r="AC125" s="58"/>
      <c r="AD125" s="25">
        <v>55</v>
      </c>
      <c r="AE125" s="17">
        <f t="shared" ref="AE125:AE131" si="123">AD125-G125</f>
        <v>35</v>
      </c>
      <c r="AF125" s="17">
        <f t="shared" ref="AF125:AF131" si="124">IF(AE125&lt;0,0,AD125-G125)</f>
        <v>35</v>
      </c>
      <c r="AG125" s="20">
        <f t="shared" ref="AG125:AG131" si="125">AF125*I125/100</f>
        <v>2.2749999999999999</v>
      </c>
      <c r="AH125" s="49">
        <v>8.4</v>
      </c>
      <c r="AI125" s="42">
        <f t="shared" ref="AI125:AI131" si="126">AF125+AA125+V125+Q125+L125</f>
        <v>52</v>
      </c>
      <c r="AJ125" s="35">
        <f t="shared" ref="AJ125:AJ131" si="127">AG125*AH125+AB125*AC125+W125*X125+R125*S125+M125*N125</f>
        <v>28.391999999999999</v>
      </c>
    </row>
    <row r="126" spans="1:36" x14ac:dyDescent="0.25">
      <c r="A126" s="25" t="s">
        <v>232</v>
      </c>
      <c r="B126" s="17" t="s">
        <v>32</v>
      </c>
      <c r="C126" s="17" t="s">
        <v>33</v>
      </c>
      <c r="D126" s="17" t="s">
        <v>230</v>
      </c>
      <c r="E126" s="17" t="s">
        <v>233</v>
      </c>
      <c r="F126" s="17" t="s">
        <v>14</v>
      </c>
      <c r="G126" s="17">
        <v>20</v>
      </c>
      <c r="H126" s="17" t="s">
        <v>15</v>
      </c>
      <c r="I126" s="39">
        <v>6.5</v>
      </c>
      <c r="J126" s="25">
        <v>0</v>
      </c>
      <c r="K126" s="17">
        <f t="shared" si="114"/>
        <v>-20</v>
      </c>
      <c r="L126" s="17">
        <f t="shared" si="115"/>
        <v>0</v>
      </c>
      <c r="M126" s="20">
        <f t="shared" si="116"/>
        <v>0</v>
      </c>
      <c r="N126" s="57">
        <v>8.4</v>
      </c>
      <c r="O126" s="25">
        <v>10</v>
      </c>
      <c r="P126" s="17">
        <f t="shared" si="117"/>
        <v>-10</v>
      </c>
      <c r="Q126" s="17">
        <f t="shared" si="118"/>
        <v>0</v>
      </c>
      <c r="R126" s="20">
        <f t="shared" si="119"/>
        <v>0</v>
      </c>
      <c r="S126" s="57">
        <v>8.4</v>
      </c>
      <c r="T126" s="25">
        <v>10</v>
      </c>
      <c r="U126" s="17">
        <f t="shared" si="120"/>
        <v>-10</v>
      </c>
      <c r="V126" s="17">
        <f t="shared" si="121"/>
        <v>0</v>
      </c>
      <c r="W126" s="20">
        <f t="shared" si="122"/>
        <v>0</v>
      </c>
      <c r="X126" s="57">
        <v>8.4</v>
      </c>
      <c r="Y126" s="25">
        <v>10</v>
      </c>
      <c r="Z126" s="17">
        <f t="shared" ref="Z126:Z131" si="128">Y126-G126</f>
        <v>-10</v>
      </c>
      <c r="AA126" s="17">
        <f t="shared" ref="AA126:AA131" si="129">IF(Z126&lt;0,0,Y126-G126)</f>
        <v>0</v>
      </c>
      <c r="AB126" s="20">
        <f t="shared" ref="AB126:AB131" si="130">AA126*I126/100</f>
        <v>0</v>
      </c>
      <c r="AC126" s="57">
        <v>8.4</v>
      </c>
      <c r="AD126" s="25">
        <v>9</v>
      </c>
      <c r="AE126" s="17">
        <f t="shared" si="123"/>
        <v>-11</v>
      </c>
      <c r="AF126" s="17">
        <f t="shared" si="124"/>
        <v>0</v>
      </c>
      <c r="AG126" s="20">
        <f t="shared" si="125"/>
        <v>0</v>
      </c>
      <c r="AH126" s="49">
        <v>8.4</v>
      </c>
      <c r="AI126" s="42">
        <f t="shared" si="126"/>
        <v>0</v>
      </c>
      <c r="AJ126" s="35">
        <f t="shared" si="127"/>
        <v>0</v>
      </c>
    </row>
    <row r="127" spans="1:36" x14ac:dyDescent="0.25">
      <c r="A127" s="25" t="s">
        <v>243</v>
      </c>
      <c r="B127" s="17" t="s">
        <v>17</v>
      </c>
      <c r="C127" s="17" t="s">
        <v>36</v>
      </c>
      <c r="D127" s="17" t="s">
        <v>230</v>
      </c>
      <c r="E127" s="17" t="s">
        <v>244</v>
      </c>
      <c r="F127" s="17" t="s">
        <v>14</v>
      </c>
      <c r="G127" s="17">
        <v>30</v>
      </c>
      <c r="H127" s="17" t="s">
        <v>38</v>
      </c>
      <c r="I127" s="39">
        <v>6.5</v>
      </c>
      <c r="J127" s="25">
        <v>1</v>
      </c>
      <c r="K127" s="17">
        <f t="shared" si="114"/>
        <v>-29</v>
      </c>
      <c r="L127" s="17">
        <f t="shared" si="115"/>
        <v>0</v>
      </c>
      <c r="M127" s="20">
        <f t="shared" si="116"/>
        <v>0</v>
      </c>
      <c r="N127" s="57">
        <v>7.3</v>
      </c>
      <c r="O127" s="25">
        <v>1</v>
      </c>
      <c r="P127" s="17">
        <f t="shared" si="117"/>
        <v>-29</v>
      </c>
      <c r="Q127" s="17">
        <f t="shared" si="118"/>
        <v>0</v>
      </c>
      <c r="R127" s="20">
        <f t="shared" si="119"/>
        <v>0</v>
      </c>
      <c r="S127" s="57">
        <v>7.2</v>
      </c>
      <c r="T127" s="25">
        <v>2</v>
      </c>
      <c r="U127" s="17">
        <f t="shared" si="120"/>
        <v>-28</v>
      </c>
      <c r="V127" s="17">
        <f t="shared" si="121"/>
        <v>0</v>
      </c>
      <c r="W127" s="20">
        <f t="shared" si="122"/>
        <v>0</v>
      </c>
      <c r="X127" s="57">
        <v>7.2</v>
      </c>
      <c r="Y127" s="25">
        <v>52</v>
      </c>
      <c r="Z127" s="17">
        <f t="shared" si="128"/>
        <v>22</v>
      </c>
      <c r="AA127" s="17">
        <f t="shared" si="129"/>
        <v>22</v>
      </c>
      <c r="AB127" s="20">
        <f t="shared" si="130"/>
        <v>1.43</v>
      </c>
      <c r="AC127" s="57">
        <v>7.2</v>
      </c>
      <c r="AD127" s="25">
        <v>71</v>
      </c>
      <c r="AE127" s="17">
        <f t="shared" si="123"/>
        <v>41</v>
      </c>
      <c r="AF127" s="17">
        <f t="shared" si="124"/>
        <v>41</v>
      </c>
      <c r="AG127" s="20">
        <f t="shared" si="125"/>
        <v>2.665</v>
      </c>
      <c r="AH127" s="49">
        <v>8.4</v>
      </c>
      <c r="AI127" s="42">
        <f t="shared" si="126"/>
        <v>63</v>
      </c>
      <c r="AJ127" s="35">
        <f t="shared" si="127"/>
        <v>32.682000000000002</v>
      </c>
    </row>
    <row r="128" spans="1:36" x14ac:dyDescent="0.25">
      <c r="A128" s="25" t="s">
        <v>238</v>
      </c>
      <c r="B128" s="17" t="s">
        <v>239</v>
      </c>
      <c r="C128" s="17" t="s">
        <v>36</v>
      </c>
      <c r="D128" s="17" t="s">
        <v>230</v>
      </c>
      <c r="E128" s="17" t="s">
        <v>240</v>
      </c>
      <c r="F128" s="17" t="s">
        <v>14</v>
      </c>
      <c r="G128" s="17">
        <v>20</v>
      </c>
      <c r="H128" s="17" t="s">
        <v>38</v>
      </c>
      <c r="I128" s="39">
        <v>6.5</v>
      </c>
      <c r="J128" s="25">
        <v>14</v>
      </c>
      <c r="K128" s="17">
        <f t="shared" si="114"/>
        <v>-6</v>
      </c>
      <c r="L128" s="17">
        <f t="shared" si="115"/>
        <v>0</v>
      </c>
      <c r="M128" s="20">
        <f t="shared" si="116"/>
        <v>0</v>
      </c>
      <c r="N128" s="57">
        <v>7.3</v>
      </c>
      <c r="O128" s="25">
        <v>19</v>
      </c>
      <c r="P128" s="17">
        <f t="shared" si="117"/>
        <v>-1</v>
      </c>
      <c r="Q128" s="17">
        <f t="shared" si="118"/>
        <v>0</v>
      </c>
      <c r="R128" s="20">
        <f t="shared" si="119"/>
        <v>0</v>
      </c>
      <c r="S128" s="57">
        <v>7.2</v>
      </c>
      <c r="T128" s="25">
        <v>12</v>
      </c>
      <c r="U128" s="17">
        <f t="shared" si="120"/>
        <v>-8</v>
      </c>
      <c r="V128" s="17">
        <f t="shared" si="121"/>
        <v>0</v>
      </c>
      <c r="W128" s="20">
        <f t="shared" si="122"/>
        <v>0</v>
      </c>
      <c r="X128" s="57">
        <v>7.2</v>
      </c>
      <c r="Y128" s="25">
        <v>3</v>
      </c>
      <c r="Z128" s="17">
        <f t="shared" si="128"/>
        <v>-17</v>
      </c>
      <c r="AA128" s="17">
        <f t="shared" si="129"/>
        <v>0</v>
      </c>
      <c r="AB128" s="20">
        <f t="shared" si="130"/>
        <v>0</v>
      </c>
      <c r="AC128" s="57">
        <v>7.2</v>
      </c>
      <c r="AD128" s="25">
        <v>173</v>
      </c>
      <c r="AE128" s="17">
        <f t="shared" si="123"/>
        <v>153</v>
      </c>
      <c r="AF128" s="17">
        <f t="shared" si="124"/>
        <v>153</v>
      </c>
      <c r="AG128" s="20">
        <f t="shared" si="125"/>
        <v>9.9450000000000003</v>
      </c>
      <c r="AH128" s="49">
        <v>8.4</v>
      </c>
      <c r="AI128" s="42">
        <f t="shared" si="126"/>
        <v>153</v>
      </c>
      <c r="AJ128" s="35">
        <f t="shared" si="127"/>
        <v>83.538000000000011</v>
      </c>
    </row>
    <row r="129" spans="1:36" x14ac:dyDescent="0.25">
      <c r="A129" s="25" t="s">
        <v>236</v>
      </c>
      <c r="B129" s="17" t="s">
        <v>10</v>
      </c>
      <c r="C129" s="17" t="s">
        <v>11</v>
      </c>
      <c r="D129" s="17" t="s">
        <v>230</v>
      </c>
      <c r="E129" s="18" t="s">
        <v>237</v>
      </c>
      <c r="F129" s="17" t="s">
        <v>14</v>
      </c>
      <c r="G129" s="17">
        <v>20</v>
      </c>
      <c r="H129" s="17" t="s">
        <v>15</v>
      </c>
      <c r="I129" s="39">
        <v>6.5</v>
      </c>
      <c r="J129" s="25">
        <v>0</v>
      </c>
      <c r="K129" s="17">
        <f t="shared" si="114"/>
        <v>-20</v>
      </c>
      <c r="L129" s="17">
        <f t="shared" si="115"/>
        <v>0</v>
      </c>
      <c r="M129" s="20">
        <f t="shared" si="116"/>
        <v>0</v>
      </c>
      <c r="N129" s="57">
        <v>8.4</v>
      </c>
      <c r="O129" s="25">
        <v>0</v>
      </c>
      <c r="P129" s="17">
        <f t="shared" si="117"/>
        <v>-20</v>
      </c>
      <c r="Q129" s="17">
        <f t="shared" si="118"/>
        <v>0</v>
      </c>
      <c r="R129" s="20">
        <f t="shared" si="119"/>
        <v>0</v>
      </c>
      <c r="S129" s="57">
        <v>8.4</v>
      </c>
      <c r="T129" s="25">
        <v>0</v>
      </c>
      <c r="U129" s="17">
        <f t="shared" si="120"/>
        <v>-20</v>
      </c>
      <c r="V129" s="17">
        <f t="shared" si="121"/>
        <v>0</v>
      </c>
      <c r="W129" s="20">
        <f t="shared" si="122"/>
        <v>0</v>
      </c>
      <c r="X129" s="57">
        <v>8.4</v>
      </c>
      <c r="Y129" s="25">
        <v>30</v>
      </c>
      <c r="Z129" s="17">
        <f t="shared" si="128"/>
        <v>10</v>
      </c>
      <c r="AA129" s="17">
        <f t="shared" si="129"/>
        <v>10</v>
      </c>
      <c r="AB129" s="20">
        <f t="shared" si="130"/>
        <v>0.65</v>
      </c>
      <c r="AC129" s="57">
        <v>8.4</v>
      </c>
      <c r="AD129" s="25">
        <v>0</v>
      </c>
      <c r="AE129" s="17">
        <f t="shared" si="123"/>
        <v>-20</v>
      </c>
      <c r="AF129" s="17">
        <f t="shared" si="124"/>
        <v>0</v>
      </c>
      <c r="AG129" s="20">
        <f t="shared" si="125"/>
        <v>0</v>
      </c>
      <c r="AH129" s="49">
        <v>7.2</v>
      </c>
      <c r="AI129" s="42">
        <f t="shared" si="126"/>
        <v>10</v>
      </c>
      <c r="AJ129" s="35">
        <f t="shared" si="127"/>
        <v>5.4600000000000009</v>
      </c>
    </row>
    <row r="130" spans="1:36" x14ac:dyDescent="0.25">
      <c r="A130" s="25" t="s">
        <v>241</v>
      </c>
      <c r="B130" s="17" t="s">
        <v>32</v>
      </c>
      <c r="C130" s="17" t="s">
        <v>52</v>
      </c>
      <c r="D130" s="17" t="s">
        <v>230</v>
      </c>
      <c r="E130" s="17" t="s">
        <v>242</v>
      </c>
      <c r="F130" s="17" t="s">
        <v>14</v>
      </c>
      <c r="G130" s="17">
        <v>20</v>
      </c>
      <c r="H130" s="17" t="s">
        <v>15</v>
      </c>
      <c r="I130" s="39">
        <v>11</v>
      </c>
      <c r="J130" s="25">
        <v>0</v>
      </c>
      <c r="K130" s="17">
        <f t="shared" si="114"/>
        <v>-20</v>
      </c>
      <c r="L130" s="17">
        <f t="shared" si="115"/>
        <v>0</v>
      </c>
      <c r="M130" s="20">
        <f t="shared" si="116"/>
        <v>0</v>
      </c>
      <c r="N130" s="57">
        <v>8.4</v>
      </c>
      <c r="O130" s="25">
        <v>1</v>
      </c>
      <c r="P130" s="17">
        <f t="shared" si="117"/>
        <v>-19</v>
      </c>
      <c r="Q130" s="17">
        <f t="shared" si="118"/>
        <v>0</v>
      </c>
      <c r="R130" s="20">
        <f t="shared" si="119"/>
        <v>0</v>
      </c>
      <c r="S130" s="57">
        <v>8.4</v>
      </c>
      <c r="T130" s="25">
        <v>1</v>
      </c>
      <c r="U130" s="17">
        <f t="shared" si="120"/>
        <v>-19</v>
      </c>
      <c r="V130" s="17">
        <f t="shared" si="121"/>
        <v>0</v>
      </c>
      <c r="W130" s="20">
        <f t="shared" si="122"/>
        <v>0</v>
      </c>
      <c r="X130" s="57">
        <v>8.4</v>
      </c>
      <c r="Y130" s="25">
        <v>1</v>
      </c>
      <c r="Z130" s="17">
        <f t="shared" si="128"/>
        <v>-19</v>
      </c>
      <c r="AA130" s="17">
        <f t="shared" si="129"/>
        <v>0</v>
      </c>
      <c r="AB130" s="20">
        <f t="shared" si="130"/>
        <v>0</v>
      </c>
      <c r="AC130" s="57">
        <v>8.4</v>
      </c>
      <c r="AD130" s="25">
        <v>2</v>
      </c>
      <c r="AE130" s="17">
        <f t="shared" si="123"/>
        <v>-18</v>
      </c>
      <c r="AF130" s="17">
        <f t="shared" si="124"/>
        <v>0</v>
      </c>
      <c r="AG130" s="20">
        <f t="shared" si="125"/>
        <v>0</v>
      </c>
      <c r="AH130" s="49">
        <v>8.4</v>
      </c>
      <c r="AI130" s="42">
        <f t="shared" si="126"/>
        <v>0</v>
      </c>
      <c r="AJ130" s="35">
        <f t="shared" si="127"/>
        <v>0</v>
      </c>
    </row>
    <row r="131" spans="1:36" ht="15.75" thickBot="1" x14ac:dyDescent="0.3">
      <c r="A131" s="31" t="s">
        <v>229</v>
      </c>
      <c r="B131" s="32" t="s">
        <v>10</v>
      </c>
      <c r="C131" s="32" t="s">
        <v>11</v>
      </c>
      <c r="D131" s="32" t="s">
        <v>230</v>
      </c>
      <c r="E131" s="65" t="s">
        <v>231</v>
      </c>
      <c r="F131" s="32" t="s">
        <v>14</v>
      </c>
      <c r="G131" s="32">
        <v>20</v>
      </c>
      <c r="H131" s="32" t="s">
        <v>15</v>
      </c>
      <c r="I131" s="40">
        <v>6.5</v>
      </c>
      <c r="J131" s="31">
        <v>324</v>
      </c>
      <c r="K131" s="32">
        <f t="shared" si="114"/>
        <v>304</v>
      </c>
      <c r="L131" s="32">
        <f t="shared" si="115"/>
        <v>304</v>
      </c>
      <c r="M131" s="33">
        <f t="shared" si="116"/>
        <v>19.760000000000002</v>
      </c>
      <c r="N131" s="59">
        <v>8.4</v>
      </c>
      <c r="O131" s="31">
        <v>0</v>
      </c>
      <c r="P131" s="32">
        <f t="shared" si="117"/>
        <v>-20</v>
      </c>
      <c r="Q131" s="32">
        <f t="shared" si="118"/>
        <v>0</v>
      </c>
      <c r="R131" s="33">
        <f t="shared" si="119"/>
        <v>0</v>
      </c>
      <c r="S131" s="59">
        <v>8.4</v>
      </c>
      <c r="T131" s="31">
        <v>0</v>
      </c>
      <c r="U131" s="32">
        <f t="shared" si="120"/>
        <v>-20</v>
      </c>
      <c r="V131" s="32">
        <f t="shared" si="121"/>
        <v>0</v>
      </c>
      <c r="W131" s="33">
        <f t="shared" si="122"/>
        <v>0</v>
      </c>
      <c r="X131" s="59">
        <v>8.4</v>
      </c>
      <c r="Y131" s="31">
        <v>25</v>
      </c>
      <c r="Z131" s="32">
        <f t="shared" si="128"/>
        <v>5</v>
      </c>
      <c r="AA131" s="32">
        <f t="shared" si="129"/>
        <v>5</v>
      </c>
      <c r="AB131" s="33">
        <f t="shared" si="130"/>
        <v>0.32500000000000001</v>
      </c>
      <c r="AC131" s="59">
        <v>8.4</v>
      </c>
      <c r="AD131" s="31">
        <v>3</v>
      </c>
      <c r="AE131" s="32">
        <f t="shared" si="123"/>
        <v>-17</v>
      </c>
      <c r="AF131" s="32">
        <f t="shared" si="124"/>
        <v>0</v>
      </c>
      <c r="AG131" s="33">
        <f t="shared" si="125"/>
        <v>0</v>
      </c>
      <c r="AH131" s="51">
        <v>7.2</v>
      </c>
      <c r="AI131" s="43">
        <f t="shared" si="126"/>
        <v>309</v>
      </c>
      <c r="AJ131" s="36">
        <f t="shared" si="127"/>
        <v>168.714</v>
      </c>
    </row>
  </sheetData>
  <autoFilter ref="A1:AE1" xr:uid="{00000000-0001-0000-0000-000000000000}">
    <sortState xmlns:xlrd2="http://schemas.microsoft.com/office/spreadsheetml/2017/richdata2" ref="A4:AE118">
      <sortCondition ref="D1"/>
      <sortCondition ref="E1"/>
    </sortState>
  </autoFilter>
  <mergeCells count="10">
    <mergeCell ref="G1:G2"/>
    <mergeCell ref="H1:H2"/>
    <mergeCell ref="I1:I2"/>
    <mergeCell ref="AI1:AJ1"/>
    <mergeCell ref="A1:A2"/>
    <mergeCell ref="B1:B2"/>
    <mergeCell ref="C1:C2"/>
    <mergeCell ref="D1:D2"/>
    <mergeCell ref="E1:E2"/>
    <mergeCell ref="F1:F2"/>
  </mergeCells>
  <conditionalFormatting sqref="A3:A1048576 A1:I1">
    <cfRule type="duplicateValues" dxfId="28" priority="1"/>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1853B-F67C-4F2F-A618-E84DAE989BE3}">
  <sheetPr codeName="Sheet11"/>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18"/>
  <sheetViews>
    <sheetView workbookViewId="0">
      <pane xSplit="1" ySplit="2" topLeftCell="B3" activePane="bottomRight" state="frozen"/>
      <selection pane="topRight" activeCell="B1" sqref="B1"/>
      <selection pane="bottomLeft" activeCell="A3" sqref="A3"/>
      <selection pane="bottomRight" activeCell="T6" sqref="T6"/>
    </sheetView>
  </sheetViews>
  <sheetFormatPr defaultRowHeight="15" x14ac:dyDescent="0.25"/>
  <cols>
    <col min="1" max="1" width="11.5703125" style="1" bestFit="1" customWidth="1"/>
    <col min="2" max="2" width="10.85546875" style="1" bestFit="1" customWidth="1"/>
    <col min="3" max="3" width="11.28515625" style="1" bestFit="1" customWidth="1"/>
    <col min="4" max="4" width="10.85546875" style="1" bestFit="1" customWidth="1"/>
    <col min="5" max="5" width="22.85546875" style="1" bestFit="1" customWidth="1"/>
    <col min="6" max="9" width="4.85546875" style="1" customWidth="1"/>
    <col min="10" max="10" width="5.7109375" style="1" bestFit="1" customWidth="1"/>
    <col min="11" max="11" width="8.85546875" style="1" bestFit="1" customWidth="1"/>
    <col min="12" max="12" width="7.42578125" style="1" bestFit="1" customWidth="1"/>
    <col min="13" max="13" width="8.85546875" style="8" bestFit="1" customWidth="1"/>
    <col min="14" max="14" width="9.140625" style="8"/>
    <col min="15" max="15" width="5.7109375" style="1" bestFit="1" customWidth="1"/>
    <col min="16" max="16" width="8.85546875" style="1" bestFit="1" customWidth="1"/>
    <col min="17" max="17" width="7.42578125" style="1" bestFit="1" customWidth="1"/>
    <col min="18" max="18" width="8.85546875" style="8" bestFit="1" customWidth="1"/>
    <col min="19" max="19" width="9.140625" style="8"/>
    <col min="20" max="20" width="5.7109375" style="1" bestFit="1" customWidth="1"/>
    <col min="21" max="21" width="8.85546875" style="1" bestFit="1" customWidth="1"/>
    <col min="22" max="22" width="7.42578125" style="1" bestFit="1" customWidth="1"/>
    <col min="23" max="23" width="8.85546875" style="8" bestFit="1" customWidth="1"/>
    <col min="24" max="24" width="9.140625" style="8"/>
    <col min="25" max="25" width="5.7109375" style="1" bestFit="1" customWidth="1"/>
    <col min="26" max="26" width="8.85546875" style="1" bestFit="1" customWidth="1"/>
    <col min="27" max="27" width="7.42578125" style="1" bestFit="1" customWidth="1"/>
    <col min="28" max="28" width="8.85546875" style="8" bestFit="1" customWidth="1"/>
    <col min="29" max="29" width="9.140625" style="8"/>
    <col min="30" max="30" width="5.7109375" style="1" bestFit="1" customWidth="1"/>
    <col min="31" max="31" width="8.85546875" style="1" bestFit="1" customWidth="1"/>
    <col min="32" max="32" width="7.42578125" style="1" bestFit="1" customWidth="1"/>
    <col min="33" max="33" width="8.85546875" style="8" bestFit="1" customWidth="1"/>
    <col min="34" max="34" width="9.140625" style="8"/>
    <col min="35" max="35" width="8.5703125" style="1" bestFit="1" customWidth="1"/>
    <col min="36" max="36" width="8.85546875" style="1" bestFit="1" customWidth="1"/>
    <col min="37" max="38" width="9.140625" style="1"/>
    <col min="39" max="39" width="59.140625" style="1" bestFit="1" customWidth="1"/>
    <col min="40" max="16384" width="9.140625" style="1"/>
  </cols>
  <sheetData>
    <row r="1" spans="1:39" ht="30" x14ac:dyDescent="0.25">
      <c r="A1" s="84" t="s">
        <v>0</v>
      </c>
      <c r="B1" s="86" t="s">
        <v>1</v>
      </c>
      <c r="C1" s="86" t="s">
        <v>2</v>
      </c>
      <c r="D1" s="86" t="s">
        <v>3</v>
      </c>
      <c r="E1" s="86" t="s">
        <v>4</v>
      </c>
      <c r="F1" s="86" t="s">
        <v>5</v>
      </c>
      <c r="G1" s="78" t="s">
        <v>6</v>
      </c>
      <c r="H1" s="78" t="s">
        <v>7</v>
      </c>
      <c r="I1" s="80" t="s">
        <v>8</v>
      </c>
      <c r="J1" s="9" t="s">
        <v>245</v>
      </c>
      <c r="K1" s="10"/>
      <c r="L1" s="10"/>
      <c r="M1" s="11"/>
      <c r="N1" s="54"/>
      <c r="O1" s="9" t="s">
        <v>251</v>
      </c>
      <c r="P1" s="10"/>
      <c r="Q1" s="10"/>
      <c r="R1" s="11"/>
      <c r="S1" s="54"/>
      <c r="T1" s="9" t="s">
        <v>252</v>
      </c>
      <c r="U1" s="10"/>
      <c r="V1" s="10"/>
      <c r="W1" s="11"/>
      <c r="X1" s="54"/>
      <c r="Y1" s="9" t="s">
        <v>253</v>
      </c>
      <c r="Z1" s="10"/>
      <c r="AA1" s="10"/>
      <c r="AB1" s="11"/>
      <c r="AC1" s="54"/>
      <c r="AD1" s="9" t="s">
        <v>254</v>
      </c>
      <c r="AE1" s="10"/>
      <c r="AF1" s="10"/>
      <c r="AG1" s="11"/>
      <c r="AH1" s="46"/>
      <c r="AI1" s="82" t="s">
        <v>257</v>
      </c>
      <c r="AJ1" s="83"/>
    </row>
    <row r="2" spans="1:39" ht="60.75" thickBot="1" x14ac:dyDescent="0.3">
      <c r="A2" s="85"/>
      <c r="B2" s="79"/>
      <c r="C2" s="79"/>
      <c r="D2" s="79"/>
      <c r="E2" s="79"/>
      <c r="F2" s="79"/>
      <c r="G2" s="79"/>
      <c r="H2" s="79"/>
      <c r="I2" s="81"/>
      <c r="J2" s="12" t="s">
        <v>246</v>
      </c>
      <c r="K2" s="13" t="s">
        <v>247</v>
      </c>
      <c r="L2" s="13" t="s">
        <v>248</v>
      </c>
      <c r="M2" s="14" t="s">
        <v>249</v>
      </c>
      <c r="N2" s="55" t="s">
        <v>250</v>
      </c>
      <c r="O2" s="12" t="s">
        <v>246</v>
      </c>
      <c r="P2" s="13" t="s">
        <v>247</v>
      </c>
      <c r="Q2" s="13" t="s">
        <v>248</v>
      </c>
      <c r="R2" s="14" t="s">
        <v>249</v>
      </c>
      <c r="S2" s="55" t="s">
        <v>250</v>
      </c>
      <c r="T2" s="12" t="s">
        <v>246</v>
      </c>
      <c r="U2" s="13" t="s">
        <v>247</v>
      </c>
      <c r="V2" s="13" t="s">
        <v>248</v>
      </c>
      <c r="W2" s="14" t="s">
        <v>249</v>
      </c>
      <c r="X2" s="55" t="s">
        <v>250</v>
      </c>
      <c r="Y2" s="12" t="s">
        <v>246</v>
      </c>
      <c r="Z2" s="13" t="s">
        <v>247</v>
      </c>
      <c r="AA2" s="13" t="s">
        <v>248</v>
      </c>
      <c r="AB2" s="14" t="s">
        <v>249</v>
      </c>
      <c r="AC2" s="55" t="s">
        <v>250</v>
      </c>
      <c r="AD2" s="12" t="s">
        <v>246</v>
      </c>
      <c r="AE2" s="13" t="s">
        <v>247</v>
      </c>
      <c r="AF2" s="13" t="s">
        <v>248</v>
      </c>
      <c r="AG2" s="14" t="s">
        <v>249</v>
      </c>
      <c r="AH2" s="47" t="s">
        <v>250</v>
      </c>
      <c r="AI2" s="63" t="s">
        <v>255</v>
      </c>
      <c r="AJ2" s="64" t="s">
        <v>256</v>
      </c>
      <c r="AM2" s="1" t="s">
        <v>258</v>
      </c>
    </row>
    <row r="3" spans="1:39" x14ac:dyDescent="0.25">
      <c r="A3" s="37" t="s">
        <v>9</v>
      </c>
      <c r="B3" s="16" t="s">
        <v>10</v>
      </c>
      <c r="C3" s="16" t="s">
        <v>11</v>
      </c>
      <c r="D3" s="16" t="s">
        <v>12</v>
      </c>
      <c r="E3" s="38" t="s">
        <v>13</v>
      </c>
      <c r="F3" s="16" t="s">
        <v>14</v>
      </c>
      <c r="G3" s="16">
        <v>20</v>
      </c>
      <c r="H3" s="16" t="s">
        <v>15</v>
      </c>
      <c r="I3" s="15">
        <v>6.5</v>
      </c>
      <c r="J3" s="44"/>
      <c r="K3" s="28"/>
      <c r="L3" s="28"/>
      <c r="M3" s="29"/>
      <c r="N3" s="56"/>
      <c r="O3" s="26">
        <v>0</v>
      </c>
      <c r="P3" s="27">
        <f>O3-G3</f>
        <v>-20</v>
      </c>
      <c r="Q3" s="27">
        <f>IF(P3&lt;0,0,O3-G3)</f>
        <v>0</v>
      </c>
      <c r="R3" s="30">
        <f>Q3*I3/100</f>
        <v>0</v>
      </c>
      <c r="S3" s="60">
        <v>8.4</v>
      </c>
      <c r="T3" s="26">
        <v>0</v>
      </c>
      <c r="U3" s="27">
        <f>T3-G3</f>
        <v>-20</v>
      </c>
      <c r="V3" s="27">
        <f>IF(U3&lt;0,0,T3-G3)</f>
        <v>0</v>
      </c>
      <c r="W3" s="30">
        <f>V3*I3/100</f>
        <v>0</v>
      </c>
      <c r="X3" s="60">
        <v>8.4</v>
      </c>
      <c r="Y3" s="26">
        <v>20</v>
      </c>
      <c r="Z3" s="27">
        <f>Y3-G3</f>
        <v>0</v>
      </c>
      <c r="AA3" s="27">
        <f>IF(Z3&lt;0,0,Y3-G3)</f>
        <v>0</v>
      </c>
      <c r="AB3" s="30">
        <f>AA3*I3/100</f>
        <v>0</v>
      </c>
      <c r="AC3" s="60">
        <v>8.4</v>
      </c>
      <c r="AD3" s="44"/>
      <c r="AE3" s="28"/>
      <c r="AF3" s="28"/>
      <c r="AG3" s="29"/>
      <c r="AH3" s="48"/>
      <c r="AI3" s="41">
        <f t="shared" ref="AI3:AI34" si="0">AF3+AA3+V3+Q3+L3</f>
        <v>0</v>
      </c>
      <c r="AJ3" s="34">
        <f t="shared" ref="AJ3:AJ34" si="1">AG3*AH3+AB3*AC3+W3*X3+R3*S3+M3*N3</f>
        <v>0</v>
      </c>
      <c r="AM3" s="2" t="s">
        <v>259</v>
      </c>
    </row>
    <row r="4" spans="1:39" x14ac:dyDescent="0.25">
      <c r="A4" s="25" t="s">
        <v>16</v>
      </c>
      <c r="B4" s="17" t="s">
        <v>17</v>
      </c>
      <c r="C4" s="17" t="s">
        <v>18</v>
      </c>
      <c r="D4" s="17" t="s">
        <v>19</v>
      </c>
      <c r="E4" s="18" t="s">
        <v>20</v>
      </c>
      <c r="F4" s="17" t="s">
        <v>14</v>
      </c>
      <c r="G4" s="17">
        <v>20</v>
      </c>
      <c r="H4" s="17" t="s">
        <v>15</v>
      </c>
      <c r="I4" s="39">
        <v>6.5</v>
      </c>
      <c r="J4" s="25">
        <v>145</v>
      </c>
      <c r="K4" s="17">
        <f>J4-G4</f>
        <v>125</v>
      </c>
      <c r="L4" s="17">
        <f>IF(K4&lt;0,0,J4-G4)</f>
        <v>125</v>
      </c>
      <c r="M4" s="20">
        <f>L4*I4/100</f>
        <v>8.125</v>
      </c>
      <c r="N4" s="57">
        <v>8.4</v>
      </c>
      <c r="O4" s="25">
        <v>4</v>
      </c>
      <c r="P4" s="17">
        <f>O4-G4</f>
        <v>-16</v>
      </c>
      <c r="Q4" s="17">
        <f>IF(P4&lt;0,0,O4-G4)</f>
        <v>0</v>
      </c>
      <c r="R4" s="20">
        <f>Q4*I4/100</f>
        <v>0</v>
      </c>
      <c r="S4" s="57">
        <v>8.4</v>
      </c>
      <c r="T4" s="45"/>
      <c r="U4" s="18"/>
      <c r="V4" s="18"/>
      <c r="W4" s="19"/>
      <c r="X4" s="58"/>
      <c r="Y4" s="45"/>
      <c r="Z4" s="18"/>
      <c r="AA4" s="18"/>
      <c r="AB4" s="19"/>
      <c r="AC4" s="58"/>
      <c r="AD4" s="45"/>
      <c r="AE4" s="18"/>
      <c r="AF4" s="18"/>
      <c r="AG4" s="19"/>
      <c r="AH4" s="50"/>
      <c r="AI4" s="42">
        <f t="shared" si="0"/>
        <v>125</v>
      </c>
      <c r="AJ4" s="35">
        <f t="shared" si="1"/>
        <v>68.25</v>
      </c>
      <c r="AM4" s="3" t="s">
        <v>260</v>
      </c>
    </row>
    <row r="5" spans="1:39" x14ac:dyDescent="0.25">
      <c r="A5" s="25" t="s">
        <v>21</v>
      </c>
      <c r="B5" s="17" t="s">
        <v>10</v>
      </c>
      <c r="C5" s="17" t="s">
        <v>22</v>
      </c>
      <c r="D5" s="17" t="s">
        <v>19</v>
      </c>
      <c r="E5" s="17" t="s">
        <v>23</v>
      </c>
      <c r="F5" s="17" t="s">
        <v>14</v>
      </c>
      <c r="G5" s="17">
        <v>20</v>
      </c>
      <c r="H5" s="17" t="s">
        <v>15</v>
      </c>
      <c r="I5" s="39">
        <v>11</v>
      </c>
      <c r="J5" s="25">
        <v>16</v>
      </c>
      <c r="K5" s="17">
        <f>J5-G5</f>
        <v>-4</v>
      </c>
      <c r="L5" s="17">
        <f>IF(K5&lt;0,0,J5-G5)</f>
        <v>0</v>
      </c>
      <c r="M5" s="20">
        <f>L5*I5/100</f>
        <v>0</v>
      </c>
      <c r="N5" s="57">
        <v>8.4</v>
      </c>
      <c r="O5" s="25">
        <v>14</v>
      </c>
      <c r="P5" s="17">
        <f>O5-G5</f>
        <v>-6</v>
      </c>
      <c r="Q5" s="17">
        <f>IF(P5&lt;0,0,O5-G5)</f>
        <v>0</v>
      </c>
      <c r="R5" s="20">
        <f>Q5*I5/100</f>
        <v>0</v>
      </c>
      <c r="S5" s="57">
        <v>8.4</v>
      </c>
      <c r="T5" s="25">
        <v>0</v>
      </c>
      <c r="U5" s="17">
        <f t="shared" ref="U5:U11" si="2">T5-G5</f>
        <v>-20</v>
      </c>
      <c r="V5" s="17">
        <f t="shared" ref="V5:V11" si="3">IF(U5&lt;0,0,T5-G5)</f>
        <v>0</v>
      </c>
      <c r="W5" s="20">
        <f t="shared" ref="W5:W11" si="4">V5*I5/100</f>
        <v>0</v>
      </c>
      <c r="X5" s="57">
        <v>8.4</v>
      </c>
      <c r="Y5" s="25">
        <v>0</v>
      </c>
      <c r="Z5" s="17">
        <f t="shared" ref="Z5:Z11" si="5">Y5-G5</f>
        <v>-20</v>
      </c>
      <c r="AA5" s="17">
        <f t="shared" ref="AA5:AA11" si="6">IF(Z5&lt;0,0,Y5-G5)</f>
        <v>0</v>
      </c>
      <c r="AB5" s="20">
        <f t="shared" ref="AB5:AB11" si="7">AA5*I5/100</f>
        <v>0</v>
      </c>
      <c r="AC5" s="57">
        <v>8.4</v>
      </c>
      <c r="AD5" s="25">
        <v>0</v>
      </c>
      <c r="AE5" s="17">
        <f t="shared" ref="AE5:AE11" si="8">AD5-G5</f>
        <v>-20</v>
      </c>
      <c r="AF5" s="17">
        <f t="shared" ref="AF5:AF11" si="9">IF(AE5&lt;0,0,AD5-G5)</f>
        <v>0</v>
      </c>
      <c r="AG5" s="20">
        <f t="shared" ref="AG5:AG11" si="10">AF5*I5/100</f>
        <v>0</v>
      </c>
      <c r="AH5" s="49">
        <v>8.4</v>
      </c>
      <c r="AI5" s="42">
        <f t="shared" si="0"/>
        <v>0</v>
      </c>
      <c r="AJ5" s="35">
        <f t="shared" si="1"/>
        <v>0</v>
      </c>
      <c r="AM5" s="1" t="s">
        <v>261</v>
      </c>
    </row>
    <row r="6" spans="1:39" x14ac:dyDescent="0.25">
      <c r="A6" s="25" t="s">
        <v>24</v>
      </c>
      <c r="B6" s="17" t="s">
        <v>10</v>
      </c>
      <c r="C6" s="17" t="s">
        <v>11</v>
      </c>
      <c r="D6" s="17" t="s">
        <v>19</v>
      </c>
      <c r="E6" s="18" t="s">
        <v>25</v>
      </c>
      <c r="F6" s="17" t="s">
        <v>14</v>
      </c>
      <c r="G6" s="17">
        <v>20</v>
      </c>
      <c r="H6" s="17" t="s">
        <v>15</v>
      </c>
      <c r="I6" s="39">
        <v>6.5</v>
      </c>
      <c r="J6" s="25">
        <v>11</v>
      </c>
      <c r="K6" s="17">
        <f>J6-G6</f>
        <v>-9</v>
      </c>
      <c r="L6" s="17">
        <f>IF(K6&lt;0,0,J6-G6)</f>
        <v>0</v>
      </c>
      <c r="M6" s="20">
        <f>L6*I6/100</f>
        <v>0</v>
      </c>
      <c r="N6" s="57">
        <v>8.4</v>
      </c>
      <c r="O6" s="25">
        <v>39</v>
      </c>
      <c r="P6" s="17">
        <f>O6-G6</f>
        <v>19</v>
      </c>
      <c r="Q6" s="17">
        <f>IF(P6&lt;0,0,O6-G6)</f>
        <v>19</v>
      </c>
      <c r="R6" s="20">
        <f>Q6*I6/100</f>
        <v>1.2350000000000001</v>
      </c>
      <c r="S6" s="57">
        <v>8.4</v>
      </c>
      <c r="T6" s="25">
        <v>476</v>
      </c>
      <c r="U6" s="17">
        <f t="shared" si="2"/>
        <v>456</v>
      </c>
      <c r="V6" s="17">
        <f t="shared" si="3"/>
        <v>456</v>
      </c>
      <c r="W6" s="20">
        <f t="shared" si="4"/>
        <v>29.64</v>
      </c>
      <c r="X6" s="57">
        <v>8.4</v>
      </c>
      <c r="Y6" s="25">
        <v>71</v>
      </c>
      <c r="Z6" s="17">
        <f t="shared" si="5"/>
        <v>51</v>
      </c>
      <c r="AA6" s="17">
        <f t="shared" si="6"/>
        <v>51</v>
      </c>
      <c r="AB6" s="20">
        <f t="shared" si="7"/>
        <v>3.3149999999999999</v>
      </c>
      <c r="AC6" s="57">
        <v>8.4</v>
      </c>
      <c r="AD6" s="25">
        <v>0</v>
      </c>
      <c r="AE6" s="17">
        <f t="shared" si="8"/>
        <v>-20</v>
      </c>
      <c r="AF6" s="17">
        <f t="shared" si="9"/>
        <v>0</v>
      </c>
      <c r="AG6" s="20">
        <f t="shared" si="10"/>
        <v>0</v>
      </c>
      <c r="AH6" s="49">
        <v>8.4</v>
      </c>
      <c r="AI6" s="42">
        <f t="shared" si="0"/>
        <v>526</v>
      </c>
      <c r="AJ6" s="35">
        <f t="shared" si="1"/>
        <v>287.19600000000003</v>
      </c>
      <c r="AM6" s="4" t="s">
        <v>262</v>
      </c>
    </row>
    <row r="7" spans="1:39" x14ac:dyDescent="0.25">
      <c r="A7" s="25" t="s">
        <v>26</v>
      </c>
      <c r="B7" s="17" t="s">
        <v>10</v>
      </c>
      <c r="C7" s="17" t="s">
        <v>11</v>
      </c>
      <c r="D7" s="17" t="s">
        <v>19</v>
      </c>
      <c r="E7" s="17" t="s">
        <v>27</v>
      </c>
      <c r="F7" s="17" t="s">
        <v>14</v>
      </c>
      <c r="G7" s="17">
        <v>20</v>
      </c>
      <c r="H7" s="17" t="s">
        <v>15</v>
      </c>
      <c r="I7" s="39">
        <v>6.5</v>
      </c>
      <c r="J7" s="25">
        <v>52</v>
      </c>
      <c r="K7" s="17">
        <f>J7-G7</f>
        <v>32</v>
      </c>
      <c r="L7" s="17">
        <f>IF(K7&lt;0,0,J7-G7)</f>
        <v>32</v>
      </c>
      <c r="M7" s="20">
        <f>L7*I7/100</f>
        <v>2.08</v>
      </c>
      <c r="N7" s="57">
        <v>8.4</v>
      </c>
      <c r="O7" s="25">
        <v>20</v>
      </c>
      <c r="P7" s="17">
        <f>O7-G7</f>
        <v>0</v>
      </c>
      <c r="Q7" s="17">
        <f>IF(P7&lt;0,0,O7-G7)</f>
        <v>0</v>
      </c>
      <c r="R7" s="20">
        <f>Q7*I7/100</f>
        <v>0</v>
      </c>
      <c r="S7" s="57">
        <v>8.4</v>
      </c>
      <c r="T7" s="25">
        <v>51</v>
      </c>
      <c r="U7" s="17">
        <f t="shared" si="2"/>
        <v>31</v>
      </c>
      <c r="V7" s="17">
        <f t="shared" si="3"/>
        <v>31</v>
      </c>
      <c r="W7" s="20">
        <f t="shared" si="4"/>
        <v>2.0150000000000001</v>
      </c>
      <c r="X7" s="57">
        <v>8.4</v>
      </c>
      <c r="Y7" s="25">
        <v>389</v>
      </c>
      <c r="Z7" s="17">
        <f t="shared" si="5"/>
        <v>369</v>
      </c>
      <c r="AA7" s="17">
        <f t="shared" si="6"/>
        <v>369</v>
      </c>
      <c r="AB7" s="20">
        <f t="shared" si="7"/>
        <v>23.984999999999999</v>
      </c>
      <c r="AC7" s="57">
        <v>8.4</v>
      </c>
      <c r="AD7" s="25">
        <v>4</v>
      </c>
      <c r="AE7" s="17">
        <f t="shared" si="8"/>
        <v>-16</v>
      </c>
      <c r="AF7" s="17">
        <f t="shared" si="9"/>
        <v>0</v>
      </c>
      <c r="AG7" s="20">
        <f t="shared" si="10"/>
        <v>0</v>
      </c>
      <c r="AH7" s="49">
        <v>8.4</v>
      </c>
      <c r="AI7" s="42">
        <f t="shared" si="0"/>
        <v>432</v>
      </c>
      <c r="AJ7" s="35">
        <f t="shared" si="1"/>
        <v>235.87199999999999</v>
      </c>
      <c r="AM7" s="5" t="s">
        <v>263</v>
      </c>
    </row>
    <row r="8" spans="1:39" x14ac:dyDescent="0.25">
      <c r="A8" s="25" t="s">
        <v>28</v>
      </c>
      <c r="B8" s="17" t="s">
        <v>17</v>
      </c>
      <c r="C8" s="17" t="s">
        <v>18</v>
      </c>
      <c r="D8" s="17" t="s">
        <v>19</v>
      </c>
      <c r="E8" s="18" t="s">
        <v>20</v>
      </c>
      <c r="F8" s="17" t="s">
        <v>14</v>
      </c>
      <c r="G8" s="17">
        <v>20</v>
      </c>
      <c r="H8" s="17" t="s">
        <v>15</v>
      </c>
      <c r="I8" s="39">
        <v>6.5</v>
      </c>
      <c r="J8" s="45"/>
      <c r="K8" s="18"/>
      <c r="L8" s="18"/>
      <c r="M8" s="19"/>
      <c r="N8" s="58"/>
      <c r="O8" s="45"/>
      <c r="P8" s="18"/>
      <c r="Q8" s="18"/>
      <c r="R8" s="19"/>
      <c r="S8" s="58"/>
      <c r="T8" s="25">
        <v>22</v>
      </c>
      <c r="U8" s="17">
        <f t="shared" si="2"/>
        <v>2</v>
      </c>
      <c r="V8" s="17">
        <f t="shared" si="3"/>
        <v>2</v>
      </c>
      <c r="W8" s="20">
        <f t="shared" si="4"/>
        <v>0.13</v>
      </c>
      <c r="X8" s="57">
        <v>8.4</v>
      </c>
      <c r="Y8" s="25">
        <v>0</v>
      </c>
      <c r="Z8" s="17">
        <f t="shared" si="5"/>
        <v>-20</v>
      </c>
      <c r="AA8" s="17">
        <f t="shared" si="6"/>
        <v>0</v>
      </c>
      <c r="AB8" s="20">
        <f t="shared" si="7"/>
        <v>0</v>
      </c>
      <c r="AC8" s="57">
        <v>8.4</v>
      </c>
      <c r="AD8" s="25">
        <v>0</v>
      </c>
      <c r="AE8" s="17">
        <f t="shared" si="8"/>
        <v>-20</v>
      </c>
      <c r="AF8" s="17">
        <f t="shared" si="9"/>
        <v>0</v>
      </c>
      <c r="AG8" s="20">
        <f t="shared" si="10"/>
        <v>0</v>
      </c>
      <c r="AH8" s="49">
        <v>8.4</v>
      </c>
      <c r="AI8" s="42">
        <f t="shared" si="0"/>
        <v>2</v>
      </c>
      <c r="AJ8" s="35">
        <f t="shared" si="1"/>
        <v>1.0920000000000001</v>
      </c>
      <c r="AM8" s="6" t="s">
        <v>264</v>
      </c>
    </row>
    <row r="9" spans="1:39" x14ac:dyDescent="0.25">
      <c r="A9" s="25" t="s">
        <v>29</v>
      </c>
      <c r="B9" s="17" t="s">
        <v>10</v>
      </c>
      <c r="C9" s="17" t="s">
        <v>11</v>
      </c>
      <c r="D9" s="17" t="s">
        <v>19</v>
      </c>
      <c r="E9" s="17" t="s">
        <v>30</v>
      </c>
      <c r="F9" s="17" t="s">
        <v>14</v>
      </c>
      <c r="G9" s="17">
        <v>20</v>
      </c>
      <c r="H9" s="17" t="s">
        <v>15</v>
      </c>
      <c r="I9" s="39">
        <v>6.5</v>
      </c>
      <c r="J9" s="25">
        <v>21</v>
      </c>
      <c r="K9" s="17">
        <f>J9-G9</f>
        <v>1</v>
      </c>
      <c r="L9" s="17">
        <f>IF(K9&lt;0,0,J9-G9)</f>
        <v>1</v>
      </c>
      <c r="M9" s="20">
        <f>L9*I9/100</f>
        <v>6.5000000000000002E-2</v>
      </c>
      <c r="N9" s="57">
        <v>8.4</v>
      </c>
      <c r="O9" s="25">
        <v>20</v>
      </c>
      <c r="P9" s="17">
        <f t="shared" ref="P9:P19" si="11">O9-G9</f>
        <v>0</v>
      </c>
      <c r="Q9" s="17">
        <f t="shared" ref="Q9:Q19" si="12">IF(P9&lt;0,0,O9-G9)</f>
        <v>0</v>
      </c>
      <c r="R9" s="20">
        <f t="shared" ref="R9:R19" si="13">Q9*I9/100</f>
        <v>0</v>
      </c>
      <c r="S9" s="57">
        <v>8.4</v>
      </c>
      <c r="T9" s="25">
        <v>20</v>
      </c>
      <c r="U9" s="17">
        <f t="shared" si="2"/>
        <v>0</v>
      </c>
      <c r="V9" s="17">
        <f t="shared" si="3"/>
        <v>0</v>
      </c>
      <c r="W9" s="20">
        <f t="shared" si="4"/>
        <v>0</v>
      </c>
      <c r="X9" s="57">
        <v>8.4</v>
      </c>
      <c r="Y9" s="25">
        <v>17</v>
      </c>
      <c r="Z9" s="17">
        <f t="shared" si="5"/>
        <v>-3</v>
      </c>
      <c r="AA9" s="17">
        <f t="shared" si="6"/>
        <v>0</v>
      </c>
      <c r="AB9" s="20">
        <f t="shared" si="7"/>
        <v>0</v>
      </c>
      <c r="AC9" s="57">
        <v>8.4</v>
      </c>
      <c r="AD9" s="25">
        <v>18</v>
      </c>
      <c r="AE9" s="17">
        <f t="shared" si="8"/>
        <v>-2</v>
      </c>
      <c r="AF9" s="17">
        <f t="shared" si="9"/>
        <v>0</v>
      </c>
      <c r="AG9" s="20">
        <f t="shared" si="10"/>
        <v>0</v>
      </c>
      <c r="AH9" s="49">
        <v>8.4</v>
      </c>
      <c r="AI9" s="42">
        <f t="shared" si="0"/>
        <v>1</v>
      </c>
      <c r="AJ9" s="35">
        <f t="shared" si="1"/>
        <v>0.54600000000000004</v>
      </c>
    </row>
    <row r="10" spans="1:39" x14ac:dyDescent="0.25">
      <c r="A10" s="25" t="s">
        <v>31</v>
      </c>
      <c r="B10" s="17" t="s">
        <v>32</v>
      </c>
      <c r="C10" s="17" t="s">
        <v>33</v>
      </c>
      <c r="D10" s="17" t="s">
        <v>19</v>
      </c>
      <c r="E10" s="17" t="s">
        <v>34</v>
      </c>
      <c r="F10" s="17" t="s">
        <v>14</v>
      </c>
      <c r="G10" s="17">
        <v>20</v>
      </c>
      <c r="H10" s="17" t="s">
        <v>15</v>
      </c>
      <c r="I10" s="39">
        <v>9</v>
      </c>
      <c r="J10" s="25">
        <v>20</v>
      </c>
      <c r="K10" s="17">
        <f>J10-G10</f>
        <v>0</v>
      </c>
      <c r="L10" s="17">
        <f>IF(K10&lt;0,0,J10-G10)</f>
        <v>0</v>
      </c>
      <c r="M10" s="20">
        <f>L10*I10/100</f>
        <v>0</v>
      </c>
      <c r="N10" s="57">
        <v>8.4</v>
      </c>
      <c r="O10" s="25">
        <v>23</v>
      </c>
      <c r="P10" s="17">
        <f t="shared" si="11"/>
        <v>3</v>
      </c>
      <c r="Q10" s="17">
        <f t="shared" si="12"/>
        <v>3</v>
      </c>
      <c r="R10" s="20">
        <f t="shared" si="13"/>
        <v>0.27</v>
      </c>
      <c r="S10" s="57">
        <v>8.4</v>
      </c>
      <c r="T10" s="25">
        <v>2</v>
      </c>
      <c r="U10" s="17">
        <f t="shared" si="2"/>
        <v>-18</v>
      </c>
      <c r="V10" s="17">
        <f t="shared" si="3"/>
        <v>0</v>
      </c>
      <c r="W10" s="20">
        <f t="shared" si="4"/>
        <v>0</v>
      </c>
      <c r="X10" s="57">
        <v>8.4</v>
      </c>
      <c r="Y10" s="25">
        <v>11</v>
      </c>
      <c r="Z10" s="17">
        <f t="shared" si="5"/>
        <v>-9</v>
      </c>
      <c r="AA10" s="17">
        <f t="shared" si="6"/>
        <v>0</v>
      </c>
      <c r="AB10" s="20">
        <f t="shared" si="7"/>
        <v>0</v>
      </c>
      <c r="AC10" s="57">
        <v>8.4</v>
      </c>
      <c r="AD10" s="25">
        <v>22</v>
      </c>
      <c r="AE10" s="17">
        <f t="shared" si="8"/>
        <v>2</v>
      </c>
      <c r="AF10" s="17">
        <f t="shared" si="9"/>
        <v>2</v>
      </c>
      <c r="AG10" s="20">
        <f t="shared" si="10"/>
        <v>0.18</v>
      </c>
      <c r="AH10" s="49">
        <v>8.4</v>
      </c>
      <c r="AI10" s="42">
        <f t="shared" si="0"/>
        <v>5</v>
      </c>
      <c r="AJ10" s="35">
        <f t="shared" si="1"/>
        <v>3.7800000000000002</v>
      </c>
    </row>
    <row r="11" spans="1:39" x14ac:dyDescent="0.25">
      <c r="A11" s="25" t="s">
        <v>35</v>
      </c>
      <c r="B11" s="17" t="s">
        <v>17</v>
      </c>
      <c r="C11" s="17" t="s">
        <v>36</v>
      </c>
      <c r="D11" s="17" t="s">
        <v>12</v>
      </c>
      <c r="E11" s="17" t="s">
        <v>37</v>
      </c>
      <c r="F11" s="17" t="s">
        <v>14</v>
      </c>
      <c r="G11" s="17">
        <v>20</v>
      </c>
      <c r="H11" s="17" t="s">
        <v>38</v>
      </c>
      <c r="I11" s="39">
        <v>6.5</v>
      </c>
      <c r="J11" s="25">
        <v>0</v>
      </c>
      <c r="K11" s="17">
        <f>J11-G11</f>
        <v>-20</v>
      </c>
      <c r="L11" s="17">
        <f>IF(K11&lt;0,0,J11-G11)</f>
        <v>0</v>
      </c>
      <c r="M11" s="20">
        <f>L11*I11/100</f>
        <v>0</v>
      </c>
      <c r="N11" s="57">
        <v>7.3</v>
      </c>
      <c r="O11" s="25">
        <v>6</v>
      </c>
      <c r="P11" s="17">
        <f t="shared" si="11"/>
        <v>-14</v>
      </c>
      <c r="Q11" s="17">
        <f t="shared" si="12"/>
        <v>0</v>
      </c>
      <c r="R11" s="20">
        <f t="shared" si="13"/>
        <v>0</v>
      </c>
      <c r="S11" s="57">
        <v>7.2</v>
      </c>
      <c r="T11" s="25">
        <v>0</v>
      </c>
      <c r="U11" s="17">
        <f t="shared" si="2"/>
        <v>-20</v>
      </c>
      <c r="V11" s="17">
        <f t="shared" si="3"/>
        <v>0</v>
      </c>
      <c r="W11" s="20">
        <f t="shared" si="4"/>
        <v>0</v>
      </c>
      <c r="X11" s="57">
        <v>7.2</v>
      </c>
      <c r="Y11" s="25">
        <v>0</v>
      </c>
      <c r="Z11" s="17">
        <f t="shared" si="5"/>
        <v>-20</v>
      </c>
      <c r="AA11" s="17">
        <f t="shared" si="6"/>
        <v>0</v>
      </c>
      <c r="AB11" s="20">
        <f t="shared" si="7"/>
        <v>0</v>
      </c>
      <c r="AC11" s="57">
        <v>7.2</v>
      </c>
      <c r="AD11" s="25">
        <v>0</v>
      </c>
      <c r="AE11" s="17">
        <f t="shared" si="8"/>
        <v>-20</v>
      </c>
      <c r="AF11" s="17">
        <f t="shared" si="9"/>
        <v>0</v>
      </c>
      <c r="AG11" s="20">
        <f t="shared" si="10"/>
        <v>0</v>
      </c>
      <c r="AH11" s="49">
        <v>7.2</v>
      </c>
      <c r="AI11" s="42">
        <f t="shared" si="0"/>
        <v>0</v>
      </c>
      <c r="AJ11" s="35">
        <f t="shared" si="1"/>
        <v>0</v>
      </c>
    </row>
    <row r="12" spans="1:39" x14ac:dyDescent="0.25">
      <c r="A12" s="25" t="s">
        <v>39</v>
      </c>
      <c r="B12" s="17" t="s">
        <v>17</v>
      </c>
      <c r="C12" s="17" t="s">
        <v>18</v>
      </c>
      <c r="D12" s="17" t="s">
        <v>12</v>
      </c>
      <c r="E12" s="18" t="s">
        <v>40</v>
      </c>
      <c r="F12" s="17" t="s">
        <v>14</v>
      </c>
      <c r="G12" s="17">
        <v>20</v>
      </c>
      <c r="H12" s="17" t="s">
        <v>15</v>
      </c>
      <c r="I12" s="39">
        <v>6.5</v>
      </c>
      <c r="J12" s="45"/>
      <c r="K12" s="18"/>
      <c r="L12" s="18"/>
      <c r="M12" s="19"/>
      <c r="N12" s="58"/>
      <c r="O12" s="25">
        <v>0</v>
      </c>
      <c r="P12" s="17">
        <f t="shared" si="11"/>
        <v>-20</v>
      </c>
      <c r="Q12" s="17">
        <f t="shared" si="12"/>
        <v>0</v>
      </c>
      <c r="R12" s="20">
        <f t="shared" si="13"/>
        <v>0</v>
      </c>
      <c r="S12" s="57">
        <v>8.4</v>
      </c>
      <c r="T12" s="45"/>
      <c r="U12" s="18"/>
      <c r="V12" s="18"/>
      <c r="W12" s="19"/>
      <c r="X12" s="58"/>
      <c r="Y12" s="45"/>
      <c r="Z12" s="18"/>
      <c r="AA12" s="18"/>
      <c r="AB12" s="19"/>
      <c r="AC12" s="58"/>
      <c r="AD12" s="45"/>
      <c r="AE12" s="18"/>
      <c r="AF12" s="18"/>
      <c r="AG12" s="19"/>
      <c r="AH12" s="50"/>
      <c r="AI12" s="42">
        <f t="shared" si="0"/>
        <v>0</v>
      </c>
      <c r="AJ12" s="35">
        <f t="shared" si="1"/>
        <v>0</v>
      </c>
      <c r="AM12" s="1" t="s">
        <v>265</v>
      </c>
    </row>
    <row r="13" spans="1:39" x14ac:dyDescent="0.25">
      <c r="A13" s="25" t="s">
        <v>41</v>
      </c>
      <c r="B13" s="17" t="s">
        <v>32</v>
      </c>
      <c r="C13" s="17">
        <v>308</v>
      </c>
      <c r="D13" s="17" t="s">
        <v>12</v>
      </c>
      <c r="E13" s="17" t="s">
        <v>42</v>
      </c>
      <c r="F13" s="17" t="s">
        <v>14</v>
      </c>
      <c r="G13" s="17">
        <v>700</v>
      </c>
      <c r="H13" s="17" t="s">
        <v>15</v>
      </c>
      <c r="I13" s="39">
        <v>6.5</v>
      </c>
      <c r="J13" s="25">
        <v>40</v>
      </c>
      <c r="K13" s="17">
        <f>J13-G13</f>
        <v>-660</v>
      </c>
      <c r="L13" s="17">
        <f>IF(K13&lt;0,0,J13-G13)</f>
        <v>0</v>
      </c>
      <c r="M13" s="20">
        <f>L13*I13/100</f>
        <v>0</v>
      </c>
      <c r="N13" s="57">
        <v>8.4</v>
      </c>
      <c r="O13" s="25">
        <v>26</v>
      </c>
      <c r="P13" s="17">
        <f t="shared" si="11"/>
        <v>-674</v>
      </c>
      <c r="Q13" s="17">
        <f t="shared" si="12"/>
        <v>0</v>
      </c>
      <c r="R13" s="20">
        <f t="shared" si="13"/>
        <v>0</v>
      </c>
      <c r="S13" s="57">
        <v>8.4</v>
      </c>
      <c r="T13" s="25">
        <v>77</v>
      </c>
      <c r="U13" s="17">
        <f t="shared" ref="U13:U20" si="14">T13-G13</f>
        <v>-623</v>
      </c>
      <c r="V13" s="17">
        <f t="shared" ref="V13:V20" si="15">IF(U13&lt;0,0,T13-G13)</f>
        <v>0</v>
      </c>
      <c r="W13" s="20">
        <f t="shared" ref="W13:W20" si="16">V13*I13/100</f>
        <v>0</v>
      </c>
      <c r="X13" s="57">
        <v>8.4</v>
      </c>
      <c r="Y13" s="25">
        <v>90</v>
      </c>
      <c r="Z13" s="17">
        <f>Y13-G13</f>
        <v>-610</v>
      </c>
      <c r="AA13" s="17">
        <f>IF(Z13&lt;0,0,Y13-G13)</f>
        <v>0</v>
      </c>
      <c r="AB13" s="20">
        <f>AA13*I13/100</f>
        <v>0</v>
      </c>
      <c r="AC13" s="57">
        <v>8.4</v>
      </c>
      <c r="AD13" s="25">
        <v>131</v>
      </c>
      <c r="AE13" s="17">
        <f t="shared" ref="AE13:AE20" si="17">AD13-G13</f>
        <v>-569</v>
      </c>
      <c r="AF13" s="17">
        <f t="shared" ref="AF13:AF20" si="18">IF(AE13&lt;0,0,AD13-G13)</f>
        <v>0</v>
      </c>
      <c r="AG13" s="20">
        <f t="shared" ref="AG13:AG20" si="19">AF13*I13/100</f>
        <v>0</v>
      </c>
      <c r="AH13" s="49">
        <v>8.4</v>
      </c>
      <c r="AI13" s="42">
        <f t="shared" si="0"/>
        <v>0</v>
      </c>
      <c r="AJ13" s="35">
        <f t="shared" si="1"/>
        <v>0</v>
      </c>
      <c r="AM13" s="1" t="s">
        <v>266</v>
      </c>
    </row>
    <row r="14" spans="1:39" x14ac:dyDescent="0.25">
      <c r="A14" s="25" t="s">
        <v>43</v>
      </c>
      <c r="B14" s="17" t="s">
        <v>17</v>
      </c>
      <c r="C14" s="17" t="s">
        <v>18</v>
      </c>
      <c r="D14" s="17" t="s">
        <v>12</v>
      </c>
      <c r="E14" s="17" t="s">
        <v>44</v>
      </c>
      <c r="F14" s="17" t="s">
        <v>14</v>
      </c>
      <c r="G14" s="17">
        <v>20</v>
      </c>
      <c r="H14" s="17" t="s">
        <v>15</v>
      </c>
      <c r="I14" s="39">
        <v>6.5</v>
      </c>
      <c r="J14" s="25">
        <v>0</v>
      </c>
      <c r="K14" s="17">
        <f>J14-G14</f>
        <v>-20</v>
      </c>
      <c r="L14" s="17">
        <f>IF(K14&lt;0,0,J14-G14)</f>
        <v>0</v>
      </c>
      <c r="M14" s="20">
        <f>L14*I14/100</f>
        <v>0</v>
      </c>
      <c r="N14" s="57">
        <v>8.4</v>
      </c>
      <c r="O14" s="25">
        <v>0</v>
      </c>
      <c r="P14" s="17">
        <f t="shared" si="11"/>
        <v>-20</v>
      </c>
      <c r="Q14" s="17">
        <f t="shared" si="12"/>
        <v>0</v>
      </c>
      <c r="R14" s="20">
        <f t="shared" si="13"/>
        <v>0</v>
      </c>
      <c r="S14" s="57">
        <v>8.4</v>
      </c>
      <c r="T14" s="25">
        <v>0</v>
      </c>
      <c r="U14" s="17">
        <f t="shared" si="14"/>
        <v>-20</v>
      </c>
      <c r="V14" s="17">
        <f t="shared" si="15"/>
        <v>0</v>
      </c>
      <c r="W14" s="20">
        <f t="shared" si="16"/>
        <v>0</v>
      </c>
      <c r="X14" s="57">
        <v>8.4</v>
      </c>
      <c r="Y14" s="25">
        <v>0</v>
      </c>
      <c r="Z14" s="17">
        <f>Y14-G14</f>
        <v>-20</v>
      </c>
      <c r="AA14" s="17">
        <f>IF(Z14&lt;0,0,Y14-G14)</f>
        <v>0</v>
      </c>
      <c r="AB14" s="20">
        <f>AA14*I14/100</f>
        <v>0</v>
      </c>
      <c r="AC14" s="57">
        <v>8.4</v>
      </c>
      <c r="AD14" s="25">
        <v>0</v>
      </c>
      <c r="AE14" s="17">
        <f t="shared" si="17"/>
        <v>-20</v>
      </c>
      <c r="AF14" s="17">
        <f t="shared" si="18"/>
        <v>0</v>
      </c>
      <c r="AG14" s="20">
        <f t="shared" si="19"/>
        <v>0</v>
      </c>
      <c r="AH14" s="49">
        <v>8.4</v>
      </c>
      <c r="AI14" s="42">
        <f t="shared" si="0"/>
        <v>0</v>
      </c>
      <c r="AJ14" s="35">
        <f t="shared" si="1"/>
        <v>0</v>
      </c>
      <c r="AM14" s="1" t="s">
        <v>267</v>
      </c>
    </row>
    <row r="15" spans="1:39" x14ac:dyDescent="0.25">
      <c r="A15" s="25" t="s">
        <v>45</v>
      </c>
      <c r="B15" s="17" t="s">
        <v>32</v>
      </c>
      <c r="C15" s="17">
        <v>308</v>
      </c>
      <c r="D15" s="17" t="s">
        <v>12</v>
      </c>
      <c r="E15" s="17" t="s">
        <v>46</v>
      </c>
      <c r="F15" s="17" t="s">
        <v>14</v>
      </c>
      <c r="G15" s="17">
        <v>20</v>
      </c>
      <c r="H15" s="17" t="s">
        <v>15</v>
      </c>
      <c r="I15" s="39">
        <v>6.5</v>
      </c>
      <c r="J15" s="25">
        <v>25</v>
      </c>
      <c r="K15" s="17">
        <f>J15-G15</f>
        <v>5</v>
      </c>
      <c r="L15" s="17">
        <f>IF(K15&lt;0,0,J15-G15)</f>
        <v>5</v>
      </c>
      <c r="M15" s="20">
        <f>L15*I15/100</f>
        <v>0.32500000000000001</v>
      </c>
      <c r="N15" s="57">
        <v>8.4</v>
      </c>
      <c r="O15" s="25">
        <v>0</v>
      </c>
      <c r="P15" s="17">
        <f t="shared" si="11"/>
        <v>-20</v>
      </c>
      <c r="Q15" s="17">
        <f t="shared" si="12"/>
        <v>0</v>
      </c>
      <c r="R15" s="20">
        <f t="shared" si="13"/>
        <v>0</v>
      </c>
      <c r="S15" s="57">
        <v>8.4</v>
      </c>
      <c r="T15" s="25">
        <v>0</v>
      </c>
      <c r="U15" s="17">
        <f t="shared" si="14"/>
        <v>-20</v>
      </c>
      <c r="V15" s="17">
        <f t="shared" si="15"/>
        <v>0</v>
      </c>
      <c r="W15" s="20">
        <f t="shared" si="16"/>
        <v>0</v>
      </c>
      <c r="X15" s="57">
        <v>8.4</v>
      </c>
      <c r="Y15" s="25">
        <v>0</v>
      </c>
      <c r="Z15" s="17">
        <f>Y15-G15</f>
        <v>-20</v>
      </c>
      <c r="AA15" s="17">
        <f>IF(Z15&lt;0,0,Y15-G15)</f>
        <v>0</v>
      </c>
      <c r="AB15" s="20">
        <f>AA15*I15/100</f>
        <v>0</v>
      </c>
      <c r="AC15" s="57">
        <v>8.4</v>
      </c>
      <c r="AD15" s="25">
        <v>1</v>
      </c>
      <c r="AE15" s="17">
        <f t="shared" si="17"/>
        <v>-19</v>
      </c>
      <c r="AF15" s="17">
        <f t="shared" si="18"/>
        <v>0</v>
      </c>
      <c r="AG15" s="20">
        <f t="shared" si="19"/>
        <v>0</v>
      </c>
      <c r="AH15" s="49">
        <v>8.4</v>
      </c>
      <c r="AI15" s="42">
        <f t="shared" si="0"/>
        <v>5</v>
      </c>
      <c r="AJ15" s="35">
        <f t="shared" si="1"/>
        <v>2.7300000000000004</v>
      </c>
      <c r="AM15" s="1" t="s">
        <v>268</v>
      </c>
    </row>
    <row r="16" spans="1:39" x14ac:dyDescent="0.25">
      <c r="A16" s="25" t="s">
        <v>47</v>
      </c>
      <c r="B16" s="17" t="s">
        <v>32</v>
      </c>
      <c r="C16" s="17">
        <v>308</v>
      </c>
      <c r="D16" s="17" t="s">
        <v>12</v>
      </c>
      <c r="E16" s="17" t="s">
        <v>48</v>
      </c>
      <c r="F16" s="17" t="s">
        <v>14</v>
      </c>
      <c r="G16" s="17">
        <v>20</v>
      </c>
      <c r="H16" s="17" t="s">
        <v>15</v>
      </c>
      <c r="I16" s="39">
        <v>6.5</v>
      </c>
      <c r="J16" s="25">
        <v>0</v>
      </c>
      <c r="K16" s="17">
        <f>J16-G16</f>
        <v>-20</v>
      </c>
      <c r="L16" s="17">
        <f>IF(K16&lt;0,0,J16-G16)</f>
        <v>0</v>
      </c>
      <c r="M16" s="20">
        <f>L16*I16/100</f>
        <v>0</v>
      </c>
      <c r="N16" s="57">
        <v>8.4</v>
      </c>
      <c r="O16" s="25">
        <v>0</v>
      </c>
      <c r="P16" s="17">
        <f t="shared" si="11"/>
        <v>-20</v>
      </c>
      <c r="Q16" s="17">
        <f t="shared" si="12"/>
        <v>0</v>
      </c>
      <c r="R16" s="20">
        <f t="shared" si="13"/>
        <v>0</v>
      </c>
      <c r="S16" s="57">
        <v>8.4</v>
      </c>
      <c r="T16" s="25">
        <v>0</v>
      </c>
      <c r="U16" s="17">
        <f t="shared" si="14"/>
        <v>-20</v>
      </c>
      <c r="V16" s="17">
        <f t="shared" si="15"/>
        <v>0</v>
      </c>
      <c r="W16" s="20">
        <f t="shared" si="16"/>
        <v>0</v>
      </c>
      <c r="X16" s="57">
        <v>8.4</v>
      </c>
      <c r="Y16" s="25">
        <v>0</v>
      </c>
      <c r="Z16" s="17">
        <f>Y16-G16</f>
        <v>-20</v>
      </c>
      <c r="AA16" s="17">
        <f>IF(Z16&lt;0,0,Y16-G16)</f>
        <v>0</v>
      </c>
      <c r="AB16" s="20">
        <f>AA16*I16/100</f>
        <v>0</v>
      </c>
      <c r="AC16" s="57">
        <v>8.4</v>
      </c>
      <c r="AD16" s="25">
        <v>0</v>
      </c>
      <c r="AE16" s="17">
        <f t="shared" si="17"/>
        <v>-20</v>
      </c>
      <c r="AF16" s="17">
        <f t="shared" si="18"/>
        <v>0</v>
      </c>
      <c r="AG16" s="20">
        <f t="shared" si="19"/>
        <v>0</v>
      </c>
      <c r="AH16" s="49">
        <v>8.4</v>
      </c>
      <c r="AI16" s="42">
        <f t="shared" si="0"/>
        <v>0</v>
      </c>
      <c r="AJ16" s="35">
        <f t="shared" si="1"/>
        <v>0</v>
      </c>
      <c r="AM16" s="1" t="s">
        <v>269</v>
      </c>
    </row>
    <row r="17" spans="1:39" x14ac:dyDescent="0.25">
      <c r="A17" s="25" t="s">
        <v>49</v>
      </c>
      <c r="B17" s="17" t="s">
        <v>17</v>
      </c>
      <c r="C17" s="17" t="s">
        <v>18</v>
      </c>
      <c r="D17" s="17" t="s">
        <v>12</v>
      </c>
      <c r="E17" s="18" t="s">
        <v>50</v>
      </c>
      <c r="F17" s="17" t="s">
        <v>14</v>
      </c>
      <c r="G17" s="17">
        <v>20</v>
      </c>
      <c r="H17" s="17" t="s">
        <v>15</v>
      </c>
      <c r="I17" s="39">
        <v>6.5</v>
      </c>
      <c r="J17" s="45"/>
      <c r="K17" s="18"/>
      <c r="L17" s="18"/>
      <c r="M17" s="19"/>
      <c r="N17" s="58"/>
      <c r="O17" s="25">
        <v>0</v>
      </c>
      <c r="P17" s="17">
        <f t="shared" si="11"/>
        <v>-20</v>
      </c>
      <c r="Q17" s="17">
        <f t="shared" si="12"/>
        <v>0</v>
      </c>
      <c r="R17" s="20">
        <f t="shared" si="13"/>
        <v>0</v>
      </c>
      <c r="S17" s="57">
        <v>8.4</v>
      </c>
      <c r="T17" s="25">
        <v>0</v>
      </c>
      <c r="U17" s="17">
        <f t="shared" si="14"/>
        <v>-20</v>
      </c>
      <c r="V17" s="17">
        <f t="shared" si="15"/>
        <v>0</v>
      </c>
      <c r="W17" s="20">
        <f t="shared" si="16"/>
        <v>0</v>
      </c>
      <c r="X17" s="57">
        <v>8.4</v>
      </c>
      <c r="Y17" s="45"/>
      <c r="Z17" s="18"/>
      <c r="AA17" s="18"/>
      <c r="AB17" s="19"/>
      <c r="AC17" s="58"/>
      <c r="AD17" s="25">
        <v>0</v>
      </c>
      <c r="AE17" s="17">
        <f t="shared" si="17"/>
        <v>-20</v>
      </c>
      <c r="AF17" s="17">
        <f t="shared" si="18"/>
        <v>0</v>
      </c>
      <c r="AG17" s="20">
        <f t="shared" si="19"/>
        <v>0</v>
      </c>
      <c r="AH17" s="49">
        <v>8.4</v>
      </c>
      <c r="AI17" s="42">
        <f t="shared" si="0"/>
        <v>0</v>
      </c>
      <c r="AJ17" s="35">
        <f t="shared" si="1"/>
        <v>0</v>
      </c>
      <c r="AM17" s="1" t="s">
        <v>270</v>
      </c>
    </row>
    <row r="18" spans="1:39" x14ac:dyDescent="0.25">
      <c r="A18" s="25" t="s">
        <v>51</v>
      </c>
      <c r="B18" s="17" t="s">
        <v>32</v>
      </c>
      <c r="C18" s="17" t="s">
        <v>52</v>
      </c>
      <c r="D18" s="17" t="s">
        <v>12</v>
      </c>
      <c r="E18" s="17" t="s">
        <v>53</v>
      </c>
      <c r="F18" s="17" t="s">
        <v>14</v>
      </c>
      <c r="G18" s="17">
        <v>20</v>
      </c>
      <c r="H18" s="17" t="s">
        <v>15</v>
      </c>
      <c r="I18" s="39">
        <v>11</v>
      </c>
      <c r="J18" s="25">
        <v>0</v>
      </c>
      <c r="K18" s="17">
        <f>J18-G18</f>
        <v>-20</v>
      </c>
      <c r="L18" s="17">
        <f>IF(K18&lt;0,0,J18-G18)</f>
        <v>0</v>
      </c>
      <c r="M18" s="20">
        <f>L18*I18/100</f>
        <v>0</v>
      </c>
      <c r="N18" s="57">
        <v>8.4</v>
      </c>
      <c r="O18" s="25">
        <v>0</v>
      </c>
      <c r="P18" s="17">
        <f t="shared" si="11"/>
        <v>-20</v>
      </c>
      <c r="Q18" s="17">
        <f t="shared" si="12"/>
        <v>0</v>
      </c>
      <c r="R18" s="20">
        <f t="shared" si="13"/>
        <v>0</v>
      </c>
      <c r="S18" s="57">
        <v>8.4</v>
      </c>
      <c r="T18" s="25">
        <v>0</v>
      </c>
      <c r="U18" s="17">
        <f t="shared" si="14"/>
        <v>-20</v>
      </c>
      <c r="V18" s="17">
        <f t="shared" si="15"/>
        <v>0</v>
      </c>
      <c r="W18" s="20">
        <f t="shared" si="16"/>
        <v>0</v>
      </c>
      <c r="X18" s="57">
        <v>8.4</v>
      </c>
      <c r="Y18" s="25">
        <v>0</v>
      </c>
      <c r="Z18" s="17">
        <f>Y18-G18</f>
        <v>-20</v>
      </c>
      <c r="AA18" s="17">
        <f>IF(Z18&lt;0,0,Y18-G18)</f>
        <v>0</v>
      </c>
      <c r="AB18" s="20">
        <f>AA18*I18/100</f>
        <v>0</v>
      </c>
      <c r="AC18" s="57">
        <v>8.4</v>
      </c>
      <c r="AD18" s="25">
        <v>0</v>
      </c>
      <c r="AE18" s="17">
        <f t="shared" si="17"/>
        <v>-20</v>
      </c>
      <c r="AF18" s="17">
        <f t="shared" si="18"/>
        <v>0</v>
      </c>
      <c r="AG18" s="20">
        <f t="shared" si="19"/>
        <v>0</v>
      </c>
      <c r="AH18" s="49">
        <v>8.4</v>
      </c>
      <c r="AI18" s="42">
        <f t="shared" si="0"/>
        <v>0</v>
      </c>
      <c r="AJ18" s="35">
        <f t="shared" si="1"/>
        <v>0</v>
      </c>
      <c r="AM18" s="1" t="s">
        <v>271</v>
      </c>
    </row>
    <row r="19" spans="1:39" x14ac:dyDescent="0.25">
      <c r="A19" s="25" t="s">
        <v>54</v>
      </c>
      <c r="B19" s="17" t="s">
        <v>10</v>
      </c>
      <c r="C19" s="17" t="s">
        <v>22</v>
      </c>
      <c r="D19" s="17" t="s">
        <v>12</v>
      </c>
      <c r="E19" s="17" t="s">
        <v>55</v>
      </c>
      <c r="F19" s="17" t="s">
        <v>14</v>
      </c>
      <c r="G19" s="17">
        <v>20</v>
      </c>
      <c r="H19" s="17" t="s">
        <v>15</v>
      </c>
      <c r="I19" s="39">
        <v>11</v>
      </c>
      <c r="J19" s="25">
        <v>0</v>
      </c>
      <c r="K19" s="17">
        <f>J19-G19</f>
        <v>-20</v>
      </c>
      <c r="L19" s="17">
        <f>IF(K19&lt;0,0,J19-G19)</f>
        <v>0</v>
      </c>
      <c r="M19" s="20">
        <f>L19*I19/100</f>
        <v>0</v>
      </c>
      <c r="N19" s="57">
        <v>8.4</v>
      </c>
      <c r="O19" s="25">
        <v>0</v>
      </c>
      <c r="P19" s="17">
        <f t="shared" si="11"/>
        <v>-20</v>
      </c>
      <c r="Q19" s="17">
        <f t="shared" si="12"/>
        <v>0</v>
      </c>
      <c r="R19" s="20">
        <f t="shared" si="13"/>
        <v>0</v>
      </c>
      <c r="S19" s="57">
        <v>8.4</v>
      </c>
      <c r="T19" s="25">
        <v>0</v>
      </c>
      <c r="U19" s="17">
        <f t="shared" si="14"/>
        <v>-20</v>
      </c>
      <c r="V19" s="17">
        <f t="shared" si="15"/>
        <v>0</v>
      </c>
      <c r="W19" s="20">
        <f t="shared" si="16"/>
        <v>0</v>
      </c>
      <c r="X19" s="57">
        <v>8.4</v>
      </c>
      <c r="Y19" s="25">
        <v>0</v>
      </c>
      <c r="Z19" s="17">
        <f>Y19-G19</f>
        <v>-20</v>
      </c>
      <c r="AA19" s="17">
        <f>IF(Z19&lt;0,0,Y19-G19)</f>
        <v>0</v>
      </c>
      <c r="AB19" s="20">
        <f>AA19*I19/100</f>
        <v>0</v>
      </c>
      <c r="AC19" s="57">
        <v>8.4</v>
      </c>
      <c r="AD19" s="25">
        <v>0</v>
      </c>
      <c r="AE19" s="17">
        <f t="shared" si="17"/>
        <v>-20</v>
      </c>
      <c r="AF19" s="17">
        <f t="shared" si="18"/>
        <v>0</v>
      </c>
      <c r="AG19" s="20">
        <f t="shared" si="19"/>
        <v>0</v>
      </c>
      <c r="AH19" s="49">
        <v>8.4</v>
      </c>
      <c r="AI19" s="42">
        <f t="shared" si="0"/>
        <v>0</v>
      </c>
      <c r="AJ19" s="35">
        <f t="shared" si="1"/>
        <v>0</v>
      </c>
      <c r="AM19" s="1" t="s">
        <v>272</v>
      </c>
    </row>
    <row r="20" spans="1:39" x14ac:dyDescent="0.25">
      <c r="A20" s="25" t="s">
        <v>56</v>
      </c>
      <c r="B20" s="17" t="s">
        <v>10</v>
      </c>
      <c r="C20" s="17" t="s">
        <v>22</v>
      </c>
      <c r="D20" s="17" t="s">
        <v>12</v>
      </c>
      <c r="E20" s="18" t="s">
        <v>57</v>
      </c>
      <c r="F20" s="17" t="s">
        <v>14</v>
      </c>
      <c r="G20" s="17">
        <v>20</v>
      </c>
      <c r="H20" s="17" t="s">
        <v>15</v>
      </c>
      <c r="I20" s="39">
        <v>11</v>
      </c>
      <c r="J20" s="25">
        <v>0</v>
      </c>
      <c r="K20" s="17">
        <f>J20-G20</f>
        <v>-20</v>
      </c>
      <c r="L20" s="17">
        <f>IF(K20&lt;0,0,J20-G20)</f>
        <v>0</v>
      </c>
      <c r="M20" s="20">
        <f>L20*I20/100</f>
        <v>0</v>
      </c>
      <c r="N20" s="57">
        <v>8.4</v>
      </c>
      <c r="O20" s="45"/>
      <c r="P20" s="18"/>
      <c r="Q20" s="18"/>
      <c r="R20" s="19"/>
      <c r="S20" s="58"/>
      <c r="T20" s="25">
        <v>22</v>
      </c>
      <c r="U20" s="17">
        <f t="shared" si="14"/>
        <v>2</v>
      </c>
      <c r="V20" s="17">
        <f t="shared" si="15"/>
        <v>2</v>
      </c>
      <c r="W20" s="20">
        <f t="shared" si="16"/>
        <v>0.22</v>
      </c>
      <c r="X20" s="57">
        <v>8.4</v>
      </c>
      <c r="Y20" s="25">
        <v>0</v>
      </c>
      <c r="Z20" s="17">
        <f>Y20-G20</f>
        <v>-20</v>
      </c>
      <c r="AA20" s="17">
        <f>IF(Z20&lt;0,0,Y20-G20)</f>
        <v>0</v>
      </c>
      <c r="AB20" s="20">
        <f>AA20*I20/100</f>
        <v>0</v>
      </c>
      <c r="AC20" s="57">
        <v>8.4</v>
      </c>
      <c r="AD20" s="25">
        <v>0</v>
      </c>
      <c r="AE20" s="17">
        <f t="shared" si="17"/>
        <v>-20</v>
      </c>
      <c r="AF20" s="17">
        <f t="shared" si="18"/>
        <v>0</v>
      </c>
      <c r="AG20" s="20">
        <f t="shared" si="19"/>
        <v>0</v>
      </c>
      <c r="AH20" s="49">
        <v>8.4</v>
      </c>
      <c r="AI20" s="42">
        <f t="shared" si="0"/>
        <v>2</v>
      </c>
      <c r="AJ20" s="35">
        <f t="shared" si="1"/>
        <v>1.8480000000000001</v>
      </c>
      <c r="AM20" s="1" t="s">
        <v>273</v>
      </c>
    </row>
    <row r="21" spans="1:39" x14ac:dyDescent="0.25">
      <c r="A21" s="25" t="s">
        <v>56</v>
      </c>
      <c r="B21" s="17" t="s">
        <v>10</v>
      </c>
      <c r="C21" s="17" t="s">
        <v>22</v>
      </c>
      <c r="D21" s="17" t="s">
        <v>12</v>
      </c>
      <c r="E21" s="18" t="s">
        <v>58</v>
      </c>
      <c r="F21" s="17" t="s">
        <v>14</v>
      </c>
      <c r="G21" s="17">
        <v>20</v>
      </c>
      <c r="H21" s="17" t="s">
        <v>15</v>
      </c>
      <c r="I21" s="39">
        <v>11</v>
      </c>
      <c r="J21" s="45"/>
      <c r="K21" s="18"/>
      <c r="L21" s="18"/>
      <c r="M21" s="19"/>
      <c r="N21" s="58"/>
      <c r="O21" s="25">
        <v>37</v>
      </c>
      <c r="P21" s="17">
        <f t="shared" ref="P21:P26" si="20">O21-G21</f>
        <v>17</v>
      </c>
      <c r="Q21" s="17">
        <f t="shared" ref="Q21:Q26" si="21">IF(P21&lt;0,0,O21-G21)</f>
        <v>17</v>
      </c>
      <c r="R21" s="20">
        <f t="shared" ref="R21:R26" si="22">Q21*I21/100</f>
        <v>1.87</v>
      </c>
      <c r="S21" s="57">
        <v>8.4</v>
      </c>
      <c r="T21" s="45"/>
      <c r="U21" s="18"/>
      <c r="V21" s="18"/>
      <c r="W21" s="19"/>
      <c r="X21" s="58"/>
      <c r="Y21" s="45"/>
      <c r="Z21" s="18"/>
      <c r="AA21" s="18"/>
      <c r="AB21" s="19"/>
      <c r="AC21" s="58"/>
      <c r="AD21" s="45"/>
      <c r="AE21" s="18"/>
      <c r="AF21" s="18"/>
      <c r="AG21" s="19"/>
      <c r="AH21" s="50"/>
      <c r="AI21" s="42">
        <f t="shared" si="0"/>
        <v>17</v>
      </c>
      <c r="AJ21" s="35">
        <f t="shared" si="1"/>
        <v>15.708000000000002</v>
      </c>
      <c r="AM21" s="1" t="s">
        <v>274</v>
      </c>
    </row>
    <row r="22" spans="1:39" x14ac:dyDescent="0.25">
      <c r="A22" s="25" t="s">
        <v>59</v>
      </c>
      <c r="B22" s="17" t="s">
        <v>32</v>
      </c>
      <c r="C22" s="17">
        <v>308</v>
      </c>
      <c r="D22" s="17" t="s">
        <v>12</v>
      </c>
      <c r="E22" s="18" t="s">
        <v>60</v>
      </c>
      <c r="F22" s="17" t="s">
        <v>14</v>
      </c>
      <c r="G22" s="17">
        <v>20</v>
      </c>
      <c r="H22" s="17" t="s">
        <v>15</v>
      </c>
      <c r="I22" s="39">
        <v>6.5</v>
      </c>
      <c r="J22" s="25">
        <v>85</v>
      </c>
      <c r="K22" s="17">
        <f>J22-G22</f>
        <v>65</v>
      </c>
      <c r="L22" s="17">
        <f>IF(K22&lt;0,0,J22-G22)</f>
        <v>65</v>
      </c>
      <c r="M22" s="20">
        <f>L22*I22/100</f>
        <v>4.2249999999999996</v>
      </c>
      <c r="N22" s="57">
        <v>8.4</v>
      </c>
      <c r="O22" s="25">
        <v>59</v>
      </c>
      <c r="P22" s="17">
        <f t="shared" si="20"/>
        <v>39</v>
      </c>
      <c r="Q22" s="17">
        <f t="shared" si="21"/>
        <v>39</v>
      </c>
      <c r="R22" s="20">
        <f t="shared" si="22"/>
        <v>2.5350000000000001</v>
      </c>
      <c r="S22" s="57">
        <v>8.4</v>
      </c>
      <c r="T22" s="25">
        <v>17</v>
      </c>
      <c r="U22" s="17">
        <f>T22-G22</f>
        <v>-3</v>
      </c>
      <c r="V22" s="17">
        <f>IF(U22&lt;0,0,T22-G22)</f>
        <v>0</v>
      </c>
      <c r="W22" s="20">
        <f>V22*I22/100</f>
        <v>0</v>
      </c>
      <c r="X22" s="57">
        <v>8.4</v>
      </c>
      <c r="Y22" s="25">
        <v>17</v>
      </c>
      <c r="Z22" s="17">
        <f>Y22-G22</f>
        <v>-3</v>
      </c>
      <c r="AA22" s="17">
        <f>IF(Z22&lt;0,0,Y22-G22)</f>
        <v>0</v>
      </c>
      <c r="AB22" s="20">
        <f>AA22*I22/100</f>
        <v>0</v>
      </c>
      <c r="AC22" s="57">
        <v>8.4</v>
      </c>
      <c r="AD22" s="25">
        <v>0</v>
      </c>
      <c r="AE22" s="17">
        <f>AD22-G22</f>
        <v>-20</v>
      </c>
      <c r="AF22" s="17">
        <f>IF(AE22&lt;0,0,AD22-G22)</f>
        <v>0</v>
      </c>
      <c r="AG22" s="20">
        <f>AF22*I22/100</f>
        <v>0</v>
      </c>
      <c r="AH22" s="49">
        <v>8.4</v>
      </c>
      <c r="AI22" s="42">
        <f t="shared" si="0"/>
        <v>104</v>
      </c>
      <c r="AJ22" s="35">
        <f t="shared" si="1"/>
        <v>56.784000000000006</v>
      </c>
      <c r="AM22" s="1" t="s">
        <v>275</v>
      </c>
    </row>
    <row r="23" spans="1:39" x14ac:dyDescent="0.25">
      <c r="A23" s="25" t="s">
        <v>61</v>
      </c>
      <c r="B23" s="17" t="s">
        <v>10</v>
      </c>
      <c r="C23" s="17" t="s">
        <v>22</v>
      </c>
      <c r="D23" s="17" t="s">
        <v>12</v>
      </c>
      <c r="E23" s="18" t="s">
        <v>62</v>
      </c>
      <c r="F23" s="17" t="s">
        <v>14</v>
      </c>
      <c r="G23" s="17">
        <v>20</v>
      </c>
      <c r="H23" s="17" t="s">
        <v>15</v>
      </c>
      <c r="I23" s="39">
        <v>11</v>
      </c>
      <c r="J23" s="25">
        <v>0</v>
      </c>
      <c r="K23" s="17">
        <f>J23-G23</f>
        <v>-20</v>
      </c>
      <c r="L23" s="17">
        <f>IF(K23&lt;0,0,J23-G23)</f>
        <v>0</v>
      </c>
      <c r="M23" s="20">
        <f>L23*I23/100</f>
        <v>0</v>
      </c>
      <c r="N23" s="57">
        <v>8.4</v>
      </c>
      <c r="O23" s="25">
        <v>0</v>
      </c>
      <c r="P23" s="17">
        <f t="shared" si="20"/>
        <v>-20</v>
      </c>
      <c r="Q23" s="17">
        <f t="shared" si="21"/>
        <v>0</v>
      </c>
      <c r="R23" s="20">
        <f t="shared" si="22"/>
        <v>0</v>
      </c>
      <c r="S23" s="57">
        <v>8.4</v>
      </c>
      <c r="T23" s="25">
        <v>0</v>
      </c>
      <c r="U23" s="17">
        <f>T23-G23</f>
        <v>-20</v>
      </c>
      <c r="V23" s="17">
        <f>IF(U23&lt;0,0,T23-G23)</f>
        <v>0</v>
      </c>
      <c r="W23" s="20">
        <f>V23*I23/100</f>
        <v>0</v>
      </c>
      <c r="X23" s="57">
        <v>8.4</v>
      </c>
      <c r="Y23" s="25">
        <v>0</v>
      </c>
      <c r="Z23" s="17">
        <f>Y23-G23</f>
        <v>-20</v>
      </c>
      <c r="AA23" s="17">
        <f>IF(Z23&lt;0,0,Y23-G23)</f>
        <v>0</v>
      </c>
      <c r="AB23" s="20">
        <f>AA23*I23/100</f>
        <v>0</v>
      </c>
      <c r="AC23" s="57">
        <v>8.4</v>
      </c>
      <c r="AD23" s="25">
        <v>0</v>
      </c>
      <c r="AE23" s="17">
        <f>AD23-G23</f>
        <v>-20</v>
      </c>
      <c r="AF23" s="17">
        <f>IF(AE23&lt;0,0,AD23-G23)</f>
        <v>0</v>
      </c>
      <c r="AG23" s="20">
        <f>AF23*I23/100</f>
        <v>0</v>
      </c>
      <c r="AH23" s="49">
        <v>8.4</v>
      </c>
      <c r="AI23" s="42">
        <f t="shared" si="0"/>
        <v>0</v>
      </c>
      <c r="AJ23" s="35">
        <f t="shared" si="1"/>
        <v>0</v>
      </c>
      <c r="AM23" s="1" t="s">
        <v>276</v>
      </c>
    </row>
    <row r="24" spans="1:39" x14ac:dyDescent="0.25">
      <c r="A24" s="25" t="s">
        <v>63</v>
      </c>
      <c r="B24" s="17" t="s">
        <v>32</v>
      </c>
      <c r="C24" s="17" t="s">
        <v>33</v>
      </c>
      <c r="D24" s="17" t="s">
        <v>12</v>
      </c>
      <c r="E24" s="18" t="s">
        <v>64</v>
      </c>
      <c r="F24" s="17" t="s">
        <v>14</v>
      </c>
      <c r="G24" s="17">
        <v>20</v>
      </c>
      <c r="H24" s="17" t="s">
        <v>15</v>
      </c>
      <c r="I24" s="39">
        <v>9</v>
      </c>
      <c r="J24" s="45"/>
      <c r="K24" s="18"/>
      <c r="L24" s="18"/>
      <c r="M24" s="19"/>
      <c r="N24" s="58"/>
      <c r="O24" s="25">
        <v>0</v>
      </c>
      <c r="P24" s="17">
        <f t="shared" si="20"/>
        <v>-20</v>
      </c>
      <c r="Q24" s="17">
        <f t="shared" si="21"/>
        <v>0</v>
      </c>
      <c r="R24" s="20">
        <f t="shared" si="22"/>
        <v>0</v>
      </c>
      <c r="S24" s="57">
        <v>8.4</v>
      </c>
      <c r="T24" s="25">
        <v>0</v>
      </c>
      <c r="U24" s="17">
        <f>T24-G24</f>
        <v>-20</v>
      </c>
      <c r="V24" s="17">
        <f>IF(U24&lt;0,0,T24-G24)</f>
        <v>0</v>
      </c>
      <c r="W24" s="20">
        <f>V24*I24/100</f>
        <v>0</v>
      </c>
      <c r="X24" s="57">
        <v>8.4</v>
      </c>
      <c r="Y24" s="25">
        <v>0</v>
      </c>
      <c r="Z24" s="17">
        <f>Y24-G24</f>
        <v>-20</v>
      </c>
      <c r="AA24" s="17">
        <f>IF(Z24&lt;0,0,Y24-G24)</f>
        <v>0</v>
      </c>
      <c r="AB24" s="20">
        <f>AA24*I24/100</f>
        <v>0</v>
      </c>
      <c r="AC24" s="57">
        <v>8.4</v>
      </c>
      <c r="AD24" s="25">
        <v>0</v>
      </c>
      <c r="AE24" s="17">
        <f>AD24-G24</f>
        <v>-20</v>
      </c>
      <c r="AF24" s="17">
        <f>IF(AE24&lt;0,0,AD24-G24)</f>
        <v>0</v>
      </c>
      <c r="AG24" s="20">
        <f>AF24*I24/100</f>
        <v>0</v>
      </c>
      <c r="AH24" s="49">
        <v>8.4</v>
      </c>
      <c r="AI24" s="42">
        <f t="shared" si="0"/>
        <v>0</v>
      </c>
      <c r="AJ24" s="35">
        <f t="shared" si="1"/>
        <v>0</v>
      </c>
      <c r="AM24" s="1" t="s">
        <v>277</v>
      </c>
    </row>
    <row r="25" spans="1:39" x14ac:dyDescent="0.25">
      <c r="A25" s="25" t="s">
        <v>65</v>
      </c>
      <c r="B25" s="17" t="s">
        <v>17</v>
      </c>
      <c r="C25" s="17" t="s">
        <v>66</v>
      </c>
      <c r="D25" s="17" t="s">
        <v>12</v>
      </c>
      <c r="E25" s="18" t="s">
        <v>67</v>
      </c>
      <c r="F25" s="17" t="s">
        <v>14</v>
      </c>
      <c r="G25" s="17">
        <v>20</v>
      </c>
      <c r="H25" s="17" t="s">
        <v>38</v>
      </c>
      <c r="I25" s="39">
        <v>6.5</v>
      </c>
      <c r="J25" s="25">
        <v>340</v>
      </c>
      <c r="K25" s="17">
        <f>J25-G25</f>
        <v>320</v>
      </c>
      <c r="L25" s="17">
        <f>IF(K25&lt;0,0,J25-G25)</f>
        <v>320</v>
      </c>
      <c r="M25" s="20">
        <f>L25*I25/100</f>
        <v>20.8</v>
      </c>
      <c r="N25" s="57">
        <v>7.3</v>
      </c>
      <c r="O25" s="25">
        <v>198</v>
      </c>
      <c r="P25" s="17">
        <f t="shared" si="20"/>
        <v>178</v>
      </c>
      <c r="Q25" s="17">
        <f t="shared" si="21"/>
        <v>178</v>
      </c>
      <c r="R25" s="20">
        <f t="shared" si="22"/>
        <v>11.57</v>
      </c>
      <c r="S25" s="57">
        <v>7.2</v>
      </c>
      <c r="T25" s="45"/>
      <c r="U25" s="18"/>
      <c r="V25" s="18"/>
      <c r="W25" s="19"/>
      <c r="X25" s="58"/>
      <c r="Y25" s="45"/>
      <c r="Z25" s="18"/>
      <c r="AA25" s="18"/>
      <c r="AB25" s="19"/>
      <c r="AC25" s="58"/>
      <c r="AD25" s="25">
        <v>327</v>
      </c>
      <c r="AE25" s="17">
        <f>AD25-G25</f>
        <v>307</v>
      </c>
      <c r="AF25" s="17">
        <f>IF(AE25&lt;0,0,AD25-G25)</f>
        <v>307</v>
      </c>
      <c r="AG25" s="20">
        <f>AF25*I25/100</f>
        <v>19.954999999999998</v>
      </c>
      <c r="AH25" s="49">
        <v>7.2</v>
      </c>
      <c r="AI25" s="42">
        <f t="shared" si="0"/>
        <v>805</v>
      </c>
      <c r="AJ25" s="35">
        <f t="shared" si="1"/>
        <v>378.82</v>
      </c>
      <c r="AM25" s="1" t="s">
        <v>278</v>
      </c>
    </row>
    <row r="26" spans="1:39" x14ac:dyDescent="0.25">
      <c r="A26" s="25" t="s">
        <v>68</v>
      </c>
      <c r="B26" s="17" t="s">
        <v>10</v>
      </c>
      <c r="C26" s="17" t="s">
        <v>22</v>
      </c>
      <c r="D26" s="17" t="s">
        <v>12</v>
      </c>
      <c r="E26" s="18" t="s">
        <v>69</v>
      </c>
      <c r="F26" s="17" t="s">
        <v>14</v>
      </c>
      <c r="G26" s="17">
        <v>20</v>
      </c>
      <c r="H26" s="17" t="s">
        <v>15</v>
      </c>
      <c r="I26" s="39">
        <v>11</v>
      </c>
      <c r="J26" s="25">
        <v>0</v>
      </c>
      <c r="K26" s="17">
        <f>J26-G26</f>
        <v>-20</v>
      </c>
      <c r="L26" s="17">
        <f>IF(K26&lt;0,0,J26-G26)</f>
        <v>0</v>
      </c>
      <c r="M26" s="20">
        <f>L26*I26/100</f>
        <v>0</v>
      </c>
      <c r="N26" s="57">
        <v>8.4</v>
      </c>
      <c r="O26" s="25">
        <v>0</v>
      </c>
      <c r="P26" s="17">
        <f t="shared" si="20"/>
        <v>-20</v>
      </c>
      <c r="Q26" s="17">
        <f t="shared" si="21"/>
        <v>0</v>
      </c>
      <c r="R26" s="20">
        <f t="shared" si="22"/>
        <v>0</v>
      </c>
      <c r="S26" s="57">
        <v>8.4</v>
      </c>
      <c r="T26" s="25">
        <v>0</v>
      </c>
      <c r="U26" s="17">
        <f>T26-G26</f>
        <v>-20</v>
      </c>
      <c r="V26" s="17">
        <f>IF(U26&lt;0,0,T26-G26)</f>
        <v>0</v>
      </c>
      <c r="W26" s="20">
        <f>V26*I26/100</f>
        <v>0</v>
      </c>
      <c r="X26" s="57">
        <v>8.4</v>
      </c>
      <c r="Y26" s="25">
        <v>0</v>
      </c>
      <c r="Z26" s="17">
        <f>Y26-G26</f>
        <v>-20</v>
      </c>
      <c r="AA26" s="17">
        <f>IF(Z26&lt;0,0,Y26-G26)</f>
        <v>0</v>
      </c>
      <c r="AB26" s="20">
        <f>AA26*I26/100</f>
        <v>0</v>
      </c>
      <c r="AC26" s="57">
        <v>8.4</v>
      </c>
      <c r="AD26" s="45"/>
      <c r="AE26" s="18"/>
      <c r="AF26" s="18"/>
      <c r="AG26" s="19"/>
      <c r="AH26" s="50"/>
      <c r="AI26" s="42">
        <f t="shared" si="0"/>
        <v>0</v>
      </c>
      <c r="AJ26" s="35">
        <f t="shared" si="1"/>
        <v>0</v>
      </c>
    </row>
    <row r="27" spans="1:39" x14ac:dyDescent="0.25">
      <c r="A27" s="25" t="s">
        <v>70</v>
      </c>
      <c r="B27" s="17" t="s">
        <v>10</v>
      </c>
      <c r="C27" s="17" t="s">
        <v>22</v>
      </c>
      <c r="D27" s="17" t="s">
        <v>12</v>
      </c>
      <c r="E27" s="18" t="s">
        <v>71</v>
      </c>
      <c r="F27" s="17" t="s">
        <v>14</v>
      </c>
      <c r="G27" s="17">
        <v>20</v>
      </c>
      <c r="H27" s="17" t="s">
        <v>15</v>
      </c>
      <c r="I27" s="39">
        <v>11</v>
      </c>
      <c r="J27" s="45"/>
      <c r="K27" s="18"/>
      <c r="L27" s="18"/>
      <c r="M27" s="19"/>
      <c r="N27" s="58"/>
      <c r="O27" s="45"/>
      <c r="P27" s="18"/>
      <c r="Q27" s="18"/>
      <c r="R27" s="19"/>
      <c r="S27" s="58"/>
      <c r="T27" s="45"/>
      <c r="U27" s="18"/>
      <c r="V27" s="18"/>
      <c r="W27" s="19"/>
      <c r="X27" s="58"/>
      <c r="Y27" s="45"/>
      <c r="Z27" s="18"/>
      <c r="AA27" s="18"/>
      <c r="AB27" s="19"/>
      <c r="AC27" s="58"/>
      <c r="AD27" s="25">
        <v>0</v>
      </c>
      <c r="AE27" s="17">
        <f>AD27-G27</f>
        <v>-20</v>
      </c>
      <c r="AF27" s="17">
        <f>IF(AE27&lt;0,0,AD27-G27)</f>
        <v>0</v>
      </c>
      <c r="AG27" s="20">
        <f>AF27*I27/100</f>
        <v>0</v>
      </c>
      <c r="AH27" s="49">
        <v>8.4</v>
      </c>
      <c r="AI27" s="42">
        <f t="shared" si="0"/>
        <v>0</v>
      </c>
      <c r="AJ27" s="35">
        <f t="shared" si="1"/>
        <v>0</v>
      </c>
    </row>
    <row r="28" spans="1:39" x14ac:dyDescent="0.25">
      <c r="A28" s="25" t="s">
        <v>70</v>
      </c>
      <c r="B28" s="17" t="s">
        <v>10</v>
      </c>
      <c r="C28" s="17" t="s">
        <v>22</v>
      </c>
      <c r="D28" s="17" t="s">
        <v>12</v>
      </c>
      <c r="E28" s="18" t="s">
        <v>58</v>
      </c>
      <c r="F28" s="17" t="s">
        <v>14</v>
      </c>
      <c r="G28" s="17">
        <v>20</v>
      </c>
      <c r="H28" s="17" t="s">
        <v>15</v>
      </c>
      <c r="I28" s="39">
        <v>11</v>
      </c>
      <c r="J28" s="45"/>
      <c r="K28" s="18"/>
      <c r="L28" s="18"/>
      <c r="M28" s="19"/>
      <c r="N28" s="58"/>
      <c r="O28" s="45"/>
      <c r="P28" s="18"/>
      <c r="Q28" s="18"/>
      <c r="R28" s="19"/>
      <c r="S28" s="58"/>
      <c r="T28" s="25">
        <v>24</v>
      </c>
      <c r="U28" s="17">
        <f>T28-G28</f>
        <v>4</v>
      </c>
      <c r="V28" s="17">
        <f>IF(U28&lt;0,0,T28-G28)</f>
        <v>4</v>
      </c>
      <c r="W28" s="20">
        <f>V28*I28/100</f>
        <v>0.44</v>
      </c>
      <c r="X28" s="57">
        <v>8.4</v>
      </c>
      <c r="Y28" s="45"/>
      <c r="Z28" s="18"/>
      <c r="AA28" s="18"/>
      <c r="AB28" s="19"/>
      <c r="AC28" s="58"/>
      <c r="AD28" s="45"/>
      <c r="AE28" s="18"/>
      <c r="AF28" s="18"/>
      <c r="AG28" s="19"/>
      <c r="AH28" s="50"/>
      <c r="AI28" s="42">
        <f t="shared" si="0"/>
        <v>4</v>
      </c>
      <c r="AJ28" s="35">
        <f t="shared" si="1"/>
        <v>3.6960000000000002</v>
      </c>
    </row>
    <row r="29" spans="1:39" x14ac:dyDescent="0.25">
      <c r="A29" s="25" t="s">
        <v>72</v>
      </c>
      <c r="B29" s="17" t="s">
        <v>10</v>
      </c>
      <c r="C29" s="17" t="s">
        <v>22</v>
      </c>
      <c r="D29" s="17" t="s">
        <v>12</v>
      </c>
      <c r="E29" s="18" t="s">
        <v>73</v>
      </c>
      <c r="F29" s="17" t="s">
        <v>14</v>
      </c>
      <c r="G29" s="17">
        <v>20</v>
      </c>
      <c r="H29" s="17" t="s">
        <v>15</v>
      </c>
      <c r="I29" s="39">
        <v>11</v>
      </c>
      <c r="J29" s="25">
        <v>0</v>
      </c>
      <c r="K29" s="17">
        <f>J29-G29</f>
        <v>-20</v>
      </c>
      <c r="L29" s="17">
        <f>IF(K29&lt;0,0,J29-G29)</f>
        <v>0</v>
      </c>
      <c r="M29" s="20">
        <f>L29*I29/100</f>
        <v>0</v>
      </c>
      <c r="N29" s="57">
        <v>8.4</v>
      </c>
      <c r="O29" s="25">
        <v>0</v>
      </c>
      <c r="P29" s="17">
        <f>O29-G29</f>
        <v>-20</v>
      </c>
      <c r="Q29" s="17">
        <f>IF(P29&lt;0,0,O29-G29)</f>
        <v>0</v>
      </c>
      <c r="R29" s="20">
        <f>Q29*I29/100</f>
        <v>0</v>
      </c>
      <c r="S29" s="57">
        <v>8.4</v>
      </c>
      <c r="T29" s="25">
        <v>0</v>
      </c>
      <c r="U29" s="17">
        <f>T29-G29</f>
        <v>-20</v>
      </c>
      <c r="V29" s="17">
        <f>IF(U29&lt;0,0,T29-G29)</f>
        <v>0</v>
      </c>
      <c r="W29" s="20">
        <f>V29*I29/100</f>
        <v>0</v>
      </c>
      <c r="X29" s="57">
        <v>8.4</v>
      </c>
      <c r="Y29" s="45"/>
      <c r="Z29" s="18"/>
      <c r="AA29" s="18"/>
      <c r="AB29" s="19"/>
      <c r="AC29" s="58"/>
      <c r="AD29" s="25">
        <v>0</v>
      </c>
      <c r="AE29" s="17">
        <f>AD29-G29</f>
        <v>-20</v>
      </c>
      <c r="AF29" s="17">
        <f>IF(AE29&lt;0,0,AD29-G29)</f>
        <v>0</v>
      </c>
      <c r="AG29" s="20">
        <f>AF29*I29/100</f>
        <v>0</v>
      </c>
      <c r="AH29" s="49">
        <v>8.4</v>
      </c>
      <c r="AI29" s="42">
        <f t="shared" si="0"/>
        <v>0</v>
      </c>
      <c r="AJ29" s="35">
        <f t="shared" si="1"/>
        <v>0</v>
      </c>
    </row>
    <row r="30" spans="1:39" x14ac:dyDescent="0.25">
      <c r="A30" s="25" t="s">
        <v>74</v>
      </c>
      <c r="B30" s="17" t="s">
        <v>10</v>
      </c>
      <c r="C30" s="17" t="s">
        <v>22</v>
      </c>
      <c r="D30" s="17" t="s">
        <v>12</v>
      </c>
      <c r="E30" s="18" t="s">
        <v>75</v>
      </c>
      <c r="F30" s="17" t="s">
        <v>14</v>
      </c>
      <c r="G30" s="17">
        <v>20</v>
      </c>
      <c r="H30" s="17" t="s">
        <v>15</v>
      </c>
      <c r="I30" s="39">
        <v>11</v>
      </c>
      <c r="J30" s="45"/>
      <c r="K30" s="18"/>
      <c r="L30" s="18"/>
      <c r="M30" s="19"/>
      <c r="N30" s="58"/>
      <c r="O30" s="45"/>
      <c r="P30" s="18"/>
      <c r="Q30" s="18"/>
      <c r="R30" s="19"/>
      <c r="S30" s="58"/>
      <c r="T30" s="25">
        <v>0</v>
      </c>
      <c r="U30" s="17">
        <f>T30-G30</f>
        <v>-20</v>
      </c>
      <c r="V30" s="17">
        <f>IF(U30&lt;0,0,T30-G30)</f>
        <v>0</v>
      </c>
      <c r="W30" s="20">
        <f>V30*I30/100</f>
        <v>0</v>
      </c>
      <c r="X30" s="57">
        <v>8.4</v>
      </c>
      <c r="Y30" s="25">
        <v>0</v>
      </c>
      <c r="Z30" s="17">
        <f>Y30-G30</f>
        <v>-20</v>
      </c>
      <c r="AA30" s="17">
        <f>IF(Z30&lt;0,0,Y30-G30)</f>
        <v>0</v>
      </c>
      <c r="AB30" s="20">
        <f>AA30*I30/100</f>
        <v>0</v>
      </c>
      <c r="AC30" s="57">
        <v>8.4</v>
      </c>
      <c r="AD30" s="25">
        <v>0</v>
      </c>
      <c r="AE30" s="17">
        <f>AD30-G30</f>
        <v>-20</v>
      </c>
      <c r="AF30" s="17">
        <f>IF(AE30&lt;0,0,AD30-G30)</f>
        <v>0</v>
      </c>
      <c r="AG30" s="20">
        <f>AF30*I30/100</f>
        <v>0</v>
      </c>
      <c r="AH30" s="49">
        <v>8.4</v>
      </c>
      <c r="AI30" s="42">
        <f t="shared" si="0"/>
        <v>0</v>
      </c>
      <c r="AJ30" s="35">
        <f t="shared" si="1"/>
        <v>0</v>
      </c>
    </row>
    <row r="31" spans="1:39" x14ac:dyDescent="0.25">
      <c r="A31" s="25" t="s">
        <v>76</v>
      </c>
      <c r="B31" s="17" t="s">
        <v>10</v>
      </c>
      <c r="C31" s="17" t="s">
        <v>22</v>
      </c>
      <c r="D31" s="17" t="s">
        <v>12</v>
      </c>
      <c r="E31" s="18" t="s">
        <v>73</v>
      </c>
      <c r="F31" s="17" t="s">
        <v>14</v>
      </c>
      <c r="G31" s="17">
        <v>20</v>
      </c>
      <c r="H31" s="17" t="s">
        <v>15</v>
      </c>
      <c r="I31" s="39">
        <v>11</v>
      </c>
      <c r="J31" s="45"/>
      <c r="K31" s="18"/>
      <c r="L31" s="18"/>
      <c r="M31" s="19"/>
      <c r="N31" s="58"/>
      <c r="O31" s="45"/>
      <c r="P31" s="18"/>
      <c r="Q31" s="18"/>
      <c r="R31" s="19"/>
      <c r="S31" s="58"/>
      <c r="T31" s="45"/>
      <c r="U31" s="18"/>
      <c r="V31" s="18"/>
      <c r="W31" s="19"/>
      <c r="X31" s="58"/>
      <c r="Y31" s="25">
        <v>0</v>
      </c>
      <c r="Z31" s="17">
        <f>Y31-G31</f>
        <v>-20</v>
      </c>
      <c r="AA31" s="17">
        <f>IF(Z31&lt;0,0,Y31-G31)</f>
        <v>0</v>
      </c>
      <c r="AB31" s="20">
        <f>AA31*I31/100</f>
        <v>0</v>
      </c>
      <c r="AC31" s="57">
        <v>8.4</v>
      </c>
      <c r="AD31" s="45"/>
      <c r="AE31" s="18"/>
      <c r="AF31" s="18"/>
      <c r="AG31" s="19"/>
      <c r="AH31" s="50"/>
      <c r="AI31" s="42">
        <f t="shared" si="0"/>
        <v>0</v>
      </c>
      <c r="AJ31" s="35">
        <f t="shared" si="1"/>
        <v>0</v>
      </c>
    </row>
    <row r="32" spans="1:39" x14ac:dyDescent="0.25">
      <c r="A32" s="25" t="s">
        <v>76</v>
      </c>
      <c r="B32" s="17" t="s">
        <v>10</v>
      </c>
      <c r="C32" s="17" t="s">
        <v>22</v>
      </c>
      <c r="D32" s="17" t="s">
        <v>12</v>
      </c>
      <c r="E32" s="18" t="s">
        <v>77</v>
      </c>
      <c r="F32" s="17" t="s">
        <v>14</v>
      </c>
      <c r="G32" s="17">
        <v>20</v>
      </c>
      <c r="H32" s="17" t="s">
        <v>15</v>
      </c>
      <c r="I32" s="39">
        <v>11</v>
      </c>
      <c r="J32" s="25">
        <v>0</v>
      </c>
      <c r="K32" s="17">
        <f t="shared" ref="K32:K40" si="23">J32-G32</f>
        <v>-20</v>
      </c>
      <c r="L32" s="17">
        <f t="shared" ref="L32:L40" si="24">IF(K32&lt;0,0,J32-G32)</f>
        <v>0</v>
      </c>
      <c r="M32" s="20">
        <f t="shared" ref="M32:M40" si="25">L32*I32/100</f>
        <v>0</v>
      </c>
      <c r="N32" s="57">
        <v>8.4</v>
      </c>
      <c r="O32" s="52">
        <v>0</v>
      </c>
      <c r="P32" s="21">
        <f t="shared" ref="P32:P40" si="26">O32-G32</f>
        <v>-20</v>
      </c>
      <c r="Q32" s="21">
        <f t="shared" ref="Q32:Q40" si="27">IF(P32&lt;0,0,O32-G32)</f>
        <v>0</v>
      </c>
      <c r="R32" s="22">
        <f t="shared" ref="R32:R40" si="28">Q32*I32/100</f>
        <v>0</v>
      </c>
      <c r="S32" s="61">
        <v>8.4</v>
      </c>
      <c r="T32" s="45"/>
      <c r="U32" s="18"/>
      <c r="V32" s="18"/>
      <c r="W32" s="19"/>
      <c r="X32" s="58"/>
      <c r="Y32" s="45"/>
      <c r="Z32" s="18"/>
      <c r="AA32" s="18"/>
      <c r="AB32" s="19"/>
      <c r="AC32" s="58"/>
      <c r="AD32" s="45"/>
      <c r="AE32" s="18"/>
      <c r="AF32" s="18"/>
      <c r="AG32" s="19"/>
      <c r="AH32" s="50"/>
      <c r="AI32" s="42">
        <f t="shared" si="0"/>
        <v>0</v>
      </c>
      <c r="AJ32" s="35">
        <f t="shared" si="1"/>
        <v>0</v>
      </c>
    </row>
    <row r="33" spans="1:36" x14ac:dyDescent="0.25">
      <c r="A33" s="25" t="s">
        <v>78</v>
      </c>
      <c r="B33" s="17" t="s">
        <v>10</v>
      </c>
      <c r="C33" s="17" t="s">
        <v>22</v>
      </c>
      <c r="D33" s="17" t="s">
        <v>12</v>
      </c>
      <c r="E33" s="18" t="s">
        <v>79</v>
      </c>
      <c r="F33" s="17" t="s">
        <v>14</v>
      </c>
      <c r="G33" s="17">
        <v>20</v>
      </c>
      <c r="H33" s="17" t="s">
        <v>15</v>
      </c>
      <c r="I33" s="39">
        <v>11</v>
      </c>
      <c r="J33" s="25">
        <v>134</v>
      </c>
      <c r="K33" s="17">
        <f t="shared" si="23"/>
        <v>114</v>
      </c>
      <c r="L33" s="17">
        <f t="shared" si="24"/>
        <v>114</v>
      </c>
      <c r="M33" s="20">
        <f t="shared" si="25"/>
        <v>12.54</v>
      </c>
      <c r="N33" s="57">
        <v>8.4</v>
      </c>
      <c r="O33" s="25">
        <v>0</v>
      </c>
      <c r="P33" s="17">
        <f t="shared" si="26"/>
        <v>-20</v>
      </c>
      <c r="Q33" s="17">
        <f t="shared" si="27"/>
        <v>0</v>
      </c>
      <c r="R33" s="20">
        <f t="shared" si="28"/>
        <v>0</v>
      </c>
      <c r="S33" s="57">
        <v>8.4</v>
      </c>
      <c r="T33" s="45"/>
      <c r="U33" s="18"/>
      <c r="V33" s="18"/>
      <c r="W33" s="19"/>
      <c r="X33" s="58"/>
      <c r="Y33" s="45"/>
      <c r="Z33" s="18"/>
      <c r="AA33" s="18"/>
      <c r="AB33" s="19"/>
      <c r="AC33" s="58"/>
      <c r="AD33" s="45"/>
      <c r="AE33" s="18"/>
      <c r="AF33" s="18"/>
      <c r="AG33" s="19"/>
      <c r="AH33" s="50"/>
      <c r="AI33" s="42">
        <f t="shared" si="0"/>
        <v>114</v>
      </c>
      <c r="AJ33" s="35">
        <f t="shared" si="1"/>
        <v>105.336</v>
      </c>
    </row>
    <row r="34" spans="1:36" x14ac:dyDescent="0.25">
      <c r="A34" s="25" t="s">
        <v>80</v>
      </c>
      <c r="B34" s="17" t="s">
        <v>10</v>
      </c>
      <c r="C34" s="17" t="s">
        <v>22</v>
      </c>
      <c r="D34" s="17" t="s">
        <v>12</v>
      </c>
      <c r="E34" s="18" t="s">
        <v>81</v>
      </c>
      <c r="F34" s="17" t="s">
        <v>14</v>
      </c>
      <c r="G34" s="17">
        <v>20</v>
      </c>
      <c r="H34" s="17" t="s">
        <v>15</v>
      </c>
      <c r="I34" s="39">
        <v>11</v>
      </c>
      <c r="J34" s="25">
        <v>0</v>
      </c>
      <c r="K34" s="17">
        <f t="shared" si="23"/>
        <v>-20</v>
      </c>
      <c r="L34" s="17">
        <f t="shared" si="24"/>
        <v>0</v>
      </c>
      <c r="M34" s="20">
        <f t="shared" si="25"/>
        <v>0</v>
      </c>
      <c r="N34" s="57">
        <v>8.4</v>
      </c>
      <c r="O34" s="25">
        <v>0</v>
      </c>
      <c r="P34" s="17">
        <f t="shared" si="26"/>
        <v>-20</v>
      </c>
      <c r="Q34" s="17">
        <f t="shared" si="27"/>
        <v>0</v>
      </c>
      <c r="R34" s="20">
        <f t="shared" si="28"/>
        <v>0</v>
      </c>
      <c r="S34" s="57">
        <v>8.4</v>
      </c>
      <c r="T34" s="45"/>
      <c r="U34" s="18"/>
      <c r="V34" s="18"/>
      <c r="W34" s="19"/>
      <c r="X34" s="58"/>
      <c r="Y34" s="45"/>
      <c r="Z34" s="18"/>
      <c r="AA34" s="18"/>
      <c r="AB34" s="19"/>
      <c r="AC34" s="58"/>
      <c r="AD34" s="25">
        <v>0</v>
      </c>
      <c r="AE34" s="17">
        <f>AD34-G34</f>
        <v>-20</v>
      </c>
      <c r="AF34" s="17">
        <f>IF(AE34&lt;0,0,AD34-G34)</f>
        <v>0</v>
      </c>
      <c r="AG34" s="20">
        <f>AF34*I34/100</f>
        <v>0</v>
      </c>
      <c r="AH34" s="49">
        <v>8.4</v>
      </c>
      <c r="AI34" s="42">
        <f t="shared" si="0"/>
        <v>0</v>
      </c>
      <c r="AJ34" s="35">
        <f t="shared" si="1"/>
        <v>0</v>
      </c>
    </row>
    <row r="35" spans="1:36" x14ac:dyDescent="0.25">
      <c r="A35" s="25" t="s">
        <v>82</v>
      </c>
      <c r="B35" s="17" t="s">
        <v>10</v>
      </c>
      <c r="C35" s="17" t="s">
        <v>11</v>
      </c>
      <c r="D35" s="17" t="s">
        <v>12</v>
      </c>
      <c r="E35" s="18" t="s">
        <v>83</v>
      </c>
      <c r="F35" s="17" t="s">
        <v>14</v>
      </c>
      <c r="G35" s="17">
        <v>20</v>
      </c>
      <c r="H35" s="17" t="s">
        <v>15</v>
      </c>
      <c r="I35" s="39">
        <v>6.5</v>
      </c>
      <c r="J35" s="25">
        <v>0</v>
      </c>
      <c r="K35" s="17">
        <f t="shared" si="23"/>
        <v>-20</v>
      </c>
      <c r="L35" s="17">
        <f t="shared" si="24"/>
        <v>0</v>
      </c>
      <c r="M35" s="20">
        <f t="shared" si="25"/>
        <v>0</v>
      </c>
      <c r="N35" s="57">
        <v>8.4</v>
      </c>
      <c r="O35" s="25">
        <v>81</v>
      </c>
      <c r="P35" s="17">
        <f t="shared" si="26"/>
        <v>61</v>
      </c>
      <c r="Q35" s="17">
        <f t="shared" si="27"/>
        <v>61</v>
      </c>
      <c r="R35" s="20">
        <f t="shared" si="28"/>
        <v>3.9649999999999999</v>
      </c>
      <c r="S35" s="57">
        <v>8.4</v>
      </c>
      <c r="T35" s="25">
        <v>0</v>
      </c>
      <c r="U35" s="17">
        <f t="shared" ref="U35:U49" si="29">T35-G35</f>
        <v>-20</v>
      </c>
      <c r="V35" s="17">
        <f t="shared" ref="V35:V49" si="30">IF(U35&lt;0,0,T35-G35)</f>
        <v>0</v>
      </c>
      <c r="W35" s="20">
        <f t="shared" ref="W35:W49" si="31">V35*I35/100</f>
        <v>0</v>
      </c>
      <c r="X35" s="57">
        <v>8.4</v>
      </c>
      <c r="Y35" s="25">
        <v>9</v>
      </c>
      <c r="Z35" s="17">
        <f>Y35-G35</f>
        <v>-11</v>
      </c>
      <c r="AA35" s="17">
        <f>IF(Z35&lt;0,0,Y35-G35)</f>
        <v>0</v>
      </c>
      <c r="AB35" s="20">
        <f>AA35*I35/100</f>
        <v>0</v>
      </c>
      <c r="AC35" s="57">
        <v>8.4</v>
      </c>
      <c r="AD35" s="25">
        <v>9</v>
      </c>
      <c r="AE35" s="17">
        <f>AD35-G35</f>
        <v>-11</v>
      </c>
      <c r="AF35" s="17">
        <f>IF(AE35&lt;0,0,AD35-G35)</f>
        <v>0</v>
      </c>
      <c r="AG35" s="20">
        <f>AF35*I35/100</f>
        <v>0</v>
      </c>
      <c r="AH35" s="49">
        <v>8.4</v>
      </c>
      <c r="AI35" s="42">
        <f t="shared" ref="AI35:AI66" si="32">AF35+AA35+V35+Q35+L35</f>
        <v>61</v>
      </c>
      <c r="AJ35" s="35">
        <f t="shared" ref="AJ35:AJ66" si="33">AG35*AH35+AB35*AC35+W35*X35+R35*S35+M35*N35</f>
        <v>33.305999999999997</v>
      </c>
    </row>
    <row r="36" spans="1:36" x14ac:dyDescent="0.25">
      <c r="A36" s="25" t="s">
        <v>84</v>
      </c>
      <c r="B36" s="17" t="s">
        <v>32</v>
      </c>
      <c r="C36" s="17">
        <v>508</v>
      </c>
      <c r="D36" s="17" t="s">
        <v>12</v>
      </c>
      <c r="E36" s="18" t="s">
        <v>85</v>
      </c>
      <c r="F36" s="17" t="s">
        <v>14</v>
      </c>
      <c r="G36" s="17">
        <v>20</v>
      </c>
      <c r="H36" s="17" t="s">
        <v>15</v>
      </c>
      <c r="I36" s="39">
        <v>6.5</v>
      </c>
      <c r="J36" s="25">
        <v>60</v>
      </c>
      <c r="K36" s="17">
        <f t="shared" si="23"/>
        <v>40</v>
      </c>
      <c r="L36" s="17">
        <f t="shared" si="24"/>
        <v>40</v>
      </c>
      <c r="M36" s="20">
        <f t="shared" si="25"/>
        <v>2.6</v>
      </c>
      <c r="N36" s="57">
        <v>8.4</v>
      </c>
      <c r="O36" s="25">
        <v>118</v>
      </c>
      <c r="P36" s="17">
        <f t="shared" si="26"/>
        <v>98</v>
      </c>
      <c r="Q36" s="17">
        <f t="shared" si="27"/>
        <v>98</v>
      </c>
      <c r="R36" s="20">
        <f t="shared" si="28"/>
        <v>6.37</v>
      </c>
      <c r="S36" s="57">
        <v>8.4</v>
      </c>
      <c r="T36" s="25">
        <v>75</v>
      </c>
      <c r="U36" s="17">
        <f t="shared" si="29"/>
        <v>55</v>
      </c>
      <c r="V36" s="17">
        <f t="shared" si="30"/>
        <v>55</v>
      </c>
      <c r="W36" s="20">
        <f t="shared" si="31"/>
        <v>3.5750000000000002</v>
      </c>
      <c r="X36" s="57">
        <v>8.4</v>
      </c>
      <c r="Y36" s="45"/>
      <c r="Z36" s="18"/>
      <c r="AA36" s="18"/>
      <c r="AB36" s="19"/>
      <c r="AC36" s="58"/>
      <c r="AD36" s="45"/>
      <c r="AE36" s="18"/>
      <c r="AF36" s="18"/>
      <c r="AG36" s="19"/>
      <c r="AH36" s="50"/>
      <c r="AI36" s="42">
        <f t="shared" si="32"/>
        <v>193</v>
      </c>
      <c r="AJ36" s="35">
        <f t="shared" si="33"/>
        <v>105.37800000000001</v>
      </c>
    </row>
    <row r="37" spans="1:36" x14ac:dyDescent="0.25">
      <c r="A37" s="25" t="s">
        <v>86</v>
      </c>
      <c r="B37" s="17" t="s">
        <v>10</v>
      </c>
      <c r="C37" s="17" t="s">
        <v>11</v>
      </c>
      <c r="D37" s="17" t="s">
        <v>12</v>
      </c>
      <c r="E37" s="17" t="s">
        <v>87</v>
      </c>
      <c r="F37" s="17" t="s">
        <v>14</v>
      </c>
      <c r="G37" s="17">
        <v>50</v>
      </c>
      <c r="H37" s="17" t="s">
        <v>15</v>
      </c>
      <c r="I37" s="39">
        <v>6.5</v>
      </c>
      <c r="J37" s="25">
        <v>0</v>
      </c>
      <c r="K37" s="17">
        <f t="shared" si="23"/>
        <v>-50</v>
      </c>
      <c r="L37" s="17">
        <f t="shared" si="24"/>
        <v>0</v>
      </c>
      <c r="M37" s="20">
        <f t="shared" si="25"/>
        <v>0</v>
      </c>
      <c r="N37" s="57">
        <v>8.4</v>
      </c>
      <c r="O37" s="25">
        <v>17</v>
      </c>
      <c r="P37" s="17">
        <f t="shared" si="26"/>
        <v>-33</v>
      </c>
      <c r="Q37" s="17">
        <f t="shared" si="27"/>
        <v>0</v>
      </c>
      <c r="R37" s="20">
        <f t="shared" si="28"/>
        <v>0</v>
      </c>
      <c r="S37" s="57">
        <v>8.4</v>
      </c>
      <c r="T37" s="25">
        <v>17</v>
      </c>
      <c r="U37" s="17">
        <f t="shared" si="29"/>
        <v>-33</v>
      </c>
      <c r="V37" s="17">
        <f t="shared" si="30"/>
        <v>0</v>
      </c>
      <c r="W37" s="20">
        <f t="shared" si="31"/>
        <v>0</v>
      </c>
      <c r="X37" s="57">
        <v>8.4</v>
      </c>
      <c r="Y37" s="25">
        <v>16</v>
      </c>
      <c r="Z37" s="17">
        <f t="shared" ref="Z37:Z49" si="34">Y37-G37</f>
        <v>-34</v>
      </c>
      <c r="AA37" s="17">
        <f t="shared" ref="AA37:AA49" si="35">IF(Z37&lt;0,0,Y37-G37)</f>
        <v>0</v>
      </c>
      <c r="AB37" s="20">
        <f t="shared" ref="AB37:AB49" si="36">AA37*I37/100</f>
        <v>0</v>
      </c>
      <c r="AC37" s="57">
        <v>8.4</v>
      </c>
      <c r="AD37" s="25">
        <v>17</v>
      </c>
      <c r="AE37" s="17">
        <f t="shared" ref="AE37:AE49" si="37">AD37-G37</f>
        <v>-33</v>
      </c>
      <c r="AF37" s="17">
        <f t="shared" ref="AF37:AF49" si="38">IF(AE37&lt;0,0,AD37-G37)</f>
        <v>0</v>
      </c>
      <c r="AG37" s="20">
        <f t="shared" ref="AG37:AG49" si="39">AF37*I37/100</f>
        <v>0</v>
      </c>
      <c r="AH37" s="49">
        <v>8.4</v>
      </c>
      <c r="AI37" s="42">
        <f t="shared" si="32"/>
        <v>0</v>
      </c>
      <c r="AJ37" s="35">
        <f t="shared" si="33"/>
        <v>0</v>
      </c>
    </row>
    <row r="38" spans="1:36" x14ac:dyDescent="0.25">
      <c r="A38" s="25" t="s">
        <v>88</v>
      </c>
      <c r="B38" s="17" t="s">
        <v>10</v>
      </c>
      <c r="C38" s="17" t="s">
        <v>11</v>
      </c>
      <c r="D38" s="17" t="s">
        <v>12</v>
      </c>
      <c r="E38" s="18" t="s">
        <v>89</v>
      </c>
      <c r="F38" s="17" t="s">
        <v>14</v>
      </c>
      <c r="G38" s="17">
        <v>20</v>
      </c>
      <c r="H38" s="17" t="s">
        <v>15</v>
      </c>
      <c r="I38" s="39">
        <v>6.5</v>
      </c>
      <c r="J38" s="25">
        <v>5</v>
      </c>
      <c r="K38" s="17">
        <f t="shared" si="23"/>
        <v>-15</v>
      </c>
      <c r="L38" s="17">
        <f t="shared" si="24"/>
        <v>0</v>
      </c>
      <c r="M38" s="20">
        <f t="shared" si="25"/>
        <v>0</v>
      </c>
      <c r="N38" s="57">
        <v>8.4</v>
      </c>
      <c r="O38" s="25">
        <v>0</v>
      </c>
      <c r="P38" s="17">
        <f t="shared" si="26"/>
        <v>-20</v>
      </c>
      <c r="Q38" s="17">
        <f t="shared" si="27"/>
        <v>0</v>
      </c>
      <c r="R38" s="20">
        <f t="shared" si="28"/>
        <v>0</v>
      </c>
      <c r="S38" s="57">
        <v>8.4</v>
      </c>
      <c r="T38" s="25">
        <v>3</v>
      </c>
      <c r="U38" s="17">
        <f t="shared" si="29"/>
        <v>-17</v>
      </c>
      <c r="V38" s="17">
        <f t="shared" si="30"/>
        <v>0</v>
      </c>
      <c r="W38" s="20">
        <f t="shared" si="31"/>
        <v>0</v>
      </c>
      <c r="X38" s="57">
        <v>8.4</v>
      </c>
      <c r="Y38" s="25">
        <v>0</v>
      </c>
      <c r="Z38" s="17">
        <f t="shared" si="34"/>
        <v>-20</v>
      </c>
      <c r="AA38" s="17">
        <f t="shared" si="35"/>
        <v>0</v>
      </c>
      <c r="AB38" s="20">
        <f t="shared" si="36"/>
        <v>0</v>
      </c>
      <c r="AC38" s="57">
        <v>8.4</v>
      </c>
      <c r="AD38" s="25">
        <v>3</v>
      </c>
      <c r="AE38" s="17">
        <f t="shared" si="37"/>
        <v>-17</v>
      </c>
      <c r="AF38" s="17">
        <f t="shared" si="38"/>
        <v>0</v>
      </c>
      <c r="AG38" s="20">
        <f t="shared" si="39"/>
        <v>0</v>
      </c>
      <c r="AH38" s="49">
        <v>8.4</v>
      </c>
      <c r="AI38" s="42">
        <f t="shared" si="32"/>
        <v>0</v>
      </c>
      <c r="AJ38" s="35">
        <f t="shared" si="33"/>
        <v>0</v>
      </c>
    </row>
    <row r="39" spans="1:36" x14ac:dyDescent="0.25">
      <c r="A39" s="25" t="s">
        <v>90</v>
      </c>
      <c r="B39" s="17" t="s">
        <v>10</v>
      </c>
      <c r="C39" s="17" t="s">
        <v>11</v>
      </c>
      <c r="D39" s="17" t="s">
        <v>12</v>
      </c>
      <c r="E39" s="18" t="s">
        <v>91</v>
      </c>
      <c r="F39" s="17" t="s">
        <v>14</v>
      </c>
      <c r="G39" s="17">
        <v>20</v>
      </c>
      <c r="H39" s="17" t="s">
        <v>15</v>
      </c>
      <c r="I39" s="39">
        <v>6.5</v>
      </c>
      <c r="J39" s="25">
        <v>0</v>
      </c>
      <c r="K39" s="17">
        <f t="shared" si="23"/>
        <v>-20</v>
      </c>
      <c r="L39" s="17">
        <f t="shared" si="24"/>
        <v>0</v>
      </c>
      <c r="M39" s="20">
        <f t="shared" si="25"/>
        <v>0</v>
      </c>
      <c r="N39" s="57">
        <v>8.4</v>
      </c>
      <c r="O39" s="25">
        <v>8</v>
      </c>
      <c r="P39" s="17">
        <f t="shared" si="26"/>
        <v>-12</v>
      </c>
      <c r="Q39" s="17">
        <f t="shared" si="27"/>
        <v>0</v>
      </c>
      <c r="R39" s="20">
        <f t="shared" si="28"/>
        <v>0</v>
      </c>
      <c r="S39" s="57">
        <v>8.4</v>
      </c>
      <c r="T39" s="25">
        <v>15</v>
      </c>
      <c r="U39" s="17">
        <f t="shared" si="29"/>
        <v>-5</v>
      </c>
      <c r="V39" s="17">
        <f t="shared" si="30"/>
        <v>0</v>
      </c>
      <c r="W39" s="20">
        <f t="shared" si="31"/>
        <v>0</v>
      </c>
      <c r="X39" s="57">
        <v>8.4</v>
      </c>
      <c r="Y39" s="25">
        <v>412</v>
      </c>
      <c r="Z39" s="17">
        <f t="shared" si="34"/>
        <v>392</v>
      </c>
      <c r="AA39" s="17">
        <f t="shared" si="35"/>
        <v>392</v>
      </c>
      <c r="AB39" s="20">
        <f t="shared" si="36"/>
        <v>25.48</v>
      </c>
      <c r="AC39" s="57">
        <v>8.4</v>
      </c>
      <c r="AD39" s="25">
        <v>64</v>
      </c>
      <c r="AE39" s="17">
        <f t="shared" si="37"/>
        <v>44</v>
      </c>
      <c r="AF39" s="17">
        <f t="shared" si="38"/>
        <v>44</v>
      </c>
      <c r="AG39" s="20">
        <f t="shared" si="39"/>
        <v>2.86</v>
      </c>
      <c r="AH39" s="49">
        <v>8.4</v>
      </c>
      <c r="AI39" s="42">
        <f t="shared" si="32"/>
        <v>436</v>
      </c>
      <c r="AJ39" s="35">
        <f t="shared" si="33"/>
        <v>238.05600000000001</v>
      </c>
    </row>
    <row r="40" spans="1:36" x14ac:dyDescent="0.25">
      <c r="A40" s="25" t="s">
        <v>92</v>
      </c>
      <c r="B40" s="17" t="s">
        <v>32</v>
      </c>
      <c r="C40" s="17">
        <v>208</v>
      </c>
      <c r="D40" s="17" t="s">
        <v>12</v>
      </c>
      <c r="E40" s="17" t="s">
        <v>93</v>
      </c>
      <c r="F40" s="17" t="s">
        <v>14</v>
      </c>
      <c r="G40" s="17">
        <v>20</v>
      </c>
      <c r="H40" s="17" t="s">
        <v>15</v>
      </c>
      <c r="I40" s="39">
        <v>6.5</v>
      </c>
      <c r="J40" s="25">
        <v>17</v>
      </c>
      <c r="K40" s="17">
        <f t="shared" si="23"/>
        <v>-3</v>
      </c>
      <c r="L40" s="17">
        <f t="shared" si="24"/>
        <v>0</v>
      </c>
      <c r="M40" s="20">
        <f t="shared" si="25"/>
        <v>0</v>
      </c>
      <c r="N40" s="57">
        <v>8.4</v>
      </c>
      <c r="O40" s="25">
        <v>496</v>
      </c>
      <c r="P40" s="17">
        <f t="shared" si="26"/>
        <v>476</v>
      </c>
      <c r="Q40" s="17">
        <f t="shared" si="27"/>
        <v>476</v>
      </c>
      <c r="R40" s="20">
        <f t="shared" si="28"/>
        <v>30.94</v>
      </c>
      <c r="S40" s="57">
        <v>8.4</v>
      </c>
      <c r="T40" s="25">
        <v>297</v>
      </c>
      <c r="U40" s="17">
        <f t="shared" si="29"/>
        <v>277</v>
      </c>
      <c r="V40" s="17">
        <f t="shared" si="30"/>
        <v>277</v>
      </c>
      <c r="W40" s="20">
        <f t="shared" si="31"/>
        <v>18.004999999999999</v>
      </c>
      <c r="X40" s="57">
        <v>8.4</v>
      </c>
      <c r="Y40" s="25">
        <v>18</v>
      </c>
      <c r="Z40" s="17">
        <f t="shared" si="34"/>
        <v>-2</v>
      </c>
      <c r="AA40" s="17">
        <f t="shared" si="35"/>
        <v>0</v>
      </c>
      <c r="AB40" s="20">
        <f t="shared" si="36"/>
        <v>0</v>
      </c>
      <c r="AC40" s="57">
        <v>8.4</v>
      </c>
      <c r="AD40" s="25">
        <v>46</v>
      </c>
      <c r="AE40" s="17">
        <f t="shared" si="37"/>
        <v>26</v>
      </c>
      <c r="AF40" s="17">
        <f t="shared" si="38"/>
        <v>26</v>
      </c>
      <c r="AG40" s="20">
        <f t="shared" si="39"/>
        <v>1.69</v>
      </c>
      <c r="AH40" s="49">
        <v>8.4</v>
      </c>
      <c r="AI40" s="42">
        <f t="shared" si="32"/>
        <v>779</v>
      </c>
      <c r="AJ40" s="35">
        <f t="shared" si="33"/>
        <v>425.334</v>
      </c>
    </row>
    <row r="41" spans="1:36" x14ac:dyDescent="0.25">
      <c r="A41" s="25" t="s">
        <v>94</v>
      </c>
      <c r="B41" s="17" t="s">
        <v>17</v>
      </c>
      <c r="C41" s="17" t="s">
        <v>18</v>
      </c>
      <c r="D41" s="17" t="s">
        <v>12</v>
      </c>
      <c r="E41" s="18" t="s">
        <v>95</v>
      </c>
      <c r="F41" s="17" t="s">
        <v>14</v>
      </c>
      <c r="G41" s="17">
        <v>20</v>
      </c>
      <c r="H41" s="17" t="s">
        <v>15</v>
      </c>
      <c r="I41" s="39">
        <v>6.5</v>
      </c>
      <c r="J41" s="45"/>
      <c r="K41" s="18"/>
      <c r="L41" s="18"/>
      <c r="M41" s="19"/>
      <c r="N41" s="58"/>
      <c r="O41" s="45"/>
      <c r="P41" s="18"/>
      <c r="Q41" s="18"/>
      <c r="R41" s="19"/>
      <c r="S41" s="58"/>
      <c r="T41" s="25">
        <v>2</v>
      </c>
      <c r="U41" s="17">
        <f t="shared" si="29"/>
        <v>-18</v>
      </c>
      <c r="V41" s="17">
        <f t="shared" si="30"/>
        <v>0</v>
      </c>
      <c r="W41" s="20">
        <f t="shared" si="31"/>
        <v>0</v>
      </c>
      <c r="X41" s="57">
        <v>8.4</v>
      </c>
      <c r="Y41" s="25">
        <v>63</v>
      </c>
      <c r="Z41" s="17">
        <f t="shared" si="34"/>
        <v>43</v>
      </c>
      <c r="AA41" s="17">
        <f t="shared" si="35"/>
        <v>43</v>
      </c>
      <c r="AB41" s="20">
        <f t="shared" si="36"/>
        <v>2.7949999999999999</v>
      </c>
      <c r="AC41" s="57">
        <v>8.4</v>
      </c>
      <c r="AD41" s="25">
        <v>90</v>
      </c>
      <c r="AE41" s="17">
        <f t="shared" si="37"/>
        <v>70</v>
      </c>
      <c r="AF41" s="17">
        <f t="shared" si="38"/>
        <v>70</v>
      </c>
      <c r="AG41" s="20">
        <f t="shared" si="39"/>
        <v>4.55</v>
      </c>
      <c r="AH41" s="49">
        <v>8.4</v>
      </c>
      <c r="AI41" s="42">
        <f t="shared" si="32"/>
        <v>113</v>
      </c>
      <c r="AJ41" s="35">
        <f t="shared" si="33"/>
        <v>61.698</v>
      </c>
    </row>
    <row r="42" spans="1:36" x14ac:dyDescent="0.25">
      <c r="A42" s="25" t="s">
        <v>96</v>
      </c>
      <c r="B42" s="17" t="s">
        <v>17</v>
      </c>
      <c r="C42" s="17" t="s">
        <v>18</v>
      </c>
      <c r="D42" s="17" t="s">
        <v>12</v>
      </c>
      <c r="E42" s="18" t="s">
        <v>97</v>
      </c>
      <c r="F42" s="17" t="s">
        <v>14</v>
      </c>
      <c r="G42" s="17">
        <v>20</v>
      </c>
      <c r="H42" s="17" t="s">
        <v>15</v>
      </c>
      <c r="I42" s="39">
        <v>6.5</v>
      </c>
      <c r="J42" s="45"/>
      <c r="K42" s="18"/>
      <c r="L42" s="18"/>
      <c r="M42" s="19"/>
      <c r="N42" s="58"/>
      <c r="O42" s="25">
        <v>0</v>
      </c>
      <c r="P42" s="17">
        <f>O42-G42</f>
        <v>-20</v>
      </c>
      <c r="Q42" s="17">
        <f>IF(P42&lt;0,0,O42-G42)</f>
        <v>0</v>
      </c>
      <c r="R42" s="20">
        <f>Q42*I42/100</f>
        <v>0</v>
      </c>
      <c r="S42" s="57">
        <v>8.4</v>
      </c>
      <c r="T42" s="25">
        <v>14</v>
      </c>
      <c r="U42" s="17">
        <f t="shared" si="29"/>
        <v>-6</v>
      </c>
      <c r="V42" s="17">
        <f t="shared" si="30"/>
        <v>0</v>
      </c>
      <c r="W42" s="20">
        <f t="shared" si="31"/>
        <v>0</v>
      </c>
      <c r="X42" s="57">
        <v>8.4</v>
      </c>
      <c r="Y42" s="25">
        <v>7</v>
      </c>
      <c r="Z42" s="17">
        <f t="shared" si="34"/>
        <v>-13</v>
      </c>
      <c r="AA42" s="17">
        <f t="shared" si="35"/>
        <v>0</v>
      </c>
      <c r="AB42" s="20">
        <f t="shared" si="36"/>
        <v>0</v>
      </c>
      <c r="AC42" s="57">
        <v>8.4</v>
      </c>
      <c r="AD42" s="25">
        <v>36</v>
      </c>
      <c r="AE42" s="17">
        <f t="shared" si="37"/>
        <v>16</v>
      </c>
      <c r="AF42" s="17">
        <f t="shared" si="38"/>
        <v>16</v>
      </c>
      <c r="AG42" s="20">
        <f t="shared" si="39"/>
        <v>1.04</v>
      </c>
      <c r="AH42" s="49">
        <v>8.4</v>
      </c>
      <c r="AI42" s="42">
        <f t="shared" si="32"/>
        <v>16</v>
      </c>
      <c r="AJ42" s="35">
        <f t="shared" si="33"/>
        <v>8.7360000000000007</v>
      </c>
    </row>
    <row r="43" spans="1:36" x14ac:dyDescent="0.25">
      <c r="A43" s="25" t="s">
        <v>98</v>
      </c>
      <c r="B43" s="17" t="s">
        <v>17</v>
      </c>
      <c r="C43" s="17" t="s">
        <v>99</v>
      </c>
      <c r="D43" s="17" t="s">
        <v>12</v>
      </c>
      <c r="E43" s="17" t="s">
        <v>100</v>
      </c>
      <c r="F43" s="17" t="s">
        <v>14</v>
      </c>
      <c r="G43" s="17">
        <v>20</v>
      </c>
      <c r="H43" s="17" t="s">
        <v>38</v>
      </c>
      <c r="I43" s="39">
        <v>6.5</v>
      </c>
      <c r="J43" s="25">
        <v>20</v>
      </c>
      <c r="K43" s="17">
        <f>J43-G43</f>
        <v>0</v>
      </c>
      <c r="L43" s="17">
        <f>IF(K43&lt;0,0,J43-G43)</f>
        <v>0</v>
      </c>
      <c r="M43" s="20">
        <f>L43*I43/100</f>
        <v>0</v>
      </c>
      <c r="N43" s="57">
        <v>7.3</v>
      </c>
      <c r="O43" s="25">
        <v>18</v>
      </c>
      <c r="P43" s="17">
        <f>O43-G43</f>
        <v>-2</v>
      </c>
      <c r="Q43" s="17">
        <f>IF(P43&lt;0,0,O43-G43)</f>
        <v>0</v>
      </c>
      <c r="R43" s="20">
        <f>Q43*I43/100</f>
        <v>0</v>
      </c>
      <c r="S43" s="57">
        <v>7.2</v>
      </c>
      <c r="T43" s="25">
        <v>16</v>
      </c>
      <c r="U43" s="17">
        <f t="shared" si="29"/>
        <v>-4</v>
      </c>
      <c r="V43" s="17">
        <f t="shared" si="30"/>
        <v>0</v>
      </c>
      <c r="W43" s="20">
        <f t="shared" si="31"/>
        <v>0</v>
      </c>
      <c r="X43" s="57">
        <v>7.2</v>
      </c>
      <c r="Y43" s="25">
        <v>17</v>
      </c>
      <c r="Z43" s="17">
        <f t="shared" si="34"/>
        <v>-3</v>
      </c>
      <c r="AA43" s="17">
        <f t="shared" si="35"/>
        <v>0</v>
      </c>
      <c r="AB43" s="20">
        <f t="shared" si="36"/>
        <v>0</v>
      </c>
      <c r="AC43" s="57">
        <v>7.2</v>
      </c>
      <c r="AD43" s="25">
        <v>18</v>
      </c>
      <c r="AE43" s="17">
        <f t="shared" si="37"/>
        <v>-2</v>
      </c>
      <c r="AF43" s="17">
        <f t="shared" si="38"/>
        <v>0</v>
      </c>
      <c r="AG43" s="20">
        <f t="shared" si="39"/>
        <v>0</v>
      </c>
      <c r="AH43" s="49">
        <v>7.2</v>
      </c>
      <c r="AI43" s="42">
        <f t="shared" si="32"/>
        <v>0</v>
      </c>
      <c r="AJ43" s="35">
        <f t="shared" si="33"/>
        <v>0</v>
      </c>
    </row>
    <row r="44" spans="1:36" x14ac:dyDescent="0.25">
      <c r="A44" s="25" t="s">
        <v>101</v>
      </c>
      <c r="B44" s="17" t="s">
        <v>10</v>
      </c>
      <c r="C44" s="17" t="s">
        <v>11</v>
      </c>
      <c r="D44" s="17" t="s">
        <v>102</v>
      </c>
      <c r="E44" s="17" t="s">
        <v>103</v>
      </c>
      <c r="F44" s="17" t="s">
        <v>14</v>
      </c>
      <c r="G44" s="17">
        <v>35</v>
      </c>
      <c r="H44" s="17" t="s">
        <v>15</v>
      </c>
      <c r="I44" s="39">
        <v>6.5</v>
      </c>
      <c r="J44" s="25">
        <v>76</v>
      </c>
      <c r="K44" s="17">
        <f>J44-G44</f>
        <v>41</v>
      </c>
      <c r="L44" s="17">
        <f>IF(K44&lt;0,0,J44-G44)</f>
        <v>41</v>
      </c>
      <c r="M44" s="20">
        <f>L44*I44/100</f>
        <v>2.665</v>
      </c>
      <c r="N44" s="57">
        <v>8.4</v>
      </c>
      <c r="O44" s="25">
        <v>312</v>
      </c>
      <c r="P44" s="17">
        <f>O44-G44</f>
        <v>277</v>
      </c>
      <c r="Q44" s="17">
        <f>IF(P44&lt;0,0,O44-G44)</f>
        <v>277</v>
      </c>
      <c r="R44" s="20">
        <f>Q44*I44/100</f>
        <v>18.004999999999999</v>
      </c>
      <c r="S44" s="57">
        <v>8.4</v>
      </c>
      <c r="T44" s="25">
        <v>46</v>
      </c>
      <c r="U44" s="17">
        <f t="shared" si="29"/>
        <v>11</v>
      </c>
      <c r="V44" s="17">
        <f t="shared" si="30"/>
        <v>11</v>
      </c>
      <c r="W44" s="20">
        <f t="shared" si="31"/>
        <v>0.71499999999999997</v>
      </c>
      <c r="X44" s="57">
        <v>8.4</v>
      </c>
      <c r="Y44" s="25">
        <v>100</v>
      </c>
      <c r="Z44" s="17">
        <f t="shared" si="34"/>
        <v>65</v>
      </c>
      <c r="AA44" s="17">
        <f t="shared" si="35"/>
        <v>65</v>
      </c>
      <c r="AB44" s="20">
        <f t="shared" si="36"/>
        <v>4.2249999999999996</v>
      </c>
      <c r="AC44" s="57">
        <v>8.4</v>
      </c>
      <c r="AD44" s="25">
        <v>89</v>
      </c>
      <c r="AE44" s="17">
        <f t="shared" si="37"/>
        <v>54</v>
      </c>
      <c r="AF44" s="17">
        <f t="shared" si="38"/>
        <v>54</v>
      </c>
      <c r="AG44" s="20">
        <f t="shared" si="39"/>
        <v>3.51</v>
      </c>
      <c r="AH44" s="49">
        <v>8.4</v>
      </c>
      <c r="AI44" s="42">
        <f t="shared" si="32"/>
        <v>448</v>
      </c>
      <c r="AJ44" s="35">
        <f t="shared" si="33"/>
        <v>244.60799999999998</v>
      </c>
    </row>
    <row r="45" spans="1:36" x14ac:dyDescent="0.25">
      <c r="A45" s="25" t="s">
        <v>104</v>
      </c>
      <c r="B45" s="17" t="s">
        <v>10</v>
      </c>
      <c r="C45" s="17" t="s">
        <v>105</v>
      </c>
      <c r="D45" s="17" t="s">
        <v>102</v>
      </c>
      <c r="E45" s="17" t="s">
        <v>106</v>
      </c>
      <c r="F45" s="17" t="s">
        <v>14</v>
      </c>
      <c r="G45" s="17">
        <v>30</v>
      </c>
      <c r="H45" s="17" t="s">
        <v>15</v>
      </c>
      <c r="I45" s="39">
        <v>6.5</v>
      </c>
      <c r="J45" s="25">
        <v>21</v>
      </c>
      <c r="K45" s="17">
        <f>J45-G45</f>
        <v>-9</v>
      </c>
      <c r="L45" s="17">
        <f>IF(K45&lt;0,0,J45-G45)</f>
        <v>0</v>
      </c>
      <c r="M45" s="20">
        <f>L45*I45/100</f>
        <v>0</v>
      </c>
      <c r="N45" s="57">
        <v>8.4</v>
      </c>
      <c r="O45" s="25">
        <v>57</v>
      </c>
      <c r="P45" s="17">
        <f>O45-G45</f>
        <v>27</v>
      </c>
      <c r="Q45" s="17">
        <f>IF(P45&lt;0,0,O45-G45)</f>
        <v>27</v>
      </c>
      <c r="R45" s="20">
        <f>Q45*I45/100</f>
        <v>1.7549999999999999</v>
      </c>
      <c r="S45" s="57">
        <v>8.4</v>
      </c>
      <c r="T45" s="25">
        <v>22</v>
      </c>
      <c r="U45" s="17">
        <f t="shared" si="29"/>
        <v>-8</v>
      </c>
      <c r="V45" s="17">
        <f t="shared" si="30"/>
        <v>0</v>
      </c>
      <c r="W45" s="20">
        <f t="shared" si="31"/>
        <v>0</v>
      </c>
      <c r="X45" s="57">
        <v>8.4</v>
      </c>
      <c r="Y45" s="25">
        <v>24</v>
      </c>
      <c r="Z45" s="17">
        <f t="shared" si="34"/>
        <v>-6</v>
      </c>
      <c r="AA45" s="17">
        <f t="shared" si="35"/>
        <v>0</v>
      </c>
      <c r="AB45" s="20">
        <f t="shared" si="36"/>
        <v>0</v>
      </c>
      <c r="AC45" s="57">
        <v>8.4</v>
      </c>
      <c r="AD45" s="25">
        <v>28</v>
      </c>
      <c r="AE45" s="17">
        <f t="shared" si="37"/>
        <v>-2</v>
      </c>
      <c r="AF45" s="17">
        <f t="shared" si="38"/>
        <v>0</v>
      </c>
      <c r="AG45" s="20">
        <f t="shared" si="39"/>
        <v>0</v>
      </c>
      <c r="AH45" s="49">
        <v>8.4</v>
      </c>
      <c r="AI45" s="42">
        <f t="shared" si="32"/>
        <v>27</v>
      </c>
      <c r="AJ45" s="35">
        <f t="shared" si="33"/>
        <v>14.741999999999999</v>
      </c>
    </row>
    <row r="46" spans="1:36" x14ac:dyDescent="0.25">
      <c r="A46" s="25" t="s">
        <v>107</v>
      </c>
      <c r="B46" s="17" t="s">
        <v>10</v>
      </c>
      <c r="C46" s="17" t="s">
        <v>11</v>
      </c>
      <c r="D46" s="17" t="s">
        <v>102</v>
      </c>
      <c r="E46" s="18" t="s">
        <v>108</v>
      </c>
      <c r="F46" s="17" t="s">
        <v>14</v>
      </c>
      <c r="G46" s="17">
        <v>20</v>
      </c>
      <c r="H46" s="17" t="s">
        <v>15</v>
      </c>
      <c r="I46" s="39">
        <v>6.5</v>
      </c>
      <c r="J46" s="45"/>
      <c r="K46" s="18"/>
      <c r="L46" s="18"/>
      <c r="M46" s="19"/>
      <c r="N46" s="58"/>
      <c r="O46" s="45"/>
      <c r="P46" s="18"/>
      <c r="Q46" s="18"/>
      <c r="R46" s="19"/>
      <c r="S46" s="58"/>
      <c r="T46" s="25">
        <v>30</v>
      </c>
      <c r="U46" s="17">
        <f t="shared" si="29"/>
        <v>10</v>
      </c>
      <c r="V46" s="17">
        <f t="shared" si="30"/>
        <v>10</v>
      </c>
      <c r="W46" s="20">
        <f t="shared" si="31"/>
        <v>0.65</v>
      </c>
      <c r="X46" s="57">
        <v>8.4</v>
      </c>
      <c r="Y46" s="25">
        <v>138</v>
      </c>
      <c r="Z46" s="17">
        <f t="shared" si="34"/>
        <v>118</v>
      </c>
      <c r="AA46" s="17">
        <f t="shared" si="35"/>
        <v>118</v>
      </c>
      <c r="AB46" s="20">
        <f t="shared" si="36"/>
        <v>7.67</v>
      </c>
      <c r="AC46" s="57">
        <v>8.4</v>
      </c>
      <c r="AD46" s="25">
        <v>0</v>
      </c>
      <c r="AE46" s="17">
        <f t="shared" si="37"/>
        <v>-20</v>
      </c>
      <c r="AF46" s="17">
        <f t="shared" si="38"/>
        <v>0</v>
      </c>
      <c r="AG46" s="20">
        <f t="shared" si="39"/>
        <v>0</v>
      </c>
      <c r="AH46" s="49">
        <v>8.4</v>
      </c>
      <c r="AI46" s="42">
        <f t="shared" si="32"/>
        <v>128</v>
      </c>
      <c r="AJ46" s="35">
        <f t="shared" si="33"/>
        <v>69.888000000000005</v>
      </c>
    </row>
    <row r="47" spans="1:36" x14ac:dyDescent="0.25">
      <c r="A47" s="25" t="s">
        <v>109</v>
      </c>
      <c r="B47" s="17" t="s">
        <v>10</v>
      </c>
      <c r="C47" s="17" t="s">
        <v>11</v>
      </c>
      <c r="D47" s="17" t="s">
        <v>102</v>
      </c>
      <c r="E47" s="17" t="s">
        <v>110</v>
      </c>
      <c r="F47" s="17" t="s">
        <v>14</v>
      </c>
      <c r="G47" s="17">
        <v>20</v>
      </c>
      <c r="H47" s="17" t="s">
        <v>15</v>
      </c>
      <c r="I47" s="39">
        <v>6.5</v>
      </c>
      <c r="J47" s="25">
        <v>0</v>
      </c>
      <c r="K47" s="17">
        <f>J47-G47</f>
        <v>-20</v>
      </c>
      <c r="L47" s="17">
        <f>IF(K47&lt;0,0,J47-G47)</f>
        <v>0</v>
      </c>
      <c r="M47" s="20">
        <f>L47*I47/100</f>
        <v>0</v>
      </c>
      <c r="N47" s="57">
        <v>8.4</v>
      </c>
      <c r="O47" s="25">
        <v>23</v>
      </c>
      <c r="P47" s="17">
        <f t="shared" ref="P47:P53" si="40">O47-G47</f>
        <v>3</v>
      </c>
      <c r="Q47" s="17">
        <f t="shared" ref="Q47:Q53" si="41">IF(P47&lt;0,0,O47-G47)</f>
        <v>3</v>
      </c>
      <c r="R47" s="20">
        <f t="shared" ref="R47:R53" si="42">Q47*I47/100</f>
        <v>0.19500000000000001</v>
      </c>
      <c r="S47" s="57">
        <v>8.4</v>
      </c>
      <c r="T47" s="25">
        <v>5</v>
      </c>
      <c r="U47" s="17">
        <f t="shared" si="29"/>
        <v>-15</v>
      </c>
      <c r="V47" s="17">
        <f t="shared" si="30"/>
        <v>0</v>
      </c>
      <c r="W47" s="20">
        <f t="shared" si="31"/>
        <v>0</v>
      </c>
      <c r="X47" s="57">
        <v>8.4</v>
      </c>
      <c r="Y47" s="25">
        <v>15</v>
      </c>
      <c r="Z47" s="17">
        <f t="shared" si="34"/>
        <v>-5</v>
      </c>
      <c r="AA47" s="17">
        <f t="shared" si="35"/>
        <v>0</v>
      </c>
      <c r="AB47" s="20">
        <f t="shared" si="36"/>
        <v>0</v>
      </c>
      <c r="AC47" s="57">
        <v>8.4</v>
      </c>
      <c r="AD47" s="25">
        <v>0</v>
      </c>
      <c r="AE47" s="17">
        <f t="shared" si="37"/>
        <v>-20</v>
      </c>
      <c r="AF47" s="17">
        <f t="shared" si="38"/>
        <v>0</v>
      </c>
      <c r="AG47" s="20">
        <f t="shared" si="39"/>
        <v>0</v>
      </c>
      <c r="AH47" s="49">
        <v>8.4</v>
      </c>
      <c r="AI47" s="42">
        <f t="shared" si="32"/>
        <v>3</v>
      </c>
      <c r="AJ47" s="35">
        <f t="shared" si="33"/>
        <v>1.6380000000000001</v>
      </c>
    </row>
    <row r="48" spans="1:36" x14ac:dyDescent="0.25">
      <c r="A48" s="25" t="s">
        <v>111</v>
      </c>
      <c r="B48" s="17" t="s">
        <v>10</v>
      </c>
      <c r="C48" s="17" t="s">
        <v>11</v>
      </c>
      <c r="D48" s="17" t="s">
        <v>102</v>
      </c>
      <c r="E48" s="17" t="s">
        <v>112</v>
      </c>
      <c r="F48" s="17" t="s">
        <v>14</v>
      </c>
      <c r="G48" s="17">
        <v>20</v>
      </c>
      <c r="H48" s="17" t="s">
        <v>15</v>
      </c>
      <c r="I48" s="39">
        <v>6.5</v>
      </c>
      <c r="J48" s="25">
        <v>43</v>
      </c>
      <c r="K48" s="17">
        <f>J48-G48</f>
        <v>23</v>
      </c>
      <c r="L48" s="17">
        <f>IF(K48&lt;0,0,J48-G48)</f>
        <v>23</v>
      </c>
      <c r="M48" s="20">
        <f>L48*I48/100</f>
        <v>1.4950000000000001</v>
      </c>
      <c r="N48" s="57">
        <v>8.4</v>
      </c>
      <c r="O48" s="25">
        <v>203</v>
      </c>
      <c r="P48" s="17">
        <f t="shared" si="40"/>
        <v>183</v>
      </c>
      <c r="Q48" s="17">
        <f t="shared" si="41"/>
        <v>183</v>
      </c>
      <c r="R48" s="20">
        <f t="shared" si="42"/>
        <v>11.895</v>
      </c>
      <c r="S48" s="57">
        <v>8.4</v>
      </c>
      <c r="T48" s="25">
        <v>303</v>
      </c>
      <c r="U48" s="17">
        <f t="shared" si="29"/>
        <v>283</v>
      </c>
      <c r="V48" s="17">
        <f t="shared" si="30"/>
        <v>283</v>
      </c>
      <c r="W48" s="20">
        <f t="shared" si="31"/>
        <v>18.395</v>
      </c>
      <c r="X48" s="57">
        <v>8.4</v>
      </c>
      <c r="Y48" s="25">
        <v>2</v>
      </c>
      <c r="Z48" s="17">
        <f t="shared" si="34"/>
        <v>-18</v>
      </c>
      <c r="AA48" s="17">
        <f t="shared" si="35"/>
        <v>0</v>
      </c>
      <c r="AB48" s="20">
        <f t="shared" si="36"/>
        <v>0</v>
      </c>
      <c r="AC48" s="57">
        <v>8.4</v>
      </c>
      <c r="AD48" s="25">
        <v>210</v>
      </c>
      <c r="AE48" s="17">
        <f t="shared" si="37"/>
        <v>190</v>
      </c>
      <c r="AF48" s="17">
        <f t="shared" si="38"/>
        <v>190</v>
      </c>
      <c r="AG48" s="20">
        <f t="shared" si="39"/>
        <v>12.35</v>
      </c>
      <c r="AH48" s="49">
        <v>8.4</v>
      </c>
      <c r="AI48" s="42">
        <f t="shared" si="32"/>
        <v>679</v>
      </c>
      <c r="AJ48" s="35">
        <f t="shared" si="33"/>
        <v>370.73399999999998</v>
      </c>
    </row>
    <row r="49" spans="1:36" x14ac:dyDescent="0.25">
      <c r="A49" s="25" t="s">
        <v>113</v>
      </c>
      <c r="B49" s="17" t="s">
        <v>10</v>
      </c>
      <c r="C49" s="17" t="s">
        <v>22</v>
      </c>
      <c r="D49" s="17" t="s">
        <v>102</v>
      </c>
      <c r="E49" s="18" t="s">
        <v>114</v>
      </c>
      <c r="F49" s="17" t="s">
        <v>14</v>
      </c>
      <c r="G49" s="17">
        <v>20</v>
      </c>
      <c r="H49" s="17" t="s">
        <v>15</v>
      </c>
      <c r="I49" s="39">
        <v>11</v>
      </c>
      <c r="J49" s="25">
        <v>0</v>
      </c>
      <c r="K49" s="17">
        <f>J49-G49</f>
        <v>-20</v>
      </c>
      <c r="L49" s="17">
        <f>IF(K49&lt;0,0,J49-G49)</f>
        <v>0</v>
      </c>
      <c r="M49" s="20">
        <f>L49*I49/100</f>
        <v>0</v>
      </c>
      <c r="N49" s="57">
        <v>8.4</v>
      </c>
      <c r="O49" s="25">
        <v>1</v>
      </c>
      <c r="P49" s="17">
        <f t="shared" si="40"/>
        <v>-19</v>
      </c>
      <c r="Q49" s="17">
        <f t="shared" si="41"/>
        <v>0</v>
      </c>
      <c r="R49" s="20">
        <f t="shared" si="42"/>
        <v>0</v>
      </c>
      <c r="S49" s="57">
        <v>8.4</v>
      </c>
      <c r="T49" s="25">
        <v>0</v>
      </c>
      <c r="U49" s="17">
        <f t="shared" si="29"/>
        <v>-20</v>
      </c>
      <c r="V49" s="17">
        <f t="shared" si="30"/>
        <v>0</v>
      </c>
      <c r="W49" s="20">
        <f t="shared" si="31"/>
        <v>0</v>
      </c>
      <c r="X49" s="57">
        <v>8.4</v>
      </c>
      <c r="Y49" s="25">
        <v>0</v>
      </c>
      <c r="Z49" s="17">
        <f t="shared" si="34"/>
        <v>-20</v>
      </c>
      <c r="AA49" s="17">
        <f t="shared" si="35"/>
        <v>0</v>
      </c>
      <c r="AB49" s="20">
        <f t="shared" si="36"/>
        <v>0</v>
      </c>
      <c r="AC49" s="57">
        <v>8.4</v>
      </c>
      <c r="AD49" s="25">
        <v>0</v>
      </c>
      <c r="AE49" s="17">
        <f t="shared" si="37"/>
        <v>-20</v>
      </c>
      <c r="AF49" s="17">
        <f t="shared" si="38"/>
        <v>0</v>
      </c>
      <c r="AG49" s="20">
        <f t="shared" si="39"/>
        <v>0</v>
      </c>
      <c r="AH49" s="49">
        <v>8.4</v>
      </c>
      <c r="AI49" s="42">
        <f t="shared" si="32"/>
        <v>0</v>
      </c>
      <c r="AJ49" s="35">
        <f t="shared" si="33"/>
        <v>0</v>
      </c>
    </row>
    <row r="50" spans="1:36" x14ac:dyDescent="0.25">
      <c r="A50" s="25" t="s">
        <v>115</v>
      </c>
      <c r="B50" s="17" t="s">
        <v>17</v>
      </c>
      <c r="C50" s="17" t="s">
        <v>36</v>
      </c>
      <c r="D50" s="17" t="s">
        <v>102</v>
      </c>
      <c r="E50" s="18" t="s">
        <v>108</v>
      </c>
      <c r="F50" s="17" t="s">
        <v>14</v>
      </c>
      <c r="G50" s="17">
        <v>20</v>
      </c>
      <c r="H50" s="17" t="s">
        <v>38</v>
      </c>
      <c r="I50" s="39">
        <v>6.5</v>
      </c>
      <c r="J50" s="25">
        <v>0</v>
      </c>
      <c r="K50" s="17">
        <f>J50-G50</f>
        <v>-20</v>
      </c>
      <c r="L50" s="17">
        <f>IF(K50&lt;0,0,J50-G50)</f>
        <v>0</v>
      </c>
      <c r="M50" s="20">
        <f>L50*I50/100</f>
        <v>0</v>
      </c>
      <c r="N50" s="57">
        <v>7.3</v>
      </c>
      <c r="O50" s="25">
        <v>0</v>
      </c>
      <c r="P50" s="17">
        <f t="shared" si="40"/>
        <v>-20</v>
      </c>
      <c r="Q50" s="17">
        <f t="shared" si="41"/>
        <v>0</v>
      </c>
      <c r="R50" s="20">
        <f t="shared" si="42"/>
        <v>0</v>
      </c>
      <c r="S50" s="57">
        <v>7.2</v>
      </c>
      <c r="T50" s="45"/>
      <c r="U50" s="18"/>
      <c r="V50" s="18"/>
      <c r="W50" s="19"/>
      <c r="X50" s="58"/>
      <c r="Y50" s="45"/>
      <c r="Z50" s="18"/>
      <c r="AA50" s="18"/>
      <c r="AB50" s="19"/>
      <c r="AC50" s="58"/>
      <c r="AD50" s="45"/>
      <c r="AE50" s="18"/>
      <c r="AF50" s="18"/>
      <c r="AG50" s="19"/>
      <c r="AH50" s="50"/>
      <c r="AI50" s="42">
        <f t="shared" si="32"/>
        <v>0</v>
      </c>
      <c r="AJ50" s="35">
        <f t="shared" si="33"/>
        <v>0</v>
      </c>
    </row>
    <row r="51" spans="1:36" x14ac:dyDescent="0.25">
      <c r="A51" s="25" t="s">
        <v>116</v>
      </c>
      <c r="B51" s="17" t="s">
        <v>10</v>
      </c>
      <c r="C51" s="17" t="s">
        <v>22</v>
      </c>
      <c r="D51" s="17" t="s">
        <v>102</v>
      </c>
      <c r="E51" s="18" t="s">
        <v>117</v>
      </c>
      <c r="F51" s="17" t="s">
        <v>14</v>
      </c>
      <c r="G51" s="17">
        <v>20</v>
      </c>
      <c r="H51" s="17" t="s">
        <v>15</v>
      </c>
      <c r="I51" s="39">
        <v>11</v>
      </c>
      <c r="J51" s="25">
        <v>0</v>
      </c>
      <c r="K51" s="17">
        <f>J51-G51</f>
        <v>-20</v>
      </c>
      <c r="L51" s="17">
        <f>IF(K51&lt;0,0,J51-G51)</f>
        <v>0</v>
      </c>
      <c r="M51" s="20">
        <f>L51*I51/100</f>
        <v>0</v>
      </c>
      <c r="N51" s="57">
        <v>8.4</v>
      </c>
      <c r="O51" s="25">
        <v>0</v>
      </c>
      <c r="P51" s="17">
        <f t="shared" si="40"/>
        <v>-20</v>
      </c>
      <c r="Q51" s="17">
        <f t="shared" si="41"/>
        <v>0</v>
      </c>
      <c r="R51" s="20">
        <f t="shared" si="42"/>
        <v>0</v>
      </c>
      <c r="S51" s="57">
        <v>8.4</v>
      </c>
      <c r="T51" s="25">
        <v>0</v>
      </c>
      <c r="U51" s="17">
        <f>T51-G51</f>
        <v>-20</v>
      </c>
      <c r="V51" s="17">
        <f>IF(U51&lt;0,0,T51-G51)</f>
        <v>0</v>
      </c>
      <c r="W51" s="20">
        <f>V51*I51/100</f>
        <v>0</v>
      </c>
      <c r="X51" s="57">
        <v>8.4</v>
      </c>
      <c r="Y51" s="25">
        <v>29</v>
      </c>
      <c r="Z51" s="17">
        <f>Y51-G51</f>
        <v>9</v>
      </c>
      <c r="AA51" s="17">
        <f>IF(Z51&lt;0,0,Y51-G51)</f>
        <v>9</v>
      </c>
      <c r="AB51" s="20">
        <f>AA51*I51/100</f>
        <v>0.99</v>
      </c>
      <c r="AC51" s="57">
        <v>8.4</v>
      </c>
      <c r="AD51" s="25">
        <v>10</v>
      </c>
      <c r="AE51" s="17">
        <f>AD51-G51</f>
        <v>-10</v>
      </c>
      <c r="AF51" s="17">
        <f>IF(AE51&lt;0,0,AD51-G51)</f>
        <v>0</v>
      </c>
      <c r="AG51" s="20">
        <f>AF51*I51/100</f>
        <v>0</v>
      </c>
      <c r="AH51" s="49">
        <v>8.4</v>
      </c>
      <c r="AI51" s="42">
        <f t="shared" si="32"/>
        <v>9</v>
      </c>
      <c r="AJ51" s="35">
        <f t="shared" si="33"/>
        <v>8.3160000000000007</v>
      </c>
    </row>
    <row r="52" spans="1:36" x14ac:dyDescent="0.25">
      <c r="A52" s="25" t="s">
        <v>118</v>
      </c>
      <c r="B52" s="17" t="s">
        <v>10</v>
      </c>
      <c r="C52" s="17" t="s">
        <v>105</v>
      </c>
      <c r="D52" s="17" t="s">
        <v>102</v>
      </c>
      <c r="E52" s="18" t="s">
        <v>103</v>
      </c>
      <c r="F52" s="17" t="s">
        <v>14</v>
      </c>
      <c r="G52" s="17">
        <v>35</v>
      </c>
      <c r="H52" s="17" t="s">
        <v>15</v>
      </c>
      <c r="I52" s="39">
        <v>6.5</v>
      </c>
      <c r="J52" s="45"/>
      <c r="K52" s="18"/>
      <c r="L52" s="18"/>
      <c r="M52" s="19"/>
      <c r="N52" s="58"/>
      <c r="O52" s="25">
        <v>109</v>
      </c>
      <c r="P52" s="17">
        <f t="shared" si="40"/>
        <v>74</v>
      </c>
      <c r="Q52" s="17">
        <f t="shared" si="41"/>
        <v>74</v>
      </c>
      <c r="R52" s="20">
        <f t="shared" si="42"/>
        <v>4.8099999999999996</v>
      </c>
      <c r="S52" s="57">
        <v>8.4</v>
      </c>
      <c r="T52" s="45"/>
      <c r="U52" s="18"/>
      <c r="V52" s="18"/>
      <c r="W52" s="19"/>
      <c r="X52" s="58"/>
      <c r="Y52" s="45"/>
      <c r="Z52" s="18"/>
      <c r="AA52" s="18"/>
      <c r="AB52" s="19"/>
      <c r="AC52" s="58"/>
      <c r="AD52" s="45"/>
      <c r="AE52" s="18"/>
      <c r="AF52" s="18"/>
      <c r="AG52" s="19"/>
      <c r="AH52" s="50"/>
      <c r="AI52" s="42">
        <f t="shared" si="32"/>
        <v>74</v>
      </c>
      <c r="AJ52" s="35">
        <f t="shared" si="33"/>
        <v>40.403999999999996</v>
      </c>
    </row>
    <row r="53" spans="1:36" x14ac:dyDescent="0.25">
      <c r="A53" s="25" t="s">
        <v>119</v>
      </c>
      <c r="B53" s="17" t="s">
        <v>10</v>
      </c>
      <c r="C53" s="17" t="s">
        <v>22</v>
      </c>
      <c r="D53" s="17" t="s">
        <v>120</v>
      </c>
      <c r="E53" s="17" t="s">
        <v>121</v>
      </c>
      <c r="F53" s="17" t="s">
        <v>14</v>
      </c>
      <c r="G53" s="17">
        <v>20</v>
      </c>
      <c r="H53" s="17" t="s">
        <v>15</v>
      </c>
      <c r="I53" s="39">
        <v>11</v>
      </c>
      <c r="J53" s="25">
        <v>0</v>
      </c>
      <c r="K53" s="17">
        <f>J53-G53</f>
        <v>-20</v>
      </c>
      <c r="L53" s="17">
        <f>IF(K53&lt;0,0,J53-G53)</f>
        <v>0</v>
      </c>
      <c r="M53" s="20">
        <f>L53*I53/100</f>
        <v>0</v>
      </c>
      <c r="N53" s="57">
        <v>8.4</v>
      </c>
      <c r="O53" s="25">
        <v>0</v>
      </c>
      <c r="P53" s="17">
        <f t="shared" si="40"/>
        <v>-20</v>
      </c>
      <c r="Q53" s="17">
        <f t="shared" si="41"/>
        <v>0</v>
      </c>
      <c r="R53" s="20">
        <f t="shared" si="42"/>
        <v>0</v>
      </c>
      <c r="S53" s="57">
        <v>8.4</v>
      </c>
      <c r="T53" s="25">
        <v>40</v>
      </c>
      <c r="U53" s="17">
        <f>T53-G53</f>
        <v>20</v>
      </c>
      <c r="V53" s="17">
        <f>IF(U53&lt;0,0,T53-G53)</f>
        <v>20</v>
      </c>
      <c r="W53" s="20">
        <f>V53*I53/100</f>
        <v>2.2000000000000002</v>
      </c>
      <c r="X53" s="57">
        <v>8.4</v>
      </c>
      <c r="Y53" s="25">
        <v>5</v>
      </c>
      <c r="Z53" s="17">
        <f>Y53-G53</f>
        <v>-15</v>
      </c>
      <c r="AA53" s="17">
        <f>IF(Z53&lt;0,0,Y53-G53)</f>
        <v>0</v>
      </c>
      <c r="AB53" s="20">
        <f>AA53*I53/100</f>
        <v>0</v>
      </c>
      <c r="AC53" s="57">
        <v>8.4</v>
      </c>
      <c r="AD53" s="25">
        <v>22</v>
      </c>
      <c r="AE53" s="17">
        <f t="shared" ref="AE53:AE68" si="43">AD53-G53</f>
        <v>2</v>
      </c>
      <c r="AF53" s="17">
        <f t="shared" ref="AF53:AF68" si="44">IF(AE53&lt;0,0,AD53-G53)</f>
        <v>2</v>
      </c>
      <c r="AG53" s="20">
        <f t="shared" ref="AG53:AG68" si="45">AF53*I53/100</f>
        <v>0.22</v>
      </c>
      <c r="AH53" s="49">
        <v>8.4</v>
      </c>
      <c r="AI53" s="42">
        <f t="shared" si="32"/>
        <v>22</v>
      </c>
      <c r="AJ53" s="35">
        <f t="shared" si="33"/>
        <v>20.328000000000003</v>
      </c>
    </row>
    <row r="54" spans="1:36" x14ac:dyDescent="0.25">
      <c r="A54" s="25" t="s">
        <v>122</v>
      </c>
      <c r="B54" s="17" t="s">
        <v>10</v>
      </c>
      <c r="C54" s="17" t="s">
        <v>11</v>
      </c>
      <c r="D54" s="17" t="s">
        <v>120</v>
      </c>
      <c r="E54" s="18" t="s">
        <v>123</v>
      </c>
      <c r="F54" s="17" t="s">
        <v>14</v>
      </c>
      <c r="G54" s="17">
        <v>20</v>
      </c>
      <c r="H54" s="17" t="s">
        <v>15</v>
      </c>
      <c r="I54" s="39">
        <v>6.5</v>
      </c>
      <c r="J54" s="45"/>
      <c r="K54" s="18"/>
      <c r="L54" s="18"/>
      <c r="M54" s="19"/>
      <c r="N54" s="58"/>
      <c r="O54" s="45"/>
      <c r="P54" s="18"/>
      <c r="Q54" s="18"/>
      <c r="R54" s="19"/>
      <c r="S54" s="58"/>
      <c r="T54" s="45"/>
      <c r="U54" s="18"/>
      <c r="V54" s="18"/>
      <c r="W54" s="19"/>
      <c r="X54" s="58"/>
      <c r="Y54" s="45"/>
      <c r="Z54" s="18"/>
      <c r="AA54" s="18"/>
      <c r="AB54" s="19"/>
      <c r="AC54" s="58"/>
      <c r="AD54" s="25">
        <v>0</v>
      </c>
      <c r="AE54" s="17">
        <f t="shared" si="43"/>
        <v>-20</v>
      </c>
      <c r="AF54" s="17">
        <f t="shared" si="44"/>
        <v>0</v>
      </c>
      <c r="AG54" s="20">
        <f t="shared" si="45"/>
        <v>0</v>
      </c>
      <c r="AH54" s="49">
        <v>8.4</v>
      </c>
      <c r="AI54" s="42">
        <f t="shared" si="32"/>
        <v>0</v>
      </c>
      <c r="AJ54" s="35">
        <f t="shared" si="33"/>
        <v>0</v>
      </c>
    </row>
    <row r="55" spans="1:36" x14ac:dyDescent="0.25">
      <c r="A55" s="25" t="s">
        <v>122</v>
      </c>
      <c r="B55" s="17" t="s">
        <v>10</v>
      </c>
      <c r="C55" s="17" t="s">
        <v>11</v>
      </c>
      <c r="D55" s="17" t="s">
        <v>120</v>
      </c>
      <c r="E55" s="17" t="s">
        <v>124</v>
      </c>
      <c r="F55" s="17" t="s">
        <v>14</v>
      </c>
      <c r="G55" s="17">
        <v>20</v>
      </c>
      <c r="H55" s="17" t="s">
        <v>15</v>
      </c>
      <c r="I55" s="39">
        <v>6.5</v>
      </c>
      <c r="J55" s="25">
        <v>4</v>
      </c>
      <c r="K55" s="17">
        <f t="shared" ref="K55:K67" si="46">J55-G55</f>
        <v>-16</v>
      </c>
      <c r="L55" s="17">
        <f t="shared" ref="L55:L67" si="47">IF(K55&lt;0,0,J55-G55)</f>
        <v>0</v>
      </c>
      <c r="M55" s="20">
        <f t="shared" ref="M55:M67" si="48">L55*I55/100</f>
        <v>0</v>
      </c>
      <c r="N55" s="57">
        <v>8.4</v>
      </c>
      <c r="O55" s="25">
        <v>12</v>
      </c>
      <c r="P55" s="17">
        <f t="shared" ref="P55:P67" si="49">O55-G55</f>
        <v>-8</v>
      </c>
      <c r="Q55" s="17">
        <f t="shared" ref="Q55:Q67" si="50">IF(P55&lt;0,0,O55-G55)</f>
        <v>0</v>
      </c>
      <c r="R55" s="20">
        <f t="shared" ref="R55:R67" si="51">Q55*I55/100</f>
        <v>0</v>
      </c>
      <c r="S55" s="57">
        <v>8.4</v>
      </c>
      <c r="T55" s="25">
        <v>5</v>
      </c>
      <c r="U55" s="17">
        <f t="shared" ref="U55:U67" si="52">T55-G55</f>
        <v>-15</v>
      </c>
      <c r="V55" s="17">
        <f t="shared" ref="V55:V67" si="53">IF(U55&lt;0,0,T55-G55)</f>
        <v>0</v>
      </c>
      <c r="W55" s="20">
        <f t="shared" ref="W55:W67" si="54">V55*I55/100</f>
        <v>0</v>
      </c>
      <c r="X55" s="57">
        <v>8.4</v>
      </c>
      <c r="Y55" s="25">
        <v>0</v>
      </c>
      <c r="Z55" s="17">
        <f t="shared" ref="Z55:Z67" si="55">Y55-G55</f>
        <v>-20</v>
      </c>
      <c r="AA55" s="17">
        <f t="shared" ref="AA55:AA67" si="56">IF(Z55&lt;0,0,Y55-G55)</f>
        <v>0</v>
      </c>
      <c r="AB55" s="20">
        <f t="shared" ref="AB55:AB67" si="57">AA55*I55/100</f>
        <v>0</v>
      </c>
      <c r="AC55" s="57">
        <v>8.4</v>
      </c>
      <c r="AD55" s="25">
        <v>120</v>
      </c>
      <c r="AE55" s="17">
        <f t="shared" si="43"/>
        <v>100</v>
      </c>
      <c r="AF55" s="17">
        <f t="shared" si="44"/>
        <v>100</v>
      </c>
      <c r="AG55" s="20">
        <f t="shared" si="45"/>
        <v>6.5</v>
      </c>
      <c r="AH55" s="49">
        <v>8.4</v>
      </c>
      <c r="AI55" s="42">
        <f t="shared" si="32"/>
        <v>100</v>
      </c>
      <c r="AJ55" s="35">
        <f t="shared" si="33"/>
        <v>54.6</v>
      </c>
    </row>
    <row r="56" spans="1:36" x14ac:dyDescent="0.25">
      <c r="A56" s="25" t="s">
        <v>125</v>
      </c>
      <c r="B56" s="17" t="s">
        <v>17</v>
      </c>
      <c r="C56" s="17" t="s">
        <v>18</v>
      </c>
      <c r="D56" s="17" t="s">
        <v>120</v>
      </c>
      <c r="E56" s="17" t="s">
        <v>126</v>
      </c>
      <c r="F56" s="17" t="s">
        <v>14</v>
      </c>
      <c r="G56" s="17">
        <v>20</v>
      </c>
      <c r="H56" s="17" t="s">
        <v>15</v>
      </c>
      <c r="I56" s="39">
        <v>6.5</v>
      </c>
      <c r="J56" s="25">
        <v>114</v>
      </c>
      <c r="K56" s="17">
        <f t="shared" si="46"/>
        <v>94</v>
      </c>
      <c r="L56" s="17">
        <f t="shared" si="47"/>
        <v>94</v>
      </c>
      <c r="M56" s="20">
        <f t="shared" si="48"/>
        <v>6.11</v>
      </c>
      <c r="N56" s="57">
        <v>8.4</v>
      </c>
      <c r="O56" s="25">
        <v>71</v>
      </c>
      <c r="P56" s="17">
        <f t="shared" si="49"/>
        <v>51</v>
      </c>
      <c r="Q56" s="17">
        <f t="shared" si="50"/>
        <v>51</v>
      </c>
      <c r="R56" s="20">
        <f t="shared" si="51"/>
        <v>3.3149999999999999</v>
      </c>
      <c r="S56" s="57">
        <v>8.4</v>
      </c>
      <c r="T56" s="25">
        <v>0</v>
      </c>
      <c r="U56" s="17">
        <f t="shared" si="52"/>
        <v>-20</v>
      </c>
      <c r="V56" s="17">
        <f t="shared" si="53"/>
        <v>0</v>
      </c>
      <c r="W56" s="20">
        <f t="shared" si="54"/>
        <v>0</v>
      </c>
      <c r="X56" s="57">
        <v>8.4</v>
      </c>
      <c r="Y56" s="25">
        <v>150</v>
      </c>
      <c r="Z56" s="17">
        <f t="shared" si="55"/>
        <v>130</v>
      </c>
      <c r="AA56" s="17">
        <f t="shared" si="56"/>
        <v>130</v>
      </c>
      <c r="AB56" s="20">
        <f t="shared" si="57"/>
        <v>8.4499999999999993</v>
      </c>
      <c r="AC56" s="57">
        <v>8.4</v>
      </c>
      <c r="AD56" s="25">
        <v>94</v>
      </c>
      <c r="AE56" s="17">
        <f t="shared" si="43"/>
        <v>74</v>
      </c>
      <c r="AF56" s="17">
        <f t="shared" si="44"/>
        <v>74</v>
      </c>
      <c r="AG56" s="20">
        <f t="shared" si="45"/>
        <v>4.8099999999999996</v>
      </c>
      <c r="AH56" s="49">
        <v>8.4</v>
      </c>
      <c r="AI56" s="42">
        <f t="shared" si="32"/>
        <v>349</v>
      </c>
      <c r="AJ56" s="35">
        <f t="shared" si="33"/>
        <v>190.554</v>
      </c>
    </row>
    <row r="57" spans="1:36" x14ac:dyDescent="0.25">
      <c r="A57" s="25" t="s">
        <v>127</v>
      </c>
      <c r="B57" s="17" t="s">
        <v>10</v>
      </c>
      <c r="C57" s="17" t="s">
        <v>11</v>
      </c>
      <c r="D57" s="17" t="s">
        <v>120</v>
      </c>
      <c r="E57" s="17" t="s">
        <v>123</v>
      </c>
      <c r="F57" s="17" t="s">
        <v>14</v>
      </c>
      <c r="G57" s="17">
        <v>20</v>
      </c>
      <c r="H57" s="17" t="s">
        <v>15</v>
      </c>
      <c r="I57" s="39">
        <v>6.5</v>
      </c>
      <c r="J57" s="25">
        <v>14</v>
      </c>
      <c r="K57" s="17">
        <f t="shared" si="46"/>
        <v>-6</v>
      </c>
      <c r="L57" s="17">
        <f t="shared" si="47"/>
        <v>0</v>
      </c>
      <c r="M57" s="20">
        <f t="shared" si="48"/>
        <v>0</v>
      </c>
      <c r="N57" s="57">
        <v>8.4</v>
      </c>
      <c r="O57" s="25">
        <v>0</v>
      </c>
      <c r="P57" s="17">
        <f t="shared" si="49"/>
        <v>-20</v>
      </c>
      <c r="Q57" s="17">
        <f t="shared" si="50"/>
        <v>0</v>
      </c>
      <c r="R57" s="20">
        <f t="shared" si="51"/>
        <v>0</v>
      </c>
      <c r="S57" s="57">
        <v>8.4</v>
      </c>
      <c r="T57" s="25">
        <v>0</v>
      </c>
      <c r="U57" s="17">
        <f t="shared" si="52"/>
        <v>-20</v>
      </c>
      <c r="V57" s="17">
        <f t="shared" si="53"/>
        <v>0</v>
      </c>
      <c r="W57" s="20">
        <f t="shared" si="54"/>
        <v>0</v>
      </c>
      <c r="X57" s="57">
        <v>8.4</v>
      </c>
      <c r="Y57" s="25">
        <v>0</v>
      </c>
      <c r="Z57" s="17">
        <f t="shared" si="55"/>
        <v>-20</v>
      </c>
      <c r="AA57" s="17">
        <f t="shared" si="56"/>
        <v>0</v>
      </c>
      <c r="AB57" s="20">
        <f t="shared" si="57"/>
        <v>0</v>
      </c>
      <c r="AC57" s="57">
        <v>8.4</v>
      </c>
      <c r="AD57" s="25">
        <v>0</v>
      </c>
      <c r="AE57" s="17">
        <f t="shared" si="43"/>
        <v>-20</v>
      </c>
      <c r="AF57" s="17">
        <f t="shared" si="44"/>
        <v>0</v>
      </c>
      <c r="AG57" s="20">
        <f t="shared" si="45"/>
        <v>0</v>
      </c>
      <c r="AH57" s="49">
        <v>8.4</v>
      </c>
      <c r="AI57" s="42">
        <f t="shared" si="32"/>
        <v>0</v>
      </c>
      <c r="AJ57" s="35">
        <f t="shared" si="33"/>
        <v>0</v>
      </c>
    </row>
    <row r="58" spans="1:36" x14ac:dyDescent="0.25">
      <c r="A58" s="25" t="s">
        <v>128</v>
      </c>
      <c r="B58" s="17" t="s">
        <v>17</v>
      </c>
      <c r="C58" s="17" t="s">
        <v>36</v>
      </c>
      <c r="D58" s="17" t="s">
        <v>129</v>
      </c>
      <c r="E58" s="17" t="s">
        <v>130</v>
      </c>
      <c r="F58" s="17" t="s">
        <v>14</v>
      </c>
      <c r="G58" s="17">
        <v>20</v>
      </c>
      <c r="H58" s="17" t="s">
        <v>38</v>
      </c>
      <c r="I58" s="39">
        <v>6.5</v>
      </c>
      <c r="J58" s="25">
        <v>30</v>
      </c>
      <c r="K58" s="17">
        <f t="shared" si="46"/>
        <v>10</v>
      </c>
      <c r="L58" s="17">
        <f t="shared" si="47"/>
        <v>10</v>
      </c>
      <c r="M58" s="20">
        <f t="shared" si="48"/>
        <v>0.65</v>
      </c>
      <c r="N58" s="57">
        <v>7.3</v>
      </c>
      <c r="O58" s="25">
        <v>48</v>
      </c>
      <c r="P58" s="17">
        <f t="shared" si="49"/>
        <v>28</v>
      </c>
      <c r="Q58" s="17">
        <f t="shared" si="50"/>
        <v>28</v>
      </c>
      <c r="R58" s="20">
        <f t="shared" si="51"/>
        <v>1.82</v>
      </c>
      <c r="S58" s="57">
        <v>7.2</v>
      </c>
      <c r="T58" s="25">
        <v>40</v>
      </c>
      <c r="U58" s="17">
        <f t="shared" si="52"/>
        <v>20</v>
      </c>
      <c r="V58" s="17">
        <f t="shared" si="53"/>
        <v>20</v>
      </c>
      <c r="W58" s="20">
        <f t="shared" si="54"/>
        <v>1.3</v>
      </c>
      <c r="X58" s="57">
        <v>7.2</v>
      </c>
      <c r="Y58" s="25">
        <v>514</v>
      </c>
      <c r="Z58" s="17">
        <f t="shared" si="55"/>
        <v>494</v>
      </c>
      <c r="AA58" s="17">
        <f t="shared" si="56"/>
        <v>494</v>
      </c>
      <c r="AB58" s="20">
        <f t="shared" si="57"/>
        <v>32.11</v>
      </c>
      <c r="AC58" s="57">
        <v>7.2</v>
      </c>
      <c r="AD58" s="25">
        <v>39</v>
      </c>
      <c r="AE58" s="17">
        <f t="shared" si="43"/>
        <v>19</v>
      </c>
      <c r="AF58" s="17">
        <f t="shared" si="44"/>
        <v>19</v>
      </c>
      <c r="AG58" s="20">
        <f t="shared" si="45"/>
        <v>1.2350000000000001</v>
      </c>
      <c r="AH58" s="49">
        <v>7.2</v>
      </c>
      <c r="AI58" s="42">
        <f t="shared" si="32"/>
        <v>571</v>
      </c>
      <c r="AJ58" s="35">
        <f t="shared" si="33"/>
        <v>267.29300000000001</v>
      </c>
    </row>
    <row r="59" spans="1:36" x14ac:dyDescent="0.25">
      <c r="A59" s="25" t="s">
        <v>131</v>
      </c>
      <c r="B59" s="17" t="s">
        <v>17</v>
      </c>
      <c r="C59" s="17" t="s">
        <v>99</v>
      </c>
      <c r="D59" s="17" t="s">
        <v>129</v>
      </c>
      <c r="E59" s="17" t="s">
        <v>132</v>
      </c>
      <c r="F59" s="17" t="s">
        <v>14</v>
      </c>
      <c r="G59" s="17">
        <v>20</v>
      </c>
      <c r="H59" s="17" t="s">
        <v>15</v>
      </c>
      <c r="I59" s="39">
        <v>6.5</v>
      </c>
      <c r="J59" s="25">
        <v>7</v>
      </c>
      <c r="K59" s="17">
        <f t="shared" si="46"/>
        <v>-13</v>
      </c>
      <c r="L59" s="17">
        <f t="shared" si="47"/>
        <v>0</v>
      </c>
      <c r="M59" s="20">
        <f t="shared" si="48"/>
        <v>0</v>
      </c>
      <c r="N59" s="57">
        <v>8.4</v>
      </c>
      <c r="O59" s="25">
        <v>216</v>
      </c>
      <c r="P59" s="17">
        <f t="shared" si="49"/>
        <v>196</v>
      </c>
      <c r="Q59" s="17">
        <f t="shared" si="50"/>
        <v>196</v>
      </c>
      <c r="R59" s="20">
        <f t="shared" si="51"/>
        <v>12.74</v>
      </c>
      <c r="S59" s="57">
        <v>8.4</v>
      </c>
      <c r="T59" s="25">
        <v>72</v>
      </c>
      <c r="U59" s="17">
        <f t="shared" si="52"/>
        <v>52</v>
      </c>
      <c r="V59" s="17">
        <f t="shared" si="53"/>
        <v>52</v>
      </c>
      <c r="W59" s="20">
        <f t="shared" si="54"/>
        <v>3.38</v>
      </c>
      <c r="X59" s="57">
        <v>8.4</v>
      </c>
      <c r="Y59" s="25">
        <v>161</v>
      </c>
      <c r="Z59" s="17">
        <f t="shared" si="55"/>
        <v>141</v>
      </c>
      <c r="AA59" s="17">
        <f t="shared" si="56"/>
        <v>141</v>
      </c>
      <c r="AB59" s="20">
        <f t="shared" si="57"/>
        <v>9.1649999999999991</v>
      </c>
      <c r="AC59" s="57">
        <v>8.4</v>
      </c>
      <c r="AD59" s="25">
        <v>162</v>
      </c>
      <c r="AE59" s="17">
        <f t="shared" si="43"/>
        <v>142</v>
      </c>
      <c r="AF59" s="17">
        <f t="shared" si="44"/>
        <v>142</v>
      </c>
      <c r="AG59" s="20">
        <f t="shared" si="45"/>
        <v>9.23</v>
      </c>
      <c r="AH59" s="49">
        <v>8.4</v>
      </c>
      <c r="AI59" s="42">
        <f t="shared" si="32"/>
        <v>531</v>
      </c>
      <c r="AJ59" s="35">
        <f t="shared" si="33"/>
        <v>289.92599999999999</v>
      </c>
    </row>
    <row r="60" spans="1:36" x14ac:dyDescent="0.25">
      <c r="A60" s="25" t="s">
        <v>133</v>
      </c>
      <c r="B60" s="17" t="s">
        <v>10</v>
      </c>
      <c r="C60" s="17" t="s">
        <v>11</v>
      </c>
      <c r="D60" s="17" t="s">
        <v>129</v>
      </c>
      <c r="E60" s="17" t="s">
        <v>134</v>
      </c>
      <c r="F60" s="17" t="s">
        <v>14</v>
      </c>
      <c r="G60" s="17">
        <v>20</v>
      </c>
      <c r="H60" s="17" t="s">
        <v>15</v>
      </c>
      <c r="I60" s="39">
        <v>6.5</v>
      </c>
      <c r="J60" s="25">
        <v>120</v>
      </c>
      <c r="K60" s="17">
        <f t="shared" si="46"/>
        <v>100</v>
      </c>
      <c r="L60" s="17">
        <f t="shared" si="47"/>
        <v>100</v>
      </c>
      <c r="M60" s="20">
        <f t="shared" si="48"/>
        <v>6.5</v>
      </c>
      <c r="N60" s="57">
        <v>8.4</v>
      </c>
      <c r="O60" s="25">
        <v>41</v>
      </c>
      <c r="P60" s="17">
        <f t="shared" si="49"/>
        <v>21</v>
      </c>
      <c r="Q60" s="17">
        <f t="shared" si="50"/>
        <v>21</v>
      </c>
      <c r="R60" s="20">
        <f t="shared" si="51"/>
        <v>1.365</v>
      </c>
      <c r="S60" s="57">
        <v>8.4</v>
      </c>
      <c r="T60" s="25">
        <v>181</v>
      </c>
      <c r="U60" s="17">
        <f t="shared" si="52"/>
        <v>161</v>
      </c>
      <c r="V60" s="17">
        <f t="shared" si="53"/>
        <v>161</v>
      </c>
      <c r="W60" s="20">
        <f t="shared" si="54"/>
        <v>10.465</v>
      </c>
      <c r="X60" s="57">
        <v>8.4</v>
      </c>
      <c r="Y60" s="25">
        <v>68</v>
      </c>
      <c r="Z60" s="17">
        <f t="shared" si="55"/>
        <v>48</v>
      </c>
      <c r="AA60" s="17">
        <f t="shared" si="56"/>
        <v>48</v>
      </c>
      <c r="AB60" s="20">
        <f t="shared" si="57"/>
        <v>3.12</v>
      </c>
      <c r="AC60" s="57">
        <v>8.4</v>
      </c>
      <c r="AD60" s="25">
        <v>68</v>
      </c>
      <c r="AE60" s="17">
        <f t="shared" si="43"/>
        <v>48</v>
      </c>
      <c r="AF60" s="17">
        <f t="shared" si="44"/>
        <v>48</v>
      </c>
      <c r="AG60" s="20">
        <f t="shared" si="45"/>
        <v>3.12</v>
      </c>
      <c r="AH60" s="49">
        <v>8.4</v>
      </c>
      <c r="AI60" s="42">
        <f t="shared" si="32"/>
        <v>378</v>
      </c>
      <c r="AJ60" s="35">
        <f t="shared" si="33"/>
        <v>206.38800000000001</v>
      </c>
    </row>
    <row r="61" spans="1:36" x14ac:dyDescent="0.25">
      <c r="A61" s="25" t="s">
        <v>135</v>
      </c>
      <c r="B61" s="17" t="s">
        <v>32</v>
      </c>
      <c r="C61" s="17" t="s">
        <v>33</v>
      </c>
      <c r="D61" s="17" t="s">
        <v>129</v>
      </c>
      <c r="E61" s="17" t="s">
        <v>136</v>
      </c>
      <c r="F61" s="17" t="s">
        <v>14</v>
      </c>
      <c r="G61" s="17">
        <v>50</v>
      </c>
      <c r="H61" s="17" t="s">
        <v>15</v>
      </c>
      <c r="I61" s="39">
        <v>9</v>
      </c>
      <c r="J61" s="25">
        <v>34</v>
      </c>
      <c r="K61" s="17">
        <f t="shared" si="46"/>
        <v>-16</v>
      </c>
      <c r="L61" s="17">
        <f t="shared" si="47"/>
        <v>0</v>
      </c>
      <c r="M61" s="20">
        <f t="shared" si="48"/>
        <v>0</v>
      </c>
      <c r="N61" s="57">
        <v>8.4</v>
      </c>
      <c r="O61" s="25">
        <v>58</v>
      </c>
      <c r="P61" s="17">
        <f t="shared" si="49"/>
        <v>8</v>
      </c>
      <c r="Q61" s="17">
        <f t="shared" si="50"/>
        <v>8</v>
      </c>
      <c r="R61" s="20">
        <f t="shared" si="51"/>
        <v>0.72</v>
      </c>
      <c r="S61" s="57">
        <v>8.4</v>
      </c>
      <c r="T61" s="25">
        <v>3</v>
      </c>
      <c r="U61" s="17">
        <f t="shared" si="52"/>
        <v>-47</v>
      </c>
      <c r="V61" s="17">
        <f t="shared" si="53"/>
        <v>0</v>
      </c>
      <c r="W61" s="20">
        <f t="shared" si="54"/>
        <v>0</v>
      </c>
      <c r="X61" s="57">
        <v>8.4</v>
      </c>
      <c r="Y61" s="25">
        <v>15</v>
      </c>
      <c r="Z61" s="17">
        <f t="shared" si="55"/>
        <v>-35</v>
      </c>
      <c r="AA61" s="17">
        <f t="shared" si="56"/>
        <v>0</v>
      </c>
      <c r="AB61" s="20">
        <f t="shared" si="57"/>
        <v>0</v>
      </c>
      <c r="AC61" s="57">
        <v>8.4</v>
      </c>
      <c r="AD61" s="25">
        <v>33</v>
      </c>
      <c r="AE61" s="17">
        <f t="shared" si="43"/>
        <v>-17</v>
      </c>
      <c r="AF61" s="17">
        <f t="shared" si="44"/>
        <v>0</v>
      </c>
      <c r="AG61" s="20">
        <f t="shared" si="45"/>
        <v>0</v>
      </c>
      <c r="AH61" s="49">
        <v>8.4</v>
      </c>
      <c r="AI61" s="42">
        <f t="shared" si="32"/>
        <v>8</v>
      </c>
      <c r="AJ61" s="35">
        <f t="shared" si="33"/>
        <v>6.048</v>
      </c>
    </row>
    <row r="62" spans="1:36" x14ac:dyDescent="0.25">
      <c r="A62" s="25" t="s">
        <v>137</v>
      </c>
      <c r="B62" s="17" t="s">
        <v>10</v>
      </c>
      <c r="C62" s="17" t="s">
        <v>11</v>
      </c>
      <c r="D62" s="17" t="s">
        <v>129</v>
      </c>
      <c r="E62" s="18" t="s">
        <v>138</v>
      </c>
      <c r="F62" s="17" t="s">
        <v>14</v>
      </c>
      <c r="G62" s="17">
        <v>20</v>
      </c>
      <c r="H62" s="17" t="s">
        <v>15</v>
      </c>
      <c r="I62" s="39">
        <v>6.5</v>
      </c>
      <c r="J62" s="25">
        <v>30</v>
      </c>
      <c r="K62" s="17">
        <f t="shared" si="46"/>
        <v>10</v>
      </c>
      <c r="L62" s="17">
        <f t="shared" si="47"/>
        <v>10</v>
      </c>
      <c r="M62" s="20">
        <f t="shared" si="48"/>
        <v>0.65</v>
      </c>
      <c r="N62" s="57">
        <v>8.4</v>
      </c>
      <c r="O62" s="25">
        <v>34</v>
      </c>
      <c r="P62" s="17">
        <f t="shared" si="49"/>
        <v>14</v>
      </c>
      <c r="Q62" s="17">
        <f t="shared" si="50"/>
        <v>14</v>
      </c>
      <c r="R62" s="20">
        <f t="shared" si="51"/>
        <v>0.91</v>
      </c>
      <c r="S62" s="57">
        <v>8.4</v>
      </c>
      <c r="T62" s="25">
        <v>0</v>
      </c>
      <c r="U62" s="17">
        <f t="shared" si="52"/>
        <v>-20</v>
      </c>
      <c r="V62" s="17">
        <f t="shared" si="53"/>
        <v>0</v>
      </c>
      <c r="W62" s="20">
        <f t="shared" si="54"/>
        <v>0</v>
      </c>
      <c r="X62" s="57">
        <v>8.4</v>
      </c>
      <c r="Y62" s="25">
        <v>5</v>
      </c>
      <c r="Z62" s="17">
        <f t="shared" si="55"/>
        <v>-15</v>
      </c>
      <c r="AA62" s="17">
        <f t="shared" si="56"/>
        <v>0</v>
      </c>
      <c r="AB62" s="20">
        <f t="shared" si="57"/>
        <v>0</v>
      </c>
      <c r="AC62" s="57">
        <v>8.4</v>
      </c>
      <c r="AD62" s="25">
        <v>5</v>
      </c>
      <c r="AE62" s="17">
        <f t="shared" si="43"/>
        <v>-15</v>
      </c>
      <c r="AF62" s="17">
        <f t="shared" si="44"/>
        <v>0</v>
      </c>
      <c r="AG62" s="20">
        <f t="shared" si="45"/>
        <v>0</v>
      </c>
      <c r="AH62" s="49">
        <v>8.4</v>
      </c>
      <c r="AI62" s="42">
        <f t="shared" si="32"/>
        <v>24</v>
      </c>
      <c r="AJ62" s="35">
        <f t="shared" si="33"/>
        <v>13.104000000000003</v>
      </c>
    </row>
    <row r="63" spans="1:36" x14ac:dyDescent="0.25">
      <c r="A63" s="25" t="s">
        <v>139</v>
      </c>
      <c r="B63" s="17" t="s">
        <v>10</v>
      </c>
      <c r="C63" s="17" t="s">
        <v>11</v>
      </c>
      <c r="D63" s="17" t="s">
        <v>129</v>
      </c>
      <c r="E63" s="17" t="s">
        <v>140</v>
      </c>
      <c r="F63" s="17" t="s">
        <v>14</v>
      </c>
      <c r="G63" s="17">
        <v>80</v>
      </c>
      <c r="H63" s="17" t="s">
        <v>15</v>
      </c>
      <c r="I63" s="39">
        <v>6.5</v>
      </c>
      <c r="J63" s="25">
        <v>84</v>
      </c>
      <c r="K63" s="17">
        <f t="shared" si="46"/>
        <v>4</v>
      </c>
      <c r="L63" s="17">
        <f t="shared" si="47"/>
        <v>4</v>
      </c>
      <c r="M63" s="20">
        <f t="shared" si="48"/>
        <v>0.26</v>
      </c>
      <c r="N63" s="57">
        <v>8.4</v>
      </c>
      <c r="O63" s="25">
        <v>83</v>
      </c>
      <c r="P63" s="17">
        <f t="shared" si="49"/>
        <v>3</v>
      </c>
      <c r="Q63" s="17">
        <f t="shared" si="50"/>
        <v>3</v>
      </c>
      <c r="R63" s="20">
        <f t="shared" si="51"/>
        <v>0.19500000000000001</v>
      </c>
      <c r="S63" s="57">
        <v>8.4</v>
      </c>
      <c r="T63" s="25">
        <v>83</v>
      </c>
      <c r="U63" s="17">
        <f t="shared" si="52"/>
        <v>3</v>
      </c>
      <c r="V63" s="17">
        <f t="shared" si="53"/>
        <v>3</v>
      </c>
      <c r="W63" s="20">
        <f t="shared" si="54"/>
        <v>0.19500000000000001</v>
      </c>
      <c r="X63" s="57">
        <v>8.4</v>
      </c>
      <c r="Y63" s="25">
        <v>82</v>
      </c>
      <c r="Z63" s="17">
        <f t="shared" si="55"/>
        <v>2</v>
      </c>
      <c r="AA63" s="17">
        <f t="shared" si="56"/>
        <v>2</v>
      </c>
      <c r="AB63" s="20">
        <f t="shared" si="57"/>
        <v>0.13</v>
      </c>
      <c r="AC63" s="57">
        <v>8.4</v>
      </c>
      <c r="AD63" s="25">
        <v>83</v>
      </c>
      <c r="AE63" s="17">
        <f t="shared" si="43"/>
        <v>3</v>
      </c>
      <c r="AF63" s="17">
        <f t="shared" si="44"/>
        <v>3</v>
      </c>
      <c r="AG63" s="20">
        <f t="shared" si="45"/>
        <v>0.19500000000000001</v>
      </c>
      <c r="AH63" s="49">
        <v>8.4</v>
      </c>
      <c r="AI63" s="42">
        <f t="shared" si="32"/>
        <v>15</v>
      </c>
      <c r="AJ63" s="35">
        <f t="shared" si="33"/>
        <v>8.1900000000000013</v>
      </c>
    </row>
    <row r="64" spans="1:36" x14ac:dyDescent="0.25">
      <c r="A64" s="25" t="s">
        <v>141</v>
      </c>
      <c r="B64" s="17" t="s">
        <v>10</v>
      </c>
      <c r="C64" s="17" t="s">
        <v>105</v>
      </c>
      <c r="D64" s="17" t="s">
        <v>129</v>
      </c>
      <c r="E64" s="18" t="s">
        <v>142</v>
      </c>
      <c r="F64" s="17" t="s">
        <v>14</v>
      </c>
      <c r="G64" s="17">
        <v>20</v>
      </c>
      <c r="H64" s="17" t="s">
        <v>15</v>
      </c>
      <c r="I64" s="39">
        <v>6.5</v>
      </c>
      <c r="J64" s="25">
        <v>0</v>
      </c>
      <c r="K64" s="17">
        <f t="shared" si="46"/>
        <v>-20</v>
      </c>
      <c r="L64" s="17">
        <f t="shared" si="47"/>
        <v>0</v>
      </c>
      <c r="M64" s="20">
        <f t="shared" si="48"/>
        <v>0</v>
      </c>
      <c r="N64" s="57">
        <v>8.4</v>
      </c>
      <c r="O64" s="25">
        <v>0</v>
      </c>
      <c r="P64" s="17">
        <f t="shared" si="49"/>
        <v>-20</v>
      </c>
      <c r="Q64" s="17">
        <f t="shared" si="50"/>
        <v>0</v>
      </c>
      <c r="R64" s="20">
        <f t="shared" si="51"/>
        <v>0</v>
      </c>
      <c r="S64" s="57">
        <v>8.4</v>
      </c>
      <c r="T64" s="25">
        <v>0</v>
      </c>
      <c r="U64" s="17">
        <f t="shared" si="52"/>
        <v>-20</v>
      </c>
      <c r="V64" s="17">
        <f t="shared" si="53"/>
        <v>0</v>
      </c>
      <c r="W64" s="20">
        <f t="shared" si="54"/>
        <v>0</v>
      </c>
      <c r="X64" s="57">
        <v>8.4</v>
      </c>
      <c r="Y64" s="25">
        <v>0</v>
      </c>
      <c r="Z64" s="17">
        <f t="shared" si="55"/>
        <v>-20</v>
      </c>
      <c r="AA64" s="17">
        <f t="shared" si="56"/>
        <v>0</v>
      </c>
      <c r="AB64" s="20">
        <f t="shared" si="57"/>
        <v>0</v>
      </c>
      <c r="AC64" s="57">
        <v>8.4</v>
      </c>
      <c r="AD64" s="25">
        <v>0</v>
      </c>
      <c r="AE64" s="17">
        <f t="shared" si="43"/>
        <v>-20</v>
      </c>
      <c r="AF64" s="17">
        <f t="shared" si="44"/>
        <v>0</v>
      </c>
      <c r="AG64" s="20">
        <f t="shared" si="45"/>
        <v>0</v>
      </c>
      <c r="AH64" s="49">
        <v>8.4</v>
      </c>
      <c r="AI64" s="42">
        <f t="shared" si="32"/>
        <v>0</v>
      </c>
      <c r="AJ64" s="35">
        <f t="shared" si="33"/>
        <v>0</v>
      </c>
    </row>
    <row r="65" spans="1:36" x14ac:dyDescent="0.25">
      <c r="A65" s="25" t="s">
        <v>143</v>
      </c>
      <c r="B65" s="17" t="s">
        <v>17</v>
      </c>
      <c r="C65" s="17" t="s">
        <v>99</v>
      </c>
      <c r="D65" s="17" t="s">
        <v>129</v>
      </c>
      <c r="E65" s="18" t="s">
        <v>144</v>
      </c>
      <c r="F65" s="17" t="s">
        <v>14</v>
      </c>
      <c r="G65" s="17">
        <v>20</v>
      </c>
      <c r="H65" s="17" t="s">
        <v>38</v>
      </c>
      <c r="I65" s="39">
        <v>6.5</v>
      </c>
      <c r="J65" s="25">
        <v>21</v>
      </c>
      <c r="K65" s="17">
        <f t="shared" si="46"/>
        <v>1</v>
      </c>
      <c r="L65" s="17">
        <f t="shared" si="47"/>
        <v>1</v>
      </c>
      <c r="M65" s="20">
        <f t="shared" si="48"/>
        <v>6.5000000000000002E-2</v>
      </c>
      <c r="N65" s="57">
        <v>7.3</v>
      </c>
      <c r="O65" s="25">
        <v>0</v>
      </c>
      <c r="P65" s="17">
        <f t="shared" si="49"/>
        <v>-20</v>
      </c>
      <c r="Q65" s="17">
        <f t="shared" si="50"/>
        <v>0</v>
      </c>
      <c r="R65" s="20">
        <f t="shared" si="51"/>
        <v>0</v>
      </c>
      <c r="S65" s="57">
        <v>7.2</v>
      </c>
      <c r="T65" s="25">
        <v>345</v>
      </c>
      <c r="U65" s="17">
        <f t="shared" si="52"/>
        <v>325</v>
      </c>
      <c r="V65" s="17">
        <f t="shared" si="53"/>
        <v>325</v>
      </c>
      <c r="W65" s="20">
        <f t="shared" si="54"/>
        <v>21.125</v>
      </c>
      <c r="X65" s="57">
        <v>7.2</v>
      </c>
      <c r="Y65" s="25">
        <v>38</v>
      </c>
      <c r="Z65" s="17">
        <f t="shared" si="55"/>
        <v>18</v>
      </c>
      <c r="AA65" s="17">
        <f t="shared" si="56"/>
        <v>18</v>
      </c>
      <c r="AB65" s="20">
        <f t="shared" si="57"/>
        <v>1.17</v>
      </c>
      <c r="AC65" s="57">
        <v>7.2</v>
      </c>
      <c r="AD65" s="25">
        <v>38</v>
      </c>
      <c r="AE65" s="17">
        <f t="shared" si="43"/>
        <v>18</v>
      </c>
      <c r="AF65" s="17">
        <f t="shared" si="44"/>
        <v>18</v>
      </c>
      <c r="AG65" s="20">
        <f t="shared" si="45"/>
        <v>1.17</v>
      </c>
      <c r="AH65" s="49">
        <v>7.2</v>
      </c>
      <c r="AI65" s="42">
        <f t="shared" si="32"/>
        <v>362</v>
      </c>
      <c r="AJ65" s="35">
        <f t="shared" si="33"/>
        <v>169.42249999999999</v>
      </c>
    </row>
    <row r="66" spans="1:36" x14ac:dyDescent="0.25">
      <c r="A66" s="25" t="s">
        <v>145</v>
      </c>
      <c r="B66" s="17" t="s">
        <v>17</v>
      </c>
      <c r="C66" s="17" t="s">
        <v>18</v>
      </c>
      <c r="D66" s="17" t="s">
        <v>129</v>
      </c>
      <c r="E66" s="17" t="s">
        <v>146</v>
      </c>
      <c r="F66" s="17" t="s">
        <v>14</v>
      </c>
      <c r="G66" s="17">
        <v>20</v>
      </c>
      <c r="H66" s="17" t="s">
        <v>15</v>
      </c>
      <c r="I66" s="39">
        <v>6.5</v>
      </c>
      <c r="J66" s="25">
        <v>5</v>
      </c>
      <c r="K66" s="17">
        <f t="shared" si="46"/>
        <v>-15</v>
      </c>
      <c r="L66" s="17">
        <f t="shared" si="47"/>
        <v>0</v>
      </c>
      <c r="M66" s="20">
        <f t="shared" si="48"/>
        <v>0</v>
      </c>
      <c r="N66" s="57">
        <v>8.4</v>
      </c>
      <c r="O66" s="25">
        <v>0</v>
      </c>
      <c r="P66" s="17">
        <f t="shared" si="49"/>
        <v>-20</v>
      </c>
      <c r="Q66" s="17">
        <f t="shared" si="50"/>
        <v>0</v>
      </c>
      <c r="R66" s="20">
        <f t="shared" si="51"/>
        <v>0</v>
      </c>
      <c r="S66" s="57">
        <v>8.4</v>
      </c>
      <c r="T66" s="25">
        <v>16</v>
      </c>
      <c r="U66" s="17">
        <f t="shared" si="52"/>
        <v>-4</v>
      </c>
      <c r="V66" s="17">
        <f t="shared" si="53"/>
        <v>0</v>
      </c>
      <c r="W66" s="20">
        <f t="shared" si="54"/>
        <v>0</v>
      </c>
      <c r="X66" s="57">
        <v>8.4</v>
      </c>
      <c r="Y66" s="25">
        <v>30</v>
      </c>
      <c r="Z66" s="17">
        <f t="shared" si="55"/>
        <v>10</v>
      </c>
      <c r="AA66" s="17">
        <f t="shared" si="56"/>
        <v>10</v>
      </c>
      <c r="AB66" s="20">
        <f t="shared" si="57"/>
        <v>0.65</v>
      </c>
      <c r="AC66" s="57">
        <v>8.4</v>
      </c>
      <c r="AD66" s="25">
        <v>35</v>
      </c>
      <c r="AE66" s="17">
        <f t="shared" si="43"/>
        <v>15</v>
      </c>
      <c r="AF66" s="17">
        <f t="shared" si="44"/>
        <v>15</v>
      </c>
      <c r="AG66" s="20">
        <f t="shared" si="45"/>
        <v>0.97499999999999998</v>
      </c>
      <c r="AH66" s="49">
        <v>8.4</v>
      </c>
      <c r="AI66" s="42">
        <f t="shared" si="32"/>
        <v>25</v>
      </c>
      <c r="AJ66" s="35">
        <f t="shared" si="33"/>
        <v>13.65</v>
      </c>
    </row>
    <row r="67" spans="1:36" x14ac:dyDescent="0.25">
      <c r="A67" s="25" t="s">
        <v>147</v>
      </c>
      <c r="B67" s="17" t="s">
        <v>10</v>
      </c>
      <c r="C67" s="17" t="s">
        <v>22</v>
      </c>
      <c r="D67" s="17" t="s">
        <v>129</v>
      </c>
      <c r="E67" s="18" t="s">
        <v>148</v>
      </c>
      <c r="F67" s="17" t="s">
        <v>14</v>
      </c>
      <c r="G67" s="17">
        <v>20</v>
      </c>
      <c r="H67" s="17" t="s">
        <v>15</v>
      </c>
      <c r="I67" s="39">
        <v>11</v>
      </c>
      <c r="J67" s="25">
        <v>0</v>
      </c>
      <c r="K67" s="17">
        <f t="shared" si="46"/>
        <v>-20</v>
      </c>
      <c r="L67" s="17">
        <f t="shared" si="47"/>
        <v>0</v>
      </c>
      <c r="M67" s="20">
        <f t="shared" si="48"/>
        <v>0</v>
      </c>
      <c r="N67" s="57">
        <v>8.4</v>
      </c>
      <c r="O67" s="25">
        <v>0</v>
      </c>
      <c r="P67" s="17">
        <f t="shared" si="49"/>
        <v>-20</v>
      </c>
      <c r="Q67" s="17">
        <f t="shared" si="50"/>
        <v>0</v>
      </c>
      <c r="R67" s="20">
        <f t="shared" si="51"/>
        <v>0</v>
      </c>
      <c r="S67" s="57">
        <v>8.4</v>
      </c>
      <c r="T67" s="25">
        <v>0</v>
      </c>
      <c r="U67" s="17">
        <f t="shared" si="52"/>
        <v>-20</v>
      </c>
      <c r="V67" s="17">
        <f t="shared" si="53"/>
        <v>0</v>
      </c>
      <c r="W67" s="20">
        <f t="shared" si="54"/>
        <v>0</v>
      </c>
      <c r="X67" s="57">
        <v>8.4</v>
      </c>
      <c r="Y67" s="25">
        <v>0</v>
      </c>
      <c r="Z67" s="17">
        <f t="shared" si="55"/>
        <v>-20</v>
      </c>
      <c r="AA67" s="17">
        <f t="shared" si="56"/>
        <v>0</v>
      </c>
      <c r="AB67" s="20">
        <f t="shared" si="57"/>
        <v>0</v>
      </c>
      <c r="AC67" s="57">
        <v>8.4</v>
      </c>
      <c r="AD67" s="25">
        <v>0</v>
      </c>
      <c r="AE67" s="17">
        <f t="shared" si="43"/>
        <v>-20</v>
      </c>
      <c r="AF67" s="17">
        <f t="shared" si="44"/>
        <v>0</v>
      </c>
      <c r="AG67" s="20">
        <f t="shared" si="45"/>
        <v>0</v>
      </c>
      <c r="AH67" s="49">
        <v>8.4</v>
      </c>
      <c r="AI67" s="42">
        <f t="shared" ref="AI67:AI98" si="58">AF67+AA67+V67+Q67+L67</f>
        <v>0</v>
      </c>
      <c r="AJ67" s="35">
        <f t="shared" ref="AJ67:AJ98" si="59">AG67*AH67+AB67*AC67+W67*X67+R67*S67+M67*N67</f>
        <v>0</v>
      </c>
    </row>
    <row r="68" spans="1:36" x14ac:dyDescent="0.25">
      <c r="A68" s="25" t="s">
        <v>149</v>
      </c>
      <c r="B68" s="17" t="s">
        <v>10</v>
      </c>
      <c r="C68" s="17" t="s">
        <v>22</v>
      </c>
      <c r="D68" s="17" t="s">
        <v>129</v>
      </c>
      <c r="E68" s="18" t="s">
        <v>148</v>
      </c>
      <c r="F68" s="17" t="s">
        <v>14</v>
      </c>
      <c r="G68" s="17">
        <v>20</v>
      </c>
      <c r="H68" s="17" t="s">
        <v>15</v>
      </c>
      <c r="I68" s="39">
        <v>11</v>
      </c>
      <c r="J68" s="45"/>
      <c r="K68" s="18"/>
      <c r="L68" s="18"/>
      <c r="M68" s="19"/>
      <c r="N68" s="58"/>
      <c r="O68" s="45"/>
      <c r="P68" s="18"/>
      <c r="Q68" s="18"/>
      <c r="R68" s="19"/>
      <c r="S68" s="58"/>
      <c r="T68" s="45"/>
      <c r="U68" s="18"/>
      <c r="V68" s="18"/>
      <c r="W68" s="19"/>
      <c r="X68" s="58"/>
      <c r="Y68" s="45"/>
      <c r="Z68" s="18"/>
      <c r="AA68" s="18"/>
      <c r="AB68" s="19"/>
      <c r="AC68" s="58"/>
      <c r="AD68" s="25">
        <v>0</v>
      </c>
      <c r="AE68" s="17">
        <f t="shared" si="43"/>
        <v>-20</v>
      </c>
      <c r="AF68" s="17">
        <f t="shared" si="44"/>
        <v>0</v>
      </c>
      <c r="AG68" s="20">
        <f t="shared" si="45"/>
        <v>0</v>
      </c>
      <c r="AH68" s="49">
        <v>8.4</v>
      </c>
      <c r="AI68" s="42">
        <f t="shared" si="58"/>
        <v>0</v>
      </c>
      <c r="AJ68" s="35">
        <f t="shared" si="59"/>
        <v>0</v>
      </c>
    </row>
    <row r="69" spans="1:36" x14ac:dyDescent="0.25">
      <c r="A69" s="25" t="s">
        <v>149</v>
      </c>
      <c r="B69" s="17" t="s">
        <v>10</v>
      </c>
      <c r="C69" s="17" t="s">
        <v>22</v>
      </c>
      <c r="D69" s="17" t="s">
        <v>129</v>
      </c>
      <c r="E69" s="18" t="s">
        <v>136</v>
      </c>
      <c r="F69" s="17" t="s">
        <v>14</v>
      </c>
      <c r="G69" s="17">
        <v>50</v>
      </c>
      <c r="H69" s="17" t="s">
        <v>15</v>
      </c>
      <c r="I69" s="39">
        <v>11</v>
      </c>
      <c r="J69" s="25">
        <v>0</v>
      </c>
      <c r="K69" s="17">
        <f t="shared" ref="K69:K82" si="60">J69-G69</f>
        <v>-50</v>
      </c>
      <c r="L69" s="17">
        <f t="shared" ref="L69:L82" si="61">IF(K69&lt;0,0,J69-G69)</f>
        <v>0</v>
      </c>
      <c r="M69" s="20">
        <f t="shared" ref="M69:M82" si="62">L69*I69/100</f>
        <v>0</v>
      </c>
      <c r="N69" s="57">
        <v>8.4</v>
      </c>
      <c r="O69" s="45"/>
      <c r="P69" s="18"/>
      <c r="Q69" s="18"/>
      <c r="R69" s="19"/>
      <c r="S69" s="58"/>
      <c r="T69" s="45"/>
      <c r="U69" s="18"/>
      <c r="V69" s="18"/>
      <c r="W69" s="19"/>
      <c r="X69" s="58"/>
      <c r="Y69" s="45"/>
      <c r="Z69" s="18"/>
      <c r="AA69" s="18"/>
      <c r="AB69" s="19"/>
      <c r="AC69" s="58"/>
      <c r="AD69" s="45"/>
      <c r="AE69" s="18"/>
      <c r="AF69" s="18"/>
      <c r="AG69" s="19"/>
      <c r="AH69" s="50"/>
      <c r="AI69" s="42">
        <f t="shared" si="58"/>
        <v>0</v>
      </c>
      <c r="AJ69" s="35">
        <f t="shared" si="59"/>
        <v>0</v>
      </c>
    </row>
    <row r="70" spans="1:36" x14ac:dyDescent="0.25">
      <c r="A70" s="25" t="s">
        <v>149</v>
      </c>
      <c r="B70" s="17" t="s">
        <v>10</v>
      </c>
      <c r="C70" s="17" t="s">
        <v>22</v>
      </c>
      <c r="D70" s="17" t="s">
        <v>129</v>
      </c>
      <c r="E70" s="18" t="s">
        <v>150</v>
      </c>
      <c r="F70" s="17" t="s">
        <v>14</v>
      </c>
      <c r="G70" s="17">
        <v>20</v>
      </c>
      <c r="H70" s="17" t="s">
        <v>15</v>
      </c>
      <c r="I70" s="39">
        <v>11</v>
      </c>
      <c r="J70" s="25">
        <v>0</v>
      </c>
      <c r="K70" s="17">
        <f t="shared" si="60"/>
        <v>-20</v>
      </c>
      <c r="L70" s="17">
        <f t="shared" si="61"/>
        <v>0</v>
      </c>
      <c r="M70" s="20">
        <f t="shared" si="62"/>
        <v>0</v>
      </c>
      <c r="N70" s="57">
        <v>8.4</v>
      </c>
      <c r="O70" s="25">
        <v>0</v>
      </c>
      <c r="P70" s="17">
        <f t="shared" ref="P70:P82" si="63">O70-G70</f>
        <v>-20</v>
      </c>
      <c r="Q70" s="17">
        <f t="shared" ref="Q70:Q82" si="64">IF(P70&lt;0,0,O70-G70)</f>
        <v>0</v>
      </c>
      <c r="R70" s="20">
        <f t="shared" ref="R70:R82" si="65">Q70*I70/100</f>
        <v>0</v>
      </c>
      <c r="S70" s="57">
        <v>8.4</v>
      </c>
      <c r="T70" s="25">
        <v>0</v>
      </c>
      <c r="U70" s="17">
        <f t="shared" ref="U70:U83" si="66">T70-G70</f>
        <v>-20</v>
      </c>
      <c r="V70" s="17">
        <f t="shared" ref="V70:V83" si="67">IF(U70&lt;0,0,T70-G70)</f>
        <v>0</v>
      </c>
      <c r="W70" s="20">
        <f t="shared" ref="W70:W83" si="68">V70*I70/100</f>
        <v>0</v>
      </c>
      <c r="X70" s="57">
        <v>8.4</v>
      </c>
      <c r="Y70" s="25">
        <v>0</v>
      </c>
      <c r="Z70" s="17">
        <f t="shared" ref="Z70:Z76" si="69">Y70-G70</f>
        <v>-20</v>
      </c>
      <c r="AA70" s="17">
        <f t="shared" ref="AA70:AA76" si="70">IF(Z70&lt;0,0,Y70-G70)</f>
        <v>0</v>
      </c>
      <c r="AB70" s="20">
        <f t="shared" ref="AB70:AB76" si="71">AA70*I70/100</f>
        <v>0</v>
      </c>
      <c r="AC70" s="57">
        <v>8.4</v>
      </c>
      <c r="AD70" s="25">
        <v>0</v>
      </c>
      <c r="AE70" s="17">
        <f>AD70-G70</f>
        <v>-20</v>
      </c>
      <c r="AF70" s="17">
        <f>IF(AE70&lt;0,0,AD70-G70)</f>
        <v>0</v>
      </c>
      <c r="AG70" s="20">
        <f>AF70*I70/100</f>
        <v>0</v>
      </c>
      <c r="AH70" s="49">
        <v>8.4</v>
      </c>
      <c r="AI70" s="42">
        <f t="shared" si="58"/>
        <v>0</v>
      </c>
      <c r="AJ70" s="35">
        <f t="shared" si="59"/>
        <v>0</v>
      </c>
    </row>
    <row r="71" spans="1:36" x14ac:dyDescent="0.25">
      <c r="A71" s="25" t="s">
        <v>151</v>
      </c>
      <c r="B71" s="17" t="s">
        <v>10</v>
      </c>
      <c r="C71" s="17" t="s">
        <v>11</v>
      </c>
      <c r="D71" s="17" t="s">
        <v>129</v>
      </c>
      <c r="E71" s="18" t="s">
        <v>152</v>
      </c>
      <c r="F71" s="17" t="s">
        <v>14</v>
      </c>
      <c r="G71" s="17">
        <v>20</v>
      </c>
      <c r="H71" s="17" t="s">
        <v>15</v>
      </c>
      <c r="I71" s="39">
        <v>6.5</v>
      </c>
      <c r="J71" s="25">
        <v>2</v>
      </c>
      <c r="K71" s="17">
        <f t="shared" si="60"/>
        <v>-18</v>
      </c>
      <c r="L71" s="17">
        <f t="shared" si="61"/>
        <v>0</v>
      </c>
      <c r="M71" s="20">
        <f t="shared" si="62"/>
        <v>0</v>
      </c>
      <c r="N71" s="57">
        <v>8.4</v>
      </c>
      <c r="O71" s="25">
        <v>0</v>
      </c>
      <c r="P71" s="17">
        <f t="shared" si="63"/>
        <v>-20</v>
      </c>
      <c r="Q71" s="17">
        <f t="shared" si="64"/>
        <v>0</v>
      </c>
      <c r="R71" s="20">
        <f t="shared" si="65"/>
        <v>0</v>
      </c>
      <c r="S71" s="57">
        <v>8.4</v>
      </c>
      <c r="T71" s="25">
        <v>228</v>
      </c>
      <c r="U71" s="17">
        <f t="shared" si="66"/>
        <v>208</v>
      </c>
      <c r="V71" s="17">
        <f t="shared" si="67"/>
        <v>208</v>
      </c>
      <c r="W71" s="20">
        <f t="shared" si="68"/>
        <v>13.52</v>
      </c>
      <c r="X71" s="57">
        <v>8.4</v>
      </c>
      <c r="Y71" s="25">
        <v>329</v>
      </c>
      <c r="Z71" s="17">
        <f t="shared" si="69"/>
        <v>309</v>
      </c>
      <c r="AA71" s="17">
        <f t="shared" si="70"/>
        <v>309</v>
      </c>
      <c r="AB71" s="20">
        <f t="shared" si="71"/>
        <v>20.085000000000001</v>
      </c>
      <c r="AC71" s="57">
        <v>8.4</v>
      </c>
      <c r="AD71" s="25">
        <v>42</v>
      </c>
      <c r="AE71" s="17">
        <f>AD71-G71</f>
        <v>22</v>
      </c>
      <c r="AF71" s="17">
        <f>IF(AE71&lt;0,0,AD71-G71)</f>
        <v>22</v>
      </c>
      <c r="AG71" s="20">
        <f>AF71*I71/100</f>
        <v>1.43</v>
      </c>
      <c r="AH71" s="49">
        <v>8.4</v>
      </c>
      <c r="AI71" s="42">
        <f t="shared" si="58"/>
        <v>539</v>
      </c>
      <c r="AJ71" s="35">
        <f t="shared" si="59"/>
        <v>294.29400000000004</v>
      </c>
    </row>
    <row r="72" spans="1:36" x14ac:dyDescent="0.25">
      <c r="A72" s="25" t="s">
        <v>153</v>
      </c>
      <c r="B72" s="17" t="s">
        <v>10</v>
      </c>
      <c r="C72" s="17" t="s">
        <v>11</v>
      </c>
      <c r="D72" s="17" t="s">
        <v>129</v>
      </c>
      <c r="E72" s="17" t="s">
        <v>154</v>
      </c>
      <c r="F72" s="17" t="s">
        <v>14</v>
      </c>
      <c r="G72" s="17">
        <v>20</v>
      </c>
      <c r="H72" s="17" t="s">
        <v>15</v>
      </c>
      <c r="I72" s="39">
        <v>6.5</v>
      </c>
      <c r="J72" s="25">
        <v>35</v>
      </c>
      <c r="K72" s="17">
        <f t="shared" si="60"/>
        <v>15</v>
      </c>
      <c r="L72" s="17">
        <f t="shared" si="61"/>
        <v>15</v>
      </c>
      <c r="M72" s="20">
        <f t="shared" si="62"/>
        <v>0.97499999999999998</v>
      </c>
      <c r="N72" s="57">
        <v>8.4</v>
      </c>
      <c r="O72" s="25">
        <v>51</v>
      </c>
      <c r="P72" s="17">
        <f t="shared" si="63"/>
        <v>31</v>
      </c>
      <c r="Q72" s="17">
        <f t="shared" si="64"/>
        <v>31</v>
      </c>
      <c r="R72" s="20">
        <f t="shared" si="65"/>
        <v>2.0150000000000001</v>
      </c>
      <c r="S72" s="57">
        <v>8.4</v>
      </c>
      <c r="T72" s="25">
        <v>74</v>
      </c>
      <c r="U72" s="17">
        <f t="shared" si="66"/>
        <v>54</v>
      </c>
      <c r="V72" s="17">
        <f t="shared" si="67"/>
        <v>54</v>
      </c>
      <c r="W72" s="20">
        <f t="shared" si="68"/>
        <v>3.51</v>
      </c>
      <c r="X72" s="57">
        <v>8.4</v>
      </c>
      <c r="Y72" s="25">
        <v>34</v>
      </c>
      <c r="Z72" s="17">
        <f t="shared" si="69"/>
        <v>14</v>
      </c>
      <c r="AA72" s="17">
        <f t="shared" si="70"/>
        <v>14</v>
      </c>
      <c r="AB72" s="20">
        <f t="shared" si="71"/>
        <v>0.91</v>
      </c>
      <c r="AC72" s="57">
        <v>8.4</v>
      </c>
      <c r="AD72" s="25">
        <v>47</v>
      </c>
      <c r="AE72" s="17">
        <f>AD72-G72</f>
        <v>27</v>
      </c>
      <c r="AF72" s="17">
        <f>IF(AE72&lt;0,0,AD72-G72)</f>
        <v>27</v>
      </c>
      <c r="AG72" s="20">
        <f>AF72*I72/100</f>
        <v>1.7549999999999999</v>
      </c>
      <c r="AH72" s="49">
        <v>8.4</v>
      </c>
      <c r="AI72" s="42">
        <f t="shared" si="58"/>
        <v>141</v>
      </c>
      <c r="AJ72" s="35">
        <f t="shared" si="59"/>
        <v>76.98599999999999</v>
      </c>
    </row>
    <row r="73" spans="1:36" x14ac:dyDescent="0.25">
      <c r="A73" s="25" t="s">
        <v>155</v>
      </c>
      <c r="B73" s="17" t="s">
        <v>10</v>
      </c>
      <c r="C73" s="17" t="s">
        <v>22</v>
      </c>
      <c r="D73" s="17" t="s">
        <v>129</v>
      </c>
      <c r="E73" s="17" t="s">
        <v>150</v>
      </c>
      <c r="F73" s="17" t="s">
        <v>14</v>
      </c>
      <c r="G73" s="17">
        <v>20</v>
      </c>
      <c r="H73" s="17" t="s">
        <v>15</v>
      </c>
      <c r="I73" s="39">
        <v>11</v>
      </c>
      <c r="J73" s="25">
        <v>0</v>
      </c>
      <c r="K73" s="17">
        <f t="shared" si="60"/>
        <v>-20</v>
      </c>
      <c r="L73" s="17">
        <f t="shared" si="61"/>
        <v>0</v>
      </c>
      <c r="M73" s="20">
        <f t="shared" si="62"/>
        <v>0</v>
      </c>
      <c r="N73" s="57">
        <v>8.4</v>
      </c>
      <c r="O73" s="25">
        <v>0</v>
      </c>
      <c r="P73" s="17">
        <f t="shared" si="63"/>
        <v>-20</v>
      </c>
      <c r="Q73" s="17">
        <f t="shared" si="64"/>
        <v>0</v>
      </c>
      <c r="R73" s="20">
        <f t="shared" si="65"/>
        <v>0</v>
      </c>
      <c r="S73" s="57">
        <v>8.4</v>
      </c>
      <c r="T73" s="25">
        <v>0</v>
      </c>
      <c r="U73" s="17">
        <f t="shared" si="66"/>
        <v>-20</v>
      </c>
      <c r="V73" s="17">
        <f t="shared" si="67"/>
        <v>0</v>
      </c>
      <c r="W73" s="20">
        <f t="shared" si="68"/>
        <v>0</v>
      </c>
      <c r="X73" s="57">
        <v>8.4</v>
      </c>
      <c r="Y73" s="25">
        <v>0</v>
      </c>
      <c r="Z73" s="17">
        <f t="shared" si="69"/>
        <v>-20</v>
      </c>
      <c r="AA73" s="17">
        <f t="shared" si="70"/>
        <v>0</v>
      </c>
      <c r="AB73" s="20">
        <f t="shared" si="71"/>
        <v>0</v>
      </c>
      <c r="AC73" s="57">
        <v>8.4</v>
      </c>
      <c r="AD73" s="25">
        <v>0</v>
      </c>
      <c r="AE73" s="17">
        <f>AD73-G73</f>
        <v>-20</v>
      </c>
      <c r="AF73" s="17">
        <f>IF(AE73&lt;0,0,AD73-G73)</f>
        <v>0</v>
      </c>
      <c r="AG73" s="20">
        <f>AF73*I73/100</f>
        <v>0</v>
      </c>
      <c r="AH73" s="49">
        <v>8.4</v>
      </c>
      <c r="AI73" s="42">
        <f t="shared" si="58"/>
        <v>0</v>
      </c>
      <c r="AJ73" s="35">
        <f t="shared" si="59"/>
        <v>0</v>
      </c>
    </row>
    <row r="74" spans="1:36" x14ac:dyDescent="0.25">
      <c r="A74" s="25" t="s">
        <v>156</v>
      </c>
      <c r="B74" s="17" t="s">
        <v>10</v>
      </c>
      <c r="C74" s="17" t="s">
        <v>11</v>
      </c>
      <c r="D74" s="17" t="s">
        <v>157</v>
      </c>
      <c r="E74" s="18" t="s">
        <v>158</v>
      </c>
      <c r="F74" s="17" t="s">
        <v>14</v>
      </c>
      <c r="G74" s="17">
        <v>20</v>
      </c>
      <c r="H74" s="17" t="s">
        <v>15</v>
      </c>
      <c r="I74" s="39">
        <v>6.5</v>
      </c>
      <c r="J74" s="25">
        <v>43</v>
      </c>
      <c r="K74" s="17">
        <f t="shared" si="60"/>
        <v>23</v>
      </c>
      <c r="L74" s="17">
        <f t="shared" si="61"/>
        <v>23</v>
      </c>
      <c r="M74" s="20">
        <f t="shared" si="62"/>
        <v>1.4950000000000001</v>
      </c>
      <c r="N74" s="57">
        <v>8.4</v>
      </c>
      <c r="O74" s="25">
        <v>166</v>
      </c>
      <c r="P74" s="17">
        <f t="shared" si="63"/>
        <v>146</v>
      </c>
      <c r="Q74" s="17">
        <f t="shared" si="64"/>
        <v>146</v>
      </c>
      <c r="R74" s="20">
        <f t="shared" si="65"/>
        <v>9.49</v>
      </c>
      <c r="S74" s="57">
        <v>8.4</v>
      </c>
      <c r="T74" s="25">
        <v>42</v>
      </c>
      <c r="U74" s="17">
        <f t="shared" si="66"/>
        <v>22</v>
      </c>
      <c r="V74" s="17">
        <f t="shared" si="67"/>
        <v>22</v>
      </c>
      <c r="W74" s="20">
        <f t="shared" si="68"/>
        <v>1.43</v>
      </c>
      <c r="X74" s="57">
        <v>8.4</v>
      </c>
      <c r="Y74" s="25">
        <v>0</v>
      </c>
      <c r="Z74" s="17">
        <f t="shared" si="69"/>
        <v>-20</v>
      </c>
      <c r="AA74" s="17">
        <f t="shared" si="70"/>
        <v>0</v>
      </c>
      <c r="AB74" s="20">
        <f t="shared" si="71"/>
        <v>0</v>
      </c>
      <c r="AC74" s="57">
        <v>8.4</v>
      </c>
      <c r="AD74" s="45"/>
      <c r="AE74" s="18"/>
      <c r="AF74" s="18"/>
      <c r="AG74" s="19"/>
      <c r="AH74" s="50"/>
      <c r="AI74" s="42">
        <f t="shared" si="58"/>
        <v>191</v>
      </c>
      <c r="AJ74" s="35">
        <f t="shared" si="59"/>
        <v>104.28600000000002</v>
      </c>
    </row>
    <row r="75" spans="1:36" x14ac:dyDescent="0.25">
      <c r="A75" s="25" t="s">
        <v>159</v>
      </c>
      <c r="B75" s="17" t="s">
        <v>17</v>
      </c>
      <c r="C75" s="17" t="s">
        <v>36</v>
      </c>
      <c r="D75" s="17" t="s">
        <v>157</v>
      </c>
      <c r="E75" s="17" t="s">
        <v>160</v>
      </c>
      <c r="F75" s="17" t="s">
        <v>14</v>
      </c>
      <c r="G75" s="17">
        <v>20</v>
      </c>
      <c r="H75" s="17" t="s">
        <v>38</v>
      </c>
      <c r="I75" s="39">
        <v>6.5</v>
      </c>
      <c r="J75" s="25">
        <v>15</v>
      </c>
      <c r="K75" s="17">
        <f t="shared" si="60"/>
        <v>-5</v>
      </c>
      <c r="L75" s="17">
        <f t="shared" si="61"/>
        <v>0</v>
      </c>
      <c r="M75" s="20">
        <f t="shared" si="62"/>
        <v>0</v>
      </c>
      <c r="N75" s="57">
        <v>7.3</v>
      </c>
      <c r="O75" s="25">
        <v>11</v>
      </c>
      <c r="P75" s="17">
        <f t="shared" si="63"/>
        <v>-9</v>
      </c>
      <c r="Q75" s="17">
        <f t="shared" si="64"/>
        <v>0</v>
      </c>
      <c r="R75" s="20">
        <f t="shared" si="65"/>
        <v>0</v>
      </c>
      <c r="S75" s="57">
        <v>7.2</v>
      </c>
      <c r="T75" s="25">
        <v>18</v>
      </c>
      <c r="U75" s="17">
        <f t="shared" si="66"/>
        <v>-2</v>
      </c>
      <c r="V75" s="17">
        <f t="shared" si="67"/>
        <v>0</v>
      </c>
      <c r="W75" s="20">
        <f t="shared" si="68"/>
        <v>0</v>
      </c>
      <c r="X75" s="57">
        <v>7.2</v>
      </c>
      <c r="Y75" s="25">
        <v>18</v>
      </c>
      <c r="Z75" s="17">
        <f t="shared" si="69"/>
        <v>-2</v>
      </c>
      <c r="AA75" s="17">
        <f t="shared" si="70"/>
        <v>0</v>
      </c>
      <c r="AB75" s="20">
        <f t="shared" si="71"/>
        <v>0</v>
      </c>
      <c r="AC75" s="57">
        <v>7.2</v>
      </c>
      <c r="AD75" s="25">
        <v>18</v>
      </c>
      <c r="AE75" s="17">
        <f>AD75-G75</f>
        <v>-2</v>
      </c>
      <c r="AF75" s="17">
        <f>IF(AE75&lt;0,0,AD75-G75)</f>
        <v>0</v>
      </c>
      <c r="AG75" s="20">
        <f>AF75*I75/100</f>
        <v>0</v>
      </c>
      <c r="AH75" s="49">
        <v>7.2</v>
      </c>
      <c r="AI75" s="42">
        <f t="shared" si="58"/>
        <v>0</v>
      </c>
      <c r="AJ75" s="35">
        <f t="shared" si="59"/>
        <v>0</v>
      </c>
    </row>
    <row r="76" spans="1:36" x14ac:dyDescent="0.25">
      <c r="A76" s="25" t="s">
        <v>161</v>
      </c>
      <c r="B76" s="17" t="s">
        <v>10</v>
      </c>
      <c r="C76" s="17" t="s">
        <v>11</v>
      </c>
      <c r="D76" s="17" t="s">
        <v>157</v>
      </c>
      <c r="E76" s="17" t="s">
        <v>162</v>
      </c>
      <c r="F76" s="17" t="s">
        <v>14</v>
      </c>
      <c r="G76" s="17">
        <v>20</v>
      </c>
      <c r="H76" s="17" t="s">
        <v>15</v>
      </c>
      <c r="I76" s="39">
        <v>6.5</v>
      </c>
      <c r="J76" s="25">
        <v>5</v>
      </c>
      <c r="K76" s="17">
        <f t="shared" si="60"/>
        <v>-15</v>
      </c>
      <c r="L76" s="17">
        <f t="shared" si="61"/>
        <v>0</v>
      </c>
      <c r="M76" s="20">
        <f t="shared" si="62"/>
        <v>0</v>
      </c>
      <c r="N76" s="57">
        <v>8.4</v>
      </c>
      <c r="O76" s="25">
        <v>23</v>
      </c>
      <c r="P76" s="17">
        <f t="shared" si="63"/>
        <v>3</v>
      </c>
      <c r="Q76" s="17">
        <f t="shared" si="64"/>
        <v>3</v>
      </c>
      <c r="R76" s="20">
        <f t="shared" si="65"/>
        <v>0.19500000000000001</v>
      </c>
      <c r="S76" s="57">
        <v>8.4</v>
      </c>
      <c r="T76" s="25">
        <v>28</v>
      </c>
      <c r="U76" s="17">
        <f t="shared" si="66"/>
        <v>8</v>
      </c>
      <c r="V76" s="17">
        <f t="shared" si="67"/>
        <v>8</v>
      </c>
      <c r="W76" s="20">
        <f t="shared" si="68"/>
        <v>0.52</v>
      </c>
      <c r="X76" s="57">
        <v>8.4</v>
      </c>
      <c r="Y76" s="25">
        <v>8</v>
      </c>
      <c r="Z76" s="17">
        <f t="shared" si="69"/>
        <v>-12</v>
      </c>
      <c r="AA76" s="17">
        <f t="shared" si="70"/>
        <v>0</v>
      </c>
      <c r="AB76" s="20">
        <f t="shared" si="71"/>
        <v>0</v>
      </c>
      <c r="AC76" s="57">
        <v>8.4</v>
      </c>
      <c r="AD76" s="25">
        <v>32</v>
      </c>
      <c r="AE76" s="17">
        <f>AD76-G76</f>
        <v>12</v>
      </c>
      <c r="AF76" s="17">
        <f>IF(AE76&lt;0,0,AD76-G76)</f>
        <v>12</v>
      </c>
      <c r="AG76" s="20">
        <f>AF76*I76/100</f>
        <v>0.78</v>
      </c>
      <c r="AH76" s="49">
        <v>8.4</v>
      </c>
      <c r="AI76" s="42">
        <f t="shared" si="58"/>
        <v>23</v>
      </c>
      <c r="AJ76" s="35">
        <f t="shared" si="59"/>
        <v>12.558000000000002</v>
      </c>
    </row>
    <row r="77" spans="1:36" x14ac:dyDescent="0.25">
      <c r="A77" s="25" t="s">
        <v>163</v>
      </c>
      <c r="B77" s="17" t="s">
        <v>10</v>
      </c>
      <c r="C77" s="17" t="s">
        <v>11</v>
      </c>
      <c r="D77" s="17" t="s">
        <v>157</v>
      </c>
      <c r="E77" s="18" t="s">
        <v>164</v>
      </c>
      <c r="F77" s="17" t="s">
        <v>14</v>
      </c>
      <c r="G77" s="17">
        <v>20</v>
      </c>
      <c r="H77" s="17" t="s">
        <v>15</v>
      </c>
      <c r="I77" s="39">
        <v>6.5</v>
      </c>
      <c r="J77" s="25">
        <v>34</v>
      </c>
      <c r="K77" s="17">
        <f t="shared" si="60"/>
        <v>14</v>
      </c>
      <c r="L77" s="17">
        <f t="shared" si="61"/>
        <v>14</v>
      </c>
      <c r="M77" s="20">
        <f t="shared" si="62"/>
        <v>0.91</v>
      </c>
      <c r="N77" s="57">
        <v>8.4</v>
      </c>
      <c r="O77" s="25">
        <v>9</v>
      </c>
      <c r="P77" s="17">
        <f t="shared" si="63"/>
        <v>-11</v>
      </c>
      <c r="Q77" s="17">
        <f t="shared" si="64"/>
        <v>0</v>
      </c>
      <c r="R77" s="20">
        <f t="shared" si="65"/>
        <v>0</v>
      </c>
      <c r="S77" s="57">
        <v>8.4</v>
      </c>
      <c r="T77" s="25">
        <v>0</v>
      </c>
      <c r="U77" s="17">
        <f t="shared" si="66"/>
        <v>-20</v>
      </c>
      <c r="V77" s="17">
        <f t="shared" si="67"/>
        <v>0</v>
      </c>
      <c r="W77" s="20">
        <f t="shared" si="68"/>
        <v>0</v>
      </c>
      <c r="X77" s="57">
        <v>8.4</v>
      </c>
      <c r="Y77" s="45"/>
      <c r="Z77" s="18"/>
      <c r="AA77" s="18"/>
      <c r="AB77" s="19"/>
      <c r="AC77" s="58"/>
      <c r="AD77" s="45"/>
      <c r="AE77" s="18"/>
      <c r="AF77" s="18"/>
      <c r="AG77" s="19"/>
      <c r="AH77" s="50"/>
      <c r="AI77" s="42">
        <f t="shared" si="58"/>
        <v>14</v>
      </c>
      <c r="AJ77" s="35">
        <f t="shared" si="59"/>
        <v>7.644000000000001</v>
      </c>
    </row>
    <row r="78" spans="1:36" x14ac:dyDescent="0.25">
      <c r="A78" s="25" t="s">
        <v>165</v>
      </c>
      <c r="B78" s="17" t="s">
        <v>32</v>
      </c>
      <c r="C78" s="17" t="s">
        <v>52</v>
      </c>
      <c r="D78" s="17" t="s">
        <v>157</v>
      </c>
      <c r="E78" s="18" t="s">
        <v>166</v>
      </c>
      <c r="F78" s="17" t="s">
        <v>14</v>
      </c>
      <c r="G78" s="17">
        <v>20</v>
      </c>
      <c r="H78" s="17" t="s">
        <v>15</v>
      </c>
      <c r="I78" s="39">
        <v>11</v>
      </c>
      <c r="J78" s="25">
        <v>0</v>
      </c>
      <c r="K78" s="17">
        <f t="shared" si="60"/>
        <v>-20</v>
      </c>
      <c r="L78" s="17">
        <f t="shared" si="61"/>
        <v>0</v>
      </c>
      <c r="M78" s="20">
        <f t="shared" si="62"/>
        <v>0</v>
      </c>
      <c r="N78" s="57">
        <v>8.4</v>
      </c>
      <c r="O78" s="25">
        <v>0</v>
      </c>
      <c r="P78" s="17">
        <f t="shared" si="63"/>
        <v>-20</v>
      </c>
      <c r="Q78" s="17">
        <f t="shared" si="64"/>
        <v>0</v>
      </c>
      <c r="R78" s="20">
        <f t="shared" si="65"/>
        <v>0</v>
      </c>
      <c r="S78" s="57">
        <v>8.4</v>
      </c>
      <c r="T78" s="25">
        <v>0</v>
      </c>
      <c r="U78" s="17">
        <f t="shared" si="66"/>
        <v>-20</v>
      </c>
      <c r="V78" s="17">
        <f t="shared" si="67"/>
        <v>0</v>
      </c>
      <c r="W78" s="20">
        <f t="shared" si="68"/>
        <v>0</v>
      </c>
      <c r="X78" s="57">
        <v>8.4</v>
      </c>
      <c r="Y78" s="25">
        <v>0</v>
      </c>
      <c r="Z78" s="17">
        <f t="shared" ref="Z78:Z83" si="72">Y78-G78</f>
        <v>-20</v>
      </c>
      <c r="AA78" s="17">
        <f t="shared" ref="AA78:AA83" si="73">IF(Z78&lt;0,0,Y78-G78)</f>
        <v>0</v>
      </c>
      <c r="AB78" s="20">
        <f t="shared" ref="AB78:AB83" si="74">AA78*I78/100</f>
        <v>0</v>
      </c>
      <c r="AC78" s="57">
        <v>8.4</v>
      </c>
      <c r="AD78" s="25">
        <v>0</v>
      </c>
      <c r="AE78" s="17">
        <f t="shared" ref="AE78:AE83" si="75">AD78-G78</f>
        <v>-20</v>
      </c>
      <c r="AF78" s="17">
        <f t="shared" ref="AF78:AF83" si="76">IF(AE78&lt;0,0,AD78-G78)</f>
        <v>0</v>
      </c>
      <c r="AG78" s="20">
        <f t="shared" ref="AG78:AG83" si="77">AF78*I78/100</f>
        <v>0</v>
      </c>
      <c r="AH78" s="49">
        <v>8.4</v>
      </c>
      <c r="AI78" s="42">
        <f t="shared" si="58"/>
        <v>0</v>
      </c>
      <c r="AJ78" s="35">
        <f t="shared" si="59"/>
        <v>0</v>
      </c>
    </row>
    <row r="79" spans="1:36" x14ac:dyDescent="0.25">
      <c r="A79" s="25" t="s">
        <v>167</v>
      </c>
      <c r="B79" s="17" t="s">
        <v>17</v>
      </c>
      <c r="C79" s="17" t="s">
        <v>18</v>
      </c>
      <c r="D79" s="17" t="s">
        <v>157</v>
      </c>
      <c r="E79" s="18" t="s">
        <v>168</v>
      </c>
      <c r="F79" s="17" t="s">
        <v>14</v>
      </c>
      <c r="G79" s="17">
        <v>20</v>
      </c>
      <c r="H79" s="17" t="s">
        <v>15</v>
      </c>
      <c r="I79" s="39">
        <v>6.5</v>
      </c>
      <c r="J79" s="25">
        <v>0</v>
      </c>
      <c r="K79" s="17">
        <f t="shared" si="60"/>
        <v>-20</v>
      </c>
      <c r="L79" s="17">
        <f t="shared" si="61"/>
        <v>0</v>
      </c>
      <c r="M79" s="20">
        <f t="shared" si="62"/>
        <v>0</v>
      </c>
      <c r="N79" s="57">
        <v>8.4</v>
      </c>
      <c r="O79" s="25">
        <v>312</v>
      </c>
      <c r="P79" s="17">
        <f t="shared" si="63"/>
        <v>292</v>
      </c>
      <c r="Q79" s="17">
        <f t="shared" si="64"/>
        <v>292</v>
      </c>
      <c r="R79" s="20">
        <f t="shared" si="65"/>
        <v>18.98</v>
      </c>
      <c r="S79" s="57">
        <v>8.4</v>
      </c>
      <c r="T79" s="25">
        <v>42</v>
      </c>
      <c r="U79" s="17">
        <f t="shared" si="66"/>
        <v>22</v>
      </c>
      <c r="V79" s="17">
        <f t="shared" si="67"/>
        <v>22</v>
      </c>
      <c r="W79" s="20">
        <f t="shared" si="68"/>
        <v>1.43</v>
      </c>
      <c r="X79" s="57">
        <v>8.4</v>
      </c>
      <c r="Y79" s="25">
        <v>187</v>
      </c>
      <c r="Z79" s="17">
        <f t="shared" si="72"/>
        <v>167</v>
      </c>
      <c r="AA79" s="17">
        <f t="shared" si="73"/>
        <v>167</v>
      </c>
      <c r="AB79" s="20">
        <f t="shared" si="74"/>
        <v>10.855</v>
      </c>
      <c r="AC79" s="57">
        <v>8.4</v>
      </c>
      <c r="AD79" s="25">
        <v>253</v>
      </c>
      <c r="AE79" s="17">
        <f t="shared" si="75"/>
        <v>233</v>
      </c>
      <c r="AF79" s="17">
        <f t="shared" si="76"/>
        <v>233</v>
      </c>
      <c r="AG79" s="20">
        <f t="shared" si="77"/>
        <v>15.145</v>
      </c>
      <c r="AH79" s="49">
        <v>8.4</v>
      </c>
      <c r="AI79" s="42">
        <f t="shared" si="58"/>
        <v>714</v>
      </c>
      <c r="AJ79" s="35">
        <f t="shared" si="59"/>
        <v>389.84400000000005</v>
      </c>
    </row>
    <row r="80" spans="1:36" x14ac:dyDescent="0.25">
      <c r="A80" s="25" t="s">
        <v>169</v>
      </c>
      <c r="B80" s="17" t="s">
        <v>10</v>
      </c>
      <c r="C80" s="17" t="s">
        <v>22</v>
      </c>
      <c r="D80" s="17" t="s">
        <v>157</v>
      </c>
      <c r="E80" s="18" t="s">
        <v>170</v>
      </c>
      <c r="F80" s="17" t="s">
        <v>14</v>
      </c>
      <c r="G80" s="17">
        <v>20</v>
      </c>
      <c r="H80" s="17" t="s">
        <v>15</v>
      </c>
      <c r="I80" s="39">
        <v>11</v>
      </c>
      <c r="J80" s="25">
        <v>0</v>
      </c>
      <c r="K80" s="17">
        <f t="shared" si="60"/>
        <v>-20</v>
      </c>
      <c r="L80" s="17">
        <f t="shared" si="61"/>
        <v>0</v>
      </c>
      <c r="M80" s="20">
        <f t="shared" si="62"/>
        <v>0</v>
      </c>
      <c r="N80" s="57">
        <v>8.4</v>
      </c>
      <c r="O80" s="25">
        <v>0</v>
      </c>
      <c r="P80" s="17">
        <f t="shared" si="63"/>
        <v>-20</v>
      </c>
      <c r="Q80" s="17">
        <f t="shared" si="64"/>
        <v>0</v>
      </c>
      <c r="R80" s="20">
        <f t="shared" si="65"/>
        <v>0</v>
      </c>
      <c r="S80" s="57">
        <v>8.4</v>
      </c>
      <c r="T80" s="25">
        <v>0</v>
      </c>
      <c r="U80" s="17">
        <f t="shared" si="66"/>
        <v>-20</v>
      </c>
      <c r="V80" s="17">
        <f t="shared" si="67"/>
        <v>0</v>
      </c>
      <c r="W80" s="20">
        <f t="shared" si="68"/>
        <v>0</v>
      </c>
      <c r="X80" s="57">
        <v>8.4</v>
      </c>
      <c r="Y80" s="25">
        <v>0</v>
      </c>
      <c r="Z80" s="17">
        <f t="shared" si="72"/>
        <v>-20</v>
      </c>
      <c r="AA80" s="17">
        <f t="shared" si="73"/>
        <v>0</v>
      </c>
      <c r="AB80" s="20">
        <f t="shared" si="74"/>
        <v>0</v>
      </c>
      <c r="AC80" s="57">
        <v>8.4</v>
      </c>
      <c r="AD80" s="25">
        <v>0</v>
      </c>
      <c r="AE80" s="17">
        <f t="shared" si="75"/>
        <v>-20</v>
      </c>
      <c r="AF80" s="17">
        <f t="shared" si="76"/>
        <v>0</v>
      </c>
      <c r="AG80" s="20">
        <f t="shared" si="77"/>
        <v>0</v>
      </c>
      <c r="AH80" s="49">
        <v>8.4</v>
      </c>
      <c r="AI80" s="42">
        <f t="shared" si="58"/>
        <v>0</v>
      </c>
      <c r="AJ80" s="35">
        <f t="shared" si="59"/>
        <v>0</v>
      </c>
    </row>
    <row r="81" spans="1:36" x14ac:dyDescent="0.25">
      <c r="A81" s="25" t="s">
        <v>171</v>
      </c>
      <c r="B81" s="17" t="s">
        <v>10</v>
      </c>
      <c r="C81" s="17" t="s">
        <v>11</v>
      </c>
      <c r="D81" s="17" t="s">
        <v>157</v>
      </c>
      <c r="E81" s="18" t="s">
        <v>172</v>
      </c>
      <c r="F81" s="17" t="s">
        <v>14</v>
      </c>
      <c r="G81" s="17">
        <v>20</v>
      </c>
      <c r="H81" s="17" t="s">
        <v>15</v>
      </c>
      <c r="I81" s="39">
        <v>6.5</v>
      </c>
      <c r="J81" s="25">
        <v>317</v>
      </c>
      <c r="K81" s="17">
        <f t="shared" si="60"/>
        <v>297</v>
      </c>
      <c r="L81" s="17">
        <f t="shared" si="61"/>
        <v>297</v>
      </c>
      <c r="M81" s="20">
        <f t="shared" si="62"/>
        <v>19.305</v>
      </c>
      <c r="N81" s="57">
        <v>8.4</v>
      </c>
      <c r="O81" s="25">
        <v>32</v>
      </c>
      <c r="P81" s="17">
        <f t="shared" si="63"/>
        <v>12</v>
      </c>
      <c r="Q81" s="17">
        <f t="shared" si="64"/>
        <v>12</v>
      </c>
      <c r="R81" s="20">
        <f t="shared" si="65"/>
        <v>0.78</v>
      </c>
      <c r="S81" s="57">
        <v>8.4</v>
      </c>
      <c r="T81" s="25">
        <v>0</v>
      </c>
      <c r="U81" s="17">
        <f t="shared" si="66"/>
        <v>-20</v>
      </c>
      <c r="V81" s="17">
        <f t="shared" si="67"/>
        <v>0</v>
      </c>
      <c r="W81" s="20">
        <f t="shared" si="68"/>
        <v>0</v>
      </c>
      <c r="X81" s="57">
        <v>8.4</v>
      </c>
      <c r="Y81" s="25">
        <v>13</v>
      </c>
      <c r="Z81" s="17">
        <f t="shared" si="72"/>
        <v>-7</v>
      </c>
      <c r="AA81" s="17">
        <f t="shared" si="73"/>
        <v>0</v>
      </c>
      <c r="AB81" s="20">
        <f t="shared" si="74"/>
        <v>0</v>
      </c>
      <c r="AC81" s="57">
        <v>8.4</v>
      </c>
      <c r="AD81" s="25">
        <v>0</v>
      </c>
      <c r="AE81" s="17">
        <f t="shared" si="75"/>
        <v>-20</v>
      </c>
      <c r="AF81" s="17">
        <f t="shared" si="76"/>
        <v>0</v>
      </c>
      <c r="AG81" s="20">
        <f t="shared" si="77"/>
        <v>0</v>
      </c>
      <c r="AH81" s="49">
        <v>8.4</v>
      </c>
      <c r="AI81" s="42">
        <f t="shared" si="58"/>
        <v>309</v>
      </c>
      <c r="AJ81" s="35">
        <f t="shared" si="59"/>
        <v>168.714</v>
      </c>
    </row>
    <row r="82" spans="1:36" x14ac:dyDescent="0.25">
      <c r="A82" s="25" t="s">
        <v>173</v>
      </c>
      <c r="B82" s="17" t="s">
        <v>10</v>
      </c>
      <c r="C82" s="17" t="s">
        <v>11</v>
      </c>
      <c r="D82" s="17" t="s">
        <v>174</v>
      </c>
      <c r="E82" s="17" t="s">
        <v>175</v>
      </c>
      <c r="F82" s="17" t="s">
        <v>14</v>
      </c>
      <c r="G82" s="17">
        <v>20</v>
      </c>
      <c r="H82" s="17" t="s">
        <v>15</v>
      </c>
      <c r="I82" s="39">
        <v>6.5</v>
      </c>
      <c r="J82" s="25">
        <v>70</v>
      </c>
      <c r="K82" s="17">
        <f t="shared" si="60"/>
        <v>50</v>
      </c>
      <c r="L82" s="17">
        <f t="shared" si="61"/>
        <v>50</v>
      </c>
      <c r="M82" s="20">
        <f t="shared" si="62"/>
        <v>3.25</v>
      </c>
      <c r="N82" s="57">
        <v>8.4</v>
      </c>
      <c r="O82" s="25">
        <v>81</v>
      </c>
      <c r="P82" s="17">
        <f t="shared" si="63"/>
        <v>61</v>
      </c>
      <c r="Q82" s="17">
        <f t="shared" si="64"/>
        <v>61</v>
      </c>
      <c r="R82" s="20">
        <f t="shared" si="65"/>
        <v>3.9649999999999999</v>
      </c>
      <c r="S82" s="57">
        <v>8.4</v>
      </c>
      <c r="T82" s="25">
        <v>48</v>
      </c>
      <c r="U82" s="17">
        <f t="shared" si="66"/>
        <v>28</v>
      </c>
      <c r="V82" s="17">
        <f t="shared" si="67"/>
        <v>28</v>
      </c>
      <c r="W82" s="20">
        <f t="shared" si="68"/>
        <v>1.82</v>
      </c>
      <c r="X82" s="57">
        <v>8.4</v>
      </c>
      <c r="Y82" s="25">
        <v>14</v>
      </c>
      <c r="Z82" s="17">
        <f t="shared" si="72"/>
        <v>-6</v>
      </c>
      <c r="AA82" s="17">
        <f t="shared" si="73"/>
        <v>0</v>
      </c>
      <c r="AB82" s="20">
        <f t="shared" si="74"/>
        <v>0</v>
      </c>
      <c r="AC82" s="57">
        <v>8.4</v>
      </c>
      <c r="AD82" s="25">
        <v>238</v>
      </c>
      <c r="AE82" s="17">
        <f t="shared" si="75"/>
        <v>218</v>
      </c>
      <c r="AF82" s="17">
        <f t="shared" si="76"/>
        <v>218</v>
      </c>
      <c r="AG82" s="20">
        <f t="shared" si="77"/>
        <v>14.17</v>
      </c>
      <c r="AH82" s="49">
        <v>8.4</v>
      </c>
      <c r="AI82" s="42">
        <f t="shared" si="58"/>
        <v>357</v>
      </c>
      <c r="AJ82" s="35">
        <f t="shared" si="59"/>
        <v>194.92200000000003</v>
      </c>
    </row>
    <row r="83" spans="1:36" x14ac:dyDescent="0.25">
      <c r="A83" s="25" t="s">
        <v>176</v>
      </c>
      <c r="B83" s="17" t="s">
        <v>10</v>
      </c>
      <c r="C83" s="17" t="s">
        <v>11</v>
      </c>
      <c r="D83" s="17" t="s">
        <v>174</v>
      </c>
      <c r="E83" s="18" t="s">
        <v>177</v>
      </c>
      <c r="F83" s="17" t="s">
        <v>14</v>
      </c>
      <c r="G83" s="17">
        <v>20</v>
      </c>
      <c r="H83" s="17" t="s">
        <v>15</v>
      </c>
      <c r="I83" s="39">
        <v>6.5</v>
      </c>
      <c r="J83" s="45"/>
      <c r="K83" s="18"/>
      <c r="L83" s="18"/>
      <c r="M83" s="19"/>
      <c r="N83" s="58"/>
      <c r="O83" s="45"/>
      <c r="P83" s="18"/>
      <c r="Q83" s="18"/>
      <c r="R83" s="19"/>
      <c r="S83" s="58"/>
      <c r="T83" s="25">
        <v>0</v>
      </c>
      <c r="U83" s="17">
        <f t="shared" si="66"/>
        <v>-20</v>
      </c>
      <c r="V83" s="17">
        <f t="shared" si="67"/>
        <v>0</v>
      </c>
      <c r="W83" s="20">
        <f t="shared" si="68"/>
        <v>0</v>
      </c>
      <c r="X83" s="57">
        <v>8.4</v>
      </c>
      <c r="Y83" s="25">
        <v>0</v>
      </c>
      <c r="Z83" s="17">
        <f t="shared" si="72"/>
        <v>-20</v>
      </c>
      <c r="AA83" s="17">
        <f t="shared" si="73"/>
        <v>0</v>
      </c>
      <c r="AB83" s="20">
        <f t="shared" si="74"/>
        <v>0</v>
      </c>
      <c r="AC83" s="57">
        <v>8.4</v>
      </c>
      <c r="AD83" s="25">
        <v>0</v>
      </c>
      <c r="AE83" s="17">
        <f t="shared" si="75"/>
        <v>-20</v>
      </c>
      <c r="AF83" s="17">
        <f t="shared" si="76"/>
        <v>0</v>
      </c>
      <c r="AG83" s="20">
        <f t="shared" si="77"/>
        <v>0</v>
      </c>
      <c r="AH83" s="49">
        <v>8.4</v>
      </c>
      <c r="AI83" s="42">
        <f t="shared" si="58"/>
        <v>0</v>
      </c>
      <c r="AJ83" s="35">
        <f t="shared" si="59"/>
        <v>0</v>
      </c>
    </row>
    <row r="84" spans="1:36" x14ac:dyDescent="0.25">
      <c r="A84" s="25" t="s">
        <v>176</v>
      </c>
      <c r="B84" s="17" t="s">
        <v>10</v>
      </c>
      <c r="C84" s="17" t="s">
        <v>11</v>
      </c>
      <c r="D84" s="17" t="s">
        <v>174</v>
      </c>
      <c r="E84" s="18" t="s">
        <v>178</v>
      </c>
      <c r="F84" s="17" t="s">
        <v>14</v>
      </c>
      <c r="G84" s="17">
        <v>20</v>
      </c>
      <c r="H84" s="17" t="s">
        <v>15</v>
      </c>
      <c r="I84" s="39">
        <v>6.5</v>
      </c>
      <c r="J84" s="25">
        <v>0</v>
      </c>
      <c r="K84" s="17">
        <f t="shared" ref="K84:K95" si="78">J84-G84</f>
        <v>-20</v>
      </c>
      <c r="L84" s="17">
        <f t="shared" ref="L84:L95" si="79">IF(K84&lt;0,0,J84-G84)</f>
        <v>0</v>
      </c>
      <c r="M84" s="20">
        <f t="shared" ref="M84:M95" si="80">L84*I84/100</f>
        <v>0</v>
      </c>
      <c r="N84" s="57">
        <v>8.4</v>
      </c>
      <c r="O84" s="25">
        <v>0</v>
      </c>
      <c r="P84" s="17">
        <f t="shared" ref="P84:P103" si="81">O84-G84</f>
        <v>-20</v>
      </c>
      <c r="Q84" s="17">
        <f t="shared" ref="Q84:Q103" si="82">IF(P84&lt;0,0,O84-G84)</f>
        <v>0</v>
      </c>
      <c r="R84" s="20">
        <f t="shared" ref="R84:R103" si="83">Q84*I84/100</f>
        <v>0</v>
      </c>
      <c r="S84" s="57">
        <v>8.4</v>
      </c>
      <c r="T84" s="45"/>
      <c r="U84" s="18"/>
      <c r="V84" s="18"/>
      <c r="W84" s="19"/>
      <c r="X84" s="58"/>
      <c r="Y84" s="45"/>
      <c r="Z84" s="18"/>
      <c r="AA84" s="18"/>
      <c r="AB84" s="19"/>
      <c r="AC84" s="58"/>
      <c r="AD84" s="45"/>
      <c r="AE84" s="18"/>
      <c r="AF84" s="18"/>
      <c r="AG84" s="19"/>
      <c r="AH84" s="50"/>
      <c r="AI84" s="42">
        <f t="shared" si="58"/>
        <v>0</v>
      </c>
      <c r="AJ84" s="35">
        <f t="shared" si="59"/>
        <v>0</v>
      </c>
    </row>
    <row r="85" spans="1:36" x14ac:dyDescent="0.25">
      <c r="A85" s="25" t="s">
        <v>179</v>
      </c>
      <c r="B85" s="17" t="s">
        <v>17</v>
      </c>
      <c r="C85" s="17" t="s">
        <v>18</v>
      </c>
      <c r="D85" s="17" t="s">
        <v>174</v>
      </c>
      <c r="E85" s="17" t="s">
        <v>177</v>
      </c>
      <c r="F85" s="17" t="s">
        <v>14</v>
      </c>
      <c r="G85" s="17">
        <v>20</v>
      </c>
      <c r="H85" s="17" t="s">
        <v>15</v>
      </c>
      <c r="I85" s="39">
        <v>6.5</v>
      </c>
      <c r="J85" s="25">
        <v>0</v>
      </c>
      <c r="K85" s="17">
        <f t="shared" si="78"/>
        <v>-20</v>
      </c>
      <c r="L85" s="17">
        <f t="shared" si="79"/>
        <v>0</v>
      </c>
      <c r="M85" s="20">
        <f t="shared" si="80"/>
        <v>0</v>
      </c>
      <c r="N85" s="57">
        <v>8.4</v>
      </c>
      <c r="O85" s="25">
        <v>271</v>
      </c>
      <c r="P85" s="17">
        <f t="shared" si="81"/>
        <v>251</v>
      </c>
      <c r="Q85" s="17">
        <f t="shared" si="82"/>
        <v>251</v>
      </c>
      <c r="R85" s="20">
        <f t="shared" si="83"/>
        <v>16.315000000000001</v>
      </c>
      <c r="S85" s="57">
        <v>8.4</v>
      </c>
      <c r="T85" s="25">
        <v>43</v>
      </c>
      <c r="U85" s="17">
        <f t="shared" ref="U85:U104" si="84">T85-G85</f>
        <v>23</v>
      </c>
      <c r="V85" s="17">
        <f t="shared" ref="V85:V104" si="85">IF(U85&lt;0,0,T85-G85)</f>
        <v>23</v>
      </c>
      <c r="W85" s="20">
        <f t="shared" ref="W85:W104" si="86">V85*I85/100</f>
        <v>1.4950000000000001</v>
      </c>
      <c r="X85" s="57">
        <v>8.4</v>
      </c>
      <c r="Y85" s="25">
        <v>236</v>
      </c>
      <c r="Z85" s="17">
        <f t="shared" ref="Z85:Z104" si="87">Y85-G85</f>
        <v>216</v>
      </c>
      <c r="AA85" s="17">
        <f t="shared" ref="AA85:AA104" si="88">IF(Z85&lt;0,0,Y85-G85)</f>
        <v>216</v>
      </c>
      <c r="AB85" s="20">
        <f t="shared" ref="AB85:AB104" si="89">AA85*I85/100</f>
        <v>14.04</v>
      </c>
      <c r="AC85" s="57">
        <v>8.4</v>
      </c>
      <c r="AD85" s="25">
        <v>48</v>
      </c>
      <c r="AE85" s="17">
        <f t="shared" ref="AE85:AE95" si="90">AD85-G85</f>
        <v>28</v>
      </c>
      <c r="AF85" s="17">
        <f t="shared" ref="AF85:AF95" si="91">IF(AE85&lt;0,0,AD85-G85)</f>
        <v>28</v>
      </c>
      <c r="AG85" s="20">
        <f t="shared" ref="AG85:AG95" si="92">AF85*I85/100</f>
        <v>1.82</v>
      </c>
      <c r="AH85" s="49">
        <v>8.4</v>
      </c>
      <c r="AI85" s="42">
        <f t="shared" si="58"/>
        <v>518</v>
      </c>
      <c r="AJ85" s="35">
        <f t="shared" si="59"/>
        <v>282.82799999999997</v>
      </c>
    </row>
    <row r="86" spans="1:36" x14ac:dyDescent="0.25">
      <c r="A86" s="25" t="s">
        <v>180</v>
      </c>
      <c r="B86" s="17" t="s">
        <v>32</v>
      </c>
      <c r="C86" s="17" t="s">
        <v>52</v>
      </c>
      <c r="D86" s="17" t="s">
        <v>174</v>
      </c>
      <c r="E86" s="17" t="s">
        <v>181</v>
      </c>
      <c r="F86" s="17" t="s">
        <v>14</v>
      </c>
      <c r="G86" s="17">
        <v>20</v>
      </c>
      <c r="H86" s="17" t="s">
        <v>15</v>
      </c>
      <c r="I86" s="39">
        <v>11</v>
      </c>
      <c r="J86" s="25">
        <v>0</v>
      </c>
      <c r="K86" s="17">
        <f t="shared" si="78"/>
        <v>-20</v>
      </c>
      <c r="L86" s="17">
        <f t="shared" si="79"/>
        <v>0</v>
      </c>
      <c r="M86" s="20">
        <f t="shared" si="80"/>
        <v>0</v>
      </c>
      <c r="N86" s="57">
        <v>8.4</v>
      </c>
      <c r="O86" s="25">
        <v>0</v>
      </c>
      <c r="P86" s="17">
        <f t="shared" si="81"/>
        <v>-20</v>
      </c>
      <c r="Q86" s="17">
        <f t="shared" si="82"/>
        <v>0</v>
      </c>
      <c r="R86" s="20">
        <f t="shared" si="83"/>
        <v>0</v>
      </c>
      <c r="S86" s="57">
        <v>8.4</v>
      </c>
      <c r="T86" s="25">
        <v>0</v>
      </c>
      <c r="U86" s="17">
        <f t="shared" si="84"/>
        <v>-20</v>
      </c>
      <c r="V86" s="17">
        <f t="shared" si="85"/>
        <v>0</v>
      </c>
      <c r="W86" s="20">
        <f t="shared" si="86"/>
        <v>0</v>
      </c>
      <c r="X86" s="57">
        <v>8.4</v>
      </c>
      <c r="Y86" s="25">
        <v>0</v>
      </c>
      <c r="Z86" s="17">
        <f t="shared" si="87"/>
        <v>-20</v>
      </c>
      <c r="AA86" s="17">
        <f t="shared" si="88"/>
        <v>0</v>
      </c>
      <c r="AB86" s="20">
        <f t="shared" si="89"/>
        <v>0</v>
      </c>
      <c r="AC86" s="57">
        <v>8.4</v>
      </c>
      <c r="AD86" s="25">
        <v>0</v>
      </c>
      <c r="AE86" s="17">
        <f t="shared" si="90"/>
        <v>-20</v>
      </c>
      <c r="AF86" s="17">
        <f t="shared" si="91"/>
        <v>0</v>
      </c>
      <c r="AG86" s="20">
        <f t="shared" si="92"/>
        <v>0</v>
      </c>
      <c r="AH86" s="49">
        <v>8.4</v>
      </c>
      <c r="AI86" s="42">
        <f t="shared" si="58"/>
        <v>0</v>
      </c>
      <c r="AJ86" s="35">
        <f t="shared" si="59"/>
        <v>0</v>
      </c>
    </row>
    <row r="87" spans="1:36" x14ac:dyDescent="0.25">
      <c r="A87" s="25" t="s">
        <v>182</v>
      </c>
      <c r="B87" s="17" t="s">
        <v>32</v>
      </c>
      <c r="C87" s="17">
        <v>308</v>
      </c>
      <c r="D87" s="17" t="s">
        <v>174</v>
      </c>
      <c r="E87" s="17" t="s">
        <v>183</v>
      </c>
      <c r="F87" s="17" t="s">
        <v>14</v>
      </c>
      <c r="G87" s="17">
        <v>20</v>
      </c>
      <c r="H87" s="17" t="s">
        <v>15</v>
      </c>
      <c r="I87" s="39">
        <v>6.5</v>
      </c>
      <c r="J87" s="25">
        <v>20</v>
      </c>
      <c r="K87" s="17">
        <f t="shared" si="78"/>
        <v>0</v>
      </c>
      <c r="L87" s="17">
        <f t="shared" si="79"/>
        <v>0</v>
      </c>
      <c r="M87" s="20">
        <f t="shared" si="80"/>
        <v>0</v>
      </c>
      <c r="N87" s="57">
        <v>8.4</v>
      </c>
      <c r="O87" s="25">
        <v>0</v>
      </c>
      <c r="P87" s="17">
        <f t="shared" si="81"/>
        <v>-20</v>
      </c>
      <c r="Q87" s="17">
        <f t="shared" si="82"/>
        <v>0</v>
      </c>
      <c r="R87" s="20">
        <f t="shared" si="83"/>
        <v>0</v>
      </c>
      <c r="S87" s="57">
        <v>8.4</v>
      </c>
      <c r="T87" s="25">
        <v>0</v>
      </c>
      <c r="U87" s="17">
        <f t="shared" si="84"/>
        <v>-20</v>
      </c>
      <c r="V87" s="17">
        <f t="shared" si="85"/>
        <v>0</v>
      </c>
      <c r="W87" s="20">
        <f t="shared" si="86"/>
        <v>0</v>
      </c>
      <c r="X87" s="57">
        <v>8.4</v>
      </c>
      <c r="Y87" s="25">
        <v>0</v>
      </c>
      <c r="Z87" s="17">
        <f t="shared" si="87"/>
        <v>-20</v>
      </c>
      <c r="AA87" s="17">
        <f t="shared" si="88"/>
        <v>0</v>
      </c>
      <c r="AB87" s="20">
        <f t="shared" si="89"/>
        <v>0</v>
      </c>
      <c r="AC87" s="57">
        <v>8.4</v>
      </c>
      <c r="AD87" s="25">
        <v>0</v>
      </c>
      <c r="AE87" s="17">
        <f t="shared" si="90"/>
        <v>-20</v>
      </c>
      <c r="AF87" s="17">
        <f t="shared" si="91"/>
        <v>0</v>
      </c>
      <c r="AG87" s="20">
        <f t="shared" si="92"/>
        <v>0</v>
      </c>
      <c r="AH87" s="49">
        <v>8.4</v>
      </c>
      <c r="AI87" s="42">
        <f t="shared" si="58"/>
        <v>0</v>
      </c>
      <c r="AJ87" s="35">
        <f t="shared" si="59"/>
        <v>0</v>
      </c>
    </row>
    <row r="88" spans="1:36" x14ac:dyDescent="0.25">
      <c r="A88" s="25" t="s">
        <v>184</v>
      </c>
      <c r="B88" s="17" t="s">
        <v>10</v>
      </c>
      <c r="C88" s="17" t="s">
        <v>11</v>
      </c>
      <c r="D88" s="17" t="s">
        <v>174</v>
      </c>
      <c r="E88" s="17" t="s">
        <v>185</v>
      </c>
      <c r="F88" s="17" t="s">
        <v>14</v>
      </c>
      <c r="G88" s="17">
        <v>20</v>
      </c>
      <c r="H88" s="17" t="s">
        <v>15</v>
      </c>
      <c r="I88" s="39">
        <v>6.5</v>
      </c>
      <c r="J88" s="25">
        <v>20</v>
      </c>
      <c r="K88" s="17">
        <f t="shared" si="78"/>
        <v>0</v>
      </c>
      <c r="L88" s="17">
        <f t="shared" si="79"/>
        <v>0</v>
      </c>
      <c r="M88" s="20">
        <f t="shared" si="80"/>
        <v>0</v>
      </c>
      <c r="N88" s="57">
        <v>8.4</v>
      </c>
      <c r="O88" s="25">
        <v>21</v>
      </c>
      <c r="P88" s="17">
        <f t="shared" si="81"/>
        <v>1</v>
      </c>
      <c r="Q88" s="17">
        <f t="shared" si="82"/>
        <v>1</v>
      </c>
      <c r="R88" s="20">
        <f t="shared" si="83"/>
        <v>6.5000000000000002E-2</v>
      </c>
      <c r="S88" s="57">
        <v>8.4</v>
      </c>
      <c r="T88" s="25">
        <v>18</v>
      </c>
      <c r="U88" s="17">
        <f t="shared" si="84"/>
        <v>-2</v>
      </c>
      <c r="V88" s="17">
        <f t="shared" si="85"/>
        <v>0</v>
      </c>
      <c r="W88" s="20">
        <f t="shared" si="86"/>
        <v>0</v>
      </c>
      <c r="X88" s="57">
        <v>8.4</v>
      </c>
      <c r="Y88" s="25">
        <v>16</v>
      </c>
      <c r="Z88" s="17">
        <f t="shared" si="87"/>
        <v>-4</v>
      </c>
      <c r="AA88" s="17">
        <f t="shared" si="88"/>
        <v>0</v>
      </c>
      <c r="AB88" s="20">
        <f t="shared" si="89"/>
        <v>0</v>
      </c>
      <c r="AC88" s="57">
        <v>8.4</v>
      </c>
      <c r="AD88" s="25">
        <v>4</v>
      </c>
      <c r="AE88" s="17">
        <f t="shared" si="90"/>
        <v>-16</v>
      </c>
      <c r="AF88" s="17">
        <f t="shared" si="91"/>
        <v>0</v>
      </c>
      <c r="AG88" s="20">
        <f t="shared" si="92"/>
        <v>0</v>
      </c>
      <c r="AH88" s="49">
        <v>8.4</v>
      </c>
      <c r="AI88" s="42">
        <f t="shared" si="58"/>
        <v>1</v>
      </c>
      <c r="AJ88" s="35">
        <f t="shared" si="59"/>
        <v>0.54600000000000004</v>
      </c>
    </row>
    <row r="89" spans="1:36" x14ac:dyDescent="0.25">
      <c r="A89" s="25" t="s">
        <v>186</v>
      </c>
      <c r="B89" s="17" t="s">
        <v>10</v>
      </c>
      <c r="C89" s="17" t="s">
        <v>11</v>
      </c>
      <c r="D89" s="17" t="s">
        <v>187</v>
      </c>
      <c r="E89" s="17" t="s">
        <v>188</v>
      </c>
      <c r="F89" s="17" t="s">
        <v>14</v>
      </c>
      <c r="G89" s="17">
        <v>20</v>
      </c>
      <c r="H89" s="17" t="s">
        <v>15</v>
      </c>
      <c r="I89" s="39">
        <v>6.5</v>
      </c>
      <c r="J89" s="25">
        <v>20</v>
      </c>
      <c r="K89" s="17">
        <f t="shared" si="78"/>
        <v>0</v>
      </c>
      <c r="L89" s="17">
        <f t="shared" si="79"/>
        <v>0</v>
      </c>
      <c r="M89" s="20">
        <f t="shared" si="80"/>
        <v>0</v>
      </c>
      <c r="N89" s="57">
        <v>8.4</v>
      </c>
      <c r="O89" s="25">
        <v>6</v>
      </c>
      <c r="P89" s="17">
        <f t="shared" si="81"/>
        <v>-14</v>
      </c>
      <c r="Q89" s="17">
        <f t="shared" si="82"/>
        <v>0</v>
      </c>
      <c r="R89" s="20">
        <f t="shared" si="83"/>
        <v>0</v>
      </c>
      <c r="S89" s="57">
        <v>8.4</v>
      </c>
      <c r="T89" s="25">
        <v>14</v>
      </c>
      <c r="U89" s="17">
        <f t="shared" si="84"/>
        <v>-6</v>
      </c>
      <c r="V89" s="17">
        <f t="shared" si="85"/>
        <v>0</v>
      </c>
      <c r="W89" s="20">
        <f t="shared" si="86"/>
        <v>0</v>
      </c>
      <c r="X89" s="57">
        <v>8.4</v>
      </c>
      <c r="Y89" s="25">
        <v>30</v>
      </c>
      <c r="Z89" s="17">
        <f t="shared" si="87"/>
        <v>10</v>
      </c>
      <c r="AA89" s="17">
        <f t="shared" si="88"/>
        <v>10</v>
      </c>
      <c r="AB89" s="20">
        <f t="shared" si="89"/>
        <v>0.65</v>
      </c>
      <c r="AC89" s="57">
        <v>8.4</v>
      </c>
      <c r="AD89" s="25">
        <v>0</v>
      </c>
      <c r="AE89" s="17">
        <f t="shared" si="90"/>
        <v>-20</v>
      </c>
      <c r="AF89" s="17">
        <f t="shared" si="91"/>
        <v>0</v>
      </c>
      <c r="AG89" s="20">
        <f t="shared" si="92"/>
        <v>0</v>
      </c>
      <c r="AH89" s="49">
        <v>8.4</v>
      </c>
      <c r="AI89" s="42">
        <f t="shared" si="58"/>
        <v>10</v>
      </c>
      <c r="AJ89" s="35">
        <f t="shared" si="59"/>
        <v>5.4600000000000009</v>
      </c>
    </row>
    <row r="90" spans="1:36" x14ac:dyDescent="0.25">
      <c r="A90" s="25" t="s">
        <v>189</v>
      </c>
      <c r="B90" s="17" t="s">
        <v>17</v>
      </c>
      <c r="C90" s="17" t="s">
        <v>18</v>
      </c>
      <c r="D90" s="17" t="s">
        <v>187</v>
      </c>
      <c r="E90" s="17" t="s">
        <v>190</v>
      </c>
      <c r="F90" s="17" t="s">
        <v>14</v>
      </c>
      <c r="G90" s="17">
        <v>20</v>
      </c>
      <c r="H90" s="17" t="s">
        <v>15</v>
      </c>
      <c r="I90" s="39">
        <v>6.5</v>
      </c>
      <c r="J90" s="25">
        <v>8</v>
      </c>
      <c r="K90" s="17">
        <f t="shared" si="78"/>
        <v>-12</v>
      </c>
      <c r="L90" s="17">
        <f t="shared" si="79"/>
        <v>0</v>
      </c>
      <c r="M90" s="20">
        <f t="shared" si="80"/>
        <v>0</v>
      </c>
      <c r="N90" s="57">
        <v>8.4</v>
      </c>
      <c r="O90" s="25">
        <v>12</v>
      </c>
      <c r="P90" s="17">
        <f t="shared" si="81"/>
        <v>-8</v>
      </c>
      <c r="Q90" s="17">
        <f t="shared" si="82"/>
        <v>0</v>
      </c>
      <c r="R90" s="20">
        <f t="shared" si="83"/>
        <v>0</v>
      </c>
      <c r="S90" s="57">
        <v>8.4</v>
      </c>
      <c r="T90" s="25">
        <v>10</v>
      </c>
      <c r="U90" s="17">
        <f t="shared" si="84"/>
        <v>-10</v>
      </c>
      <c r="V90" s="17">
        <f t="shared" si="85"/>
        <v>0</v>
      </c>
      <c r="W90" s="20">
        <f t="shared" si="86"/>
        <v>0</v>
      </c>
      <c r="X90" s="57">
        <v>8.4</v>
      </c>
      <c r="Y90" s="25">
        <v>4</v>
      </c>
      <c r="Z90" s="17">
        <f t="shared" si="87"/>
        <v>-16</v>
      </c>
      <c r="AA90" s="17">
        <f t="shared" si="88"/>
        <v>0</v>
      </c>
      <c r="AB90" s="20">
        <f t="shared" si="89"/>
        <v>0</v>
      </c>
      <c r="AC90" s="57">
        <v>8.4</v>
      </c>
      <c r="AD90" s="25">
        <v>15</v>
      </c>
      <c r="AE90" s="17">
        <f t="shared" si="90"/>
        <v>-5</v>
      </c>
      <c r="AF90" s="17">
        <f t="shared" si="91"/>
        <v>0</v>
      </c>
      <c r="AG90" s="20">
        <f t="shared" si="92"/>
        <v>0</v>
      </c>
      <c r="AH90" s="49">
        <v>8.4</v>
      </c>
      <c r="AI90" s="42">
        <f t="shared" si="58"/>
        <v>0</v>
      </c>
      <c r="AJ90" s="35">
        <f t="shared" si="59"/>
        <v>0</v>
      </c>
    </row>
    <row r="91" spans="1:36" x14ac:dyDescent="0.25">
      <c r="A91" s="25" t="s">
        <v>191</v>
      </c>
      <c r="B91" s="17" t="s">
        <v>10</v>
      </c>
      <c r="C91" s="17" t="s">
        <v>22</v>
      </c>
      <c r="D91" s="17" t="s">
        <v>187</v>
      </c>
      <c r="E91" s="18" t="s">
        <v>192</v>
      </c>
      <c r="F91" s="17" t="s">
        <v>14</v>
      </c>
      <c r="G91" s="17">
        <v>20</v>
      </c>
      <c r="H91" s="17" t="s">
        <v>15</v>
      </c>
      <c r="I91" s="39">
        <v>11</v>
      </c>
      <c r="J91" s="25">
        <v>0</v>
      </c>
      <c r="K91" s="17">
        <f t="shared" si="78"/>
        <v>-20</v>
      </c>
      <c r="L91" s="17">
        <f t="shared" si="79"/>
        <v>0</v>
      </c>
      <c r="M91" s="20">
        <f t="shared" si="80"/>
        <v>0</v>
      </c>
      <c r="N91" s="57">
        <v>8.4</v>
      </c>
      <c r="O91" s="25">
        <v>0</v>
      </c>
      <c r="P91" s="17">
        <f t="shared" si="81"/>
        <v>-20</v>
      </c>
      <c r="Q91" s="17">
        <f t="shared" si="82"/>
        <v>0</v>
      </c>
      <c r="R91" s="20">
        <f t="shared" si="83"/>
        <v>0</v>
      </c>
      <c r="S91" s="57">
        <v>8.4</v>
      </c>
      <c r="T91" s="25">
        <v>0</v>
      </c>
      <c r="U91" s="17">
        <f t="shared" si="84"/>
        <v>-20</v>
      </c>
      <c r="V91" s="17">
        <f t="shared" si="85"/>
        <v>0</v>
      </c>
      <c r="W91" s="20">
        <f t="shared" si="86"/>
        <v>0</v>
      </c>
      <c r="X91" s="57">
        <v>8.4</v>
      </c>
      <c r="Y91" s="25">
        <v>0</v>
      </c>
      <c r="Z91" s="17">
        <f t="shared" si="87"/>
        <v>-20</v>
      </c>
      <c r="AA91" s="17">
        <f t="shared" si="88"/>
        <v>0</v>
      </c>
      <c r="AB91" s="20">
        <f t="shared" si="89"/>
        <v>0</v>
      </c>
      <c r="AC91" s="57">
        <v>8.4</v>
      </c>
      <c r="AD91" s="25">
        <v>0</v>
      </c>
      <c r="AE91" s="17">
        <f t="shared" si="90"/>
        <v>-20</v>
      </c>
      <c r="AF91" s="17">
        <f t="shared" si="91"/>
        <v>0</v>
      </c>
      <c r="AG91" s="20">
        <f t="shared" si="92"/>
        <v>0</v>
      </c>
      <c r="AH91" s="49">
        <v>8.4</v>
      </c>
      <c r="AI91" s="42">
        <f t="shared" si="58"/>
        <v>0</v>
      </c>
      <c r="AJ91" s="35">
        <f t="shared" si="59"/>
        <v>0</v>
      </c>
    </row>
    <row r="92" spans="1:36" x14ac:dyDescent="0.25">
      <c r="A92" s="25" t="s">
        <v>193</v>
      </c>
      <c r="B92" s="17" t="s">
        <v>32</v>
      </c>
      <c r="C92" s="17" t="s">
        <v>33</v>
      </c>
      <c r="D92" s="17" t="s">
        <v>187</v>
      </c>
      <c r="E92" s="17" t="s">
        <v>194</v>
      </c>
      <c r="F92" s="17" t="s">
        <v>14</v>
      </c>
      <c r="G92" s="17">
        <v>20</v>
      </c>
      <c r="H92" s="17" t="s">
        <v>15</v>
      </c>
      <c r="I92" s="39">
        <v>9</v>
      </c>
      <c r="J92" s="25">
        <v>0</v>
      </c>
      <c r="K92" s="17">
        <f t="shared" si="78"/>
        <v>-20</v>
      </c>
      <c r="L92" s="17">
        <f t="shared" si="79"/>
        <v>0</v>
      </c>
      <c r="M92" s="20">
        <f t="shared" si="80"/>
        <v>0</v>
      </c>
      <c r="N92" s="57">
        <v>8.4</v>
      </c>
      <c r="O92" s="25">
        <v>0</v>
      </c>
      <c r="P92" s="17">
        <f t="shared" si="81"/>
        <v>-20</v>
      </c>
      <c r="Q92" s="17">
        <f t="shared" si="82"/>
        <v>0</v>
      </c>
      <c r="R92" s="20">
        <f t="shared" si="83"/>
        <v>0</v>
      </c>
      <c r="S92" s="57">
        <v>8.4</v>
      </c>
      <c r="T92" s="25">
        <v>33</v>
      </c>
      <c r="U92" s="17">
        <f t="shared" si="84"/>
        <v>13</v>
      </c>
      <c r="V92" s="17">
        <f t="shared" si="85"/>
        <v>13</v>
      </c>
      <c r="W92" s="20">
        <f t="shared" si="86"/>
        <v>1.17</v>
      </c>
      <c r="X92" s="57">
        <v>8.4</v>
      </c>
      <c r="Y92" s="25">
        <v>4</v>
      </c>
      <c r="Z92" s="17">
        <f t="shared" si="87"/>
        <v>-16</v>
      </c>
      <c r="AA92" s="17">
        <f t="shared" si="88"/>
        <v>0</v>
      </c>
      <c r="AB92" s="20">
        <f t="shared" si="89"/>
        <v>0</v>
      </c>
      <c r="AC92" s="57">
        <v>8.4</v>
      </c>
      <c r="AD92" s="25">
        <v>0</v>
      </c>
      <c r="AE92" s="17">
        <f t="shared" si="90"/>
        <v>-20</v>
      </c>
      <c r="AF92" s="17">
        <f t="shared" si="91"/>
        <v>0</v>
      </c>
      <c r="AG92" s="20">
        <f t="shared" si="92"/>
        <v>0</v>
      </c>
      <c r="AH92" s="49">
        <v>8.4</v>
      </c>
      <c r="AI92" s="42">
        <f t="shared" si="58"/>
        <v>13</v>
      </c>
      <c r="AJ92" s="35">
        <f t="shared" si="59"/>
        <v>9.8279999999999994</v>
      </c>
    </row>
    <row r="93" spans="1:36" x14ac:dyDescent="0.25">
      <c r="A93" s="25" t="s">
        <v>195</v>
      </c>
      <c r="B93" s="17" t="s">
        <v>32</v>
      </c>
      <c r="C93" s="17">
        <v>301</v>
      </c>
      <c r="D93" s="17" t="s">
        <v>187</v>
      </c>
      <c r="E93" s="18" t="s">
        <v>192</v>
      </c>
      <c r="F93" s="17" t="s">
        <v>14</v>
      </c>
      <c r="G93" s="17">
        <v>20</v>
      </c>
      <c r="H93" s="17" t="s">
        <v>15</v>
      </c>
      <c r="I93" s="39">
        <v>6.5</v>
      </c>
      <c r="J93" s="25">
        <v>0</v>
      </c>
      <c r="K93" s="17">
        <f t="shared" si="78"/>
        <v>-20</v>
      </c>
      <c r="L93" s="17">
        <f t="shared" si="79"/>
        <v>0</v>
      </c>
      <c r="M93" s="20">
        <f t="shared" si="80"/>
        <v>0</v>
      </c>
      <c r="N93" s="57">
        <v>8.4</v>
      </c>
      <c r="O93" s="25">
        <v>58</v>
      </c>
      <c r="P93" s="17">
        <f t="shared" si="81"/>
        <v>38</v>
      </c>
      <c r="Q93" s="17">
        <f t="shared" si="82"/>
        <v>38</v>
      </c>
      <c r="R93" s="20">
        <f t="shared" si="83"/>
        <v>2.4700000000000002</v>
      </c>
      <c r="S93" s="57">
        <v>8.4</v>
      </c>
      <c r="T93" s="25">
        <v>90</v>
      </c>
      <c r="U93" s="17">
        <f t="shared" si="84"/>
        <v>70</v>
      </c>
      <c r="V93" s="17">
        <f t="shared" si="85"/>
        <v>70</v>
      </c>
      <c r="W93" s="20">
        <f t="shared" si="86"/>
        <v>4.55</v>
      </c>
      <c r="X93" s="57">
        <v>8.4</v>
      </c>
      <c r="Y93" s="25">
        <v>5</v>
      </c>
      <c r="Z93" s="17">
        <f t="shared" si="87"/>
        <v>-15</v>
      </c>
      <c r="AA93" s="17">
        <f t="shared" si="88"/>
        <v>0</v>
      </c>
      <c r="AB93" s="20">
        <f t="shared" si="89"/>
        <v>0</v>
      </c>
      <c r="AC93" s="57">
        <v>8.4</v>
      </c>
      <c r="AD93" s="25">
        <v>0</v>
      </c>
      <c r="AE93" s="17">
        <f t="shared" si="90"/>
        <v>-20</v>
      </c>
      <c r="AF93" s="17">
        <f t="shared" si="91"/>
        <v>0</v>
      </c>
      <c r="AG93" s="20">
        <f t="shared" si="92"/>
        <v>0</v>
      </c>
      <c r="AH93" s="49">
        <v>8.4</v>
      </c>
      <c r="AI93" s="42">
        <f t="shared" si="58"/>
        <v>108</v>
      </c>
      <c r="AJ93" s="35">
        <f t="shared" si="59"/>
        <v>58.968000000000004</v>
      </c>
    </row>
    <row r="94" spans="1:36" x14ac:dyDescent="0.25">
      <c r="A94" s="25" t="s">
        <v>196</v>
      </c>
      <c r="B94" s="17" t="s">
        <v>32</v>
      </c>
      <c r="C94" s="17" t="s">
        <v>52</v>
      </c>
      <c r="D94" s="17" t="s">
        <v>187</v>
      </c>
      <c r="E94" s="17" t="s">
        <v>197</v>
      </c>
      <c r="F94" s="17" t="s">
        <v>14</v>
      </c>
      <c r="G94" s="17">
        <v>20</v>
      </c>
      <c r="H94" s="17" t="s">
        <v>15</v>
      </c>
      <c r="I94" s="39">
        <v>11</v>
      </c>
      <c r="J94" s="25">
        <v>0</v>
      </c>
      <c r="K94" s="17">
        <f t="shared" si="78"/>
        <v>-20</v>
      </c>
      <c r="L94" s="17">
        <f t="shared" si="79"/>
        <v>0</v>
      </c>
      <c r="M94" s="20">
        <f t="shared" si="80"/>
        <v>0</v>
      </c>
      <c r="N94" s="57">
        <v>8.4</v>
      </c>
      <c r="O94" s="25">
        <v>1</v>
      </c>
      <c r="P94" s="17">
        <f t="shared" si="81"/>
        <v>-19</v>
      </c>
      <c r="Q94" s="17">
        <f t="shared" si="82"/>
        <v>0</v>
      </c>
      <c r="R94" s="20">
        <f t="shared" si="83"/>
        <v>0</v>
      </c>
      <c r="S94" s="57">
        <v>8.4</v>
      </c>
      <c r="T94" s="25">
        <v>0</v>
      </c>
      <c r="U94" s="17">
        <f t="shared" si="84"/>
        <v>-20</v>
      </c>
      <c r="V94" s="17">
        <f t="shared" si="85"/>
        <v>0</v>
      </c>
      <c r="W94" s="20">
        <f t="shared" si="86"/>
        <v>0</v>
      </c>
      <c r="X94" s="57">
        <v>8.4</v>
      </c>
      <c r="Y94" s="25">
        <v>0</v>
      </c>
      <c r="Z94" s="17">
        <f t="shared" si="87"/>
        <v>-20</v>
      </c>
      <c r="AA94" s="17">
        <f t="shared" si="88"/>
        <v>0</v>
      </c>
      <c r="AB94" s="20">
        <f t="shared" si="89"/>
        <v>0</v>
      </c>
      <c r="AC94" s="57">
        <v>8.4</v>
      </c>
      <c r="AD94" s="25">
        <v>0</v>
      </c>
      <c r="AE94" s="17">
        <f t="shared" si="90"/>
        <v>-20</v>
      </c>
      <c r="AF94" s="17">
        <f t="shared" si="91"/>
        <v>0</v>
      </c>
      <c r="AG94" s="20">
        <f t="shared" si="92"/>
        <v>0</v>
      </c>
      <c r="AH94" s="49">
        <v>8.4</v>
      </c>
      <c r="AI94" s="42">
        <f t="shared" si="58"/>
        <v>0</v>
      </c>
      <c r="AJ94" s="35">
        <f t="shared" si="59"/>
        <v>0</v>
      </c>
    </row>
    <row r="95" spans="1:36" x14ac:dyDescent="0.25">
      <c r="A95" s="25" t="s">
        <v>198</v>
      </c>
      <c r="B95" s="17" t="s">
        <v>17</v>
      </c>
      <c r="C95" s="17" t="s">
        <v>18</v>
      </c>
      <c r="D95" s="17" t="s">
        <v>199</v>
      </c>
      <c r="E95" s="18" t="s">
        <v>200</v>
      </c>
      <c r="F95" s="17" t="s">
        <v>14</v>
      </c>
      <c r="G95" s="17">
        <v>20</v>
      </c>
      <c r="H95" s="17" t="s">
        <v>15</v>
      </c>
      <c r="I95" s="39">
        <v>6.5</v>
      </c>
      <c r="J95" s="25">
        <v>80</v>
      </c>
      <c r="K95" s="17">
        <f t="shared" si="78"/>
        <v>60</v>
      </c>
      <c r="L95" s="17">
        <f t="shared" si="79"/>
        <v>60</v>
      </c>
      <c r="M95" s="20">
        <f t="shared" si="80"/>
        <v>3.9</v>
      </c>
      <c r="N95" s="57">
        <v>8.4</v>
      </c>
      <c r="O95" s="25">
        <v>20</v>
      </c>
      <c r="P95" s="17">
        <f t="shared" si="81"/>
        <v>0</v>
      </c>
      <c r="Q95" s="17">
        <f t="shared" si="82"/>
        <v>0</v>
      </c>
      <c r="R95" s="20">
        <f t="shared" si="83"/>
        <v>0</v>
      </c>
      <c r="S95" s="57">
        <v>8.4</v>
      </c>
      <c r="T95" s="25">
        <v>0</v>
      </c>
      <c r="U95" s="17">
        <f t="shared" si="84"/>
        <v>-20</v>
      </c>
      <c r="V95" s="17">
        <f t="shared" si="85"/>
        <v>0</v>
      </c>
      <c r="W95" s="20">
        <f t="shared" si="86"/>
        <v>0</v>
      </c>
      <c r="X95" s="57">
        <v>8.4</v>
      </c>
      <c r="Y95" s="25">
        <v>25</v>
      </c>
      <c r="Z95" s="17">
        <f t="shared" si="87"/>
        <v>5</v>
      </c>
      <c r="AA95" s="17">
        <f t="shared" si="88"/>
        <v>5</v>
      </c>
      <c r="AB95" s="20">
        <f t="shared" si="89"/>
        <v>0.32500000000000001</v>
      </c>
      <c r="AC95" s="57">
        <v>8.4</v>
      </c>
      <c r="AD95" s="25">
        <v>469</v>
      </c>
      <c r="AE95" s="17">
        <f t="shared" si="90"/>
        <v>449</v>
      </c>
      <c r="AF95" s="17">
        <f t="shared" si="91"/>
        <v>449</v>
      </c>
      <c r="AG95" s="20">
        <f t="shared" si="92"/>
        <v>29.184999999999999</v>
      </c>
      <c r="AH95" s="49">
        <v>8.4</v>
      </c>
      <c r="AI95" s="42">
        <f t="shared" si="58"/>
        <v>514</v>
      </c>
      <c r="AJ95" s="35">
        <f t="shared" si="59"/>
        <v>280.64400000000001</v>
      </c>
    </row>
    <row r="96" spans="1:36" x14ac:dyDescent="0.25">
      <c r="A96" s="25" t="s">
        <v>201</v>
      </c>
      <c r="B96" s="17" t="s">
        <v>10</v>
      </c>
      <c r="C96" s="17" t="s">
        <v>105</v>
      </c>
      <c r="D96" s="17" t="s">
        <v>199</v>
      </c>
      <c r="E96" s="18" t="s">
        <v>202</v>
      </c>
      <c r="F96" s="17" t="s">
        <v>14</v>
      </c>
      <c r="G96" s="17">
        <v>20</v>
      </c>
      <c r="H96" s="17" t="s">
        <v>15</v>
      </c>
      <c r="I96" s="39">
        <v>6.5</v>
      </c>
      <c r="J96" s="45"/>
      <c r="K96" s="18"/>
      <c r="L96" s="18"/>
      <c r="M96" s="19"/>
      <c r="N96" s="58"/>
      <c r="O96" s="25">
        <v>314</v>
      </c>
      <c r="P96" s="17">
        <f t="shared" si="81"/>
        <v>294</v>
      </c>
      <c r="Q96" s="17">
        <f t="shared" si="82"/>
        <v>294</v>
      </c>
      <c r="R96" s="20">
        <f t="shared" si="83"/>
        <v>19.11</v>
      </c>
      <c r="S96" s="57">
        <v>8.4</v>
      </c>
      <c r="T96" s="25">
        <v>8</v>
      </c>
      <c r="U96" s="17">
        <f t="shared" si="84"/>
        <v>-12</v>
      </c>
      <c r="V96" s="17">
        <f t="shared" si="85"/>
        <v>0</v>
      </c>
      <c r="W96" s="20">
        <f t="shared" si="86"/>
        <v>0</v>
      </c>
      <c r="X96" s="57">
        <v>8.4</v>
      </c>
      <c r="Y96" s="25">
        <v>256</v>
      </c>
      <c r="Z96" s="17">
        <f t="shared" si="87"/>
        <v>236</v>
      </c>
      <c r="AA96" s="17">
        <f t="shared" si="88"/>
        <v>236</v>
      </c>
      <c r="AB96" s="20">
        <f t="shared" si="89"/>
        <v>15.34</v>
      </c>
      <c r="AC96" s="57">
        <v>8.4</v>
      </c>
      <c r="AD96" s="45"/>
      <c r="AE96" s="18"/>
      <c r="AF96" s="18"/>
      <c r="AG96" s="19"/>
      <c r="AH96" s="50"/>
      <c r="AI96" s="42">
        <f t="shared" si="58"/>
        <v>530</v>
      </c>
      <c r="AJ96" s="35">
        <f t="shared" si="59"/>
        <v>289.38</v>
      </c>
    </row>
    <row r="97" spans="1:36" x14ac:dyDescent="0.25">
      <c r="A97" s="25" t="s">
        <v>203</v>
      </c>
      <c r="B97" s="17" t="s">
        <v>10</v>
      </c>
      <c r="C97" s="17" t="s">
        <v>11</v>
      </c>
      <c r="D97" s="17" t="s">
        <v>199</v>
      </c>
      <c r="E97" s="17" t="s">
        <v>204</v>
      </c>
      <c r="F97" s="17" t="s">
        <v>14</v>
      </c>
      <c r="G97" s="17">
        <v>20</v>
      </c>
      <c r="H97" s="17" t="s">
        <v>15</v>
      </c>
      <c r="I97" s="39">
        <v>6.5</v>
      </c>
      <c r="J97" s="25">
        <v>12</v>
      </c>
      <c r="K97" s="17">
        <f t="shared" ref="K97:K103" si="93">J97-G97</f>
        <v>-8</v>
      </c>
      <c r="L97" s="17">
        <f t="shared" ref="L97:L103" si="94">IF(K97&lt;0,0,J97-G97)</f>
        <v>0</v>
      </c>
      <c r="M97" s="20">
        <f t="shared" ref="M97:M103" si="95">L97*I97/100</f>
        <v>0</v>
      </c>
      <c r="N97" s="57">
        <v>8.4</v>
      </c>
      <c r="O97" s="25">
        <v>176</v>
      </c>
      <c r="P97" s="17">
        <f t="shared" si="81"/>
        <v>156</v>
      </c>
      <c r="Q97" s="17">
        <f t="shared" si="82"/>
        <v>156</v>
      </c>
      <c r="R97" s="20">
        <f t="shared" si="83"/>
        <v>10.14</v>
      </c>
      <c r="S97" s="57">
        <v>8.4</v>
      </c>
      <c r="T97" s="25">
        <v>26</v>
      </c>
      <c r="U97" s="17">
        <f t="shared" si="84"/>
        <v>6</v>
      </c>
      <c r="V97" s="17">
        <f t="shared" si="85"/>
        <v>6</v>
      </c>
      <c r="W97" s="20">
        <f t="shared" si="86"/>
        <v>0.39</v>
      </c>
      <c r="X97" s="57">
        <v>8.4</v>
      </c>
      <c r="Y97" s="25">
        <v>5</v>
      </c>
      <c r="Z97" s="17">
        <f t="shared" si="87"/>
        <v>-15</v>
      </c>
      <c r="AA97" s="17">
        <f t="shared" si="88"/>
        <v>0</v>
      </c>
      <c r="AB97" s="20">
        <f t="shared" si="89"/>
        <v>0</v>
      </c>
      <c r="AC97" s="57">
        <v>8.4</v>
      </c>
      <c r="AD97" s="25">
        <v>7</v>
      </c>
      <c r="AE97" s="17">
        <f t="shared" ref="AE97:AE103" si="96">AD97-G97</f>
        <v>-13</v>
      </c>
      <c r="AF97" s="17">
        <f t="shared" ref="AF97:AF103" si="97">IF(AE97&lt;0,0,AD97-G97)</f>
        <v>0</v>
      </c>
      <c r="AG97" s="20">
        <f t="shared" ref="AG97:AG103" si="98">AF97*I97/100</f>
        <v>0</v>
      </c>
      <c r="AH97" s="49">
        <v>8.4</v>
      </c>
      <c r="AI97" s="42">
        <f t="shared" si="58"/>
        <v>162</v>
      </c>
      <c r="AJ97" s="35">
        <f t="shared" si="59"/>
        <v>88.451999999999998</v>
      </c>
    </row>
    <row r="98" spans="1:36" x14ac:dyDescent="0.25">
      <c r="A98" s="25" t="s">
        <v>205</v>
      </c>
      <c r="B98" s="17" t="s">
        <v>17</v>
      </c>
      <c r="C98" s="17" t="s">
        <v>36</v>
      </c>
      <c r="D98" s="17" t="s">
        <v>199</v>
      </c>
      <c r="E98" s="17" t="s">
        <v>206</v>
      </c>
      <c r="F98" s="17" t="s">
        <v>14</v>
      </c>
      <c r="G98" s="17">
        <v>20</v>
      </c>
      <c r="H98" s="17" t="s">
        <v>38</v>
      </c>
      <c r="I98" s="39">
        <v>6.5</v>
      </c>
      <c r="J98" s="25">
        <v>0</v>
      </c>
      <c r="K98" s="17">
        <f t="shared" si="93"/>
        <v>-20</v>
      </c>
      <c r="L98" s="17">
        <f t="shared" si="94"/>
        <v>0</v>
      </c>
      <c r="M98" s="20">
        <f t="shared" si="95"/>
        <v>0</v>
      </c>
      <c r="N98" s="57">
        <v>7.3</v>
      </c>
      <c r="O98" s="25">
        <v>329</v>
      </c>
      <c r="P98" s="17">
        <f t="shared" si="81"/>
        <v>309</v>
      </c>
      <c r="Q98" s="17">
        <f t="shared" si="82"/>
        <v>309</v>
      </c>
      <c r="R98" s="20">
        <f t="shared" si="83"/>
        <v>20.085000000000001</v>
      </c>
      <c r="S98" s="57">
        <v>7.2</v>
      </c>
      <c r="T98" s="25">
        <v>204</v>
      </c>
      <c r="U98" s="17">
        <f t="shared" si="84"/>
        <v>184</v>
      </c>
      <c r="V98" s="17">
        <f t="shared" si="85"/>
        <v>184</v>
      </c>
      <c r="W98" s="20">
        <f t="shared" si="86"/>
        <v>11.96</v>
      </c>
      <c r="X98" s="57">
        <v>7.2</v>
      </c>
      <c r="Y98" s="25">
        <v>24</v>
      </c>
      <c r="Z98" s="17">
        <f t="shared" si="87"/>
        <v>4</v>
      </c>
      <c r="AA98" s="17">
        <f t="shared" si="88"/>
        <v>4</v>
      </c>
      <c r="AB98" s="20">
        <f t="shared" si="89"/>
        <v>0.26</v>
      </c>
      <c r="AC98" s="57">
        <v>7.2</v>
      </c>
      <c r="AD98" s="25">
        <v>128</v>
      </c>
      <c r="AE98" s="17">
        <f t="shared" si="96"/>
        <v>108</v>
      </c>
      <c r="AF98" s="17">
        <f t="shared" si="97"/>
        <v>108</v>
      </c>
      <c r="AG98" s="20">
        <f t="shared" si="98"/>
        <v>7.02</v>
      </c>
      <c r="AH98" s="49">
        <v>7.2</v>
      </c>
      <c r="AI98" s="42">
        <f t="shared" si="58"/>
        <v>605</v>
      </c>
      <c r="AJ98" s="35">
        <f t="shared" si="59"/>
        <v>283.14000000000004</v>
      </c>
    </row>
    <row r="99" spans="1:36" x14ac:dyDescent="0.25">
      <c r="A99" s="25" t="s">
        <v>207</v>
      </c>
      <c r="B99" s="17" t="s">
        <v>17</v>
      </c>
      <c r="C99" s="17" t="s">
        <v>36</v>
      </c>
      <c r="D99" s="17" t="s">
        <v>208</v>
      </c>
      <c r="E99" s="18" t="s">
        <v>209</v>
      </c>
      <c r="F99" s="17" t="s">
        <v>14</v>
      </c>
      <c r="G99" s="17">
        <v>20</v>
      </c>
      <c r="H99" s="17" t="s">
        <v>38</v>
      </c>
      <c r="I99" s="39">
        <v>6.5</v>
      </c>
      <c r="J99" s="25">
        <v>44</v>
      </c>
      <c r="K99" s="17">
        <f t="shared" si="93"/>
        <v>24</v>
      </c>
      <c r="L99" s="17">
        <f t="shared" si="94"/>
        <v>24</v>
      </c>
      <c r="M99" s="20">
        <f t="shared" si="95"/>
        <v>1.56</v>
      </c>
      <c r="N99" s="57">
        <v>7.3</v>
      </c>
      <c r="O99" s="25">
        <v>0</v>
      </c>
      <c r="P99" s="17">
        <f t="shared" si="81"/>
        <v>-20</v>
      </c>
      <c r="Q99" s="17">
        <f t="shared" si="82"/>
        <v>0</v>
      </c>
      <c r="R99" s="20">
        <f t="shared" si="83"/>
        <v>0</v>
      </c>
      <c r="S99" s="57">
        <v>7.2</v>
      </c>
      <c r="T99" s="25">
        <v>19</v>
      </c>
      <c r="U99" s="17">
        <f t="shared" si="84"/>
        <v>-1</v>
      </c>
      <c r="V99" s="17">
        <f t="shared" si="85"/>
        <v>0</v>
      </c>
      <c r="W99" s="20">
        <f t="shared" si="86"/>
        <v>0</v>
      </c>
      <c r="X99" s="57">
        <v>7.2</v>
      </c>
      <c r="Y99" s="25">
        <v>0</v>
      </c>
      <c r="Z99" s="17">
        <f t="shared" si="87"/>
        <v>-20</v>
      </c>
      <c r="AA99" s="17">
        <f t="shared" si="88"/>
        <v>0</v>
      </c>
      <c r="AB99" s="20">
        <f t="shared" si="89"/>
        <v>0</v>
      </c>
      <c r="AC99" s="57">
        <v>7.2</v>
      </c>
      <c r="AD99" s="25">
        <v>58</v>
      </c>
      <c r="AE99" s="17">
        <f t="shared" si="96"/>
        <v>38</v>
      </c>
      <c r="AF99" s="17">
        <f t="shared" si="97"/>
        <v>38</v>
      </c>
      <c r="AG99" s="20">
        <f t="shared" si="98"/>
        <v>2.4700000000000002</v>
      </c>
      <c r="AH99" s="49">
        <v>7.2</v>
      </c>
      <c r="AI99" s="42">
        <f t="shared" ref="AI99:AI118" si="99">AF99+AA99+V99+Q99+L99</f>
        <v>62</v>
      </c>
      <c r="AJ99" s="35">
        <f t="shared" ref="AJ99:AJ118" si="100">AG99*AH99+AB99*AC99+W99*X99+R99*S99+M99*N99</f>
        <v>29.172000000000004</v>
      </c>
    </row>
    <row r="100" spans="1:36" x14ac:dyDescent="0.25">
      <c r="A100" s="25" t="s">
        <v>210</v>
      </c>
      <c r="B100" s="17" t="s">
        <v>10</v>
      </c>
      <c r="C100" s="17" t="s">
        <v>11</v>
      </c>
      <c r="D100" s="17" t="s">
        <v>208</v>
      </c>
      <c r="E100" s="17" t="s">
        <v>211</v>
      </c>
      <c r="F100" s="17" t="s">
        <v>14</v>
      </c>
      <c r="G100" s="17">
        <v>50</v>
      </c>
      <c r="H100" s="17" t="s">
        <v>15</v>
      </c>
      <c r="I100" s="39">
        <v>6.5</v>
      </c>
      <c r="J100" s="25">
        <v>41</v>
      </c>
      <c r="K100" s="17">
        <f t="shared" si="93"/>
        <v>-9</v>
      </c>
      <c r="L100" s="17">
        <f t="shared" si="94"/>
        <v>0</v>
      </c>
      <c r="M100" s="20">
        <f t="shared" si="95"/>
        <v>0</v>
      </c>
      <c r="N100" s="57">
        <v>8.4</v>
      </c>
      <c r="O100" s="25">
        <v>39</v>
      </c>
      <c r="P100" s="17">
        <f t="shared" si="81"/>
        <v>-11</v>
      </c>
      <c r="Q100" s="17">
        <f t="shared" si="82"/>
        <v>0</v>
      </c>
      <c r="R100" s="20">
        <f t="shared" si="83"/>
        <v>0</v>
      </c>
      <c r="S100" s="57">
        <v>8.4</v>
      </c>
      <c r="T100" s="25">
        <v>112</v>
      </c>
      <c r="U100" s="17">
        <f t="shared" si="84"/>
        <v>62</v>
      </c>
      <c r="V100" s="17">
        <f t="shared" si="85"/>
        <v>62</v>
      </c>
      <c r="W100" s="20">
        <f t="shared" si="86"/>
        <v>4.03</v>
      </c>
      <c r="X100" s="57">
        <v>8.4</v>
      </c>
      <c r="Y100" s="25">
        <v>39</v>
      </c>
      <c r="Z100" s="17">
        <f t="shared" si="87"/>
        <v>-11</v>
      </c>
      <c r="AA100" s="17">
        <f t="shared" si="88"/>
        <v>0</v>
      </c>
      <c r="AB100" s="20">
        <f t="shared" si="89"/>
        <v>0</v>
      </c>
      <c r="AC100" s="57">
        <v>8.4</v>
      </c>
      <c r="AD100" s="25">
        <v>73</v>
      </c>
      <c r="AE100" s="17">
        <f t="shared" si="96"/>
        <v>23</v>
      </c>
      <c r="AF100" s="17">
        <f t="shared" si="97"/>
        <v>23</v>
      </c>
      <c r="AG100" s="20">
        <f t="shared" si="98"/>
        <v>1.4950000000000001</v>
      </c>
      <c r="AH100" s="49">
        <v>8.4</v>
      </c>
      <c r="AI100" s="42">
        <f t="shared" si="99"/>
        <v>85</v>
      </c>
      <c r="AJ100" s="35">
        <f t="shared" si="100"/>
        <v>46.410000000000004</v>
      </c>
    </row>
    <row r="101" spans="1:36" x14ac:dyDescent="0.25">
      <c r="A101" s="25" t="s">
        <v>212</v>
      </c>
      <c r="B101" s="17" t="s">
        <v>10</v>
      </c>
      <c r="C101" s="17" t="s">
        <v>11</v>
      </c>
      <c r="D101" s="17" t="s">
        <v>208</v>
      </c>
      <c r="E101" s="18" t="s">
        <v>213</v>
      </c>
      <c r="F101" s="17" t="s">
        <v>14</v>
      </c>
      <c r="G101" s="17">
        <v>50</v>
      </c>
      <c r="H101" s="17" t="s">
        <v>15</v>
      </c>
      <c r="I101" s="39">
        <v>6.5</v>
      </c>
      <c r="J101" s="25">
        <v>5</v>
      </c>
      <c r="K101" s="17">
        <f t="shared" si="93"/>
        <v>-45</v>
      </c>
      <c r="L101" s="17">
        <f t="shared" si="94"/>
        <v>0</v>
      </c>
      <c r="M101" s="20">
        <f t="shared" si="95"/>
        <v>0</v>
      </c>
      <c r="N101" s="57">
        <v>8.4</v>
      </c>
      <c r="O101" s="53">
        <v>852</v>
      </c>
      <c r="P101" s="23">
        <f t="shared" si="81"/>
        <v>802</v>
      </c>
      <c r="Q101" s="23">
        <f t="shared" si="82"/>
        <v>802</v>
      </c>
      <c r="R101" s="24">
        <f t="shared" si="83"/>
        <v>52.13</v>
      </c>
      <c r="S101" s="62">
        <v>8.4</v>
      </c>
      <c r="T101" s="25">
        <v>73</v>
      </c>
      <c r="U101" s="17">
        <f t="shared" si="84"/>
        <v>23</v>
      </c>
      <c r="V101" s="17">
        <f t="shared" si="85"/>
        <v>23</v>
      </c>
      <c r="W101" s="20">
        <f t="shared" si="86"/>
        <v>1.4950000000000001</v>
      </c>
      <c r="X101" s="57">
        <v>8.4</v>
      </c>
      <c r="Y101" s="25">
        <v>18</v>
      </c>
      <c r="Z101" s="17">
        <f t="shared" si="87"/>
        <v>-32</v>
      </c>
      <c r="AA101" s="17">
        <f t="shared" si="88"/>
        <v>0</v>
      </c>
      <c r="AB101" s="20">
        <f t="shared" si="89"/>
        <v>0</v>
      </c>
      <c r="AC101" s="57">
        <v>8.4</v>
      </c>
      <c r="AD101" s="25">
        <v>3</v>
      </c>
      <c r="AE101" s="17">
        <f t="shared" si="96"/>
        <v>-47</v>
      </c>
      <c r="AF101" s="17">
        <f t="shared" si="97"/>
        <v>0</v>
      </c>
      <c r="AG101" s="20">
        <f t="shared" si="98"/>
        <v>0</v>
      </c>
      <c r="AH101" s="49">
        <v>8.4</v>
      </c>
      <c r="AI101" s="42">
        <f t="shared" si="99"/>
        <v>825</v>
      </c>
      <c r="AJ101" s="35">
        <f t="shared" si="100"/>
        <v>450.45000000000005</v>
      </c>
    </row>
    <row r="102" spans="1:36" x14ac:dyDescent="0.25">
      <c r="A102" s="25" t="s">
        <v>214</v>
      </c>
      <c r="B102" s="17" t="s">
        <v>17</v>
      </c>
      <c r="C102" s="17" t="s">
        <v>18</v>
      </c>
      <c r="D102" s="17" t="s">
        <v>208</v>
      </c>
      <c r="E102" s="18" t="s">
        <v>215</v>
      </c>
      <c r="F102" s="17" t="s">
        <v>14</v>
      </c>
      <c r="G102" s="17">
        <v>50</v>
      </c>
      <c r="H102" s="17" t="s">
        <v>15</v>
      </c>
      <c r="I102" s="39">
        <v>6.5</v>
      </c>
      <c r="J102" s="25">
        <v>349</v>
      </c>
      <c r="K102" s="17">
        <f t="shared" si="93"/>
        <v>299</v>
      </c>
      <c r="L102" s="17">
        <f t="shared" si="94"/>
        <v>299</v>
      </c>
      <c r="M102" s="20">
        <f t="shared" si="95"/>
        <v>19.434999999999999</v>
      </c>
      <c r="N102" s="57">
        <v>8.4</v>
      </c>
      <c r="O102" s="25">
        <v>0</v>
      </c>
      <c r="P102" s="17">
        <f t="shared" si="81"/>
        <v>-50</v>
      </c>
      <c r="Q102" s="17">
        <f t="shared" si="82"/>
        <v>0</v>
      </c>
      <c r="R102" s="20">
        <f t="shared" si="83"/>
        <v>0</v>
      </c>
      <c r="S102" s="57">
        <v>8.4</v>
      </c>
      <c r="T102" s="25">
        <v>0</v>
      </c>
      <c r="U102" s="17">
        <f t="shared" si="84"/>
        <v>-50</v>
      </c>
      <c r="V102" s="17">
        <f t="shared" si="85"/>
        <v>0</v>
      </c>
      <c r="W102" s="20">
        <f t="shared" si="86"/>
        <v>0</v>
      </c>
      <c r="X102" s="57">
        <v>8.4</v>
      </c>
      <c r="Y102" s="25">
        <v>194</v>
      </c>
      <c r="Z102" s="17">
        <f t="shared" si="87"/>
        <v>144</v>
      </c>
      <c r="AA102" s="17">
        <f t="shared" si="88"/>
        <v>144</v>
      </c>
      <c r="AB102" s="20">
        <f t="shared" si="89"/>
        <v>9.36</v>
      </c>
      <c r="AC102" s="57">
        <v>8.4</v>
      </c>
      <c r="AD102" s="25">
        <v>157</v>
      </c>
      <c r="AE102" s="17">
        <f t="shared" si="96"/>
        <v>107</v>
      </c>
      <c r="AF102" s="17">
        <f t="shared" si="97"/>
        <v>107</v>
      </c>
      <c r="AG102" s="20">
        <f t="shared" si="98"/>
        <v>6.9550000000000001</v>
      </c>
      <c r="AH102" s="49">
        <v>8.4</v>
      </c>
      <c r="AI102" s="42">
        <f t="shared" si="99"/>
        <v>550</v>
      </c>
      <c r="AJ102" s="35">
        <f t="shared" si="100"/>
        <v>300.29999999999995</v>
      </c>
    </row>
    <row r="103" spans="1:36" x14ac:dyDescent="0.25">
      <c r="A103" s="25" t="s">
        <v>216</v>
      </c>
      <c r="B103" s="17" t="s">
        <v>17</v>
      </c>
      <c r="C103" s="17" t="s">
        <v>99</v>
      </c>
      <c r="D103" s="17" t="s">
        <v>208</v>
      </c>
      <c r="E103" s="17" t="s">
        <v>217</v>
      </c>
      <c r="F103" s="17" t="s">
        <v>14</v>
      </c>
      <c r="G103" s="17">
        <v>20</v>
      </c>
      <c r="H103" s="17" t="s">
        <v>38</v>
      </c>
      <c r="I103" s="39">
        <v>6.5</v>
      </c>
      <c r="J103" s="25">
        <v>3</v>
      </c>
      <c r="K103" s="17">
        <f t="shared" si="93"/>
        <v>-17</v>
      </c>
      <c r="L103" s="17">
        <f t="shared" si="94"/>
        <v>0</v>
      </c>
      <c r="M103" s="20">
        <f t="shared" si="95"/>
        <v>0</v>
      </c>
      <c r="N103" s="57">
        <v>7.3</v>
      </c>
      <c r="O103" s="25">
        <v>0</v>
      </c>
      <c r="P103" s="17">
        <f t="shared" si="81"/>
        <v>-20</v>
      </c>
      <c r="Q103" s="17">
        <f t="shared" si="82"/>
        <v>0</v>
      </c>
      <c r="R103" s="20">
        <f t="shared" si="83"/>
        <v>0</v>
      </c>
      <c r="S103" s="57">
        <v>7.2</v>
      </c>
      <c r="T103" s="25">
        <v>0</v>
      </c>
      <c r="U103" s="17">
        <f t="shared" si="84"/>
        <v>-20</v>
      </c>
      <c r="V103" s="17">
        <f t="shared" si="85"/>
        <v>0</v>
      </c>
      <c r="W103" s="20">
        <f t="shared" si="86"/>
        <v>0</v>
      </c>
      <c r="X103" s="57">
        <v>7.2</v>
      </c>
      <c r="Y103" s="25">
        <v>0</v>
      </c>
      <c r="Z103" s="17">
        <f t="shared" si="87"/>
        <v>-20</v>
      </c>
      <c r="AA103" s="17">
        <f t="shared" si="88"/>
        <v>0</v>
      </c>
      <c r="AB103" s="20">
        <f t="shared" si="89"/>
        <v>0</v>
      </c>
      <c r="AC103" s="57">
        <v>7.2</v>
      </c>
      <c r="AD103" s="25">
        <v>6</v>
      </c>
      <c r="AE103" s="17">
        <f t="shared" si="96"/>
        <v>-14</v>
      </c>
      <c r="AF103" s="17">
        <f t="shared" si="97"/>
        <v>0</v>
      </c>
      <c r="AG103" s="20">
        <f t="shared" si="98"/>
        <v>0</v>
      </c>
      <c r="AH103" s="49">
        <v>7.2</v>
      </c>
      <c r="AI103" s="42">
        <f t="shared" si="99"/>
        <v>0</v>
      </c>
      <c r="AJ103" s="35">
        <f t="shared" si="100"/>
        <v>0</v>
      </c>
    </row>
    <row r="104" spans="1:36" x14ac:dyDescent="0.25">
      <c r="A104" s="25" t="s">
        <v>218</v>
      </c>
      <c r="B104" s="17" t="s">
        <v>10</v>
      </c>
      <c r="C104" s="17" t="s">
        <v>22</v>
      </c>
      <c r="D104" s="17" t="s">
        <v>208</v>
      </c>
      <c r="E104" s="18" t="s">
        <v>219</v>
      </c>
      <c r="F104" s="17" t="s">
        <v>14</v>
      </c>
      <c r="G104" s="17">
        <v>20</v>
      </c>
      <c r="H104" s="17" t="s">
        <v>15</v>
      </c>
      <c r="I104" s="39">
        <v>11</v>
      </c>
      <c r="J104" s="45"/>
      <c r="K104" s="18"/>
      <c r="L104" s="18"/>
      <c r="M104" s="19"/>
      <c r="N104" s="58"/>
      <c r="O104" s="45"/>
      <c r="P104" s="18"/>
      <c r="Q104" s="18"/>
      <c r="R104" s="19"/>
      <c r="S104" s="58"/>
      <c r="T104" s="25">
        <v>1</v>
      </c>
      <c r="U104" s="17">
        <f t="shared" si="84"/>
        <v>-19</v>
      </c>
      <c r="V104" s="17">
        <f t="shared" si="85"/>
        <v>0</v>
      </c>
      <c r="W104" s="20">
        <f t="shared" si="86"/>
        <v>0</v>
      </c>
      <c r="X104" s="57">
        <v>8.4</v>
      </c>
      <c r="Y104" s="25">
        <v>0</v>
      </c>
      <c r="Z104" s="17">
        <f t="shared" si="87"/>
        <v>-20</v>
      </c>
      <c r="AA104" s="17">
        <f t="shared" si="88"/>
        <v>0</v>
      </c>
      <c r="AB104" s="20">
        <f t="shared" si="89"/>
        <v>0</v>
      </c>
      <c r="AC104" s="57">
        <v>8.4</v>
      </c>
      <c r="AD104" s="45"/>
      <c r="AE104" s="18"/>
      <c r="AF104" s="18"/>
      <c r="AG104" s="19"/>
      <c r="AH104" s="50"/>
      <c r="AI104" s="42">
        <f t="shared" si="99"/>
        <v>0</v>
      </c>
      <c r="AJ104" s="35">
        <f t="shared" si="100"/>
        <v>0</v>
      </c>
    </row>
    <row r="105" spans="1:36" x14ac:dyDescent="0.25">
      <c r="A105" s="25" t="s">
        <v>218</v>
      </c>
      <c r="B105" s="17" t="s">
        <v>10</v>
      </c>
      <c r="C105" s="17" t="s">
        <v>22</v>
      </c>
      <c r="D105" s="17" t="s">
        <v>208</v>
      </c>
      <c r="E105" s="18" t="s">
        <v>58</v>
      </c>
      <c r="F105" s="17" t="s">
        <v>14</v>
      </c>
      <c r="G105" s="17">
        <v>20</v>
      </c>
      <c r="H105" s="17" t="s">
        <v>15</v>
      </c>
      <c r="I105" s="39">
        <v>11</v>
      </c>
      <c r="J105" s="45"/>
      <c r="K105" s="18"/>
      <c r="L105" s="18"/>
      <c r="M105" s="19"/>
      <c r="N105" s="58"/>
      <c r="O105" s="45"/>
      <c r="P105" s="18"/>
      <c r="Q105" s="18"/>
      <c r="R105" s="19"/>
      <c r="S105" s="58"/>
      <c r="T105" s="45"/>
      <c r="U105" s="18"/>
      <c r="V105" s="18"/>
      <c r="W105" s="19"/>
      <c r="X105" s="58"/>
      <c r="Y105" s="45"/>
      <c r="Z105" s="18"/>
      <c r="AA105" s="18"/>
      <c r="AB105" s="19"/>
      <c r="AC105" s="58"/>
      <c r="AD105" s="25">
        <v>0</v>
      </c>
      <c r="AE105" s="17">
        <f t="shared" ref="AE105:AE110" si="101">AD105-G105</f>
        <v>-20</v>
      </c>
      <c r="AF105" s="17">
        <f t="shared" ref="AF105:AF110" si="102">IF(AE105&lt;0,0,AD105-G105)</f>
        <v>0</v>
      </c>
      <c r="AG105" s="20">
        <f t="shared" ref="AG105:AG110" si="103">AF105*I105/100</f>
        <v>0</v>
      </c>
      <c r="AH105" s="49">
        <v>8.4</v>
      </c>
      <c r="AI105" s="42">
        <f t="shared" si="99"/>
        <v>0</v>
      </c>
      <c r="AJ105" s="35">
        <f t="shared" si="100"/>
        <v>0</v>
      </c>
    </row>
    <row r="106" spans="1:36" x14ac:dyDescent="0.25">
      <c r="A106" s="25" t="s">
        <v>220</v>
      </c>
      <c r="B106" s="17" t="s">
        <v>10</v>
      </c>
      <c r="C106" s="17" t="s">
        <v>11</v>
      </c>
      <c r="D106" s="17" t="s">
        <v>208</v>
      </c>
      <c r="E106" s="17" t="s">
        <v>221</v>
      </c>
      <c r="F106" s="17" t="s">
        <v>14</v>
      </c>
      <c r="G106" s="17">
        <v>20</v>
      </c>
      <c r="H106" s="17" t="s">
        <v>15</v>
      </c>
      <c r="I106" s="39">
        <v>6.5</v>
      </c>
      <c r="J106" s="25">
        <v>44</v>
      </c>
      <c r="K106" s="17">
        <f>J106-G106</f>
        <v>24</v>
      </c>
      <c r="L106" s="17">
        <f>IF(K106&lt;0,0,J106-G106)</f>
        <v>24</v>
      </c>
      <c r="M106" s="20">
        <f>L106*I106/100</f>
        <v>1.56</v>
      </c>
      <c r="N106" s="57">
        <v>8.4</v>
      </c>
      <c r="O106" s="25">
        <v>53</v>
      </c>
      <c r="P106" s="17">
        <f>O106-G106</f>
        <v>33</v>
      </c>
      <c r="Q106" s="17">
        <f>IF(P106&lt;0,0,O106-G106)</f>
        <v>33</v>
      </c>
      <c r="R106" s="20">
        <f>Q106*I106/100</f>
        <v>2.145</v>
      </c>
      <c r="S106" s="57">
        <v>8.4</v>
      </c>
      <c r="T106" s="25">
        <v>28</v>
      </c>
      <c r="U106" s="17">
        <f>T106-G106</f>
        <v>8</v>
      </c>
      <c r="V106" s="17">
        <f>IF(U106&lt;0,0,T106-G106)</f>
        <v>8</v>
      </c>
      <c r="W106" s="20">
        <f>V106*I106/100</f>
        <v>0.52</v>
      </c>
      <c r="X106" s="57">
        <v>8.4</v>
      </c>
      <c r="Y106" s="25">
        <v>46</v>
      </c>
      <c r="Z106" s="17">
        <f>Y106-G106</f>
        <v>26</v>
      </c>
      <c r="AA106" s="17">
        <f>IF(Z106&lt;0,0,Y106-G106)</f>
        <v>26</v>
      </c>
      <c r="AB106" s="20">
        <f>AA106*I106/100</f>
        <v>1.69</v>
      </c>
      <c r="AC106" s="57">
        <v>8.4</v>
      </c>
      <c r="AD106" s="25">
        <v>109</v>
      </c>
      <c r="AE106" s="17">
        <f t="shared" si="101"/>
        <v>89</v>
      </c>
      <c r="AF106" s="17">
        <f t="shared" si="102"/>
        <v>89</v>
      </c>
      <c r="AG106" s="20">
        <f t="shared" si="103"/>
        <v>5.7850000000000001</v>
      </c>
      <c r="AH106" s="49">
        <v>8.4</v>
      </c>
      <c r="AI106" s="42">
        <f t="shared" si="99"/>
        <v>180</v>
      </c>
      <c r="AJ106" s="35">
        <f t="shared" si="100"/>
        <v>98.28</v>
      </c>
    </row>
    <row r="107" spans="1:36" x14ac:dyDescent="0.25">
      <c r="A107" s="25" t="s">
        <v>222</v>
      </c>
      <c r="B107" s="17" t="s">
        <v>10</v>
      </c>
      <c r="C107" s="17" t="s">
        <v>105</v>
      </c>
      <c r="D107" s="17" t="s">
        <v>208</v>
      </c>
      <c r="E107" s="17" t="s">
        <v>223</v>
      </c>
      <c r="F107" s="17" t="s">
        <v>14</v>
      </c>
      <c r="G107" s="17">
        <v>20</v>
      </c>
      <c r="H107" s="17" t="s">
        <v>15</v>
      </c>
      <c r="I107" s="39">
        <v>6.5</v>
      </c>
      <c r="J107" s="25">
        <v>0</v>
      </c>
      <c r="K107" s="17">
        <f>J107-G107</f>
        <v>-20</v>
      </c>
      <c r="L107" s="17">
        <f>IF(K107&lt;0,0,J107-G107)</f>
        <v>0</v>
      </c>
      <c r="M107" s="20">
        <f>L107*I107/100</f>
        <v>0</v>
      </c>
      <c r="N107" s="57">
        <v>8.4</v>
      </c>
      <c r="O107" s="25">
        <v>15</v>
      </c>
      <c r="P107" s="17">
        <f>O107-G107</f>
        <v>-5</v>
      </c>
      <c r="Q107" s="17">
        <f>IF(P107&lt;0,0,O107-G107)</f>
        <v>0</v>
      </c>
      <c r="R107" s="20">
        <f>Q107*I107/100</f>
        <v>0</v>
      </c>
      <c r="S107" s="57">
        <v>8.4</v>
      </c>
      <c r="T107" s="25">
        <v>0</v>
      </c>
      <c r="U107" s="17">
        <f>T107-G107</f>
        <v>-20</v>
      </c>
      <c r="V107" s="17">
        <f>IF(U107&lt;0,0,T107-G107)</f>
        <v>0</v>
      </c>
      <c r="W107" s="20">
        <f>V107*I107/100</f>
        <v>0</v>
      </c>
      <c r="X107" s="57">
        <v>8.4</v>
      </c>
      <c r="Y107" s="25">
        <v>120</v>
      </c>
      <c r="Z107" s="17">
        <f>Y107-G107</f>
        <v>100</v>
      </c>
      <c r="AA107" s="17">
        <f>IF(Z107&lt;0,0,Y107-G107)</f>
        <v>100</v>
      </c>
      <c r="AB107" s="20">
        <f>AA107*I107/100</f>
        <v>6.5</v>
      </c>
      <c r="AC107" s="57">
        <v>8.4</v>
      </c>
      <c r="AD107" s="25">
        <v>0</v>
      </c>
      <c r="AE107" s="17">
        <f t="shared" si="101"/>
        <v>-20</v>
      </c>
      <c r="AF107" s="17">
        <f t="shared" si="102"/>
        <v>0</v>
      </c>
      <c r="AG107" s="20">
        <f t="shared" si="103"/>
        <v>0</v>
      </c>
      <c r="AH107" s="49">
        <v>8.4</v>
      </c>
      <c r="AI107" s="42">
        <f t="shared" si="99"/>
        <v>100</v>
      </c>
      <c r="AJ107" s="35">
        <f t="shared" si="100"/>
        <v>54.6</v>
      </c>
    </row>
    <row r="108" spans="1:36" x14ac:dyDescent="0.25">
      <c r="A108" s="25" t="s">
        <v>224</v>
      </c>
      <c r="B108" s="17" t="s">
        <v>32</v>
      </c>
      <c r="C108" s="17" t="s">
        <v>52</v>
      </c>
      <c r="D108" s="17" t="s">
        <v>225</v>
      </c>
      <c r="E108" s="18" t="s">
        <v>79</v>
      </c>
      <c r="F108" s="17" t="s">
        <v>14</v>
      </c>
      <c r="G108" s="17">
        <v>20</v>
      </c>
      <c r="H108" s="17" t="s">
        <v>15</v>
      </c>
      <c r="I108" s="39">
        <v>11</v>
      </c>
      <c r="J108" s="45"/>
      <c r="K108" s="18"/>
      <c r="L108" s="18"/>
      <c r="M108" s="19"/>
      <c r="N108" s="58"/>
      <c r="O108" s="45"/>
      <c r="P108" s="18"/>
      <c r="Q108" s="18"/>
      <c r="R108" s="19"/>
      <c r="S108" s="58"/>
      <c r="T108" s="25">
        <v>0</v>
      </c>
      <c r="U108" s="17">
        <f>T108-G108</f>
        <v>-20</v>
      </c>
      <c r="V108" s="17">
        <f>IF(U108&lt;0,0,T108-G108)</f>
        <v>0</v>
      </c>
      <c r="W108" s="20">
        <f>V108*I108/100</f>
        <v>0</v>
      </c>
      <c r="X108" s="57">
        <v>8.4</v>
      </c>
      <c r="Y108" s="25">
        <v>0</v>
      </c>
      <c r="Z108" s="17">
        <f>Y108-G108</f>
        <v>-20</v>
      </c>
      <c r="AA108" s="17">
        <f>IF(Z108&lt;0,0,Y108-G108)</f>
        <v>0</v>
      </c>
      <c r="AB108" s="20">
        <f>AA108*I108/100</f>
        <v>0</v>
      </c>
      <c r="AC108" s="57">
        <v>8.4</v>
      </c>
      <c r="AD108" s="25">
        <v>0</v>
      </c>
      <c r="AE108" s="17">
        <f t="shared" si="101"/>
        <v>-20</v>
      </c>
      <c r="AF108" s="17">
        <f t="shared" si="102"/>
        <v>0</v>
      </c>
      <c r="AG108" s="20">
        <f t="shared" si="103"/>
        <v>0</v>
      </c>
      <c r="AH108" s="49">
        <v>8.4</v>
      </c>
      <c r="AI108" s="42">
        <f t="shared" si="99"/>
        <v>0</v>
      </c>
      <c r="AJ108" s="35">
        <f t="shared" si="100"/>
        <v>0</v>
      </c>
    </row>
    <row r="109" spans="1:36" x14ac:dyDescent="0.25">
      <c r="A109" s="25" t="s">
        <v>226</v>
      </c>
      <c r="B109" s="17" t="s">
        <v>17</v>
      </c>
      <c r="C109" s="17" t="s">
        <v>18</v>
      </c>
      <c r="D109" s="17" t="s">
        <v>225</v>
      </c>
      <c r="E109" s="17" t="s">
        <v>227</v>
      </c>
      <c r="F109" s="17" t="s">
        <v>14</v>
      </c>
      <c r="G109" s="17">
        <v>40</v>
      </c>
      <c r="H109" s="17" t="s">
        <v>15</v>
      </c>
      <c r="I109" s="39">
        <v>6.5</v>
      </c>
      <c r="J109" s="25">
        <v>439</v>
      </c>
      <c r="K109" s="17">
        <f t="shared" ref="K109:K118" si="104">J109-G109</f>
        <v>399</v>
      </c>
      <c r="L109" s="17">
        <f t="shared" ref="L109:L118" si="105">IF(K109&lt;0,0,J109-G109)</f>
        <v>399</v>
      </c>
      <c r="M109" s="20">
        <f t="shared" ref="M109:M118" si="106">L109*I109/100</f>
        <v>25.934999999999999</v>
      </c>
      <c r="N109" s="57">
        <v>8.4</v>
      </c>
      <c r="O109" s="25">
        <v>61</v>
      </c>
      <c r="P109" s="17">
        <f>O109-G109</f>
        <v>21</v>
      </c>
      <c r="Q109" s="17">
        <f>IF(P109&lt;0,0,O109-G109)</f>
        <v>21</v>
      </c>
      <c r="R109" s="20">
        <f>Q109*I109/100</f>
        <v>1.365</v>
      </c>
      <c r="S109" s="57">
        <v>8.4</v>
      </c>
      <c r="T109" s="25">
        <v>7</v>
      </c>
      <c r="U109" s="17">
        <f>T109-G109</f>
        <v>-33</v>
      </c>
      <c r="V109" s="17">
        <f>IF(U109&lt;0,0,T109-G109)</f>
        <v>0</v>
      </c>
      <c r="W109" s="20">
        <f>V109*I109/100</f>
        <v>0</v>
      </c>
      <c r="X109" s="57">
        <v>8.4</v>
      </c>
      <c r="Y109" s="25">
        <v>65</v>
      </c>
      <c r="Z109" s="17">
        <f>Y109-G109</f>
        <v>25</v>
      </c>
      <c r="AA109" s="17">
        <f>IF(Z109&lt;0,0,Y109-G109)</f>
        <v>25</v>
      </c>
      <c r="AB109" s="20">
        <f>AA109*I109/100</f>
        <v>1.625</v>
      </c>
      <c r="AC109" s="57">
        <v>8.4</v>
      </c>
      <c r="AD109" s="25">
        <v>76</v>
      </c>
      <c r="AE109" s="17">
        <f t="shared" si="101"/>
        <v>36</v>
      </c>
      <c r="AF109" s="17">
        <f t="shared" si="102"/>
        <v>36</v>
      </c>
      <c r="AG109" s="20">
        <f t="shared" si="103"/>
        <v>2.34</v>
      </c>
      <c r="AH109" s="49">
        <v>8.4</v>
      </c>
      <c r="AI109" s="42">
        <f t="shared" si="99"/>
        <v>481</v>
      </c>
      <c r="AJ109" s="35">
        <f t="shared" si="100"/>
        <v>262.62599999999998</v>
      </c>
    </row>
    <row r="110" spans="1:36" x14ac:dyDescent="0.25">
      <c r="A110" s="25" t="s">
        <v>228</v>
      </c>
      <c r="B110" s="17" t="s">
        <v>10</v>
      </c>
      <c r="C110" s="17" t="s">
        <v>11</v>
      </c>
      <c r="D110" s="17" t="s">
        <v>225</v>
      </c>
      <c r="E110" s="17" t="s">
        <v>227</v>
      </c>
      <c r="F110" s="17" t="s">
        <v>14</v>
      </c>
      <c r="G110" s="17">
        <v>40</v>
      </c>
      <c r="H110" s="17" t="s">
        <v>15</v>
      </c>
      <c r="I110" s="39">
        <v>6.5</v>
      </c>
      <c r="J110" s="25">
        <v>0</v>
      </c>
      <c r="K110" s="17">
        <f t="shared" si="104"/>
        <v>-40</v>
      </c>
      <c r="L110" s="17">
        <f t="shared" si="105"/>
        <v>0</v>
      </c>
      <c r="M110" s="20">
        <f t="shared" si="106"/>
        <v>0</v>
      </c>
      <c r="N110" s="57">
        <v>8.4</v>
      </c>
      <c r="O110" s="25">
        <v>0</v>
      </c>
      <c r="P110" s="17">
        <f>O110-G110</f>
        <v>-40</v>
      </c>
      <c r="Q110" s="17">
        <f>IF(P110&lt;0,0,O110-G110)</f>
        <v>0</v>
      </c>
      <c r="R110" s="20">
        <f>Q110*I110/100</f>
        <v>0</v>
      </c>
      <c r="S110" s="57">
        <v>8.4</v>
      </c>
      <c r="T110" s="25">
        <v>0</v>
      </c>
      <c r="U110" s="17">
        <f>T110-G110</f>
        <v>-40</v>
      </c>
      <c r="V110" s="17">
        <f>IF(U110&lt;0,0,T110-G110)</f>
        <v>0</v>
      </c>
      <c r="W110" s="20">
        <f>V110*I110/100</f>
        <v>0</v>
      </c>
      <c r="X110" s="57">
        <v>8.4</v>
      </c>
      <c r="Y110" s="25">
        <v>0</v>
      </c>
      <c r="Z110" s="17">
        <f>Y110-G110</f>
        <v>-40</v>
      </c>
      <c r="AA110" s="17">
        <f>IF(Z110&lt;0,0,Y110-G110)</f>
        <v>0</v>
      </c>
      <c r="AB110" s="20">
        <f>AA110*I110/100</f>
        <v>0</v>
      </c>
      <c r="AC110" s="57">
        <v>8.4</v>
      </c>
      <c r="AD110" s="25">
        <v>0</v>
      </c>
      <c r="AE110" s="17">
        <f t="shared" si="101"/>
        <v>-40</v>
      </c>
      <c r="AF110" s="17">
        <f t="shared" si="102"/>
        <v>0</v>
      </c>
      <c r="AG110" s="20">
        <f t="shared" si="103"/>
        <v>0</v>
      </c>
      <c r="AH110" s="49">
        <v>8.4</v>
      </c>
      <c r="AI110" s="42">
        <f t="shared" si="99"/>
        <v>0</v>
      </c>
      <c r="AJ110" s="35">
        <f t="shared" si="100"/>
        <v>0</v>
      </c>
    </row>
    <row r="111" spans="1:36" x14ac:dyDescent="0.25">
      <c r="A111" s="25" t="s">
        <v>228</v>
      </c>
      <c r="B111" s="17" t="s">
        <v>10</v>
      </c>
      <c r="C111" s="17" t="s">
        <v>11</v>
      </c>
      <c r="D111" s="17" t="s">
        <v>225</v>
      </c>
      <c r="E111" s="18" t="s">
        <v>79</v>
      </c>
      <c r="F111" s="17" t="s">
        <v>14</v>
      </c>
      <c r="G111" s="17">
        <v>20</v>
      </c>
      <c r="H111" s="17" t="s">
        <v>15</v>
      </c>
      <c r="I111" s="39">
        <v>6.5</v>
      </c>
      <c r="J111" s="25">
        <v>0</v>
      </c>
      <c r="K111" s="17">
        <f t="shared" si="104"/>
        <v>-20</v>
      </c>
      <c r="L111" s="17">
        <f t="shared" si="105"/>
        <v>0</v>
      </c>
      <c r="M111" s="20">
        <f t="shared" si="106"/>
        <v>0</v>
      </c>
      <c r="N111" s="57">
        <v>8.4</v>
      </c>
      <c r="O111" s="45"/>
      <c r="P111" s="18"/>
      <c r="Q111" s="18"/>
      <c r="R111" s="19"/>
      <c r="S111" s="58"/>
      <c r="T111" s="45"/>
      <c r="U111" s="18"/>
      <c r="V111" s="18"/>
      <c r="W111" s="19"/>
      <c r="X111" s="58"/>
      <c r="Y111" s="45"/>
      <c r="Z111" s="18"/>
      <c r="AA111" s="18"/>
      <c r="AB111" s="19"/>
      <c r="AC111" s="58"/>
      <c r="AD111" s="45"/>
      <c r="AE111" s="18"/>
      <c r="AF111" s="18"/>
      <c r="AG111" s="19"/>
      <c r="AH111" s="50"/>
      <c r="AI111" s="42">
        <f t="shared" si="99"/>
        <v>0</v>
      </c>
      <c r="AJ111" s="35">
        <f t="shared" si="100"/>
        <v>0</v>
      </c>
    </row>
    <row r="112" spans="1:36" x14ac:dyDescent="0.25">
      <c r="A112" s="25" t="s">
        <v>229</v>
      </c>
      <c r="B112" s="17" t="s">
        <v>10</v>
      </c>
      <c r="C112" s="17" t="s">
        <v>11</v>
      </c>
      <c r="D112" s="17" t="s">
        <v>230</v>
      </c>
      <c r="E112" s="18" t="s">
        <v>231</v>
      </c>
      <c r="F112" s="17" t="s">
        <v>14</v>
      </c>
      <c r="G112" s="17">
        <v>20</v>
      </c>
      <c r="H112" s="17" t="s">
        <v>15</v>
      </c>
      <c r="I112" s="39">
        <v>6.5</v>
      </c>
      <c r="J112" s="25">
        <v>324</v>
      </c>
      <c r="K112" s="17">
        <f t="shared" si="104"/>
        <v>304</v>
      </c>
      <c r="L112" s="17">
        <f t="shared" si="105"/>
        <v>304</v>
      </c>
      <c r="M112" s="20">
        <f t="shared" si="106"/>
        <v>19.760000000000002</v>
      </c>
      <c r="N112" s="57">
        <v>8.4</v>
      </c>
      <c r="O112" s="25">
        <v>0</v>
      </c>
      <c r="P112" s="17">
        <f t="shared" ref="P112:P118" si="107">O112-G112</f>
        <v>-20</v>
      </c>
      <c r="Q112" s="17">
        <f t="shared" ref="Q112:Q118" si="108">IF(P112&lt;0,0,O112-G112)</f>
        <v>0</v>
      </c>
      <c r="R112" s="20">
        <f t="shared" ref="R112:R118" si="109">Q112*I112/100</f>
        <v>0</v>
      </c>
      <c r="S112" s="57">
        <v>8.4</v>
      </c>
      <c r="T112" s="25">
        <v>0</v>
      </c>
      <c r="U112" s="17">
        <f t="shared" ref="U112:U118" si="110">T112-G112</f>
        <v>-20</v>
      </c>
      <c r="V112" s="17">
        <f t="shared" ref="V112:V118" si="111">IF(U112&lt;0,0,T112-G112)</f>
        <v>0</v>
      </c>
      <c r="W112" s="20">
        <f t="shared" ref="W112:W118" si="112">V112*I112/100</f>
        <v>0</v>
      </c>
      <c r="X112" s="57">
        <v>8.4</v>
      </c>
      <c r="Y112" s="25">
        <v>25</v>
      </c>
      <c r="Z112" s="17">
        <f>Y112-G112</f>
        <v>5</v>
      </c>
      <c r="AA112" s="17">
        <f>IF(Z112&lt;0,0,Y112-G112)</f>
        <v>5</v>
      </c>
      <c r="AB112" s="20">
        <f>AA112*I112/100</f>
        <v>0.32500000000000001</v>
      </c>
      <c r="AC112" s="57">
        <v>8.4</v>
      </c>
      <c r="AD112" s="25">
        <v>3</v>
      </c>
      <c r="AE112" s="17">
        <f t="shared" ref="AE112:AE118" si="113">AD112-G112</f>
        <v>-17</v>
      </c>
      <c r="AF112" s="17">
        <f t="shared" ref="AF112:AF118" si="114">IF(AE112&lt;0,0,AD112-G112)</f>
        <v>0</v>
      </c>
      <c r="AG112" s="20">
        <f t="shared" ref="AG112:AG118" si="115">AF112*I112/100</f>
        <v>0</v>
      </c>
      <c r="AH112" s="49">
        <v>8.4</v>
      </c>
      <c r="AI112" s="42">
        <f t="shared" si="99"/>
        <v>309</v>
      </c>
      <c r="AJ112" s="35">
        <f t="shared" si="100"/>
        <v>168.714</v>
      </c>
    </row>
    <row r="113" spans="1:36" x14ac:dyDescent="0.25">
      <c r="A113" s="25" t="s">
        <v>232</v>
      </c>
      <c r="B113" s="17" t="s">
        <v>32</v>
      </c>
      <c r="C113" s="17" t="s">
        <v>33</v>
      </c>
      <c r="D113" s="17" t="s">
        <v>230</v>
      </c>
      <c r="E113" s="17" t="s">
        <v>233</v>
      </c>
      <c r="F113" s="17" t="s">
        <v>14</v>
      </c>
      <c r="G113" s="17">
        <v>20</v>
      </c>
      <c r="H113" s="17" t="s">
        <v>15</v>
      </c>
      <c r="I113" s="39">
        <v>6.5</v>
      </c>
      <c r="J113" s="25">
        <v>0</v>
      </c>
      <c r="K113" s="17">
        <f t="shared" si="104"/>
        <v>-20</v>
      </c>
      <c r="L113" s="17">
        <f t="shared" si="105"/>
        <v>0</v>
      </c>
      <c r="M113" s="20">
        <f t="shared" si="106"/>
        <v>0</v>
      </c>
      <c r="N113" s="57">
        <v>8.4</v>
      </c>
      <c r="O113" s="25">
        <v>10</v>
      </c>
      <c r="P113" s="17">
        <f t="shared" si="107"/>
        <v>-10</v>
      </c>
      <c r="Q113" s="17">
        <f t="shared" si="108"/>
        <v>0</v>
      </c>
      <c r="R113" s="20">
        <f t="shared" si="109"/>
        <v>0</v>
      </c>
      <c r="S113" s="57">
        <v>8.4</v>
      </c>
      <c r="T113" s="25">
        <v>10</v>
      </c>
      <c r="U113" s="17">
        <f t="shared" si="110"/>
        <v>-10</v>
      </c>
      <c r="V113" s="17">
        <f t="shared" si="111"/>
        <v>0</v>
      </c>
      <c r="W113" s="20">
        <f t="shared" si="112"/>
        <v>0</v>
      </c>
      <c r="X113" s="57">
        <v>8.4</v>
      </c>
      <c r="Y113" s="25">
        <v>10</v>
      </c>
      <c r="Z113" s="17">
        <f>Y113-G113</f>
        <v>-10</v>
      </c>
      <c r="AA113" s="17">
        <f>IF(Z113&lt;0,0,Y113-G113)</f>
        <v>0</v>
      </c>
      <c r="AB113" s="20">
        <f>AA113*I113/100</f>
        <v>0</v>
      </c>
      <c r="AC113" s="57">
        <v>8.4</v>
      </c>
      <c r="AD113" s="25">
        <v>9</v>
      </c>
      <c r="AE113" s="17">
        <f t="shared" si="113"/>
        <v>-11</v>
      </c>
      <c r="AF113" s="17">
        <f t="shared" si="114"/>
        <v>0</v>
      </c>
      <c r="AG113" s="20">
        <f t="shared" si="115"/>
        <v>0</v>
      </c>
      <c r="AH113" s="49">
        <v>8.4</v>
      </c>
      <c r="AI113" s="42">
        <f t="shared" si="99"/>
        <v>0</v>
      </c>
      <c r="AJ113" s="35">
        <f t="shared" si="100"/>
        <v>0</v>
      </c>
    </row>
    <row r="114" spans="1:36" x14ac:dyDescent="0.25">
      <c r="A114" s="25" t="s">
        <v>234</v>
      </c>
      <c r="B114" s="17" t="s">
        <v>17</v>
      </c>
      <c r="C114" s="17" t="s">
        <v>18</v>
      </c>
      <c r="D114" s="17" t="s">
        <v>230</v>
      </c>
      <c r="E114" s="18" t="s">
        <v>235</v>
      </c>
      <c r="F114" s="17" t="s">
        <v>14</v>
      </c>
      <c r="G114" s="17">
        <v>20</v>
      </c>
      <c r="H114" s="17" t="s">
        <v>15</v>
      </c>
      <c r="I114" s="39">
        <v>6.5</v>
      </c>
      <c r="J114" s="25">
        <v>0</v>
      </c>
      <c r="K114" s="17">
        <f t="shared" si="104"/>
        <v>-20</v>
      </c>
      <c r="L114" s="17">
        <f t="shared" si="105"/>
        <v>0</v>
      </c>
      <c r="M114" s="20">
        <f t="shared" si="106"/>
        <v>0</v>
      </c>
      <c r="N114" s="57">
        <v>8.4</v>
      </c>
      <c r="O114" s="25">
        <v>0</v>
      </c>
      <c r="P114" s="17">
        <f t="shared" si="107"/>
        <v>-20</v>
      </c>
      <c r="Q114" s="17">
        <f t="shared" si="108"/>
        <v>0</v>
      </c>
      <c r="R114" s="20">
        <f t="shared" si="109"/>
        <v>0</v>
      </c>
      <c r="S114" s="57">
        <v>8.4</v>
      </c>
      <c r="T114" s="25">
        <v>37</v>
      </c>
      <c r="U114" s="17">
        <f t="shared" si="110"/>
        <v>17</v>
      </c>
      <c r="V114" s="17">
        <f t="shared" si="111"/>
        <v>17</v>
      </c>
      <c r="W114" s="20">
        <f t="shared" si="112"/>
        <v>1.105</v>
      </c>
      <c r="X114" s="57">
        <v>8.4</v>
      </c>
      <c r="Y114" s="45"/>
      <c r="Z114" s="18"/>
      <c r="AA114" s="18"/>
      <c r="AB114" s="19"/>
      <c r="AC114" s="58"/>
      <c r="AD114" s="25">
        <v>55</v>
      </c>
      <c r="AE114" s="17">
        <f t="shared" si="113"/>
        <v>35</v>
      </c>
      <c r="AF114" s="17">
        <f t="shared" si="114"/>
        <v>35</v>
      </c>
      <c r="AG114" s="20">
        <f t="shared" si="115"/>
        <v>2.2749999999999999</v>
      </c>
      <c r="AH114" s="49">
        <v>8.4</v>
      </c>
      <c r="AI114" s="42">
        <f t="shared" si="99"/>
        <v>52</v>
      </c>
      <c r="AJ114" s="35">
        <f t="shared" si="100"/>
        <v>28.391999999999999</v>
      </c>
    </row>
    <row r="115" spans="1:36" x14ac:dyDescent="0.25">
      <c r="A115" s="25" t="s">
        <v>236</v>
      </c>
      <c r="B115" s="17" t="s">
        <v>10</v>
      </c>
      <c r="C115" s="17" t="s">
        <v>11</v>
      </c>
      <c r="D115" s="17" t="s">
        <v>230</v>
      </c>
      <c r="E115" s="18" t="s">
        <v>237</v>
      </c>
      <c r="F115" s="17" t="s">
        <v>14</v>
      </c>
      <c r="G115" s="17">
        <v>20</v>
      </c>
      <c r="H115" s="17" t="s">
        <v>15</v>
      </c>
      <c r="I115" s="39">
        <v>6.5</v>
      </c>
      <c r="J115" s="25">
        <v>0</v>
      </c>
      <c r="K115" s="17">
        <f t="shared" si="104"/>
        <v>-20</v>
      </c>
      <c r="L115" s="17">
        <f t="shared" si="105"/>
        <v>0</v>
      </c>
      <c r="M115" s="20">
        <f t="shared" si="106"/>
        <v>0</v>
      </c>
      <c r="N115" s="57">
        <v>8.4</v>
      </c>
      <c r="O115" s="25">
        <v>0</v>
      </c>
      <c r="P115" s="17">
        <f t="shared" si="107"/>
        <v>-20</v>
      </c>
      <c r="Q115" s="17">
        <f t="shared" si="108"/>
        <v>0</v>
      </c>
      <c r="R115" s="20">
        <f t="shared" si="109"/>
        <v>0</v>
      </c>
      <c r="S115" s="57">
        <v>8.4</v>
      </c>
      <c r="T115" s="25">
        <v>0</v>
      </c>
      <c r="U115" s="17">
        <f t="shared" si="110"/>
        <v>-20</v>
      </c>
      <c r="V115" s="17">
        <f t="shared" si="111"/>
        <v>0</v>
      </c>
      <c r="W115" s="20">
        <f t="shared" si="112"/>
        <v>0</v>
      </c>
      <c r="X115" s="57">
        <v>8.4</v>
      </c>
      <c r="Y115" s="25">
        <v>30</v>
      </c>
      <c r="Z115" s="17">
        <f>Y115-G115</f>
        <v>10</v>
      </c>
      <c r="AA115" s="17">
        <f>IF(Z115&lt;0,0,Y115-G115)</f>
        <v>10</v>
      </c>
      <c r="AB115" s="20">
        <f>AA115*I115/100</f>
        <v>0.65</v>
      </c>
      <c r="AC115" s="57">
        <v>8.4</v>
      </c>
      <c r="AD115" s="25">
        <v>0</v>
      </c>
      <c r="AE115" s="17">
        <f t="shared" si="113"/>
        <v>-20</v>
      </c>
      <c r="AF115" s="17">
        <f t="shared" si="114"/>
        <v>0</v>
      </c>
      <c r="AG115" s="20">
        <f t="shared" si="115"/>
        <v>0</v>
      </c>
      <c r="AH115" s="49">
        <v>8.4</v>
      </c>
      <c r="AI115" s="42">
        <f t="shared" si="99"/>
        <v>10</v>
      </c>
      <c r="AJ115" s="35">
        <f t="shared" si="100"/>
        <v>5.4600000000000009</v>
      </c>
    </row>
    <row r="116" spans="1:36" x14ac:dyDescent="0.25">
      <c r="A116" s="25" t="s">
        <v>238</v>
      </c>
      <c r="B116" s="17" t="s">
        <v>239</v>
      </c>
      <c r="C116" s="17" t="s">
        <v>36</v>
      </c>
      <c r="D116" s="17" t="s">
        <v>230</v>
      </c>
      <c r="E116" s="17" t="s">
        <v>240</v>
      </c>
      <c r="F116" s="17" t="s">
        <v>14</v>
      </c>
      <c r="G116" s="17">
        <v>20</v>
      </c>
      <c r="H116" s="17" t="s">
        <v>38</v>
      </c>
      <c r="I116" s="39">
        <v>6.5</v>
      </c>
      <c r="J116" s="25">
        <v>14</v>
      </c>
      <c r="K116" s="17">
        <f t="shared" si="104"/>
        <v>-6</v>
      </c>
      <c r="L116" s="17">
        <f t="shared" si="105"/>
        <v>0</v>
      </c>
      <c r="M116" s="20">
        <f t="shared" si="106"/>
        <v>0</v>
      </c>
      <c r="N116" s="57">
        <v>7.3</v>
      </c>
      <c r="O116" s="25">
        <v>19</v>
      </c>
      <c r="P116" s="17">
        <f t="shared" si="107"/>
        <v>-1</v>
      </c>
      <c r="Q116" s="17">
        <f t="shared" si="108"/>
        <v>0</v>
      </c>
      <c r="R116" s="20">
        <f t="shared" si="109"/>
        <v>0</v>
      </c>
      <c r="S116" s="57">
        <v>7.2</v>
      </c>
      <c r="T116" s="25">
        <v>12</v>
      </c>
      <c r="U116" s="17">
        <f t="shared" si="110"/>
        <v>-8</v>
      </c>
      <c r="V116" s="17">
        <f t="shared" si="111"/>
        <v>0</v>
      </c>
      <c r="W116" s="20">
        <f t="shared" si="112"/>
        <v>0</v>
      </c>
      <c r="X116" s="57">
        <v>7.2</v>
      </c>
      <c r="Y116" s="25">
        <v>3</v>
      </c>
      <c r="Z116" s="17">
        <f>Y116-G116</f>
        <v>-17</v>
      </c>
      <c r="AA116" s="17">
        <f>IF(Z116&lt;0,0,Y116-G116)</f>
        <v>0</v>
      </c>
      <c r="AB116" s="20">
        <f>AA116*I116/100</f>
        <v>0</v>
      </c>
      <c r="AC116" s="57">
        <v>7.2</v>
      </c>
      <c r="AD116" s="25">
        <v>173</v>
      </c>
      <c r="AE116" s="17">
        <f t="shared" si="113"/>
        <v>153</v>
      </c>
      <c r="AF116" s="17">
        <f t="shared" si="114"/>
        <v>153</v>
      </c>
      <c r="AG116" s="20">
        <f t="shared" si="115"/>
        <v>9.9450000000000003</v>
      </c>
      <c r="AH116" s="49">
        <v>7.2</v>
      </c>
      <c r="AI116" s="42">
        <f t="shared" si="99"/>
        <v>153</v>
      </c>
      <c r="AJ116" s="35">
        <f t="shared" si="100"/>
        <v>71.603999999999999</v>
      </c>
    </row>
    <row r="117" spans="1:36" x14ac:dyDescent="0.25">
      <c r="A117" s="25" t="s">
        <v>241</v>
      </c>
      <c r="B117" s="17" t="s">
        <v>32</v>
      </c>
      <c r="C117" s="17" t="s">
        <v>52</v>
      </c>
      <c r="D117" s="17" t="s">
        <v>230</v>
      </c>
      <c r="E117" s="17" t="s">
        <v>242</v>
      </c>
      <c r="F117" s="17" t="s">
        <v>14</v>
      </c>
      <c r="G117" s="17">
        <v>20</v>
      </c>
      <c r="H117" s="17" t="s">
        <v>15</v>
      </c>
      <c r="I117" s="39">
        <v>11</v>
      </c>
      <c r="J117" s="25">
        <v>0</v>
      </c>
      <c r="K117" s="17">
        <f t="shared" si="104"/>
        <v>-20</v>
      </c>
      <c r="L117" s="17">
        <f t="shared" si="105"/>
        <v>0</v>
      </c>
      <c r="M117" s="20">
        <f t="shared" si="106"/>
        <v>0</v>
      </c>
      <c r="N117" s="57">
        <v>8.4</v>
      </c>
      <c r="O117" s="25">
        <v>1</v>
      </c>
      <c r="P117" s="17">
        <f t="shared" si="107"/>
        <v>-19</v>
      </c>
      <c r="Q117" s="17">
        <f t="shared" si="108"/>
        <v>0</v>
      </c>
      <c r="R117" s="20">
        <f t="shared" si="109"/>
        <v>0</v>
      </c>
      <c r="S117" s="57">
        <v>8.4</v>
      </c>
      <c r="T117" s="25">
        <v>1</v>
      </c>
      <c r="U117" s="17">
        <f t="shared" si="110"/>
        <v>-19</v>
      </c>
      <c r="V117" s="17">
        <f t="shared" si="111"/>
        <v>0</v>
      </c>
      <c r="W117" s="20">
        <f t="shared" si="112"/>
        <v>0</v>
      </c>
      <c r="X117" s="57">
        <v>8.4</v>
      </c>
      <c r="Y117" s="25">
        <v>1</v>
      </c>
      <c r="Z117" s="17">
        <f>Y117-G117</f>
        <v>-19</v>
      </c>
      <c r="AA117" s="17">
        <f>IF(Z117&lt;0,0,Y117-G117)</f>
        <v>0</v>
      </c>
      <c r="AB117" s="20">
        <f>AA117*I117/100</f>
        <v>0</v>
      </c>
      <c r="AC117" s="57">
        <v>8.4</v>
      </c>
      <c r="AD117" s="25">
        <v>2</v>
      </c>
      <c r="AE117" s="17">
        <f t="shared" si="113"/>
        <v>-18</v>
      </c>
      <c r="AF117" s="17">
        <f t="shared" si="114"/>
        <v>0</v>
      </c>
      <c r="AG117" s="20">
        <f t="shared" si="115"/>
        <v>0</v>
      </c>
      <c r="AH117" s="49">
        <v>8.4</v>
      </c>
      <c r="AI117" s="42">
        <f t="shared" si="99"/>
        <v>0</v>
      </c>
      <c r="AJ117" s="35">
        <f t="shared" si="100"/>
        <v>0</v>
      </c>
    </row>
    <row r="118" spans="1:36" ht="15.75" thickBot="1" x14ac:dyDescent="0.3">
      <c r="A118" s="31" t="s">
        <v>243</v>
      </c>
      <c r="B118" s="32" t="s">
        <v>17</v>
      </c>
      <c r="C118" s="32" t="s">
        <v>36</v>
      </c>
      <c r="D118" s="32" t="s">
        <v>230</v>
      </c>
      <c r="E118" s="32" t="s">
        <v>244</v>
      </c>
      <c r="F118" s="32" t="s">
        <v>14</v>
      </c>
      <c r="G118" s="32">
        <v>30</v>
      </c>
      <c r="H118" s="32" t="s">
        <v>38</v>
      </c>
      <c r="I118" s="40">
        <v>6.5</v>
      </c>
      <c r="J118" s="31">
        <v>1</v>
      </c>
      <c r="K118" s="32">
        <f t="shared" si="104"/>
        <v>-29</v>
      </c>
      <c r="L118" s="32">
        <f t="shared" si="105"/>
        <v>0</v>
      </c>
      <c r="M118" s="33">
        <f t="shared" si="106"/>
        <v>0</v>
      </c>
      <c r="N118" s="59">
        <v>7.3</v>
      </c>
      <c r="O118" s="31">
        <v>1</v>
      </c>
      <c r="P118" s="32">
        <f t="shared" si="107"/>
        <v>-29</v>
      </c>
      <c r="Q118" s="32">
        <f t="shared" si="108"/>
        <v>0</v>
      </c>
      <c r="R118" s="33">
        <f t="shared" si="109"/>
        <v>0</v>
      </c>
      <c r="S118" s="59">
        <v>7.2</v>
      </c>
      <c r="T118" s="31">
        <v>2</v>
      </c>
      <c r="U118" s="32">
        <f t="shared" si="110"/>
        <v>-28</v>
      </c>
      <c r="V118" s="32">
        <f t="shared" si="111"/>
        <v>0</v>
      </c>
      <c r="W118" s="33">
        <f t="shared" si="112"/>
        <v>0</v>
      </c>
      <c r="X118" s="59">
        <v>7.2</v>
      </c>
      <c r="Y118" s="31">
        <v>52</v>
      </c>
      <c r="Z118" s="32">
        <f>Y118-G118</f>
        <v>22</v>
      </c>
      <c r="AA118" s="32">
        <f>IF(Z118&lt;0,0,Y118-G118)</f>
        <v>22</v>
      </c>
      <c r="AB118" s="33">
        <f>AA118*I118/100</f>
        <v>1.43</v>
      </c>
      <c r="AC118" s="59">
        <v>7.2</v>
      </c>
      <c r="AD118" s="31">
        <v>71</v>
      </c>
      <c r="AE118" s="32">
        <f t="shared" si="113"/>
        <v>41</v>
      </c>
      <c r="AF118" s="32">
        <f t="shared" si="114"/>
        <v>41</v>
      </c>
      <c r="AG118" s="33">
        <f t="shared" si="115"/>
        <v>2.665</v>
      </c>
      <c r="AH118" s="51">
        <v>7.2</v>
      </c>
      <c r="AI118" s="43">
        <f t="shared" si="99"/>
        <v>63</v>
      </c>
      <c r="AJ118" s="36">
        <f t="shared" si="100"/>
        <v>29.484000000000002</v>
      </c>
    </row>
  </sheetData>
  <autoFilter ref="A1:AE1" xr:uid="{00000000-0001-0000-0000-000000000000}"/>
  <mergeCells count="10">
    <mergeCell ref="G1:G2"/>
    <mergeCell ref="H1:H2"/>
    <mergeCell ref="I1:I2"/>
    <mergeCell ref="AI1:AJ1"/>
    <mergeCell ref="A1:A2"/>
    <mergeCell ref="B1:B2"/>
    <mergeCell ref="C1:C2"/>
    <mergeCell ref="D1:D2"/>
    <mergeCell ref="E1:E2"/>
    <mergeCell ref="F1:F2"/>
  </mergeCells>
  <conditionalFormatting sqref="A3:A1048576 A1:I1">
    <cfRule type="duplicateValues" dxfId="29" priority="1"/>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82C3EB-0945-41BA-9EE5-81C238CE96D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Sheet1 (2)</vt:lpstr>
      <vt:lpstr>MyQuery</vt:lpstr>
      <vt:lpstr>Sheet1</vt:lpstr>
      <vt:lpstr>Utilizatori</vt:lpstr>
      <vt:lpstr>Sheet10</vt:lpstr>
      <vt:lpstr>Sheet2</vt:lpstr>
      <vt:lpstr>Sheet1!DestRange</vt:lpstr>
      <vt:lpstr>'Sheet1 (2)'!DestRange</vt:lpstr>
      <vt:lpstr>Utilizatori!DestRange</vt:lpstr>
      <vt:lpstr>DestRange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Vicentiu MINCIOR</dc:creator>
  <cp:lastModifiedBy>Vicentiu MINCIOR</cp:lastModifiedBy>
  <dcterms:created xsi:type="dcterms:W3CDTF">2015-06-05T18:17:20Z</dcterms:created>
  <dcterms:modified xsi:type="dcterms:W3CDTF">2022-10-08T10:18:56Z</dcterms:modified>
</cp:coreProperties>
</file>