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nsolight_RPA\Robots\vanzari-zilnice-vs-target\output\"/>
    </mc:Choice>
  </mc:AlternateContent>
  <xr:revisionPtr revIDLastSave="0" documentId="13_ncr:1_{829D2F4C-190B-4F03-B778-FA6DE81A506F}" xr6:coauthVersionLast="47" xr6:coauthVersionMax="47" xr10:uidLastSave="{00000000-0000-0000-0000-000000000000}"/>
  <bookViews>
    <workbookView xWindow="-28920" yWindow="-120" windowWidth="29040" windowHeight="15990" tabRatio="936" activeTab="2" xr2:uid="{6FF3A1CD-0106-4979-B441-08EA7F625044}"/>
  </bookViews>
  <sheets>
    <sheet name="BIExport" sheetId="6" r:id="rId1"/>
    <sheet name="MyQuery" sheetId="239" r:id="rId2"/>
    <sheet name="Target per Agent" sheetId="238" r:id="rId3"/>
  </sheets>
  <definedNames>
    <definedName name="_xlnm._FilterDatabase" localSheetId="2" hidden="1">'Target per Agent'!$B$4:$L$79</definedName>
    <definedName name="DestRange">BIExport!$A$1:$G$73</definedName>
    <definedName name="ExternalData_1" localSheetId="1" hidden="1">MyQuery!$A$1:$F$52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238" l="1"/>
  <c r="AM79" i="238"/>
  <c r="AJ79" i="238"/>
  <c r="AG79" i="238"/>
  <c r="AD79" i="238"/>
  <c r="AA79" i="238"/>
  <c r="X79" i="238"/>
  <c r="U79" i="238"/>
  <c r="R79" i="238"/>
  <c r="O79" i="238"/>
  <c r="L79" i="238"/>
  <c r="I79" i="238"/>
  <c r="F79" i="238"/>
  <c r="AM78" i="238"/>
  <c r="AJ78" i="238"/>
  <c r="AG78" i="238"/>
  <c r="AD78" i="238"/>
  <c r="AA78" i="238"/>
  <c r="X78" i="238"/>
  <c r="U78" i="238"/>
  <c r="R78" i="238"/>
  <c r="O78" i="238"/>
  <c r="L78" i="238"/>
  <c r="I78" i="238"/>
  <c r="F78" i="238"/>
  <c r="AM77" i="238"/>
  <c r="AJ77" i="238"/>
  <c r="AG77" i="238"/>
  <c r="AD77" i="238"/>
  <c r="AA77" i="238"/>
  <c r="X77" i="238"/>
  <c r="U77" i="238"/>
  <c r="R77" i="238"/>
  <c r="O77" i="238"/>
  <c r="L77" i="238"/>
  <c r="I77" i="238"/>
  <c r="F77" i="238"/>
  <c r="AM76" i="238"/>
  <c r="AJ76" i="238"/>
  <c r="AG76" i="238"/>
  <c r="AD76" i="238"/>
  <c r="AA76" i="238"/>
  <c r="X76" i="238"/>
  <c r="U76" i="238"/>
  <c r="R76" i="238"/>
  <c r="O76" i="238"/>
  <c r="L76" i="238"/>
  <c r="I76" i="238"/>
  <c r="F76" i="238"/>
  <c r="AM75" i="238"/>
  <c r="AJ75" i="238"/>
  <c r="AG75" i="238"/>
  <c r="AD75" i="238"/>
  <c r="AA75" i="238"/>
  <c r="X75" i="238"/>
  <c r="U75" i="238"/>
  <c r="R75" i="238"/>
  <c r="O75" i="238"/>
  <c r="L75" i="238"/>
  <c r="I75" i="238"/>
  <c r="F75" i="238"/>
  <c r="AM74" i="238"/>
  <c r="AJ74" i="238"/>
  <c r="AG74" i="238"/>
  <c r="AD74" i="238"/>
  <c r="AA74" i="238"/>
  <c r="X74" i="238"/>
  <c r="U74" i="238"/>
  <c r="R74" i="238"/>
  <c r="O74" i="238"/>
  <c r="L74" i="238"/>
  <c r="I74" i="238"/>
  <c r="F74" i="238"/>
  <c r="AM73" i="238"/>
  <c r="AJ73" i="238"/>
  <c r="AG73" i="238"/>
  <c r="AD73" i="238"/>
  <c r="AA73" i="238"/>
  <c r="X73" i="238"/>
  <c r="U73" i="238"/>
  <c r="R73" i="238"/>
  <c r="O73" i="238"/>
  <c r="L73" i="238"/>
  <c r="I73" i="238"/>
  <c r="F73" i="238"/>
  <c r="AM72" i="238"/>
  <c r="AJ72" i="238"/>
  <c r="AG72" i="238"/>
  <c r="AD72" i="238"/>
  <c r="AA72" i="238"/>
  <c r="X72" i="238"/>
  <c r="U72" i="238"/>
  <c r="R72" i="238"/>
  <c r="O72" i="238"/>
  <c r="L72" i="238"/>
  <c r="I72" i="238"/>
  <c r="F72" i="238"/>
  <c r="AM71" i="238"/>
  <c r="AJ71" i="238"/>
  <c r="AG71" i="238"/>
  <c r="AD71" i="238"/>
  <c r="AA71" i="238"/>
  <c r="X71" i="238"/>
  <c r="U71" i="238"/>
  <c r="R71" i="238"/>
  <c r="O71" i="238"/>
  <c r="L71" i="238"/>
  <c r="I71" i="238"/>
  <c r="F71" i="238"/>
  <c r="AM70" i="238"/>
  <c r="AJ70" i="238"/>
  <c r="AG70" i="238"/>
  <c r="AD70" i="238"/>
  <c r="AA70" i="238"/>
  <c r="X70" i="238"/>
  <c r="U70" i="238"/>
  <c r="R70" i="238"/>
  <c r="O70" i="238"/>
  <c r="L70" i="238"/>
  <c r="I70" i="238"/>
  <c r="F70" i="238"/>
  <c r="AM69" i="238"/>
  <c r="AJ69" i="238"/>
  <c r="AG69" i="238"/>
  <c r="AD69" i="238"/>
  <c r="AA69" i="238"/>
  <c r="X69" i="238"/>
  <c r="U69" i="238"/>
  <c r="R69" i="238"/>
  <c r="O69" i="238"/>
  <c r="L69" i="238"/>
  <c r="I69" i="238"/>
  <c r="F69" i="238"/>
  <c r="AM68" i="238"/>
  <c r="AJ68" i="238"/>
  <c r="AG68" i="238"/>
  <c r="AD68" i="238"/>
  <c r="AA68" i="238"/>
  <c r="X68" i="238"/>
  <c r="U68" i="238"/>
  <c r="R68" i="238"/>
  <c r="O68" i="238"/>
  <c r="L68" i="238"/>
  <c r="I68" i="238"/>
  <c r="F68" i="238"/>
  <c r="AM67" i="238"/>
  <c r="AJ67" i="238"/>
  <c r="AG67" i="238"/>
  <c r="AD67" i="238"/>
  <c r="AA67" i="238"/>
  <c r="X67" i="238"/>
  <c r="U67" i="238"/>
  <c r="R67" i="238"/>
  <c r="O67" i="238"/>
  <c r="L67" i="238"/>
  <c r="I67" i="238"/>
  <c r="F67" i="238"/>
  <c r="AM66" i="238"/>
  <c r="AJ66" i="238"/>
  <c r="AG66" i="238"/>
  <c r="AD66" i="238"/>
  <c r="AA66" i="238"/>
  <c r="X66" i="238"/>
  <c r="U66" i="238"/>
  <c r="R66" i="238"/>
  <c r="O66" i="238"/>
  <c r="L66" i="238"/>
  <c r="I66" i="238"/>
  <c r="F66" i="238"/>
  <c r="AM65" i="238"/>
  <c r="AJ65" i="238"/>
  <c r="AG65" i="238"/>
  <c r="AD65" i="238"/>
  <c r="AA65" i="238"/>
  <c r="X65" i="238"/>
  <c r="U65" i="238"/>
  <c r="R65" i="238"/>
  <c r="O65" i="238"/>
  <c r="L65" i="238"/>
  <c r="I65" i="238"/>
  <c r="F65" i="238"/>
  <c r="AM64" i="238"/>
  <c r="AJ64" i="238"/>
  <c r="AG64" i="238"/>
  <c r="AD64" i="238"/>
  <c r="AA64" i="238"/>
  <c r="X64" i="238"/>
  <c r="U64" i="238"/>
  <c r="R64" i="238"/>
  <c r="O64" i="238"/>
  <c r="L64" i="238"/>
  <c r="I64" i="238"/>
  <c r="F64" i="238"/>
  <c r="AM63" i="238"/>
  <c r="AJ63" i="238"/>
  <c r="AG63" i="238"/>
  <c r="AD63" i="238"/>
  <c r="AA63" i="238"/>
  <c r="X63" i="238"/>
  <c r="U63" i="238"/>
  <c r="R63" i="238"/>
  <c r="O63" i="238"/>
  <c r="L63" i="238"/>
  <c r="I63" i="238"/>
  <c r="F63" i="238"/>
  <c r="AM62" i="238"/>
  <c r="AJ62" i="238"/>
  <c r="AG62" i="238"/>
  <c r="AD62" i="238"/>
  <c r="AA62" i="238"/>
  <c r="X62" i="238"/>
  <c r="U62" i="238"/>
  <c r="R62" i="238"/>
  <c r="O62" i="238"/>
  <c r="L62" i="238"/>
  <c r="I62" i="238"/>
  <c r="F62" i="238"/>
  <c r="AM61" i="238"/>
  <c r="AJ61" i="238"/>
  <c r="AG61" i="238"/>
  <c r="AD61" i="238"/>
  <c r="AA61" i="238"/>
  <c r="X61" i="238"/>
  <c r="U61" i="238"/>
  <c r="R61" i="238"/>
  <c r="O61" i="238"/>
  <c r="L61" i="238"/>
  <c r="I61" i="238"/>
  <c r="F61" i="238"/>
  <c r="AM60" i="238"/>
  <c r="AJ60" i="238"/>
  <c r="AG60" i="238"/>
  <c r="AD60" i="238"/>
  <c r="AA60" i="238"/>
  <c r="X60" i="238"/>
  <c r="U60" i="238"/>
  <c r="R60" i="238"/>
  <c r="O60" i="238"/>
  <c r="L60" i="238"/>
  <c r="I60" i="238"/>
  <c r="F60" i="238"/>
  <c r="AM59" i="238"/>
  <c r="AJ59" i="238"/>
  <c r="AG59" i="238"/>
  <c r="AD59" i="238"/>
  <c r="AA59" i="238"/>
  <c r="X59" i="238"/>
  <c r="U59" i="238"/>
  <c r="R59" i="238"/>
  <c r="O59" i="238"/>
  <c r="L59" i="238"/>
  <c r="I59" i="238"/>
  <c r="F59" i="238"/>
  <c r="AM58" i="238"/>
  <c r="AJ58" i="238"/>
  <c r="AG58" i="238"/>
  <c r="AD58" i="238"/>
  <c r="AA58" i="238"/>
  <c r="X58" i="238"/>
  <c r="U58" i="238"/>
  <c r="R58" i="238"/>
  <c r="O58" i="238"/>
  <c r="L58" i="238"/>
  <c r="I58" i="238"/>
  <c r="F58" i="238"/>
  <c r="AM57" i="238"/>
  <c r="AJ57" i="238"/>
  <c r="AG57" i="238"/>
  <c r="AD57" i="238"/>
  <c r="AA57" i="238"/>
  <c r="X57" i="238"/>
  <c r="U57" i="238"/>
  <c r="R57" i="238"/>
  <c r="O57" i="238"/>
  <c r="L57" i="238"/>
  <c r="I57" i="238"/>
  <c r="F57" i="238"/>
  <c r="AM56" i="238"/>
  <c r="AJ56" i="238"/>
  <c r="AG56" i="238"/>
  <c r="AD56" i="238"/>
  <c r="AA56" i="238"/>
  <c r="X56" i="238"/>
  <c r="U56" i="238"/>
  <c r="R56" i="238"/>
  <c r="O56" i="238"/>
  <c r="L56" i="238"/>
  <c r="I56" i="238"/>
  <c r="F56" i="238"/>
  <c r="AM55" i="238"/>
  <c r="AJ55" i="238"/>
  <c r="AG55" i="238"/>
  <c r="AD55" i="238"/>
  <c r="AA55" i="238"/>
  <c r="X55" i="238"/>
  <c r="U55" i="238"/>
  <c r="R55" i="238"/>
  <c r="O55" i="238"/>
  <c r="L55" i="238"/>
  <c r="I55" i="238"/>
  <c r="F55" i="238"/>
  <c r="AM54" i="238"/>
  <c r="AJ54" i="238"/>
  <c r="AG54" i="238"/>
  <c r="AD54" i="238"/>
  <c r="AA54" i="238"/>
  <c r="X54" i="238"/>
  <c r="U54" i="238"/>
  <c r="R54" i="238"/>
  <c r="O54" i="238"/>
  <c r="L54" i="238"/>
  <c r="I54" i="238"/>
  <c r="F54" i="238"/>
  <c r="AM53" i="238"/>
  <c r="AJ53" i="238"/>
  <c r="AG53" i="238"/>
  <c r="AD53" i="238"/>
  <c r="AA53" i="238"/>
  <c r="X53" i="238"/>
  <c r="U53" i="238"/>
  <c r="R53" i="238"/>
  <c r="O53" i="238"/>
  <c r="L53" i="238"/>
  <c r="I53" i="238"/>
  <c r="F53" i="238"/>
  <c r="AM52" i="238"/>
  <c r="AJ52" i="238"/>
  <c r="AG52" i="238"/>
  <c r="AD52" i="238"/>
  <c r="AA52" i="238"/>
  <c r="X52" i="238"/>
  <c r="U52" i="238"/>
  <c r="R52" i="238"/>
  <c r="O52" i="238"/>
  <c r="L52" i="238"/>
  <c r="I52" i="238"/>
  <c r="F52" i="238"/>
  <c r="AM51" i="238"/>
  <c r="AJ51" i="238"/>
  <c r="AG51" i="238"/>
  <c r="AD51" i="238"/>
  <c r="AA51" i="238"/>
  <c r="X51" i="238"/>
  <c r="U51" i="238"/>
  <c r="R51" i="238"/>
  <c r="O51" i="238"/>
  <c r="L51" i="238"/>
  <c r="I51" i="238"/>
  <c r="F51" i="238"/>
  <c r="AM50" i="238"/>
  <c r="AJ50" i="238"/>
  <c r="AG50" i="238"/>
  <c r="AD50" i="238"/>
  <c r="AA50" i="238"/>
  <c r="X50" i="238"/>
  <c r="U50" i="238"/>
  <c r="R50" i="238"/>
  <c r="O50" i="238"/>
  <c r="L50" i="238"/>
  <c r="I50" i="238"/>
  <c r="F50" i="238"/>
  <c r="AM49" i="238"/>
  <c r="AJ49" i="238"/>
  <c r="AG49" i="238"/>
  <c r="AD49" i="238"/>
  <c r="AA49" i="238"/>
  <c r="X49" i="238"/>
  <c r="U49" i="238"/>
  <c r="R49" i="238"/>
  <c r="O49" i="238"/>
  <c r="L49" i="238"/>
  <c r="I49" i="238"/>
  <c r="F49" i="238"/>
  <c r="AM48" i="238"/>
  <c r="AJ48" i="238"/>
  <c r="AG48" i="238"/>
  <c r="AD48" i="238"/>
  <c r="AA48" i="238"/>
  <c r="X48" i="238"/>
  <c r="U48" i="238"/>
  <c r="R48" i="238"/>
  <c r="O48" i="238"/>
  <c r="L48" i="238"/>
  <c r="I48" i="238"/>
  <c r="F48" i="238"/>
  <c r="AM47" i="238"/>
  <c r="AJ47" i="238"/>
  <c r="AG47" i="238"/>
  <c r="AD47" i="238"/>
  <c r="AA47" i="238"/>
  <c r="X47" i="238"/>
  <c r="U47" i="238"/>
  <c r="R47" i="238"/>
  <c r="O47" i="238"/>
  <c r="L47" i="238"/>
  <c r="I47" i="238"/>
  <c r="F47" i="238"/>
  <c r="AM46" i="238"/>
  <c r="AJ46" i="238"/>
  <c r="AG46" i="238"/>
  <c r="AD46" i="238"/>
  <c r="AA46" i="238"/>
  <c r="X46" i="238"/>
  <c r="U46" i="238"/>
  <c r="R46" i="238"/>
  <c r="O46" i="238"/>
  <c r="L46" i="238"/>
  <c r="I46" i="238"/>
  <c r="F46" i="238"/>
  <c r="AM45" i="238"/>
  <c r="AJ45" i="238"/>
  <c r="AG45" i="238"/>
  <c r="AD45" i="238"/>
  <c r="AA45" i="238"/>
  <c r="X45" i="238"/>
  <c r="U45" i="238"/>
  <c r="R45" i="238"/>
  <c r="O45" i="238"/>
  <c r="L45" i="238"/>
  <c r="I45" i="238"/>
  <c r="F45" i="238"/>
  <c r="AM44" i="238"/>
  <c r="AJ44" i="238"/>
  <c r="AG44" i="238"/>
  <c r="AD44" i="238"/>
  <c r="AA44" i="238"/>
  <c r="X44" i="238"/>
  <c r="U44" i="238"/>
  <c r="R44" i="238"/>
  <c r="O44" i="238"/>
  <c r="L44" i="238"/>
  <c r="I44" i="238"/>
  <c r="F44" i="238"/>
  <c r="AM43" i="238"/>
  <c r="AJ43" i="238"/>
  <c r="AG43" i="238"/>
  <c r="AD43" i="238"/>
  <c r="AA43" i="238"/>
  <c r="X43" i="238"/>
  <c r="U43" i="238"/>
  <c r="R43" i="238"/>
  <c r="O43" i="238"/>
  <c r="L43" i="238"/>
  <c r="I43" i="238"/>
  <c r="F43" i="238"/>
  <c r="AM42" i="238"/>
  <c r="AJ42" i="238"/>
  <c r="AG42" i="238"/>
  <c r="AD42" i="238"/>
  <c r="AA42" i="238"/>
  <c r="X42" i="238"/>
  <c r="U42" i="238"/>
  <c r="R42" i="238"/>
  <c r="O42" i="238"/>
  <c r="L42" i="238"/>
  <c r="I42" i="238"/>
  <c r="F42" i="238"/>
  <c r="AM41" i="238"/>
  <c r="AJ41" i="238"/>
  <c r="AG41" i="238"/>
  <c r="AD41" i="238"/>
  <c r="AA41" i="238"/>
  <c r="X41" i="238"/>
  <c r="U41" i="238"/>
  <c r="R41" i="238"/>
  <c r="O41" i="238"/>
  <c r="L41" i="238"/>
  <c r="I41" i="238"/>
  <c r="F41" i="238"/>
  <c r="AM40" i="238"/>
  <c r="AJ40" i="238"/>
  <c r="AG40" i="238"/>
  <c r="AD40" i="238"/>
  <c r="AA40" i="238"/>
  <c r="X40" i="238"/>
  <c r="U40" i="238"/>
  <c r="R40" i="238"/>
  <c r="O40" i="238"/>
  <c r="L40" i="238"/>
  <c r="I40" i="238"/>
  <c r="F40" i="238"/>
  <c r="AM39" i="238"/>
  <c r="AJ39" i="238"/>
  <c r="AG39" i="238"/>
  <c r="AD39" i="238"/>
  <c r="AA39" i="238"/>
  <c r="X39" i="238"/>
  <c r="U39" i="238"/>
  <c r="R39" i="238"/>
  <c r="O39" i="238"/>
  <c r="L39" i="238"/>
  <c r="I39" i="238"/>
  <c r="F39" i="238"/>
  <c r="AM38" i="238"/>
  <c r="AJ38" i="238"/>
  <c r="AG38" i="238"/>
  <c r="AD38" i="238"/>
  <c r="AA38" i="238"/>
  <c r="X38" i="238"/>
  <c r="U38" i="238"/>
  <c r="R38" i="238"/>
  <c r="O38" i="238"/>
  <c r="L38" i="238"/>
  <c r="I38" i="238"/>
  <c r="F38" i="238"/>
  <c r="AM37" i="238"/>
  <c r="AJ37" i="238"/>
  <c r="AG37" i="238"/>
  <c r="AD37" i="238"/>
  <c r="AA37" i="238"/>
  <c r="X37" i="238"/>
  <c r="U37" i="238"/>
  <c r="R37" i="238"/>
  <c r="O37" i="238"/>
  <c r="L37" i="238"/>
  <c r="I37" i="238"/>
  <c r="F37" i="238"/>
  <c r="AM36" i="238"/>
  <c r="AJ36" i="238"/>
  <c r="AG36" i="238"/>
  <c r="AD36" i="238"/>
  <c r="AA36" i="238"/>
  <c r="X36" i="238"/>
  <c r="U36" i="238"/>
  <c r="R36" i="238"/>
  <c r="O36" i="238"/>
  <c r="L36" i="238"/>
  <c r="I36" i="238"/>
  <c r="F36" i="238"/>
  <c r="AM35" i="238"/>
  <c r="AJ35" i="238"/>
  <c r="AG35" i="238"/>
  <c r="AD35" i="238"/>
  <c r="AA35" i="238"/>
  <c r="X35" i="238"/>
  <c r="U35" i="238"/>
  <c r="R35" i="238"/>
  <c r="O35" i="238"/>
  <c r="L35" i="238"/>
  <c r="I35" i="238"/>
  <c r="F35" i="238"/>
  <c r="AM34" i="238"/>
  <c r="AJ34" i="238"/>
  <c r="AG34" i="238"/>
  <c r="AD34" i="238"/>
  <c r="AA34" i="238"/>
  <c r="X34" i="238"/>
  <c r="U34" i="238"/>
  <c r="R34" i="238"/>
  <c r="O34" i="238"/>
  <c r="L34" i="238"/>
  <c r="I34" i="238"/>
  <c r="F34" i="238"/>
  <c r="AM33" i="238"/>
  <c r="AJ33" i="238"/>
  <c r="AG33" i="238"/>
  <c r="AD33" i="238"/>
  <c r="AA33" i="238"/>
  <c r="X33" i="238"/>
  <c r="U33" i="238"/>
  <c r="R33" i="238"/>
  <c r="O33" i="238"/>
  <c r="L33" i="238"/>
  <c r="I33" i="238"/>
  <c r="F33" i="238"/>
  <c r="AM32" i="238"/>
  <c r="AJ32" i="238"/>
  <c r="AG32" i="238"/>
  <c r="AD32" i="238"/>
  <c r="AA32" i="238"/>
  <c r="X32" i="238"/>
  <c r="U32" i="238"/>
  <c r="R32" i="238"/>
  <c r="O32" i="238"/>
  <c r="L32" i="238"/>
  <c r="I32" i="238"/>
  <c r="F32" i="238"/>
  <c r="AM31" i="238"/>
  <c r="AJ31" i="238"/>
  <c r="AG31" i="238"/>
  <c r="AD31" i="238"/>
  <c r="AA31" i="238"/>
  <c r="X31" i="238"/>
  <c r="U31" i="238"/>
  <c r="R31" i="238"/>
  <c r="O31" i="238"/>
  <c r="L31" i="238"/>
  <c r="I31" i="238"/>
  <c r="F31" i="238"/>
  <c r="AM30" i="238"/>
  <c r="AJ30" i="238"/>
  <c r="AG30" i="238"/>
  <c r="AD30" i="238"/>
  <c r="AA30" i="238"/>
  <c r="X30" i="238"/>
  <c r="U30" i="238"/>
  <c r="R30" i="238"/>
  <c r="O30" i="238"/>
  <c r="L30" i="238"/>
  <c r="I30" i="238"/>
  <c r="F30" i="238"/>
  <c r="AM29" i="238"/>
  <c r="AJ29" i="238"/>
  <c r="AG29" i="238"/>
  <c r="AD29" i="238"/>
  <c r="AA29" i="238"/>
  <c r="X29" i="238"/>
  <c r="U29" i="238"/>
  <c r="R29" i="238"/>
  <c r="O29" i="238"/>
  <c r="L29" i="238"/>
  <c r="I29" i="238"/>
  <c r="F29" i="238"/>
  <c r="AM28" i="238"/>
  <c r="AJ28" i="238"/>
  <c r="AG28" i="238"/>
  <c r="AD28" i="238"/>
  <c r="AA28" i="238"/>
  <c r="X28" i="238"/>
  <c r="U28" i="238"/>
  <c r="R28" i="238"/>
  <c r="O28" i="238"/>
  <c r="L28" i="238"/>
  <c r="I28" i="238"/>
  <c r="F28" i="238"/>
  <c r="AM27" i="238"/>
  <c r="AJ27" i="238"/>
  <c r="AG27" i="238"/>
  <c r="AD27" i="238"/>
  <c r="AA27" i="238"/>
  <c r="X27" i="238"/>
  <c r="U27" i="238"/>
  <c r="R27" i="238"/>
  <c r="O27" i="238"/>
  <c r="L27" i="238"/>
  <c r="I27" i="238"/>
  <c r="F27" i="238"/>
  <c r="AM26" i="238"/>
  <c r="AJ26" i="238"/>
  <c r="AG26" i="238"/>
  <c r="AD26" i="238"/>
  <c r="AA26" i="238"/>
  <c r="X26" i="238"/>
  <c r="U26" i="238"/>
  <c r="R26" i="238"/>
  <c r="O26" i="238"/>
  <c r="L26" i="238"/>
  <c r="I26" i="238"/>
  <c r="F26" i="238"/>
  <c r="AM25" i="238"/>
  <c r="AJ25" i="238"/>
  <c r="AG25" i="238"/>
  <c r="AD25" i="238"/>
  <c r="AA25" i="238"/>
  <c r="X25" i="238"/>
  <c r="U25" i="238"/>
  <c r="R25" i="238"/>
  <c r="O25" i="238"/>
  <c r="L25" i="238"/>
  <c r="I25" i="238"/>
  <c r="F25" i="238"/>
  <c r="AM24" i="238"/>
  <c r="AJ24" i="238"/>
  <c r="AG24" i="238"/>
  <c r="AD24" i="238"/>
  <c r="AA24" i="238"/>
  <c r="X24" i="238"/>
  <c r="U24" i="238"/>
  <c r="R24" i="238"/>
  <c r="O24" i="238"/>
  <c r="L24" i="238"/>
  <c r="I24" i="238"/>
  <c r="F24" i="238"/>
  <c r="AM23" i="238"/>
  <c r="AJ23" i="238"/>
  <c r="AG23" i="238"/>
  <c r="AD23" i="238"/>
  <c r="AA23" i="238"/>
  <c r="X23" i="238"/>
  <c r="U23" i="238"/>
  <c r="R23" i="238"/>
  <c r="O23" i="238"/>
  <c r="L23" i="238"/>
  <c r="I23" i="238"/>
  <c r="F23" i="238"/>
  <c r="AM22" i="238"/>
  <c r="AJ22" i="238"/>
  <c r="AG22" i="238"/>
  <c r="AD22" i="238"/>
  <c r="AA22" i="238"/>
  <c r="X22" i="238"/>
  <c r="U22" i="238"/>
  <c r="R22" i="238"/>
  <c r="O22" i="238"/>
  <c r="L22" i="238"/>
  <c r="I22" i="238"/>
  <c r="F22" i="238"/>
  <c r="AM21" i="238"/>
  <c r="AJ21" i="238"/>
  <c r="AG21" i="238"/>
  <c r="AD21" i="238"/>
  <c r="AA21" i="238"/>
  <c r="X21" i="238"/>
  <c r="U21" i="238"/>
  <c r="R21" i="238"/>
  <c r="O21" i="238"/>
  <c r="L21" i="238"/>
  <c r="I21" i="238"/>
  <c r="F21" i="238"/>
  <c r="AM20" i="238"/>
  <c r="AJ20" i="238"/>
  <c r="AG20" i="238"/>
  <c r="AD20" i="238"/>
  <c r="AA20" i="238"/>
  <c r="X20" i="238"/>
  <c r="U20" i="238"/>
  <c r="R20" i="238"/>
  <c r="O20" i="238"/>
  <c r="L20" i="238"/>
  <c r="I20" i="238"/>
  <c r="F20" i="238"/>
  <c r="AM19" i="238"/>
  <c r="AJ19" i="238"/>
  <c r="AG19" i="238"/>
  <c r="AD19" i="238"/>
  <c r="AA19" i="238"/>
  <c r="X19" i="238"/>
  <c r="U19" i="238"/>
  <c r="R19" i="238"/>
  <c r="O19" i="238"/>
  <c r="L19" i="238"/>
  <c r="I19" i="238"/>
  <c r="F19" i="238"/>
  <c r="AM18" i="238"/>
  <c r="AJ18" i="238"/>
  <c r="AG18" i="238"/>
  <c r="AD18" i="238"/>
  <c r="AA18" i="238"/>
  <c r="X18" i="238"/>
  <c r="U18" i="238"/>
  <c r="R18" i="238"/>
  <c r="O18" i="238"/>
  <c r="L18" i="238"/>
  <c r="I18" i="238"/>
  <c r="F18" i="238"/>
  <c r="AM17" i="238"/>
  <c r="AJ17" i="238"/>
  <c r="AG17" i="238"/>
  <c r="AD17" i="238"/>
  <c r="AA17" i="238"/>
  <c r="X17" i="238"/>
  <c r="U17" i="238"/>
  <c r="R17" i="238"/>
  <c r="O17" i="238"/>
  <c r="L17" i="238"/>
  <c r="I17" i="238"/>
  <c r="F17" i="238"/>
  <c r="AM16" i="238"/>
  <c r="AJ16" i="238"/>
  <c r="AG16" i="238"/>
  <c r="AD16" i="238"/>
  <c r="AA16" i="238"/>
  <c r="X16" i="238"/>
  <c r="U16" i="238"/>
  <c r="R16" i="238"/>
  <c r="O16" i="238"/>
  <c r="L16" i="238"/>
  <c r="I16" i="238"/>
  <c r="F16" i="238"/>
  <c r="AM15" i="238"/>
  <c r="AJ15" i="238"/>
  <c r="AG15" i="238"/>
  <c r="AD15" i="238"/>
  <c r="AA15" i="238"/>
  <c r="X15" i="238"/>
  <c r="U15" i="238"/>
  <c r="R15" i="238"/>
  <c r="O15" i="238"/>
  <c r="L15" i="238"/>
  <c r="I15" i="238"/>
  <c r="F15" i="238"/>
  <c r="AM14" i="238"/>
  <c r="AJ14" i="238"/>
  <c r="AG14" i="238"/>
  <c r="AD14" i="238"/>
  <c r="AA14" i="238"/>
  <c r="X14" i="238"/>
  <c r="U14" i="238"/>
  <c r="R14" i="238"/>
  <c r="O14" i="238"/>
  <c r="L14" i="238"/>
  <c r="I14" i="238"/>
  <c r="F14" i="238"/>
  <c r="AM13" i="238"/>
  <c r="AJ13" i="238"/>
  <c r="AG13" i="238"/>
  <c r="AD13" i="238"/>
  <c r="AA13" i="238"/>
  <c r="X13" i="238"/>
  <c r="U13" i="238"/>
  <c r="R13" i="238"/>
  <c r="O13" i="238"/>
  <c r="L13" i="238"/>
  <c r="I13" i="238"/>
  <c r="F13" i="238"/>
  <c r="AM12" i="238"/>
  <c r="AJ12" i="238"/>
  <c r="AG12" i="238"/>
  <c r="AD12" i="238"/>
  <c r="AA12" i="238"/>
  <c r="X12" i="238"/>
  <c r="U12" i="238"/>
  <c r="R12" i="238"/>
  <c r="O12" i="238"/>
  <c r="L12" i="238"/>
  <c r="I12" i="238"/>
  <c r="F12" i="238"/>
  <c r="AM11" i="238"/>
  <c r="AJ11" i="238"/>
  <c r="AG11" i="238"/>
  <c r="AD11" i="238"/>
  <c r="AA11" i="238"/>
  <c r="X11" i="238"/>
  <c r="U11" i="238"/>
  <c r="R11" i="238"/>
  <c r="O11" i="238"/>
  <c r="L11" i="238"/>
  <c r="I11" i="238"/>
  <c r="F11" i="238"/>
  <c r="AM10" i="238"/>
  <c r="AJ10" i="238"/>
  <c r="AG10" i="238"/>
  <c r="AD10" i="238"/>
  <c r="AA10" i="238"/>
  <c r="X10" i="238"/>
  <c r="U10" i="238"/>
  <c r="R10" i="238"/>
  <c r="O10" i="238"/>
  <c r="L10" i="238"/>
  <c r="I10" i="238"/>
  <c r="F10" i="238"/>
  <c r="AM9" i="238"/>
  <c r="AJ9" i="238"/>
  <c r="AG9" i="238"/>
  <c r="AD9" i="238"/>
  <c r="AA9" i="238"/>
  <c r="X9" i="238"/>
  <c r="U9" i="238"/>
  <c r="R9" i="238"/>
  <c r="O9" i="238"/>
  <c r="L9" i="238"/>
  <c r="I9" i="238"/>
  <c r="F9" i="238"/>
  <c r="AM8" i="238"/>
  <c r="AJ8" i="238"/>
  <c r="AG8" i="238"/>
  <c r="AD8" i="238"/>
  <c r="AA8" i="238"/>
  <c r="X8" i="238"/>
  <c r="U8" i="238"/>
  <c r="R8" i="238"/>
  <c r="O8" i="238"/>
  <c r="L8" i="238"/>
  <c r="I8" i="238"/>
  <c r="F8" i="238"/>
  <c r="AM7" i="238"/>
  <c r="AJ7" i="238"/>
  <c r="AG7" i="238"/>
  <c r="AD7" i="238"/>
  <c r="AA7" i="238"/>
  <c r="X7" i="238"/>
  <c r="U7" i="238"/>
  <c r="R7" i="238"/>
  <c r="O7" i="238"/>
  <c r="L7" i="238"/>
  <c r="I7" i="238"/>
  <c r="F7" i="238"/>
  <c r="AM6" i="238"/>
  <c r="AJ6" i="238"/>
  <c r="AG6" i="238"/>
  <c r="AD6" i="238"/>
  <c r="AA6" i="238"/>
  <c r="X6" i="238"/>
  <c r="U6" i="238"/>
  <c r="R6" i="238"/>
  <c r="O6" i="238"/>
  <c r="L6" i="238"/>
  <c r="I6" i="238"/>
  <c r="F6" i="238"/>
  <c r="AM5" i="238"/>
  <c r="AJ5" i="238"/>
  <c r="AG5" i="238"/>
  <c r="AD5" i="238"/>
  <c r="AA5" i="238"/>
  <c r="X5" i="238"/>
  <c r="U5" i="238"/>
  <c r="R5" i="238"/>
  <c r="O5" i="238"/>
  <c r="L5" i="238"/>
  <c r="I5" i="238"/>
  <c r="F5" i="2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B158AB-38E0-45FB-9961-D4AA3F28F15F}" keepAlive="1" name="Connection" type="5" refreshedVersion="8" background="1" saveData="1">
    <dbPr connection="Provider=Microsoft.Mashup.OleDb.1;Data Source=$Workbook$;Location=MyQuery;Extended Properties=&quot;&quot;" command="SELECT * FROM [MyQuery]"/>
  </connection>
</connections>
</file>

<file path=xl/sharedStrings.xml><?xml version="1.0" encoding="utf-8"?>
<sst xmlns="http://schemas.openxmlformats.org/spreadsheetml/2006/main" count="558" uniqueCount="133">
  <si>
    <t>DENUMIRE AGENT</t>
  </si>
  <si>
    <t>IAN</t>
  </si>
  <si>
    <t>FEB</t>
  </si>
  <si>
    <t>APR</t>
  </si>
  <si>
    <t>MAI</t>
  </si>
  <si>
    <t>MAR</t>
  </si>
  <si>
    <t>IUN</t>
  </si>
  <si>
    <t>IUL</t>
  </si>
  <si>
    <t>OCT</t>
  </si>
  <si>
    <t>NOV</t>
  </si>
  <si>
    <t>DEC</t>
  </si>
  <si>
    <t>Filiala</t>
  </si>
  <si>
    <t>Cluj</t>
  </si>
  <si>
    <t>Marius Neaga</t>
  </si>
  <si>
    <t>Valentin Socaci</t>
  </si>
  <si>
    <t>Daniel Chiru</t>
  </si>
  <si>
    <t>Francisc Szabo</t>
  </si>
  <si>
    <t>Cristian Trinca</t>
  </si>
  <si>
    <t>Cristian Muntean</t>
  </si>
  <si>
    <t>Brasov</t>
  </si>
  <si>
    <t>Cristian Chiriac</t>
  </si>
  <si>
    <t>Florin Leonte</t>
  </si>
  <si>
    <t>Csaba Budai</t>
  </si>
  <si>
    <t>Iasi</t>
  </si>
  <si>
    <t>Iulian Padurariu</t>
  </si>
  <si>
    <t>Lucian Furtuna</t>
  </si>
  <si>
    <t>Bogdan Bursuc</t>
  </si>
  <si>
    <t>Georgiana Iancu</t>
  </si>
  <si>
    <t>Craiova</t>
  </si>
  <si>
    <t>Nicu Craciun</t>
  </si>
  <si>
    <t>Cosmin Dinu</t>
  </si>
  <si>
    <t>Liviu Mangheru</t>
  </si>
  <si>
    <t>Vicentiu Tica</t>
  </si>
  <si>
    <t>Cristian Prajea</t>
  </si>
  <si>
    <t>Constanta</t>
  </si>
  <si>
    <t>Vasile Dragomir</t>
  </si>
  <si>
    <t>Gabriel Gheorghe</t>
  </si>
  <si>
    <t>Ciprian Mamaliga</t>
  </si>
  <si>
    <t>Daniel Petrescu</t>
  </si>
  <si>
    <t>Andrei Filip</t>
  </si>
  <si>
    <t>Bogdan Mavrodin</t>
  </si>
  <si>
    <t>Stefanut Fratila</t>
  </si>
  <si>
    <t>Bucuresti</t>
  </si>
  <si>
    <t>Sorin Dragan</t>
  </si>
  <si>
    <t>Catalin Bursuc</t>
  </si>
  <si>
    <t>Bogdan Gheorghe</t>
  </si>
  <si>
    <t>Florin Costescu</t>
  </si>
  <si>
    <t>Catalin Stefanescu</t>
  </si>
  <si>
    <t>Adrian Armanu</t>
  </si>
  <si>
    <t>Daniel Buciumeanu</t>
  </si>
  <si>
    <t>Tania Ene</t>
  </si>
  <si>
    <t>Gheorghe Anghel</t>
  </si>
  <si>
    <t>Gabriela Munteanu</t>
  </si>
  <si>
    <t>George Apostol</t>
  </si>
  <si>
    <t>Mihaela Savancea</t>
  </si>
  <si>
    <t>Florian Grigore</t>
  </si>
  <si>
    <t>Otopeni</t>
  </si>
  <si>
    <t>Ionela Bojenca</t>
  </si>
  <si>
    <t>Iulian Vlad</t>
  </si>
  <si>
    <t>Razvan Gania</t>
  </si>
  <si>
    <t>Alexandru Nedelcu</t>
  </si>
  <si>
    <t>Eugen Gradinaru</t>
  </si>
  <si>
    <t>Liliana Constantin</t>
  </si>
  <si>
    <t>Marius Gania</t>
  </si>
  <si>
    <t>Stefan Stoica</t>
  </si>
  <si>
    <t>Timisoara</t>
  </si>
  <si>
    <t>Cristian Pascalau</t>
  </si>
  <si>
    <t>Stefan Oroseanu</t>
  </si>
  <si>
    <t>Sorin Ghiran</t>
  </si>
  <si>
    <t>Militari</t>
  </si>
  <si>
    <t>Marius Comarniceanu</t>
  </si>
  <si>
    <t>Mihai Calin</t>
  </si>
  <si>
    <t>Florin Olteanu</t>
  </si>
  <si>
    <t>Laurentiu Elias</t>
  </si>
  <si>
    <t>Galati</t>
  </si>
  <si>
    <t>Sebastian Mocanu</t>
  </si>
  <si>
    <t>Cornel Murat</t>
  </si>
  <si>
    <t>Cornelia Rusu</t>
  </si>
  <si>
    <t>George Economu</t>
  </si>
  <si>
    <t>Oradea</t>
  </si>
  <si>
    <t>Calin Veres</t>
  </si>
  <si>
    <t>Mihai Doba</t>
  </si>
  <si>
    <t>Sibiu</t>
  </si>
  <si>
    <t>Lia Bobes</t>
  </si>
  <si>
    <t>Sorin Ungureanu</t>
  </si>
  <si>
    <t>--</t>
  </si>
  <si>
    <t>Zile pana la sfarsitul lunii</t>
  </si>
  <si>
    <t>AUG</t>
  </si>
  <si>
    <t>SEP</t>
  </si>
  <si>
    <t>January</t>
  </si>
  <si>
    <t>Adrian Caba</t>
  </si>
  <si>
    <t>Andrei Popeiu</t>
  </si>
  <si>
    <t>Claudia Irimes</t>
  </si>
  <si>
    <t>Ionela Dandea</t>
  </si>
  <si>
    <t>Stelian Culea</t>
  </si>
  <si>
    <t>Alexandru Dobre</t>
  </si>
  <si>
    <t>February</t>
  </si>
  <si>
    <t>Ciprian Nedelcu</t>
  </si>
  <si>
    <t>David Jonas Baky</t>
  </si>
  <si>
    <t>Marius Alexandru Crisan</t>
  </si>
  <si>
    <t>Adrian Plescan</t>
  </si>
  <si>
    <t>Silviu Nistoran</t>
  </si>
  <si>
    <t>Target</t>
  </si>
  <si>
    <t>Realizat</t>
  </si>
  <si>
    <t>OnTarget</t>
  </si>
  <si>
    <t>March</t>
  </si>
  <si>
    <t>Vasile Simion Graur</t>
  </si>
  <si>
    <t>Catalin Constantin Dragomir</t>
  </si>
  <si>
    <t>Alex Vasile</t>
  </si>
  <si>
    <t>Catalin Neneciu</t>
  </si>
  <si>
    <t>Ciprian Ilies</t>
  </si>
  <si>
    <t>Ionut Pana</t>
  </si>
  <si>
    <t>Octavian Cucu</t>
  </si>
  <si>
    <t>Florin Tismanaru</t>
  </si>
  <si>
    <t>Ciprian Draghici</t>
  </si>
  <si>
    <t>Ovidiu Racolta</t>
  </si>
  <si>
    <t>Stefan Dumitriu</t>
  </si>
  <si>
    <t>Szabolcs Fesus</t>
  </si>
  <si>
    <t>An  /  LunaAAnului</t>
  </si>
  <si>
    <t>No Measure Value</t>
  </si>
  <si>
    <t>Angajat</t>
  </si>
  <si>
    <t>April</t>
  </si>
  <si>
    <t>May</t>
  </si>
  <si>
    <t>Bogdan Popescu</t>
  </si>
  <si>
    <t>Daniel Popa</t>
  </si>
  <si>
    <t>Veronica Grigore</t>
  </si>
  <si>
    <t>Victor Ghita</t>
  </si>
  <si>
    <t>Data</t>
  </si>
  <si>
    <t>Nume_agent</t>
  </si>
  <si>
    <t>Luna</t>
  </si>
  <si>
    <t>Anul</t>
  </si>
  <si>
    <t>June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</si>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</sst>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([$RON]\ * #,##0.00_);_([$RON]\ * \(#,##0.00\);_([$RON]\ * &quot;-&quot;??_);_(@_)"/>
  </numFmts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" fillId="0" borderId="0"/>
    <xf numFmtId="0" fontId="4" fillId="0" borderId="0"/>
    <xf numFmtId="9" fontId="4" fillId="0" borderId="0" applyFont="0" applyFill="0" applyBorder="0" applyAlignment="0" applyProtection="0"/>
  </cellStyleXfs>
  <cellXfs count="27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centerContinuous"/>
    </xf>
    <xf numFmtId="0" fontId="0" fillId="0" borderId="13" xfId="0" applyBorder="1"/>
    <xf numFmtId="0" fontId="0" fillId="0" borderId="11" xfId="0" applyBorder="1"/>
    <xf numFmtId="0" fontId="0" fillId="0" borderId="12" xfId="0" applyBorder="1"/>
    <xf numFmtId="0" fontId="0" fillId="0" borderId="14" xfId="0" applyBorder="1" applyAlignment="1">
      <alignment horizontal="centerContinuous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9" fontId="0" fillId="0" borderId="14" xfId="0" applyNumberFormat="1" applyBorder="1"/>
    <xf numFmtId="9" fontId="0" fillId="0" borderId="4" xfId="0" applyNumberFormat="1" applyBorder="1"/>
    <xf numFmtId="9" fontId="0" fillId="0" borderId="10" xfId="0" applyNumberFormat="1" applyBorder="1"/>
    <xf numFmtId="9" fontId="0" fillId="0" borderId="6" xfId="0" applyNumberFormat="1" applyBorder="1"/>
    <xf numFmtId="9" fontId="0" fillId="0" borderId="12" xfId="0" applyNumberFormat="1" applyBorder="1"/>
    <xf numFmtId="9" fontId="0" fillId="0" borderId="9" xfId="0" applyNumberFormat="1" applyBorder="1"/>
    <xf numFmtId="165" fontId="0" fillId="0" borderId="3" xfId="0" applyNumberFormat="1" applyBorder="1"/>
    <xf numFmtId="165" fontId="0" fillId="0" borderId="1" xfId="0" applyNumberFormat="1" applyBorder="1"/>
    <xf numFmtId="165" fontId="0" fillId="0" borderId="8" xfId="0" applyNumberFormat="1" applyBorder="1"/>
    <xf numFmtId="22" fontId="0" fillId="0" borderId="0" xfId="0" applyNumberFormat="1"/>
  </cellXfs>
  <cellStyles count="7">
    <cellStyle name="Comma 2" xfId="2" xr:uid="{9C16CFC5-5E34-4FD6-B0A4-A2AF42534502}"/>
    <cellStyle name="Comma 3" xfId="3" xr:uid="{36086F4E-AC49-46DD-B2CE-54C9D71A1AA1}"/>
    <cellStyle name="Normal" xfId="0" builtinId="0"/>
    <cellStyle name="Normal 2" xfId="1" xr:uid="{0F924E6D-BF24-48D6-9201-8D349596402A}"/>
    <cellStyle name="Normal 3" xfId="4" xr:uid="{C2AC7A5E-EA79-4389-95E2-50A040A41480}"/>
    <cellStyle name="Normal 4" xfId="5" xr:uid="{114B3E66-2315-46B0-9FD1-19093D315028}"/>
    <cellStyle name="Percent 2" xfId="6" xr:uid="{DFDF1F5A-3A72-4CE5-ABCC-D7513D688F1C}"/>
  </cellStyles>
  <dxfs count="680"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colors>
    <mruColors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5F14F17-2D2B-480D-9378-C7BA2032DB97}" autoFormatId="16" applyNumberFormats="0" applyBorderFormats="0" applyFontFormats="1" applyPatternFormats="1" applyAlignmentFormats="0" applyWidthHeightFormats="0">
  <queryTableRefresh nextId="7">
    <queryTableFields count="6">
      <queryTableField id="1" name="Data" tableColumnId="7"/>
      <queryTableField id="2" name="Nume_agent" tableColumnId="8"/>
      <queryTableField id="3" name="Target" tableColumnId="9"/>
      <queryTableField id="4" name="Luna" tableColumnId="10"/>
      <queryTableField id="5" name="Anul" tableColumnId="11"/>
      <queryTableField id="6" name="Filiala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24231B-05C4-4B01-B880-9DB3BB1D0F3C}" name="MyQuery" displayName="MyQuery" ref="A1:F52" tableType="queryTable" totalsRowShown="0">
  <autoFilter ref="A1:F52" xr:uid="{7124231B-05C4-4B01-B880-9DB3BB1D0F3C}"/>
  <tableColumns count="6">
    <tableColumn id="7" xr3:uid="{C394853E-54F9-438F-9E1C-18E4F8FA0CF3}" uniqueName="7" name="Data" queryTableFieldId="1" dataDxfId="679"/>
    <tableColumn id="8" xr3:uid="{AC6594EF-4C83-4E9D-B844-89CE6227EEB5}" uniqueName="8" name="Nume_agent" queryTableFieldId="2" dataDxfId="678"/>
    <tableColumn id="9" xr3:uid="{8493FE26-A61A-45EF-A2E6-E4223E900D67}" uniqueName="9" name="Target" queryTableFieldId="3"/>
    <tableColumn id="10" xr3:uid="{38C1D9D1-A59D-4FF9-A613-9D2BBE52542A}" uniqueName="10" name="Luna" queryTableFieldId="4" dataDxfId="677"/>
    <tableColumn id="11" xr3:uid="{DC66E8D8-2F80-43C3-9AC1-DFE8E4723B07}" uniqueName="11" name="Anul" queryTableFieldId="5" dataDxfId="676"/>
    <tableColumn id="12" xr3:uid="{409DA764-3298-4890-855A-5D1DEAD088CA}" uniqueName="12" name="Filiala" queryTableFieldId="6" dataDxfId="67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F6E-62FF-4C48-ADBD-A948C106201A}">
  <sheetPr codeName="Sheet2"/>
  <dimension ref="A1:G73"/>
  <sheetViews>
    <sheetView zoomScaleNormal="100" workbookViewId="0"/>
  </sheetViews>
  <sheetFormatPr defaultRowHeight="15" x14ac:dyDescent="0.25"/>
  <sheetData>
    <row r="1" spans="1:7" x14ac:dyDescent="0.25">
      <c r="C1" t="s">
        <v>118</v>
      </c>
    </row>
    <row r="2" spans="1:7" x14ac:dyDescent="0.25">
      <c r="C2">
        <v>2023</v>
      </c>
    </row>
    <row r="3" spans="1:7" x14ac:dyDescent="0.25">
      <c r="C3" t="s">
        <v>119</v>
      </c>
    </row>
    <row r="4" spans="1:7" x14ac:dyDescent="0.25">
      <c r="A4" t="s">
        <v>120</v>
      </c>
      <c r="B4" t="s">
        <v>11</v>
      </c>
      <c r="C4" t="s">
        <v>89</v>
      </c>
      <c r="D4" t="s">
        <v>96</v>
      </c>
      <c r="E4" t="s">
        <v>105</v>
      </c>
      <c r="F4" t="s">
        <v>121</v>
      </c>
      <c r="G4" t="s">
        <v>122</v>
      </c>
    </row>
    <row r="5" spans="1:7" x14ac:dyDescent="0.25">
      <c r="A5" t="s">
        <v>108</v>
      </c>
      <c r="B5" t="s">
        <v>23</v>
      </c>
      <c r="C5">
        <v>41036.15</v>
      </c>
      <c r="D5">
        <v>30958.5</v>
      </c>
      <c r="E5">
        <v>27050.19</v>
      </c>
      <c r="F5">
        <v>31215.49</v>
      </c>
      <c r="G5">
        <v>18267.020000000004</v>
      </c>
    </row>
    <row r="6" spans="1:7" x14ac:dyDescent="0.25">
      <c r="A6" t="s">
        <v>95</v>
      </c>
      <c r="B6" t="s">
        <v>42</v>
      </c>
      <c r="C6">
        <v>902841.77997100051</v>
      </c>
      <c r="D6">
        <v>1773888.6699430002</v>
      </c>
      <c r="E6">
        <v>3058627.4598359996</v>
      </c>
      <c r="F6">
        <v>3121300.8499130001</v>
      </c>
      <c r="G6">
        <v>2463488.1499319999</v>
      </c>
    </row>
    <row r="7" spans="1:7" x14ac:dyDescent="0.25">
      <c r="A7" t="s">
        <v>60</v>
      </c>
      <c r="B7" t="s">
        <v>56</v>
      </c>
      <c r="C7">
        <v>114252.7</v>
      </c>
      <c r="D7">
        <v>384796.26999900001</v>
      </c>
      <c r="E7">
        <v>294281.33</v>
      </c>
      <c r="F7">
        <v>345863.52999999991</v>
      </c>
      <c r="G7">
        <v>519616.95000000019</v>
      </c>
    </row>
    <row r="8" spans="1:7" x14ac:dyDescent="0.25">
      <c r="A8" t="s">
        <v>39</v>
      </c>
      <c r="B8" t="s">
        <v>34</v>
      </c>
      <c r="C8">
        <v>255974.42</v>
      </c>
      <c r="D8">
        <v>519391.78999999951</v>
      </c>
      <c r="E8">
        <v>507420.30999999971</v>
      </c>
      <c r="F8">
        <v>296976.47999999975</v>
      </c>
      <c r="G8">
        <v>276827.51000000013</v>
      </c>
    </row>
    <row r="9" spans="1:7" x14ac:dyDescent="0.25">
      <c r="A9" t="s">
        <v>91</v>
      </c>
      <c r="B9" t="s">
        <v>12</v>
      </c>
      <c r="C9">
        <v>469233.72999999992</v>
      </c>
      <c r="D9">
        <v>354755.80000000016</v>
      </c>
      <c r="E9">
        <v>481396.03999999992</v>
      </c>
      <c r="F9">
        <v>365638.79000000004</v>
      </c>
      <c r="G9">
        <v>411342.79000000015</v>
      </c>
    </row>
    <row r="10" spans="1:7" x14ac:dyDescent="0.25">
      <c r="A10" t="s">
        <v>26</v>
      </c>
      <c r="B10" t="s">
        <v>23</v>
      </c>
      <c r="C10">
        <v>77935.300000000017</v>
      </c>
      <c r="D10">
        <v>127937.47999999998</v>
      </c>
      <c r="E10">
        <v>183087.27999999997</v>
      </c>
      <c r="F10">
        <v>95729.60000000002</v>
      </c>
      <c r="G10">
        <v>180295.99</v>
      </c>
    </row>
    <row r="11" spans="1:7" x14ac:dyDescent="0.25">
      <c r="A11" t="s">
        <v>45</v>
      </c>
      <c r="B11" t="s">
        <v>42</v>
      </c>
      <c r="C11">
        <v>307087.73999999987</v>
      </c>
      <c r="D11">
        <v>809983.07999999961</v>
      </c>
      <c r="E11">
        <v>680860.83000000019</v>
      </c>
      <c r="F11">
        <v>618621.61</v>
      </c>
      <c r="G11">
        <v>635095.18000000005</v>
      </c>
    </row>
    <row r="12" spans="1:7" x14ac:dyDescent="0.25">
      <c r="A12" t="s">
        <v>40</v>
      </c>
      <c r="B12" t="s">
        <v>34</v>
      </c>
      <c r="C12">
        <v>175239.61</v>
      </c>
      <c r="D12">
        <v>447301.23999799992</v>
      </c>
      <c r="E12">
        <v>475658.56999899977</v>
      </c>
      <c r="F12">
        <v>470777.35000000033</v>
      </c>
      <c r="G12">
        <v>749593.18000000028</v>
      </c>
    </row>
    <row r="13" spans="1:7" x14ac:dyDescent="0.25">
      <c r="A13" t="s">
        <v>123</v>
      </c>
      <c r="B13" t="s">
        <v>85</v>
      </c>
      <c r="G13">
        <v>129.26999999999998</v>
      </c>
    </row>
    <row r="14" spans="1:7" x14ac:dyDescent="0.25">
      <c r="A14" t="s">
        <v>44</v>
      </c>
      <c r="B14" t="s">
        <v>42</v>
      </c>
      <c r="C14">
        <v>537419.07000000007</v>
      </c>
      <c r="D14">
        <v>592216.82999999984</v>
      </c>
      <c r="E14">
        <v>1857418.6099999996</v>
      </c>
      <c r="F14">
        <v>638952.6599999998</v>
      </c>
      <c r="G14">
        <v>976986.43999999971</v>
      </c>
    </row>
    <row r="15" spans="1:7" x14ac:dyDescent="0.25">
      <c r="A15" t="s">
        <v>109</v>
      </c>
      <c r="B15" t="s">
        <v>42</v>
      </c>
      <c r="C15">
        <v>16797.25</v>
      </c>
      <c r="D15">
        <v>48799.7</v>
      </c>
      <c r="E15">
        <v>16144.17</v>
      </c>
      <c r="F15">
        <v>4216.6200000000008</v>
      </c>
      <c r="G15">
        <v>355.95</v>
      </c>
    </row>
    <row r="16" spans="1:7" x14ac:dyDescent="0.25">
      <c r="A16" t="s">
        <v>47</v>
      </c>
      <c r="B16" t="s">
        <v>42</v>
      </c>
      <c r="C16">
        <v>443058.24</v>
      </c>
      <c r="D16">
        <v>1217133.8400000001</v>
      </c>
      <c r="E16">
        <v>877632.62999999989</v>
      </c>
      <c r="F16">
        <v>399387.88000000012</v>
      </c>
      <c r="G16">
        <v>704809.42000000027</v>
      </c>
    </row>
    <row r="17" spans="1:7" x14ac:dyDescent="0.25">
      <c r="A17" t="s">
        <v>114</v>
      </c>
      <c r="B17" t="s">
        <v>34</v>
      </c>
      <c r="E17">
        <v>28201.780000000002</v>
      </c>
      <c r="F17">
        <v>92002.039999999964</v>
      </c>
      <c r="G17">
        <v>100074.74</v>
      </c>
    </row>
    <row r="18" spans="1:7" x14ac:dyDescent="0.25">
      <c r="A18" t="s">
        <v>110</v>
      </c>
      <c r="B18" t="s">
        <v>42</v>
      </c>
      <c r="C18">
        <v>213504.19999999995</v>
      </c>
      <c r="D18">
        <v>445364.66000000003</v>
      </c>
      <c r="E18">
        <v>738305.74000000011</v>
      </c>
      <c r="F18">
        <v>459829.48999999987</v>
      </c>
      <c r="G18">
        <v>1032416.3899999998</v>
      </c>
    </row>
    <row r="19" spans="1:7" x14ac:dyDescent="0.25">
      <c r="A19" t="s">
        <v>37</v>
      </c>
      <c r="B19" t="s">
        <v>34</v>
      </c>
      <c r="C19">
        <v>9282.8799999999937</v>
      </c>
      <c r="D19">
        <v>-995</v>
      </c>
      <c r="E19">
        <v>-340</v>
      </c>
    </row>
    <row r="20" spans="1:7" x14ac:dyDescent="0.25">
      <c r="A20" t="s">
        <v>77</v>
      </c>
      <c r="B20" t="s">
        <v>74</v>
      </c>
      <c r="C20">
        <v>255815.91999899998</v>
      </c>
      <c r="D20">
        <v>307102.47999999986</v>
      </c>
      <c r="E20">
        <v>522750.24999899999</v>
      </c>
      <c r="F20">
        <v>249790.7</v>
      </c>
      <c r="G20">
        <v>477857.12000000017</v>
      </c>
    </row>
    <row r="21" spans="1:7" x14ac:dyDescent="0.25">
      <c r="A21" t="s">
        <v>30</v>
      </c>
      <c r="B21" t="s">
        <v>28</v>
      </c>
      <c r="C21">
        <v>335958.73999999993</v>
      </c>
      <c r="D21">
        <v>374767.83999999991</v>
      </c>
      <c r="E21">
        <v>600047.07999999996</v>
      </c>
      <c r="F21">
        <v>423822.9700000002</v>
      </c>
      <c r="G21">
        <v>955625.26999999932</v>
      </c>
    </row>
    <row r="22" spans="1:7" x14ac:dyDescent="0.25">
      <c r="A22" t="s">
        <v>20</v>
      </c>
      <c r="B22" t="s">
        <v>19</v>
      </c>
      <c r="C22">
        <v>240882.11000000002</v>
      </c>
      <c r="D22">
        <v>194501.26999999993</v>
      </c>
      <c r="E22">
        <v>348859.33999999997</v>
      </c>
      <c r="F22">
        <v>257331.14999999997</v>
      </c>
      <c r="G22">
        <v>438232.28999999992</v>
      </c>
    </row>
    <row r="23" spans="1:7" x14ac:dyDescent="0.25">
      <c r="A23" t="s">
        <v>18</v>
      </c>
      <c r="B23" t="s">
        <v>12</v>
      </c>
      <c r="C23">
        <v>73162.31</v>
      </c>
      <c r="D23">
        <v>116974.30000000005</v>
      </c>
      <c r="E23">
        <v>4654.03</v>
      </c>
    </row>
    <row r="24" spans="1:7" x14ac:dyDescent="0.25">
      <c r="A24" t="s">
        <v>66</v>
      </c>
      <c r="B24" t="s">
        <v>65</v>
      </c>
      <c r="C24">
        <v>113060.85999999996</v>
      </c>
      <c r="D24">
        <v>289112.85999999981</v>
      </c>
      <c r="E24">
        <v>308759.52999900002</v>
      </c>
      <c r="F24">
        <v>218698.61000000004</v>
      </c>
      <c r="G24">
        <v>299212.50999999995</v>
      </c>
    </row>
    <row r="25" spans="1:7" x14ac:dyDescent="0.25">
      <c r="A25" t="s">
        <v>33</v>
      </c>
      <c r="B25" t="s">
        <v>28</v>
      </c>
      <c r="C25">
        <v>6767.9499999999989</v>
      </c>
      <c r="D25">
        <v>9607.3500000000022</v>
      </c>
      <c r="E25">
        <v>10938.86</v>
      </c>
      <c r="F25">
        <v>10220.990000000002</v>
      </c>
      <c r="G25">
        <v>13116.38</v>
      </c>
    </row>
    <row r="26" spans="1:7" x14ac:dyDescent="0.25">
      <c r="A26" t="s">
        <v>17</v>
      </c>
      <c r="B26" t="s">
        <v>12</v>
      </c>
      <c r="C26">
        <v>7483.73</v>
      </c>
      <c r="D26">
        <v>15888.4</v>
      </c>
      <c r="E26">
        <v>-5627.56</v>
      </c>
      <c r="F26">
        <v>-10.280000000000003</v>
      </c>
    </row>
    <row r="27" spans="1:7" x14ac:dyDescent="0.25">
      <c r="A27" t="s">
        <v>22</v>
      </c>
      <c r="B27" t="s">
        <v>19</v>
      </c>
      <c r="C27">
        <v>272238.98999999993</v>
      </c>
      <c r="D27">
        <v>257963.26999999996</v>
      </c>
      <c r="E27">
        <v>359861.11</v>
      </c>
      <c r="F27">
        <v>283853.93999900005</v>
      </c>
      <c r="G27">
        <v>378449.75999999995</v>
      </c>
    </row>
    <row r="28" spans="1:7" x14ac:dyDescent="0.25">
      <c r="A28" t="s">
        <v>49</v>
      </c>
      <c r="B28" t="s">
        <v>42</v>
      </c>
      <c r="C28">
        <v>185821.21999999997</v>
      </c>
      <c r="D28">
        <v>417074.65</v>
      </c>
      <c r="E28">
        <v>487585.66999999993</v>
      </c>
      <c r="F28">
        <v>312365.11999999994</v>
      </c>
      <c r="G28">
        <v>435873.28000000003</v>
      </c>
    </row>
    <row r="29" spans="1:7" x14ac:dyDescent="0.25">
      <c r="A29" t="s">
        <v>15</v>
      </c>
      <c r="B29" t="s">
        <v>12</v>
      </c>
      <c r="E29">
        <v>107.37</v>
      </c>
      <c r="G29">
        <v>522.23</v>
      </c>
    </row>
    <row r="30" spans="1:7" x14ac:dyDescent="0.25">
      <c r="A30" t="s">
        <v>38</v>
      </c>
      <c r="B30" t="s">
        <v>34</v>
      </c>
      <c r="C30">
        <v>344826.93000000005</v>
      </c>
      <c r="D30">
        <v>412378.44999699976</v>
      </c>
      <c r="E30">
        <v>422022.45999999996</v>
      </c>
      <c r="F30">
        <v>572941.07000000007</v>
      </c>
      <c r="G30">
        <v>492790.08999999997</v>
      </c>
    </row>
    <row r="31" spans="1:7" x14ac:dyDescent="0.25">
      <c r="A31" t="s">
        <v>124</v>
      </c>
      <c r="B31" t="s">
        <v>23</v>
      </c>
      <c r="G31">
        <v>703.85</v>
      </c>
    </row>
    <row r="32" spans="1:7" x14ac:dyDescent="0.25">
      <c r="A32" t="s">
        <v>61</v>
      </c>
      <c r="B32" t="s">
        <v>56</v>
      </c>
      <c r="C32">
        <v>224660.22999900009</v>
      </c>
      <c r="D32">
        <v>344668.88</v>
      </c>
      <c r="E32">
        <v>462727.69999999995</v>
      </c>
      <c r="F32">
        <v>437936.92999999993</v>
      </c>
      <c r="G32">
        <v>374025.81999999995</v>
      </c>
    </row>
    <row r="33" spans="1:7" x14ac:dyDescent="0.25">
      <c r="A33" t="s">
        <v>46</v>
      </c>
      <c r="B33" t="s">
        <v>42</v>
      </c>
      <c r="C33">
        <v>329543.5</v>
      </c>
      <c r="D33">
        <v>314365.39</v>
      </c>
      <c r="E33">
        <v>-1084.74</v>
      </c>
      <c r="G33">
        <v>125.73</v>
      </c>
    </row>
    <row r="34" spans="1:7" x14ac:dyDescent="0.25">
      <c r="A34" t="s">
        <v>21</v>
      </c>
      <c r="B34" t="s">
        <v>19</v>
      </c>
      <c r="C34">
        <v>179666.15</v>
      </c>
      <c r="D34">
        <v>140939.71999999997</v>
      </c>
      <c r="E34">
        <v>557.1</v>
      </c>
    </row>
    <row r="35" spans="1:7" x14ac:dyDescent="0.25">
      <c r="A35" t="s">
        <v>72</v>
      </c>
      <c r="B35" t="s">
        <v>69</v>
      </c>
      <c r="C35">
        <v>196963.46</v>
      </c>
      <c r="D35">
        <v>306311.42</v>
      </c>
      <c r="E35">
        <v>531654.76999900001</v>
      </c>
      <c r="F35">
        <v>448081.01</v>
      </c>
      <c r="G35">
        <v>453992.66000000009</v>
      </c>
    </row>
    <row r="36" spans="1:7" x14ac:dyDescent="0.25">
      <c r="A36" t="s">
        <v>113</v>
      </c>
      <c r="B36" t="s">
        <v>28</v>
      </c>
      <c r="C36">
        <v>226153.71</v>
      </c>
    </row>
    <row r="37" spans="1:7" x14ac:dyDescent="0.25">
      <c r="A37" t="s">
        <v>16</v>
      </c>
      <c r="B37" t="s">
        <v>12</v>
      </c>
      <c r="C37">
        <v>325120.22999200015</v>
      </c>
      <c r="D37">
        <v>553941.28998899972</v>
      </c>
      <c r="E37">
        <v>748172.05999700003</v>
      </c>
      <c r="F37">
        <v>316503.88999900001</v>
      </c>
      <c r="G37">
        <v>528766.45999</v>
      </c>
    </row>
    <row r="38" spans="1:7" x14ac:dyDescent="0.25">
      <c r="A38" t="s">
        <v>36</v>
      </c>
      <c r="B38" t="s">
        <v>34</v>
      </c>
      <c r="C38">
        <v>324025.41999999993</v>
      </c>
      <c r="D38">
        <v>520373.43999999977</v>
      </c>
      <c r="E38">
        <v>372145.72999999986</v>
      </c>
      <c r="F38">
        <v>361711.54000000004</v>
      </c>
      <c r="G38">
        <v>598113.6599999998</v>
      </c>
    </row>
    <row r="39" spans="1:7" x14ac:dyDescent="0.25">
      <c r="A39" t="s">
        <v>53</v>
      </c>
      <c r="B39" t="s">
        <v>42</v>
      </c>
      <c r="D39">
        <v>24.42</v>
      </c>
      <c r="G39">
        <v>290.22000000000003</v>
      </c>
    </row>
    <row r="40" spans="1:7" x14ac:dyDescent="0.25">
      <c r="A40" t="s">
        <v>27</v>
      </c>
      <c r="B40" t="s">
        <v>23</v>
      </c>
      <c r="C40">
        <v>63769.72</v>
      </c>
      <c r="D40">
        <v>90431.830000000016</v>
      </c>
      <c r="E40">
        <v>103820.84</v>
      </c>
      <c r="F40">
        <v>5561.5099999999993</v>
      </c>
      <c r="G40">
        <v>1059.74</v>
      </c>
    </row>
    <row r="41" spans="1:7" x14ac:dyDescent="0.25">
      <c r="A41" t="s">
        <v>51</v>
      </c>
      <c r="B41" t="s">
        <v>42</v>
      </c>
      <c r="C41">
        <v>37016.120000000003</v>
      </c>
      <c r="D41">
        <v>110925.30000000002</v>
      </c>
      <c r="E41">
        <v>137496.67000000001</v>
      </c>
      <c r="F41">
        <v>97016.129999999976</v>
      </c>
      <c r="G41">
        <v>115017.19999999995</v>
      </c>
    </row>
    <row r="42" spans="1:7" x14ac:dyDescent="0.25">
      <c r="A42" t="s">
        <v>57</v>
      </c>
      <c r="B42" t="s">
        <v>56</v>
      </c>
      <c r="C42">
        <v>127539.75999999995</v>
      </c>
      <c r="D42">
        <v>465076.06000000023</v>
      </c>
      <c r="E42">
        <v>637202.04</v>
      </c>
      <c r="F42">
        <v>798457.94999999972</v>
      </c>
      <c r="G42">
        <v>589886.16999999981</v>
      </c>
    </row>
    <row r="43" spans="1:7" x14ac:dyDescent="0.25">
      <c r="A43" t="s">
        <v>93</v>
      </c>
      <c r="B43" t="s">
        <v>42</v>
      </c>
      <c r="E43">
        <v>3800</v>
      </c>
    </row>
    <row r="44" spans="1:7" x14ac:dyDescent="0.25">
      <c r="A44" t="s">
        <v>111</v>
      </c>
      <c r="B44" t="s">
        <v>69</v>
      </c>
      <c r="C44">
        <v>32791.619999999995</v>
      </c>
      <c r="D44">
        <v>87589.89</v>
      </c>
      <c r="E44">
        <v>55628.45</v>
      </c>
      <c r="F44">
        <v>243086.86</v>
      </c>
      <c r="G44">
        <v>303928.83999900002</v>
      </c>
    </row>
    <row r="45" spans="1:7" x14ac:dyDescent="0.25">
      <c r="A45" t="s">
        <v>24</v>
      </c>
      <c r="B45" t="s">
        <v>23</v>
      </c>
      <c r="C45">
        <v>236017.7900000001</v>
      </c>
      <c r="D45">
        <v>329497.70999900007</v>
      </c>
      <c r="E45">
        <v>350049.43000000011</v>
      </c>
      <c r="F45">
        <v>271091.92000000004</v>
      </c>
      <c r="G45">
        <v>758283.23000000045</v>
      </c>
    </row>
    <row r="46" spans="1:7" x14ac:dyDescent="0.25">
      <c r="A46" t="s">
        <v>58</v>
      </c>
      <c r="B46" t="s">
        <v>56</v>
      </c>
      <c r="C46">
        <v>303851.65000000002</v>
      </c>
      <c r="D46">
        <v>574538.67000000004</v>
      </c>
      <c r="E46">
        <v>1000141.5699989998</v>
      </c>
      <c r="F46">
        <v>581336.26000000024</v>
      </c>
      <c r="G46">
        <v>476160.31000000006</v>
      </c>
    </row>
    <row r="47" spans="1:7" x14ac:dyDescent="0.25">
      <c r="A47" t="s">
        <v>83</v>
      </c>
      <c r="B47" t="s">
        <v>82</v>
      </c>
      <c r="C47">
        <v>354791.85999999993</v>
      </c>
      <c r="D47">
        <v>325564.95999999973</v>
      </c>
      <c r="E47">
        <v>524402.26</v>
      </c>
      <c r="F47">
        <v>301371.45999999996</v>
      </c>
      <c r="G47">
        <v>781787.16999800003</v>
      </c>
    </row>
    <row r="48" spans="1:7" x14ac:dyDescent="0.25">
      <c r="A48" t="s">
        <v>62</v>
      </c>
      <c r="B48" t="s">
        <v>69</v>
      </c>
      <c r="C48">
        <v>36157.149999999994</v>
      </c>
      <c r="D48">
        <v>73005.209999999992</v>
      </c>
      <c r="E48">
        <v>85500.79</v>
      </c>
      <c r="F48">
        <v>46271.94</v>
      </c>
      <c r="G48">
        <v>61061.539999999994</v>
      </c>
    </row>
    <row r="49" spans="1:7" x14ac:dyDescent="0.25">
      <c r="A49" t="s">
        <v>70</v>
      </c>
      <c r="B49" t="s">
        <v>69</v>
      </c>
      <c r="C49">
        <v>334146.63</v>
      </c>
      <c r="D49">
        <v>492813.40999999992</v>
      </c>
      <c r="E49">
        <v>393084.69000000006</v>
      </c>
      <c r="F49">
        <v>556381.80999999982</v>
      </c>
      <c r="G49">
        <v>593035.75999999989</v>
      </c>
    </row>
    <row r="50" spans="1:7" x14ac:dyDescent="0.25">
      <c r="A50" t="s">
        <v>63</v>
      </c>
      <c r="B50" t="s">
        <v>56</v>
      </c>
      <c r="C50">
        <v>60700.100000000006</v>
      </c>
      <c r="D50">
        <v>75826.080000000002</v>
      </c>
      <c r="E50">
        <v>82683.12000000001</v>
      </c>
      <c r="F50">
        <v>57969.02</v>
      </c>
      <c r="G50">
        <v>39284.759999999995</v>
      </c>
    </row>
    <row r="51" spans="1:7" x14ac:dyDescent="0.25">
      <c r="A51" t="s">
        <v>13</v>
      </c>
      <c r="B51" t="s">
        <v>12</v>
      </c>
      <c r="C51">
        <v>340340.04000000015</v>
      </c>
      <c r="D51">
        <v>1115567.6599999997</v>
      </c>
      <c r="E51">
        <v>1271395.5399999998</v>
      </c>
      <c r="F51">
        <v>881316.04999999958</v>
      </c>
      <c r="G51">
        <v>875746.13000000024</v>
      </c>
    </row>
    <row r="52" spans="1:7" x14ac:dyDescent="0.25">
      <c r="A52" t="s">
        <v>54</v>
      </c>
      <c r="B52" t="s">
        <v>42</v>
      </c>
      <c r="C52">
        <v>3782.3899999999994</v>
      </c>
      <c r="D52">
        <v>15836.109999999997</v>
      </c>
      <c r="E52">
        <v>11755.09</v>
      </c>
      <c r="F52">
        <v>7154.96</v>
      </c>
      <c r="G52">
        <v>2651.88</v>
      </c>
    </row>
    <row r="53" spans="1:7" x14ac:dyDescent="0.25">
      <c r="A53" t="s">
        <v>71</v>
      </c>
      <c r="B53" t="s">
        <v>69</v>
      </c>
      <c r="C53">
        <v>179025.21999999997</v>
      </c>
      <c r="D53">
        <v>473869.84</v>
      </c>
      <c r="E53">
        <v>855301.54</v>
      </c>
      <c r="F53">
        <v>231806.65999999997</v>
      </c>
      <c r="G53">
        <v>748036.49</v>
      </c>
    </row>
    <row r="54" spans="1:7" x14ac:dyDescent="0.25">
      <c r="A54" t="s">
        <v>29</v>
      </c>
      <c r="B54" t="s">
        <v>28</v>
      </c>
      <c r="C54">
        <v>512027.31000000006</v>
      </c>
      <c r="D54">
        <v>656554.84999999963</v>
      </c>
      <c r="E54">
        <v>687242.3200000003</v>
      </c>
      <c r="F54">
        <v>687778.56999999925</v>
      </c>
      <c r="G54">
        <v>1117807.83</v>
      </c>
    </row>
    <row r="55" spans="1:7" x14ac:dyDescent="0.25">
      <c r="A55" t="s">
        <v>112</v>
      </c>
      <c r="B55" t="s">
        <v>42</v>
      </c>
      <c r="C55">
        <v>32631.089999999997</v>
      </c>
      <c r="D55">
        <v>21467.190000000002</v>
      </c>
      <c r="E55">
        <v>861.33</v>
      </c>
      <c r="G55">
        <v>-174.25</v>
      </c>
    </row>
    <row r="56" spans="1:7" x14ac:dyDescent="0.25">
      <c r="A56" t="s">
        <v>115</v>
      </c>
      <c r="B56" t="s">
        <v>12</v>
      </c>
      <c r="E56">
        <v>207839.09</v>
      </c>
      <c r="F56">
        <v>180618.05000000005</v>
      </c>
      <c r="G56">
        <v>256664.77999999997</v>
      </c>
    </row>
    <row r="57" spans="1:7" x14ac:dyDescent="0.25">
      <c r="A57" t="s">
        <v>59</v>
      </c>
      <c r="B57" t="s">
        <v>56</v>
      </c>
      <c r="C57">
        <v>361450.52000000014</v>
      </c>
      <c r="D57">
        <v>1553194.23</v>
      </c>
      <c r="E57">
        <v>710759.39999999991</v>
      </c>
      <c r="F57">
        <v>642607.64999999991</v>
      </c>
      <c r="G57">
        <v>688386.99999999988</v>
      </c>
    </row>
    <row r="58" spans="1:7" x14ac:dyDescent="0.25">
      <c r="A58" t="s">
        <v>75</v>
      </c>
      <c r="B58" t="s">
        <v>74</v>
      </c>
      <c r="C58">
        <v>245138.6199990001</v>
      </c>
      <c r="D58">
        <v>284841.6199990001</v>
      </c>
      <c r="E58">
        <v>6578222.8599989992</v>
      </c>
      <c r="F58">
        <v>608389.25999900058</v>
      </c>
      <c r="G58">
        <v>619901</v>
      </c>
    </row>
    <row r="59" spans="1:7" x14ac:dyDescent="0.25">
      <c r="A59" t="s">
        <v>101</v>
      </c>
      <c r="B59" t="s">
        <v>65</v>
      </c>
      <c r="C59">
        <v>50318.02</v>
      </c>
      <c r="D59">
        <v>116779.40999999997</v>
      </c>
      <c r="E59">
        <v>76391.60000000002</v>
      </c>
      <c r="G59">
        <v>101.16</v>
      </c>
    </row>
    <row r="60" spans="1:7" x14ac:dyDescent="0.25">
      <c r="A60" t="s">
        <v>43</v>
      </c>
      <c r="B60" t="s">
        <v>42</v>
      </c>
      <c r="F60">
        <v>-227.3</v>
      </c>
      <c r="G60">
        <v>-949.5</v>
      </c>
    </row>
    <row r="61" spans="1:7" x14ac:dyDescent="0.25">
      <c r="A61" t="s">
        <v>68</v>
      </c>
      <c r="B61" t="s">
        <v>65</v>
      </c>
      <c r="C61">
        <v>167457.59999999998</v>
      </c>
      <c r="D61">
        <v>256355.65000000014</v>
      </c>
      <c r="E61">
        <v>231523.39999999997</v>
      </c>
      <c r="F61">
        <v>285099.97000000009</v>
      </c>
      <c r="G61">
        <v>340488.28000000009</v>
      </c>
    </row>
    <row r="62" spans="1:7" x14ac:dyDescent="0.25">
      <c r="A62" t="s">
        <v>84</v>
      </c>
      <c r="B62" t="s">
        <v>56</v>
      </c>
      <c r="C62">
        <v>438109.49</v>
      </c>
      <c r="D62">
        <v>745055.62999999989</v>
      </c>
      <c r="E62">
        <v>829202.65</v>
      </c>
      <c r="F62">
        <v>618578.58999999985</v>
      </c>
      <c r="G62">
        <v>603626.2200000002</v>
      </c>
    </row>
    <row r="63" spans="1:7" x14ac:dyDescent="0.25">
      <c r="A63" t="s">
        <v>116</v>
      </c>
      <c r="B63" t="s">
        <v>28</v>
      </c>
      <c r="D63">
        <v>378226.0500000001</v>
      </c>
      <c r="E63">
        <v>366774.69</v>
      </c>
      <c r="F63">
        <v>428748.17999999988</v>
      </c>
      <c r="G63">
        <v>75416.41</v>
      </c>
    </row>
    <row r="64" spans="1:7" x14ac:dyDescent="0.25">
      <c r="A64" t="s">
        <v>67</v>
      </c>
      <c r="B64" t="s">
        <v>65</v>
      </c>
      <c r="C64">
        <v>197367.59000000003</v>
      </c>
      <c r="D64">
        <v>455725.88</v>
      </c>
      <c r="E64">
        <v>394281.6700000001</v>
      </c>
      <c r="F64">
        <v>354764.76999899989</v>
      </c>
      <c r="G64">
        <v>323048.58999800007</v>
      </c>
    </row>
    <row r="65" spans="1:7" x14ac:dyDescent="0.25">
      <c r="A65" t="s">
        <v>64</v>
      </c>
      <c r="B65" t="s">
        <v>42</v>
      </c>
      <c r="C65">
        <v>86293.02</v>
      </c>
      <c r="D65">
        <v>79558.98000000001</v>
      </c>
      <c r="E65">
        <v>131594.49000000002</v>
      </c>
      <c r="F65">
        <v>62002.630000000005</v>
      </c>
      <c r="G65">
        <v>64069.05</v>
      </c>
    </row>
    <row r="66" spans="1:7" x14ac:dyDescent="0.25">
      <c r="A66" t="s">
        <v>41</v>
      </c>
      <c r="B66" t="s">
        <v>56</v>
      </c>
      <c r="C66">
        <v>212867.86000000004</v>
      </c>
      <c r="D66">
        <v>196934.04</v>
      </c>
      <c r="E66">
        <v>322956.25</v>
      </c>
      <c r="F66">
        <v>236350.29999800009</v>
      </c>
      <c r="G66">
        <v>343944.30999999994</v>
      </c>
    </row>
    <row r="67" spans="1:7" x14ac:dyDescent="0.25">
      <c r="A67" t="s">
        <v>117</v>
      </c>
      <c r="B67" t="s">
        <v>19</v>
      </c>
      <c r="D67">
        <v>304378.14000000019</v>
      </c>
      <c r="E67">
        <v>265324.2300000001</v>
      </c>
      <c r="F67">
        <v>129055.909999</v>
      </c>
      <c r="G67">
        <v>224682.28999999998</v>
      </c>
    </row>
    <row r="68" spans="1:7" x14ac:dyDescent="0.25">
      <c r="A68" t="s">
        <v>50</v>
      </c>
      <c r="B68" t="s">
        <v>42</v>
      </c>
      <c r="C68">
        <v>62672.960000000006</v>
      </c>
      <c r="D68">
        <v>140092.40999999997</v>
      </c>
      <c r="E68">
        <v>176452.77999999994</v>
      </c>
      <c r="F68">
        <v>121992.34000000001</v>
      </c>
      <c r="G68">
        <v>99326.22</v>
      </c>
    </row>
    <row r="69" spans="1:7" x14ac:dyDescent="0.25">
      <c r="A69" t="s">
        <v>35</v>
      </c>
      <c r="B69" t="s">
        <v>34</v>
      </c>
      <c r="C69">
        <v>231825.9200000001</v>
      </c>
      <c r="D69">
        <v>-965</v>
      </c>
      <c r="F69">
        <v>-5341</v>
      </c>
      <c r="G69">
        <v>462132.04000000015</v>
      </c>
    </row>
    <row r="70" spans="1:7" x14ac:dyDescent="0.25">
      <c r="A70" t="s">
        <v>106</v>
      </c>
      <c r="B70" t="s">
        <v>12</v>
      </c>
      <c r="C70">
        <v>244063.58000000002</v>
      </c>
      <c r="D70">
        <v>172132.07999999996</v>
      </c>
      <c r="E70">
        <v>205951.62</v>
      </c>
      <c r="F70">
        <v>226832.83000000002</v>
      </c>
      <c r="G70">
        <v>198335.50999999995</v>
      </c>
    </row>
    <row r="71" spans="1:7" x14ac:dyDescent="0.25">
      <c r="A71" t="s">
        <v>125</v>
      </c>
      <c r="B71" t="s">
        <v>28</v>
      </c>
      <c r="D71">
        <v>3313.81</v>
      </c>
      <c r="E71">
        <v>25054.07</v>
      </c>
      <c r="F71">
        <v>26114.730000000003</v>
      </c>
      <c r="G71">
        <v>34039.660000000003</v>
      </c>
    </row>
    <row r="72" spans="1:7" x14ac:dyDescent="0.25">
      <c r="A72" t="s">
        <v>32</v>
      </c>
      <c r="B72" t="s">
        <v>28</v>
      </c>
      <c r="C72">
        <v>362070.35000000003</v>
      </c>
      <c r="D72">
        <v>434928.04999999981</v>
      </c>
      <c r="E72">
        <v>404715.63</v>
      </c>
      <c r="F72">
        <v>347844.74</v>
      </c>
      <c r="G72">
        <v>596313.3899999999</v>
      </c>
    </row>
    <row r="73" spans="1:7" x14ac:dyDescent="0.25">
      <c r="A73" t="s">
        <v>126</v>
      </c>
      <c r="B73" t="s">
        <v>28</v>
      </c>
      <c r="G73">
        <v>315777.70999999996</v>
      </c>
    </row>
  </sheetData>
  <dataConsolidate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52F47-6966-4B72-BFBD-4968364A2561}">
  <sheetPr codeName="Sheet4"/>
  <dimension ref="A1:F52"/>
  <sheetViews>
    <sheetView workbookViewId="0"/>
  </sheetViews>
  <sheetFormatPr defaultRowHeight="15" x14ac:dyDescent="0.25"/>
  <cols>
    <col min="1" max="1" width="12.7109375" bestFit="1" customWidth="1"/>
    <col min="2" max="2" width="20.42578125" bestFit="1" customWidth="1"/>
    <col min="3" max="3" width="8.85546875" bestFit="1" customWidth="1"/>
    <col min="4" max="5" width="7.42578125" bestFit="1" customWidth="1"/>
    <col min="6" max="6" width="9.85546875" bestFit="1" customWidth="1"/>
  </cols>
  <sheetData>
    <row r="1" spans="1:6" x14ac:dyDescent="0.25">
      <c r="A1" t="s">
        <v>127</v>
      </c>
      <c r="B1" t="s">
        <v>128</v>
      </c>
      <c r="C1" t="s">
        <v>102</v>
      </c>
      <c r="D1" t="s">
        <v>129</v>
      </c>
      <c r="E1" t="s">
        <v>130</v>
      </c>
      <c r="F1" t="s">
        <v>11</v>
      </c>
    </row>
    <row r="2" spans="1:6" x14ac:dyDescent="0.25">
      <c r="A2" s="26">
        <v>45078</v>
      </c>
      <c r="B2" t="s">
        <v>108</v>
      </c>
      <c r="C2">
        <v>412343</v>
      </c>
      <c r="D2" t="s">
        <v>131</v>
      </c>
      <c r="E2" t="s">
        <v>132</v>
      </c>
      <c r="F2" t="s">
        <v>23</v>
      </c>
    </row>
    <row r="3" spans="1:6" x14ac:dyDescent="0.25">
      <c r="A3" s="26">
        <v>45078</v>
      </c>
      <c r="B3" t="s">
        <v>95</v>
      </c>
      <c r="C3">
        <v>1900000</v>
      </c>
      <c r="D3" t="s">
        <v>131</v>
      </c>
      <c r="E3" t="s">
        <v>132</v>
      </c>
      <c r="F3" t="s">
        <v>42</v>
      </c>
    </row>
    <row r="4" spans="1:6" x14ac:dyDescent="0.25">
      <c r="A4" s="26">
        <v>45078</v>
      </c>
      <c r="B4" t="s">
        <v>60</v>
      </c>
      <c r="C4">
        <v>800000</v>
      </c>
      <c r="D4" t="s">
        <v>131</v>
      </c>
      <c r="E4" t="s">
        <v>132</v>
      </c>
      <c r="F4" t="s">
        <v>56</v>
      </c>
    </row>
    <row r="5" spans="1:6" x14ac:dyDescent="0.25">
      <c r="A5" s="26">
        <v>45078</v>
      </c>
      <c r="B5" t="s">
        <v>39</v>
      </c>
      <c r="C5">
        <v>370000</v>
      </c>
      <c r="D5" t="s">
        <v>131</v>
      </c>
      <c r="E5" t="s">
        <v>132</v>
      </c>
      <c r="F5" t="s">
        <v>34</v>
      </c>
    </row>
    <row r="6" spans="1:6" x14ac:dyDescent="0.25">
      <c r="A6" s="26">
        <v>45078</v>
      </c>
      <c r="B6" t="s">
        <v>91</v>
      </c>
      <c r="C6">
        <v>501223</v>
      </c>
      <c r="D6" t="s">
        <v>131</v>
      </c>
      <c r="E6" t="s">
        <v>132</v>
      </c>
      <c r="F6" t="s">
        <v>12</v>
      </c>
    </row>
    <row r="7" spans="1:6" x14ac:dyDescent="0.25">
      <c r="A7" s="26">
        <v>45078</v>
      </c>
      <c r="B7" t="s">
        <v>26</v>
      </c>
      <c r="C7">
        <v>275320</v>
      </c>
      <c r="D7" t="s">
        <v>131</v>
      </c>
      <c r="E7" t="s">
        <v>132</v>
      </c>
      <c r="F7" t="s">
        <v>23</v>
      </c>
    </row>
    <row r="8" spans="1:6" x14ac:dyDescent="0.25">
      <c r="A8" s="26">
        <v>45078</v>
      </c>
      <c r="B8" t="s">
        <v>45</v>
      </c>
      <c r="C8">
        <v>800000</v>
      </c>
      <c r="D8" t="s">
        <v>131</v>
      </c>
      <c r="E8" t="s">
        <v>132</v>
      </c>
      <c r="F8" t="s">
        <v>42</v>
      </c>
    </row>
    <row r="9" spans="1:6" x14ac:dyDescent="0.25">
      <c r="A9" s="26">
        <v>45078</v>
      </c>
      <c r="B9" t="s">
        <v>40</v>
      </c>
      <c r="C9">
        <v>400000</v>
      </c>
      <c r="D9" t="s">
        <v>131</v>
      </c>
      <c r="E9" t="s">
        <v>132</v>
      </c>
      <c r="F9" t="s">
        <v>34</v>
      </c>
    </row>
    <row r="10" spans="1:6" x14ac:dyDescent="0.25">
      <c r="A10" s="26">
        <v>45078</v>
      </c>
      <c r="B10" t="s">
        <v>44</v>
      </c>
      <c r="C10">
        <v>710000</v>
      </c>
      <c r="D10" t="s">
        <v>131</v>
      </c>
      <c r="E10" t="s">
        <v>132</v>
      </c>
      <c r="F10" t="s">
        <v>42</v>
      </c>
    </row>
    <row r="11" spans="1:6" x14ac:dyDescent="0.25">
      <c r="A11" s="26">
        <v>45078</v>
      </c>
      <c r="B11" t="s">
        <v>109</v>
      </c>
      <c r="C11">
        <v>50000</v>
      </c>
      <c r="D11" t="s">
        <v>131</v>
      </c>
      <c r="E11" t="s">
        <v>132</v>
      </c>
      <c r="F11" t="s">
        <v>42</v>
      </c>
    </row>
    <row r="12" spans="1:6" x14ac:dyDescent="0.25">
      <c r="A12" s="26">
        <v>45078</v>
      </c>
      <c r="B12" t="s">
        <v>47</v>
      </c>
      <c r="C12">
        <v>950000</v>
      </c>
      <c r="D12" t="s">
        <v>131</v>
      </c>
      <c r="E12" t="s">
        <v>132</v>
      </c>
      <c r="F12" t="s">
        <v>42</v>
      </c>
    </row>
    <row r="13" spans="1:6" x14ac:dyDescent="0.25">
      <c r="A13" s="26">
        <v>45078</v>
      </c>
      <c r="B13" t="s">
        <v>114</v>
      </c>
      <c r="C13">
        <v>300000</v>
      </c>
      <c r="D13" t="s">
        <v>131</v>
      </c>
      <c r="E13" t="s">
        <v>132</v>
      </c>
      <c r="F13" t="s">
        <v>34</v>
      </c>
    </row>
    <row r="14" spans="1:6" x14ac:dyDescent="0.25">
      <c r="A14" s="26">
        <v>45078</v>
      </c>
      <c r="B14" t="s">
        <v>110</v>
      </c>
      <c r="C14">
        <v>720000</v>
      </c>
      <c r="D14" t="s">
        <v>131</v>
      </c>
      <c r="E14" t="s">
        <v>132</v>
      </c>
      <c r="F14" t="s">
        <v>42</v>
      </c>
    </row>
    <row r="15" spans="1:6" x14ac:dyDescent="0.25">
      <c r="A15" s="26">
        <v>45078</v>
      </c>
      <c r="B15" t="s">
        <v>77</v>
      </c>
      <c r="C15">
        <v>460000</v>
      </c>
      <c r="D15" t="s">
        <v>131</v>
      </c>
      <c r="E15" t="s">
        <v>132</v>
      </c>
      <c r="F15" t="s">
        <v>74</v>
      </c>
    </row>
    <row r="16" spans="1:6" x14ac:dyDescent="0.25">
      <c r="A16" s="26">
        <v>45078</v>
      </c>
      <c r="B16" t="s">
        <v>30</v>
      </c>
      <c r="C16">
        <v>636674</v>
      </c>
      <c r="D16" t="s">
        <v>131</v>
      </c>
      <c r="E16" t="s">
        <v>132</v>
      </c>
      <c r="F16" t="s">
        <v>28</v>
      </c>
    </row>
    <row r="17" spans="1:6" x14ac:dyDescent="0.25">
      <c r="A17" s="26">
        <v>45078</v>
      </c>
      <c r="B17" t="s">
        <v>20</v>
      </c>
      <c r="C17">
        <v>400000</v>
      </c>
      <c r="D17" t="s">
        <v>131</v>
      </c>
      <c r="E17" t="s">
        <v>132</v>
      </c>
      <c r="F17" t="s">
        <v>19</v>
      </c>
    </row>
    <row r="18" spans="1:6" x14ac:dyDescent="0.25">
      <c r="A18" s="26">
        <v>45078</v>
      </c>
      <c r="B18" t="s">
        <v>66</v>
      </c>
      <c r="C18">
        <v>415236</v>
      </c>
      <c r="D18" t="s">
        <v>131</v>
      </c>
      <c r="E18" t="s">
        <v>132</v>
      </c>
      <c r="F18" t="s">
        <v>65</v>
      </c>
    </row>
    <row r="19" spans="1:6" x14ac:dyDescent="0.25">
      <c r="A19" s="26">
        <v>45078</v>
      </c>
      <c r="B19" t="s">
        <v>33</v>
      </c>
      <c r="C19">
        <v>58915</v>
      </c>
      <c r="D19" t="s">
        <v>131</v>
      </c>
      <c r="E19" t="s">
        <v>132</v>
      </c>
      <c r="F19" t="s">
        <v>28</v>
      </c>
    </row>
    <row r="20" spans="1:6" x14ac:dyDescent="0.25">
      <c r="A20" s="26">
        <v>45078</v>
      </c>
      <c r="B20" t="s">
        <v>22</v>
      </c>
      <c r="C20">
        <v>550000</v>
      </c>
      <c r="D20" t="s">
        <v>131</v>
      </c>
      <c r="E20" t="s">
        <v>132</v>
      </c>
      <c r="F20" t="s">
        <v>19</v>
      </c>
    </row>
    <row r="21" spans="1:6" x14ac:dyDescent="0.25">
      <c r="A21" s="26">
        <v>45078</v>
      </c>
      <c r="B21" t="s">
        <v>49</v>
      </c>
      <c r="C21">
        <v>750000</v>
      </c>
      <c r="D21" t="s">
        <v>131</v>
      </c>
      <c r="E21" t="s">
        <v>132</v>
      </c>
      <c r="F21" t="s">
        <v>42</v>
      </c>
    </row>
    <row r="22" spans="1:6" x14ac:dyDescent="0.25">
      <c r="A22" s="26">
        <v>45078</v>
      </c>
      <c r="B22" t="s">
        <v>38</v>
      </c>
      <c r="C22">
        <v>500000</v>
      </c>
      <c r="D22" t="s">
        <v>131</v>
      </c>
      <c r="E22" t="s">
        <v>132</v>
      </c>
      <c r="F22" t="s">
        <v>34</v>
      </c>
    </row>
    <row r="23" spans="1:6" x14ac:dyDescent="0.25">
      <c r="A23" s="26">
        <v>45078</v>
      </c>
      <c r="B23" t="s">
        <v>61</v>
      </c>
      <c r="C23">
        <v>500000</v>
      </c>
      <c r="D23" t="s">
        <v>131</v>
      </c>
      <c r="E23" t="s">
        <v>132</v>
      </c>
      <c r="F23" t="s">
        <v>56</v>
      </c>
    </row>
    <row r="24" spans="1:6" x14ac:dyDescent="0.25">
      <c r="A24" s="26">
        <v>45078</v>
      </c>
      <c r="B24" t="s">
        <v>72</v>
      </c>
      <c r="C24">
        <v>450766</v>
      </c>
      <c r="D24" t="s">
        <v>131</v>
      </c>
      <c r="E24" t="s">
        <v>132</v>
      </c>
      <c r="F24" t="s">
        <v>69</v>
      </c>
    </row>
    <row r="25" spans="1:6" x14ac:dyDescent="0.25">
      <c r="A25" s="26">
        <v>45078</v>
      </c>
      <c r="B25" t="s">
        <v>16</v>
      </c>
      <c r="C25">
        <v>655098</v>
      </c>
      <c r="D25" t="s">
        <v>131</v>
      </c>
      <c r="E25" t="s">
        <v>132</v>
      </c>
      <c r="F25" t="s">
        <v>12</v>
      </c>
    </row>
    <row r="26" spans="1:6" x14ac:dyDescent="0.25">
      <c r="A26" s="26">
        <v>45078</v>
      </c>
      <c r="B26" t="s">
        <v>36</v>
      </c>
      <c r="C26">
        <v>500000</v>
      </c>
      <c r="D26" t="s">
        <v>131</v>
      </c>
      <c r="E26" t="s">
        <v>132</v>
      </c>
      <c r="F26" t="s">
        <v>34</v>
      </c>
    </row>
    <row r="27" spans="1:6" x14ac:dyDescent="0.25">
      <c r="A27" s="26">
        <v>45078</v>
      </c>
      <c r="B27" t="s">
        <v>51</v>
      </c>
      <c r="C27">
        <v>200000</v>
      </c>
      <c r="D27" t="s">
        <v>131</v>
      </c>
      <c r="E27" t="s">
        <v>132</v>
      </c>
      <c r="F27" t="s">
        <v>42</v>
      </c>
    </row>
    <row r="28" spans="1:6" x14ac:dyDescent="0.25">
      <c r="A28" s="26">
        <v>45078</v>
      </c>
      <c r="B28" t="s">
        <v>57</v>
      </c>
      <c r="C28">
        <v>550000</v>
      </c>
      <c r="D28" t="s">
        <v>131</v>
      </c>
      <c r="E28" t="s">
        <v>132</v>
      </c>
      <c r="F28" t="s">
        <v>56</v>
      </c>
    </row>
    <row r="29" spans="1:6" x14ac:dyDescent="0.25">
      <c r="A29" s="26">
        <v>45078</v>
      </c>
      <c r="B29" t="s">
        <v>111</v>
      </c>
      <c r="C29">
        <v>301222</v>
      </c>
      <c r="D29" t="s">
        <v>131</v>
      </c>
      <c r="E29" t="s">
        <v>132</v>
      </c>
      <c r="F29" t="s">
        <v>69</v>
      </c>
    </row>
    <row r="30" spans="1:6" x14ac:dyDescent="0.25">
      <c r="A30" s="26">
        <v>45078</v>
      </c>
      <c r="B30" t="s">
        <v>24</v>
      </c>
      <c r="C30">
        <v>497536</v>
      </c>
      <c r="D30" t="s">
        <v>131</v>
      </c>
      <c r="E30" t="s">
        <v>132</v>
      </c>
      <c r="F30" t="s">
        <v>23</v>
      </c>
    </row>
    <row r="31" spans="1:6" x14ac:dyDescent="0.25">
      <c r="A31" s="26">
        <v>45078</v>
      </c>
      <c r="B31" t="s">
        <v>58</v>
      </c>
      <c r="C31">
        <v>850000</v>
      </c>
      <c r="D31" t="s">
        <v>131</v>
      </c>
      <c r="E31" t="s">
        <v>132</v>
      </c>
      <c r="F31" t="s">
        <v>56</v>
      </c>
    </row>
    <row r="32" spans="1:6" x14ac:dyDescent="0.25">
      <c r="A32" s="26">
        <v>45078</v>
      </c>
      <c r="B32" t="s">
        <v>83</v>
      </c>
      <c r="C32">
        <v>543545</v>
      </c>
      <c r="D32" t="s">
        <v>131</v>
      </c>
      <c r="E32" t="s">
        <v>132</v>
      </c>
      <c r="F32" t="s">
        <v>82</v>
      </c>
    </row>
    <row r="33" spans="1:6" x14ac:dyDescent="0.25">
      <c r="A33" s="26">
        <v>45078</v>
      </c>
      <c r="B33" t="s">
        <v>62</v>
      </c>
      <c r="C33">
        <v>101233</v>
      </c>
      <c r="D33" t="s">
        <v>131</v>
      </c>
      <c r="E33" t="s">
        <v>132</v>
      </c>
      <c r="F33" t="s">
        <v>69</v>
      </c>
    </row>
    <row r="34" spans="1:6" x14ac:dyDescent="0.25">
      <c r="A34" s="26">
        <v>45078</v>
      </c>
      <c r="B34" t="s">
        <v>70</v>
      </c>
      <c r="C34">
        <v>500000</v>
      </c>
      <c r="D34" t="s">
        <v>131</v>
      </c>
      <c r="E34" t="s">
        <v>132</v>
      </c>
      <c r="F34" t="s">
        <v>69</v>
      </c>
    </row>
    <row r="35" spans="1:6" x14ac:dyDescent="0.25">
      <c r="A35" s="26">
        <v>45078</v>
      </c>
      <c r="B35" t="s">
        <v>63</v>
      </c>
      <c r="C35">
        <v>100000</v>
      </c>
      <c r="D35" t="s">
        <v>131</v>
      </c>
      <c r="E35" t="s">
        <v>132</v>
      </c>
      <c r="F35" t="s">
        <v>56</v>
      </c>
    </row>
    <row r="36" spans="1:6" x14ac:dyDescent="0.25">
      <c r="A36" s="26">
        <v>45078</v>
      </c>
      <c r="B36" t="s">
        <v>13</v>
      </c>
      <c r="C36">
        <v>990000</v>
      </c>
      <c r="D36" t="s">
        <v>131</v>
      </c>
      <c r="E36" t="s">
        <v>132</v>
      </c>
      <c r="F36" t="s">
        <v>12</v>
      </c>
    </row>
    <row r="37" spans="1:6" x14ac:dyDescent="0.25">
      <c r="A37" s="26">
        <v>45078</v>
      </c>
      <c r="B37" t="s">
        <v>54</v>
      </c>
      <c r="C37">
        <v>35000</v>
      </c>
      <c r="D37" t="s">
        <v>131</v>
      </c>
      <c r="E37" t="s">
        <v>132</v>
      </c>
      <c r="F37" t="s">
        <v>42</v>
      </c>
    </row>
    <row r="38" spans="1:6" x14ac:dyDescent="0.25">
      <c r="A38" s="26">
        <v>45078</v>
      </c>
      <c r="B38" t="s">
        <v>71</v>
      </c>
      <c r="C38">
        <v>809432</v>
      </c>
      <c r="D38" t="s">
        <v>131</v>
      </c>
      <c r="E38" t="s">
        <v>132</v>
      </c>
      <c r="F38" t="s">
        <v>69</v>
      </c>
    </row>
    <row r="39" spans="1:6" x14ac:dyDescent="0.25">
      <c r="A39" s="26">
        <v>45078</v>
      </c>
      <c r="B39" t="s">
        <v>29</v>
      </c>
      <c r="C39">
        <v>705064</v>
      </c>
      <c r="D39" t="s">
        <v>131</v>
      </c>
      <c r="E39" t="s">
        <v>132</v>
      </c>
      <c r="F39" t="s">
        <v>28</v>
      </c>
    </row>
    <row r="40" spans="1:6" x14ac:dyDescent="0.25">
      <c r="A40" s="26">
        <v>45078</v>
      </c>
      <c r="B40" t="s">
        <v>115</v>
      </c>
      <c r="C40">
        <v>250000</v>
      </c>
      <c r="D40" t="s">
        <v>131</v>
      </c>
      <c r="E40" t="s">
        <v>132</v>
      </c>
      <c r="F40" t="s">
        <v>12</v>
      </c>
    </row>
    <row r="41" spans="1:6" x14ac:dyDescent="0.25">
      <c r="A41" s="26">
        <v>45078</v>
      </c>
      <c r="B41" t="s">
        <v>59</v>
      </c>
      <c r="C41">
        <v>750000</v>
      </c>
      <c r="D41" t="s">
        <v>131</v>
      </c>
      <c r="E41" t="s">
        <v>132</v>
      </c>
      <c r="F41" t="s">
        <v>56</v>
      </c>
    </row>
    <row r="42" spans="1:6" x14ac:dyDescent="0.25">
      <c r="A42" s="26">
        <v>45078</v>
      </c>
      <c r="B42" t="s">
        <v>75</v>
      </c>
      <c r="C42">
        <v>445000</v>
      </c>
      <c r="D42" t="s">
        <v>131</v>
      </c>
      <c r="E42" t="s">
        <v>132</v>
      </c>
      <c r="F42" t="s">
        <v>74</v>
      </c>
    </row>
    <row r="43" spans="1:6" x14ac:dyDescent="0.25">
      <c r="A43" s="26">
        <v>45078</v>
      </c>
      <c r="B43" t="s">
        <v>68</v>
      </c>
      <c r="C43">
        <v>396155</v>
      </c>
      <c r="D43" t="s">
        <v>131</v>
      </c>
      <c r="E43" t="s">
        <v>132</v>
      </c>
      <c r="F43" t="s">
        <v>65</v>
      </c>
    </row>
    <row r="44" spans="1:6" x14ac:dyDescent="0.25">
      <c r="A44" s="26">
        <v>45078</v>
      </c>
      <c r="B44" t="s">
        <v>84</v>
      </c>
      <c r="C44">
        <v>816505</v>
      </c>
      <c r="D44" t="s">
        <v>131</v>
      </c>
      <c r="E44" t="s">
        <v>132</v>
      </c>
      <c r="F44" t="s">
        <v>56</v>
      </c>
    </row>
    <row r="45" spans="1:6" x14ac:dyDescent="0.25">
      <c r="A45" s="26">
        <v>45078</v>
      </c>
      <c r="B45" t="s">
        <v>116</v>
      </c>
      <c r="C45">
        <v>471997</v>
      </c>
      <c r="D45" t="s">
        <v>131</v>
      </c>
      <c r="E45" t="s">
        <v>132</v>
      </c>
      <c r="F45" t="s">
        <v>28</v>
      </c>
    </row>
    <row r="46" spans="1:6" x14ac:dyDescent="0.25">
      <c r="A46" s="26">
        <v>45078</v>
      </c>
      <c r="B46" t="s">
        <v>67</v>
      </c>
      <c r="C46">
        <v>425264</v>
      </c>
      <c r="D46" t="s">
        <v>131</v>
      </c>
      <c r="E46" t="s">
        <v>132</v>
      </c>
      <c r="F46" t="s">
        <v>65</v>
      </c>
    </row>
    <row r="47" spans="1:6" x14ac:dyDescent="0.25">
      <c r="A47" s="26">
        <v>45078</v>
      </c>
      <c r="B47" t="s">
        <v>41</v>
      </c>
      <c r="C47">
        <v>350000</v>
      </c>
      <c r="D47" t="s">
        <v>131</v>
      </c>
      <c r="E47" t="s">
        <v>132</v>
      </c>
      <c r="F47" t="s">
        <v>56</v>
      </c>
    </row>
    <row r="48" spans="1:6" x14ac:dyDescent="0.25">
      <c r="A48" s="26">
        <v>45078</v>
      </c>
      <c r="B48" t="s">
        <v>117</v>
      </c>
      <c r="C48">
        <v>450000</v>
      </c>
      <c r="D48" t="s">
        <v>131</v>
      </c>
      <c r="E48" t="s">
        <v>132</v>
      </c>
      <c r="F48" t="s">
        <v>19</v>
      </c>
    </row>
    <row r="49" spans="1:6" x14ac:dyDescent="0.25">
      <c r="A49" s="26">
        <v>45078</v>
      </c>
      <c r="B49" t="s">
        <v>50</v>
      </c>
      <c r="C49">
        <v>500000</v>
      </c>
      <c r="D49" t="s">
        <v>131</v>
      </c>
      <c r="E49" t="s">
        <v>132</v>
      </c>
      <c r="F49" t="s">
        <v>42</v>
      </c>
    </row>
    <row r="50" spans="1:6" x14ac:dyDescent="0.25">
      <c r="A50" s="26">
        <v>45078</v>
      </c>
      <c r="B50" t="s">
        <v>35</v>
      </c>
      <c r="C50">
        <v>500000</v>
      </c>
      <c r="D50" t="s">
        <v>131</v>
      </c>
      <c r="E50" t="s">
        <v>132</v>
      </c>
      <c r="F50" t="s">
        <v>34</v>
      </c>
    </row>
    <row r="51" spans="1:6" x14ac:dyDescent="0.25">
      <c r="A51" s="26">
        <v>45078</v>
      </c>
      <c r="B51" t="s">
        <v>106</v>
      </c>
      <c r="C51">
        <v>250000</v>
      </c>
      <c r="D51" t="s">
        <v>131</v>
      </c>
      <c r="E51" t="s">
        <v>132</v>
      </c>
      <c r="F51" t="s">
        <v>12</v>
      </c>
    </row>
    <row r="52" spans="1:6" x14ac:dyDescent="0.25">
      <c r="A52" s="26">
        <v>45078</v>
      </c>
      <c r="B52" t="s">
        <v>32</v>
      </c>
      <c r="C52">
        <v>581489</v>
      </c>
      <c r="D52" t="s">
        <v>131</v>
      </c>
      <c r="E52" t="s">
        <v>132</v>
      </c>
      <c r="F52" t="s">
        <v>28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B3D9F-B6CF-495A-9EBF-556D700CC56D}">
  <sheetPr codeName="Sheet1"/>
  <dimension ref="B1:AM79"/>
  <sheetViews>
    <sheetView tabSelected="1" workbookViewId="0">
      <pane xSplit="6" ySplit="4" topLeftCell="G53" activePane="bottomRight" state="frozen"/>
      <selection pane="topRight" activeCell="G1" sqref="G1"/>
      <selection pane="bottomLeft" activeCell="A5" sqref="A5"/>
      <selection pane="bottomRight" activeCell="H84" sqref="H84"/>
    </sheetView>
  </sheetViews>
  <sheetFormatPr defaultRowHeight="15" x14ac:dyDescent="0.25"/>
  <cols>
    <col min="2" max="2" width="9.85546875" bestFit="1" customWidth="1"/>
    <col min="3" max="3" width="26.28515625" bestFit="1" customWidth="1"/>
    <col min="4" max="4" width="8.85546875" hidden="1" customWidth="1"/>
    <col min="5" max="5" width="17.85546875" hidden="1" customWidth="1"/>
    <col min="6" max="6" width="11.42578125" hidden="1" customWidth="1"/>
    <col min="7" max="7" width="8.85546875" bestFit="1" customWidth="1"/>
    <col min="8" max="8" width="17.85546875" bestFit="1" customWidth="1"/>
    <col min="9" max="9" width="11.42578125" bestFit="1" customWidth="1"/>
    <col min="10" max="10" width="8.85546875" bestFit="1" customWidth="1"/>
    <col min="11" max="11" width="17.85546875" bestFit="1" customWidth="1"/>
    <col min="12" max="12" width="11.42578125" bestFit="1" customWidth="1"/>
    <col min="13" max="13" width="6.5703125" bestFit="1" customWidth="1"/>
    <col min="14" max="14" width="8" bestFit="1" customWidth="1"/>
    <col min="16" max="16" width="6.5703125" bestFit="1" customWidth="1"/>
    <col min="17" max="17" width="8" bestFit="1" customWidth="1"/>
    <col min="19" max="19" width="6.5703125" bestFit="1" customWidth="1"/>
    <col min="20" max="20" width="8" bestFit="1" customWidth="1"/>
    <col min="22" max="22" width="6.5703125" bestFit="1" customWidth="1"/>
    <col min="23" max="23" width="8" bestFit="1" customWidth="1"/>
    <col min="25" max="25" width="6.5703125" bestFit="1" customWidth="1"/>
    <col min="26" max="26" width="8" bestFit="1" customWidth="1"/>
    <col min="28" max="28" width="6.5703125" bestFit="1" customWidth="1"/>
    <col min="29" max="29" width="8" bestFit="1" customWidth="1"/>
    <col min="31" max="31" width="6.5703125" bestFit="1" customWidth="1"/>
    <col min="32" max="32" width="8" bestFit="1" customWidth="1"/>
    <col min="34" max="34" width="6.5703125" bestFit="1" customWidth="1"/>
    <col min="35" max="35" width="8" bestFit="1" customWidth="1"/>
    <col min="37" max="37" width="6.5703125" bestFit="1" customWidth="1"/>
    <col min="38" max="38" width="8" bestFit="1" customWidth="1"/>
  </cols>
  <sheetData>
    <row r="1" spans="2:39" x14ac:dyDescent="0.25">
      <c r="J1" t="s">
        <v>86</v>
      </c>
      <c r="L1" s="1">
        <f ca="1">EOMONTH(TODAY(),0)-TODAY()</f>
        <v>10</v>
      </c>
    </row>
    <row r="2" spans="2:39" ht="15.75" thickBot="1" x14ac:dyDescent="0.3"/>
    <row r="3" spans="2:39" x14ac:dyDescent="0.25">
      <c r="B3" s="14"/>
      <c r="C3" s="10"/>
      <c r="D3" s="9" t="s">
        <v>1</v>
      </c>
      <c r="E3" s="3"/>
      <c r="F3" s="13"/>
      <c r="G3" s="9" t="s">
        <v>2</v>
      </c>
      <c r="H3" s="3"/>
      <c r="I3" s="13"/>
      <c r="J3" s="9" t="s">
        <v>5</v>
      </c>
      <c r="K3" s="3"/>
      <c r="L3" s="13"/>
      <c r="M3" s="9" t="s">
        <v>3</v>
      </c>
      <c r="N3" s="3"/>
      <c r="O3" s="13"/>
      <c r="P3" s="9" t="s">
        <v>4</v>
      </c>
      <c r="Q3" s="3"/>
      <c r="R3" s="13"/>
      <c r="S3" s="9" t="s">
        <v>6</v>
      </c>
      <c r="T3" s="3"/>
      <c r="U3" s="13"/>
      <c r="V3" s="9" t="s">
        <v>7</v>
      </c>
      <c r="W3" s="3"/>
      <c r="X3" s="13"/>
      <c r="Y3" s="9" t="s">
        <v>87</v>
      </c>
      <c r="Z3" s="3"/>
      <c r="AA3" s="13"/>
      <c r="AB3" s="9" t="s">
        <v>88</v>
      </c>
      <c r="AC3" s="3"/>
      <c r="AD3" s="13"/>
      <c r="AE3" s="9" t="s">
        <v>8</v>
      </c>
      <c r="AF3" s="3"/>
      <c r="AG3" s="13"/>
      <c r="AH3" s="9" t="s">
        <v>9</v>
      </c>
      <c r="AI3" s="3"/>
      <c r="AJ3" s="13"/>
      <c r="AK3" s="9" t="s">
        <v>10</v>
      </c>
      <c r="AL3" s="3"/>
      <c r="AM3" s="4"/>
    </row>
    <row r="4" spans="2:39" ht="15.75" thickBot="1" x14ac:dyDescent="0.3">
      <c r="B4" s="11" t="s">
        <v>11</v>
      </c>
      <c r="C4" t="s">
        <v>0</v>
      </c>
      <c r="D4" s="6" t="s">
        <v>102</v>
      </c>
      <c r="E4" s="7" t="s">
        <v>103</v>
      </c>
      <c r="F4" s="12" t="s">
        <v>104</v>
      </c>
      <c r="G4" s="6" t="s">
        <v>102</v>
      </c>
      <c r="H4" s="7" t="s">
        <v>103</v>
      </c>
      <c r="I4" s="12" t="s">
        <v>104</v>
      </c>
      <c r="J4" s="6" t="s">
        <v>102</v>
      </c>
      <c r="K4" s="7" t="s">
        <v>103</v>
      </c>
      <c r="L4" s="12" t="s">
        <v>104</v>
      </c>
      <c r="M4" s="6" t="s">
        <v>102</v>
      </c>
      <c r="N4" s="7" t="s">
        <v>103</v>
      </c>
      <c r="O4" s="12" t="s">
        <v>104</v>
      </c>
      <c r="P4" s="6" t="s">
        <v>102</v>
      </c>
      <c r="Q4" s="7" t="s">
        <v>103</v>
      </c>
      <c r="R4" s="12" t="s">
        <v>104</v>
      </c>
      <c r="S4" s="6" t="s">
        <v>102</v>
      </c>
      <c r="T4" s="7" t="s">
        <v>103</v>
      </c>
      <c r="U4" s="12" t="s">
        <v>104</v>
      </c>
      <c r="V4" s="6" t="s">
        <v>102</v>
      </c>
      <c r="W4" s="7" t="s">
        <v>103</v>
      </c>
      <c r="X4" s="12" t="s">
        <v>104</v>
      </c>
      <c r="Y4" s="6" t="s">
        <v>102</v>
      </c>
      <c r="Z4" s="7" t="s">
        <v>103</v>
      </c>
      <c r="AA4" s="12" t="s">
        <v>104</v>
      </c>
      <c r="AB4" s="6" t="s">
        <v>102</v>
      </c>
      <c r="AC4" s="7" t="s">
        <v>103</v>
      </c>
      <c r="AD4" s="12" t="s">
        <v>104</v>
      </c>
      <c r="AE4" s="6" t="s">
        <v>102</v>
      </c>
      <c r="AF4" s="7" t="s">
        <v>103</v>
      </c>
      <c r="AG4" s="12" t="s">
        <v>104</v>
      </c>
      <c r="AH4" s="6" t="s">
        <v>102</v>
      </c>
      <c r="AI4" s="7" t="s">
        <v>103</v>
      </c>
      <c r="AJ4" s="12" t="s">
        <v>104</v>
      </c>
      <c r="AK4" s="6" t="s">
        <v>102</v>
      </c>
      <c r="AL4" s="7" t="s">
        <v>103</v>
      </c>
      <c r="AM4" s="8" t="s">
        <v>104</v>
      </c>
    </row>
    <row r="5" spans="2:39" x14ac:dyDescent="0.25">
      <c r="B5" s="11" t="s">
        <v>42</v>
      </c>
      <c r="C5" t="s">
        <v>48</v>
      </c>
      <c r="D5" s="2">
        <v>500000</v>
      </c>
      <c r="E5" s="23">
        <v>77957.280000000028</v>
      </c>
      <c r="F5" s="17">
        <f t="shared" ref="F5:F36" si="0">IFERROR(E5/D5,"")</f>
        <v>0.15591456000000006</v>
      </c>
      <c r="G5" s="2">
        <v>0</v>
      </c>
      <c r="H5" s="23"/>
      <c r="I5" s="17" t="str">
        <f t="shared" ref="I5:I36" si="1">IFERROR(H5/G5,"")</f>
        <v/>
      </c>
      <c r="J5" s="2">
        <v>0</v>
      </c>
      <c r="K5" s="23"/>
      <c r="L5" s="17" t="str">
        <f t="shared" ref="L5:L36" si="2">IFERROR(K5/J5,"")</f>
        <v/>
      </c>
      <c r="M5" s="2"/>
      <c r="N5" s="23"/>
      <c r="O5" s="17" t="str">
        <f t="shared" ref="O5:O36" si="3">IFERROR(N5/M5,"")</f>
        <v/>
      </c>
      <c r="P5" s="2"/>
      <c r="Q5" s="23"/>
      <c r="R5" s="17" t="str">
        <f t="shared" ref="R5:R36" si="4">IFERROR(Q5/P5,"")</f>
        <v/>
      </c>
      <c r="S5" s="2"/>
      <c r="T5" s="23"/>
      <c r="U5" s="17" t="str">
        <f t="shared" ref="U5:U36" si="5">IFERROR(T5/S5,"")</f>
        <v/>
      </c>
      <c r="V5" s="2"/>
      <c r="W5" s="23"/>
      <c r="X5" s="17" t="str">
        <f t="shared" ref="X5:X36" si="6">IFERROR(W5/V5,"")</f>
        <v/>
      </c>
      <c r="Y5" s="2"/>
      <c r="Z5" s="23"/>
      <c r="AA5" s="17" t="str">
        <f t="shared" ref="AA5:AA36" si="7">IFERROR(Z5/Y5,"")</f>
        <v/>
      </c>
      <c r="AB5" s="2"/>
      <c r="AC5" s="23"/>
      <c r="AD5" s="17" t="str">
        <f t="shared" ref="AD5:AD36" si="8">IFERROR(AC5/AB5,"")</f>
        <v/>
      </c>
      <c r="AE5" s="2"/>
      <c r="AF5" s="23"/>
      <c r="AG5" s="17" t="str">
        <f t="shared" ref="AG5:AG36" si="9">IFERROR(AF5/AE5,"")</f>
        <v/>
      </c>
      <c r="AH5" s="2"/>
      <c r="AI5" s="23"/>
      <c r="AJ5" s="17" t="str">
        <f t="shared" ref="AJ5:AJ36" si="10">IFERROR(AI5/AH5,"")</f>
        <v/>
      </c>
      <c r="AK5" s="2"/>
      <c r="AL5" s="23"/>
      <c r="AM5" s="18" t="str">
        <f t="shared" ref="AM5:AM36" si="11">IFERROR(AL5/AK5,"")</f>
        <v/>
      </c>
    </row>
    <row r="6" spans="2:39" x14ac:dyDescent="0.25">
      <c r="B6" s="11" t="s">
        <v>79</v>
      </c>
      <c r="C6" t="s">
        <v>90</v>
      </c>
      <c r="D6" s="5">
        <v>250000</v>
      </c>
      <c r="E6" s="24">
        <v>93414.559999999983</v>
      </c>
      <c r="F6" s="19">
        <f t="shared" si="0"/>
        <v>0.37365823999999992</v>
      </c>
      <c r="G6" s="5">
        <v>0</v>
      </c>
      <c r="H6" s="24">
        <v>163615.58000000002</v>
      </c>
      <c r="I6" s="19" t="str">
        <f t="shared" si="1"/>
        <v/>
      </c>
      <c r="J6" s="5">
        <v>0</v>
      </c>
      <c r="K6" s="24">
        <v>73632.479997999995</v>
      </c>
      <c r="L6" s="19" t="str">
        <f t="shared" si="2"/>
        <v/>
      </c>
      <c r="M6" s="5"/>
      <c r="N6" s="24"/>
      <c r="O6" s="19" t="str">
        <f t="shared" si="3"/>
        <v/>
      </c>
      <c r="P6" s="5"/>
      <c r="Q6" s="24"/>
      <c r="R6" s="19" t="str">
        <f t="shared" si="4"/>
        <v/>
      </c>
      <c r="S6" s="5"/>
      <c r="T6" s="24"/>
      <c r="U6" s="19" t="str">
        <f t="shared" si="5"/>
        <v/>
      </c>
      <c r="V6" s="5"/>
      <c r="W6" s="24"/>
      <c r="X6" s="19" t="str">
        <f t="shared" si="6"/>
        <v/>
      </c>
      <c r="Y6" s="5"/>
      <c r="Z6" s="24"/>
      <c r="AA6" s="19" t="str">
        <f t="shared" si="7"/>
        <v/>
      </c>
      <c r="AB6" s="5"/>
      <c r="AC6" s="24"/>
      <c r="AD6" s="19" t="str">
        <f t="shared" si="8"/>
        <v/>
      </c>
      <c r="AE6" s="5"/>
      <c r="AF6" s="24"/>
      <c r="AG6" s="19" t="str">
        <f t="shared" si="9"/>
        <v/>
      </c>
      <c r="AH6" s="5"/>
      <c r="AI6" s="24"/>
      <c r="AJ6" s="19" t="str">
        <f t="shared" si="10"/>
        <v/>
      </c>
      <c r="AK6" s="5"/>
      <c r="AL6" s="24"/>
      <c r="AM6" s="20" t="str">
        <f t="shared" si="11"/>
        <v/>
      </c>
    </row>
    <row r="7" spans="2:39" x14ac:dyDescent="0.25">
      <c r="B7" s="11" t="s">
        <v>23</v>
      </c>
      <c r="C7" t="s">
        <v>100</v>
      </c>
      <c r="D7" s="5"/>
      <c r="E7" s="24"/>
      <c r="F7" s="19" t="str">
        <f t="shared" si="0"/>
        <v/>
      </c>
      <c r="G7" s="5"/>
      <c r="H7" s="24">
        <v>50086.39</v>
      </c>
      <c r="I7" s="19" t="str">
        <f t="shared" si="1"/>
        <v/>
      </c>
      <c r="J7" s="5"/>
      <c r="K7" s="24">
        <v>62036.329999999994</v>
      </c>
      <c r="L7" s="19" t="str">
        <f t="shared" si="2"/>
        <v/>
      </c>
      <c r="M7" s="5"/>
      <c r="N7" s="24"/>
      <c r="O7" s="19" t="str">
        <f t="shared" si="3"/>
        <v/>
      </c>
      <c r="P7" s="5"/>
      <c r="Q7" s="24"/>
      <c r="R7" s="19" t="str">
        <f t="shared" si="4"/>
        <v/>
      </c>
      <c r="S7" s="5"/>
      <c r="T7" s="24"/>
      <c r="U7" s="19" t="str">
        <f t="shared" si="5"/>
        <v/>
      </c>
      <c r="V7" s="5"/>
      <c r="W7" s="24"/>
      <c r="X7" s="19" t="str">
        <f t="shared" si="6"/>
        <v/>
      </c>
      <c r="Y7" s="5"/>
      <c r="Z7" s="24"/>
      <c r="AA7" s="19" t="str">
        <f t="shared" si="7"/>
        <v/>
      </c>
      <c r="AB7" s="5"/>
      <c r="AC7" s="24"/>
      <c r="AD7" s="19" t="str">
        <f t="shared" si="8"/>
        <v/>
      </c>
      <c r="AE7" s="5"/>
      <c r="AF7" s="24"/>
      <c r="AG7" s="19" t="str">
        <f t="shared" si="9"/>
        <v/>
      </c>
      <c r="AH7" s="5"/>
      <c r="AI7" s="24"/>
      <c r="AJ7" s="19" t="str">
        <f t="shared" si="10"/>
        <v/>
      </c>
      <c r="AK7" s="5"/>
      <c r="AL7" s="24"/>
      <c r="AM7" s="20" t="str">
        <f t="shared" si="11"/>
        <v/>
      </c>
    </row>
    <row r="8" spans="2:39" x14ac:dyDescent="0.25">
      <c r="B8" s="11" t="s">
        <v>42</v>
      </c>
      <c r="C8" t="s">
        <v>95</v>
      </c>
      <c r="D8" s="5">
        <v>900000</v>
      </c>
      <c r="E8" s="24">
        <v>1954442.9599710004</v>
      </c>
      <c r="F8" s="19">
        <f t="shared" si="0"/>
        <v>2.1716032888566672</v>
      </c>
      <c r="G8" s="5">
        <v>1900000</v>
      </c>
      <c r="H8" s="24">
        <v>1832660.8499719999</v>
      </c>
      <c r="I8" s="19">
        <f t="shared" si="1"/>
        <v>0.96455834209052627</v>
      </c>
      <c r="J8" s="5">
        <v>1900000</v>
      </c>
      <c r="K8" s="24">
        <v>653447.99998399999</v>
      </c>
      <c r="L8" s="19">
        <f t="shared" si="2"/>
        <v>0.34391999999157896</v>
      </c>
      <c r="M8" s="5"/>
      <c r="N8" s="24"/>
      <c r="O8" s="19" t="str">
        <f t="shared" si="3"/>
        <v/>
      </c>
      <c r="P8" s="5"/>
      <c r="Q8" s="24"/>
      <c r="R8" s="19" t="str">
        <f t="shared" si="4"/>
        <v/>
      </c>
      <c r="S8" s="5"/>
      <c r="T8" s="24"/>
      <c r="U8" s="19" t="str">
        <f t="shared" si="5"/>
        <v/>
      </c>
      <c r="V8" s="5"/>
      <c r="W8" s="24"/>
      <c r="X8" s="19" t="str">
        <f t="shared" si="6"/>
        <v/>
      </c>
      <c r="Y8" s="5"/>
      <c r="Z8" s="24"/>
      <c r="AA8" s="19" t="str">
        <f t="shared" si="7"/>
        <v/>
      </c>
      <c r="AB8" s="5"/>
      <c r="AC8" s="24"/>
      <c r="AD8" s="19" t="str">
        <f t="shared" si="8"/>
        <v/>
      </c>
      <c r="AE8" s="5"/>
      <c r="AF8" s="24"/>
      <c r="AG8" s="19" t="str">
        <f t="shared" si="9"/>
        <v/>
      </c>
      <c r="AH8" s="5"/>
      <c r="AI8" s="24"/>
      <c r="AJ8" s="19" t="str">
        <f t="shared" si="10"/>
        <v/>
      </c>
      <c r="AK8" s="5"/>
      <c r="AL8" s="24"/>
      <c r="AM8" s="20" t="str">
        <f t="shared" si="11"/>
        <v/>
      </c>
    </row>
    <row r="9" spans="2:39" x14ac:dyDescent="0.25">
      <c r="B9" s="11" t="s">
        <v>56</v>
      </c>
      <c r="C9" t="s">
        <v>60</v>
      </c>
      <c r="D9" s="5">
        <v>500000</v>
      </c>
      <c r="E9" s="24">
        <v>447276.74000000005</v>
      </c>
      <c r="F9" s="19">
        <f t="shared" si="0"/>
        <v>0.89455348000000012</v>
      </c>
      <c r="G9" s="5">
        <v>1000000</v>
      </c>
      <c r="H9" s="24">
        <v>1455236.4499999997</v>
      </c>
      <c r="I9" s="19">
        <f t="shared" si="1"/>
        <v>1.4552364499999997</v>
      </c>
      <c r="J9" s="5">
        <v>1000000</v>
      </c>
      <c r="K9" s="24">
        <v>1060063.1100000008</v>
      </c>
      <c r="L9" s="19">
        <f t="shared" si="2"/>
        <v>1.0600631100000009</v>
      </c>
      <c r="M9" s="5"/>
      <c r="N9" s="24"/>
      <c r="O9" s="19" t="str">
        <f t="shared" si="3"/>
        <v/>
      </c>
      <c r="P9" s="5"/>
      <c r="Q9" s="24"/>
      <c r="R9" s="19" t="str">
        <f t="shared" si="4"/>
        <v/>
      </c>
      <c r="S9" s="5"/>
      <c r="T9" s="24"/>
      <c r="U9" s="19" t="str">
        <f t="shared" si="5"/>
        <v/>
      </c>
      <c r="V9" s="5"/>
      <c r="W9" s="24"/>
      <c r="X9" s="19" t="str">
        <f t="shared" si="6"/>
        <v/>
      </c>
      <c r="Y9" s="5"/>
      <c r="Z9" s="24"/>
      <c r="AA9" s="19" t="str">
        <f t="shared" si="7"/>
        <v/>
      </c>
      <c r="AB9" s="5"/>
      <c r="AC9" s="24"/>
      <c r="AD9" s="19" t="str">
        <f t="shared" si="8"/>
        <v/>
      </c>
      <c r="AE9" s="5"/>
      <c r="AF9" s="24"/>
      <c r="AG9" s="19" t="str">
        <f t="shared" si="9"/>
        <v/>
      </c>
      <c r="AH9" s="5"/>
      <c r="AI9" s="24"/>
      <c r="AJ9" s="19" t="str">
        <f t="shared" si="10"/>
        <v/>
      </c>
      <c r="AK9" s="5"/>
      <c r="AL9" s="24"/>
      <c r="AM9" s="20" t="str">
        <f t="shared" si="11"/>
        <v/>
      </c>
    </row>
    <row r="10" spans="2:39" x14ac:dyDescent="0.25">
      <c r="B10" s="11" t="s">
        <v>34</v>
      </c>
      <c r="C10" t="s">
        <v>39</v>
      </c>
      <c r="D10" s="5">
        <v>350000</v>
      </c>
      <c r="E10" s="24">
        <v>355907.38000000012</v>
      </c>
      <c r="F10" s="19">
        <f t="shared" si="0"/>
        <v>1.0168782285714288</v>
      </c>
      <c r="G10" s="5">
        <v>350000</v>
      </c>
      <c r="H10" s="24">
        <v>332752.54999999993</v>
      </c>
      <c r="I10" s="19">
        <f t="shared" si="1"/>
        <v>0.95072157142857128</v>
      </c>
      <c r="J10" s="5">
        <v>350000</v>
      </c>
      <c r="K10" s="24">
        <v>169335.21000000002</v>
      </c>
      <c r="L10" s="19">
        <f t="shared" si="2"/>
        <v>0.48381488571428577</v>
      </c>
      <c r="M10" s="5"/>
      <c r="N10" s="24"/>
      <c r="O10" s="19" t="str">
        <f t="shared" si="3"/>
        <v/>
      </c>
      <c r="P10" s="5"/>
      <c r="Q10" s="24"/>
      <c r="R10" s="19" t="str">
        <f t="shared" si="4"/>
        <v/>
      </c>
      <c r="S10" s="5"/>
      <c r="T10" s="24"/>
      <c r="U10" s="19" t="str">
        <f t="shared" si="5"/>
        <v/>
      </c>
      <c r="V10" s="5"/>
      <c r="W10" s="24"/>
      <c r="X10" s="19" t="str">
        <f t="shared" si="6"/>
        <v/>
      </c>
      <c r="Y10" s="5"/>
      <c r="Z10" s="24"/>
      <c r="AA10" s="19" t="str">
        <f t="shared" si="7"/>
        <v/>
      </c>
      <c r="AB10" s="5"/>
      <c r="AC10" s="24"/>
      <c r="AD10" s="19" t="str">
        <f t="shared" si="8"/>
        <v/>
      </c>
      <c r="AE10" s="5"/>
      <c r="AF10" s="24"/>
      <c r="AG10" s="19" t="str">
        <f t="shared" si="9"/>
        <v/>
      </c>
      <c r="AH10" s="5"/>
      <c r="AI10" s="24"/>
      <c r="AJ10" s="19" t="str">
        <f t="shared" si="10"/>
        <v/>
      </c>
      <c r="AK10" s="5"/>
      <c r="AL10" s="24"/>
      <c r="AM10" s="20" t="str">
        <f t="shared" si="11"/>
        <v/>
      </c>
    </row>
    <row r="11" spans="2:39" x14ac:dyDescent="0.25">
      <c r="B11" s="11" t="s">
        <v>12</v>
      </c>
      <c r="C11" t="s">
        <v>91</v>
      </c>
      <c r="D11" s="5">
        <v>100000</v>
      </c>
      <c r="E11" s="24">
        <v>91104.920000000013</v>
      </c>
      <c r="F11" s="19">
        <f t="shared" si="0"/>
        <v>0.91104920000000011</v>
      </c>
      <c r="G11" s="5">
        <v>150000</v>
      </c>
      <c r="H11" s="24">
        <v>230929.48000000004</v>
      </c>
      <c r="I11" s="19">
        <f t="shared" si="1"/>
        <v>1.539529866666667</v>
      </c>
      <c r="J11" s="5">
        <v>150000</v>
      </c>
      <c r="K11" s="24">
        <v>154039.88999999996</v>
      </c>
      <c r="L11" s="19">
        <f t="shared" si="2"/>
        <v>1.0269325999999996</v>
      </c>
      <c r="M11" s="5"/>
      <c r="N11" s="24"/>
      <c r="O11" s="19" t="str">
        <f t="shared" si="3"/>
        <v/>
      </c>
      <c r="P11" s="5"/>
      <c r="Q11" s="24"/>
      <c r="R11" s="19" t="str">
        <f t="shared" si="4"/>
        <v/>
      </c>
      <c r="S11" s="5"/>
      <c r="T11" s="24"/>
      <c r="U11" s="19" t="str">
        <f t="shared" si="5"/>
        <v/>
      </c>
      <c r="V11" s="5"/>
      <c r="W11" s="24"/>
      <c r="X11" s="19" t="str">
        <f t="shared" si="6"/>
        <v/>
      </c>
      <c r="Y11" s="5"/>
      <c r="Z11" s="24"/>
      <c r="AA11" s="19" t="str">
        <f t="shared" si="7"/>
        <v/>
      </c>
      <c r="AB11" s="5"/>
      <c r="AC11" s="24"/>
      <c r="AD11" s="19" t="str">
        <f t="shared" si="8"/>
        <v/>
      </c>
      <c r="AE11" s="5"/>
      <c r="AF11" s="24"/>
      <c r="AG11" s="19" t="str">
        <f t="shared" si="9"/>
        <v/>
      </c>
      <c r="AH11" s="5"/>
      <c r="AI11" s="24"/>
      <c r="AJ11" s="19" t="str">
        <f t="shared" si="10"/>
        <v/>
      </c>
      <c r="AK11" s="5"/>
      <c r="AL11" s="24"/>
      <c r="AM11" s="20" t="str">
        <f t="shared" si="11"/>
        <v/>
      </c>
    </row>
    <row r="12" spans="2:39" x14ac:dyDescent="0.25">
      <c r="B12" s="11" t="s">
        <v>23</v>
      </c>
      <c r="C12" t="s">
        <v>26</v>
      </c>
      <c r="D12" s="5">
        <v>50000</v>
      </c>
      <c r="E12" s="24">
        <v>86368.390000000058</v>
      </c>
      <c r="F12" s="19">
        <f t="shared" si="0"/>
        <v>1.7273678000000012</v>
      </c>
      <c r="G12" s="5">
        <v>100000</v>
      </c>
      <c r="H12" s="24">
        <v>77941.56</v>
      </c>
      <c r="I12" s="19">
        <f t="shared" si="1"/>
        <v>0.77941559999999999</v>
      </c>
      <c r="J12" s="5">
        <v>100000</v>
      </c>
      <c r="K12" s="24">
        <v>22637.809999999998</v>
      </c>
      <c r="L12" s="19">
        <f t="shared" si="2"/>
        <v>0.22637809999999997</v>
      </c>
      <c r="M12" s="5"/>
      <c r="N12" s="24"/>
      <c r="O12" s="19" t="str">
        <f t="shared" si="3"/>
        <v/>
      </c>
      <c r="P12" s="5"/>
      <c r="Q12" s="24"/>
      <c r="R12" s="19" t="str">
        <f t="shared" si="4"/>
        <v/>
      </c>
      <c r="S12" s="5"/>
      <c r="T12" s="24"/>
      <c r="U12" s="19" t="str">
        <f t="shared" si="5"/>
        <v/>
      </c>
      <c r="V12" s="5"/>
      <c r="W12" s="24"/>
      <c r="X12" s="19" t="str">
        <f t="shared" si="6"/>
        <v/>
      </c>
      <c r="Y12" s="5"/>
      <c r="Z12" s="24"/>
      <c r="AA12" s="19" t="str">
        <f t="shared" si="7"/>
        <v/>
      </c>
      <c r="AB12" s="5"/>
      <c r="AC12" s="24"/>
      <c r="AD12" s="19" t="str">
        <f t="shared" si="8"/>
        <v/>
      </c>
      <c r="AE12" s="5"/>
      <c r="AF12" s="24"/>
      <c r="AG12" s="19" t="str">
        <f t="shared" si="9"/>
        <v/>
      </c>
      <c r="AH12" s="5"/>
      <c r="AI12" s="24"/>
      <c r="AJ12" s="19" t="str">
        <f t="shared" si="10"/>
        <v/>
      </c>
      <c r="AK12" s="5"/>
      <c r="AL12" s="24"/>
      <c r="AM12" s="20" t="str">
        <f t="shared" si="11"/>
        <v/>
      </c>
    </row>
    <row r="13" spans="2:39" x14ac:dyDescent="0.25">
      <c r="B13" s="11" t="s">
        <v>42</v>
      </c>
      <c r="C13" t="s">
        <v>45</v>
      </c>
      <c r="D13" s="5">
        <v>750000</v>
      </c>
      <c r="E13" s="24">
        <v>831616.48000000021</v>
      </c>
      <c r="F13" s="19">
        <f t="shared" si="0"/>
        <v>1.1088219733333335</v>
      </c>
      <c r="G13" s="5">
        <v>1100000</v>
      </c>
      <c r="H13" s="24">
        <v>911906.00999999978</v>
      </c>
      <c r="I13" s="19">
        <f t="shared" si="1"/>
        <v>0.8290054636363634</v>
      </c>
      <c r="J13" s="5">
        <v>1100000</v>
      </c>
      <c r="K13" s="24">
        <v>277900.84000000008</v>
      </c>
      <c r="L13" s="19">
        <f t="shared" si="2"/>
        <v>0.25263712727272736</v>
      </c>
      <c r="M13" s="5"/>
      <c r="N13" s="24"/>
      <c r="O13" s="19" t="str">
        <f t="shared" si="3"/>
        <v/>
      </c>
      <c r="P13" s="5"/>
      <c r="Q13" s="24"/>
      <c r="R13" s="19" t="str">
        <f t="shared" si="4"/>
        <v/>
      </c>
      <c r="S13" s="5"/>
      <c r="T13" s="24"/>
      <c r="U13" s="19" t="str">
        <f t="shared" si="5"/>
        <v/>
      </c>
      <c r="V13" s="5"/>
      <c r="W13" s="24"/>
      <c r="X13" s="19" t="str">
        <f t="shared" si="6"/>
        <v/>
      </c>
      <c r="Y13" s="5"/>
      <c r="Z13" s="24"/>
      <c r="AA13" s="19" t="str">
        <f t="shared" si="7"/>
        <v/>
      </c>
      <c r="AB13" s="5"/>
      <c r="AC13" s="24"/>
      <c r="AD13" s="19" t="str">
        <f t="shared" si="8"/>
        <v/>
      </c>
      <c r="AE13" s="5"/>
      <c r="AF13" s="24"/>
      <c r="AG13" s="19" t="str">
        <f t="shared" si="9"/>
        <v/>
      </c>
      <c r="AH13" s="5"/>
      <c r="AI13" s="24"/>
      <c r="AJ13" s="19" t="str">
        <f t="shared" si="10"/>
        <v/>
      </c>
      <c r="AK13" s="5"/>
      <c r="AL13" s="24"/>
      <c r="AM13" s="20" t="str">
        <f t="shared" si="11"/>
        <v/>
      </c>
    </row>
    <row r="14" spans="2:39" x14ac:dyDescent="0.25">
      <c r="B14" s="11" t="s">
        <v>34</v>
      </c>
      <c r="C14" t="s">
        <v>40</v>
      </c>
      <c r="D14" s="5">
        <v>150000</v>
      </c>
      <c r="E14" s="24">
        <v>247662.0900000002</v>
      </c>
      <c r="F14" s="19">
        <f t="shared" si="0"/>
        <v>1.6510806000000013</v>
      </c>
      <c r="G14" s="5">
        <v>300000</v>
      </c>
      <c r="H14" s="24">
        <v>159497.49000000005</v>
      </c>
      <c r="I14" s="19">
        <f t="shared" si="1"/>
        <v>0.53165830000000014</v>
      </c>
      <c r="J14" s="5">
        <v>300000</v>
      </c>
      <c r="K14" s="24">
        <v>26678.229999999996</v>
      </c>
      <c r="L14" s="19">
        <f t="shared" si="2"/>
        <v>8.8927433333333319E-2</v>
      </c>
      <c r="M14" s="5"/>
      <c r="N14" s="24"/>
      <c r="O14" s="19" t="str">
        <f t="shared" si="3"/>
        <v/>
      </c>
      <c r="P14" s="5"/>
      <c r="Q14" s="24"/>
      <c r="R14" s="19" t="str">
        <f t="shared" si="4"/>
        <v/>
      </c>
      <c r="S14" s="5"/>
      <c r="T14" s="24"/>
      <c r="U14" s="19" t="str">
        <f t="shared" si="5"/>
        <v/>
      </c>
      <c r="V14" s="5"/>
      <c r="W14" s="24"/>
      <c r="X14" s="19" t="str">
        <f t="shared" si="6"/>
        <v/>
      </c>
      <c r="Y14" s="5"/>
      <c r="Z14" s="24"/>
      <c r="AA14" s="19" t="str">
        <f t="shared" si="7"/>
        <v/>
      </c>
      <c r="AB14" s="5"/>
      <c r="AC14" s="24"/>
      <c r="AD14" s="19" t="str">
        <f t="shared" si="8"/>
        <v/>
      </c>
      <c r="AE14" s="5"/>
      <c r="AF14" s="24"/>
      <c r="AG14" s="19" t="str">
        <f t="shared" si="9"/>
        <v/>
      </c>
      <c r="AH14" s="5"/>
      <c r="AI14" s="24"/>
      <c r="AJ14" s="19" t="str">
        <f t="shared" si="10"/>
        <v/>
      </c>
      <c r="AK14" s="5"/>
      <c r="AL14" s="24"/>
      <c r="AM14" s="20" t="str">
        <f t="shared" si="11"/>
        <v/>
      </c>
    </row>
    <row r="15" spans="2:39" x14ac:dyDescent="0.25">
      <c r="B15" s="11" t="s">
        <v>79</v>
      </c>
      <c r="C15" t="s">
        <v>80</v>
      </c>
      <c r="D15" s="5">
        <v>0</v>
      </c>
      <c r="E15" s="24">
        <v>29735.480000000003</v>
      </c>
      <c r="F15" s="19" t="str">
        <f t="shared" si="0"/>
        <v/>
      </c>
      <c r="G15" s="5">
        <v>0</v>
      </c>
      <c r="H15" s="24">
        <v>1459.6700000000003</v>
      </c>
      <c r="I15" s="19" t="str">
        <f t="shared" si="1"/>
        <v/>
      </c>
      <c r="J15" s="5">
        <v>0</v>
      </c>
      <c r="K15" s="24">
        <v>1951.46</v>
      </c>
      <c r="L15" s="19" t="str">
        <f t="shared" si="2"/>
        <v/>
      </c>
      <c r="M15" s="5"/>
      <c r="N15" s="24"/>
      <c r="O15" s="19" t="str">
        <f t="shared" si="3"/>
        <v/>
      </c>
      <c r="P15" s="5"/>
      <c r="Q15" s="24"/>
      <c r="R15" s="19" t="str">
        <f t="shared" si="4"/>
        <v/>
      </c>
      <c r="S15" s="5"/>
      <c r="T15" s="24"/>
      <c r="U15" s="19" t="str">
        <f t="shared" si="5"/>
        <v/>
      </c>
      <c r="V15" s="5"/>
      <c r="W15" s="24"/>
      <c r="X15" s="19" t="str">
        <f t="shared" si="6"/>
        <v/>
      </c>
      <c r="Y15" s="5"/>
      <c r="Z15" s="24"/>
      <c r="AA15" s="19" t="str">
        <f t="shared" si="7"/>
        <v/>
      </c>
      <c r="AB15" s="5"/>
      <c r="AC15" s="24"/>
      <c r="AD15" s="19" t="str">
        <f t="shared" si="8"/>
        <v/>
      </c>
      <c r="AE15" s="5"/>
      <c r="AF15" s="24"/>
      <c r="AG15" s="19" t="str">
        <f t="shared" si="9"/>
        <v/>
      </c>
      <c r="AH15" s="5"/>
      <c r="AI15" s="24"/>
      <c r="AJ15" s="19" t="str">
        <f t="shared" si="10"/>
        <v/>
      </c>
      <c r="AK15" s="5"/>
      <c r="AL15" s="24"/>
      <c r="AM15" s="20" t="str">
        <f t="shared" si="11"/>
        <v/>
      </c>
    </row>
    <row r="16" spans="2:39" x14ac:dyDescent="0.25">
      <c r="B16" s="11" t="s">
        <v>42</v>
      </c>
      <c r="C16" t="s">
        <v>44</v>
      </c>
      <c r="D16" s="5">
        <v>600000</v>
      </c>
      <c r="E16" s="24">
        <v>603540.68999999983</v>
      </c>
      <c r="F16" s="19">
        <f t="shared" si="0"/>
        <v>1.0059011499999997</v>
      </c>
      <c r="G16" s="5">
        <v>900000</v>
      </c>
      <c r="H16" s="24">
        <v>914134.84000000008</v>
      </c>
      <c r="I16" s="19">
        <f t="shared" si="1"/>
        <v>1.0157053777777778</v>
      </c>
      <c r="J16" s="5">
        <v>900000</v>
      </c>
      <c r="K16" s="24">
        <v>138971.17000000007</v>
      </c>
      <c r="L16" s="19">
        <f t="shared" si="2"/>
        <v>0.1544124111111112</v>
      </c>
      <c r="M16" s="5"/>
      <c r="N16" s="24"/>
      <c r="O16" s="19" t="str">
        <f t="shared" si="3"/>
        <v/>
      </c>
      <c r="P16" s="5"/>
      <c r="Q16" s="24"/>
      <c r="R16" s="19" t="str">
        <f t="shared" si="4"/>
        <v/>
      </c>
      <c r="S16" s="5"/>
      <c r="T16" s="24"/>
      <c r="U16" s="19" t="str">
        <f t="shared" si="5"/>
        <v/>
      </c>
      <c r="V16" s="5"/>
      <c r="W16" s="24"/>
      <c r="X16" s="19" t="str">
        <f t="shared" si="6"/>
        <v/>
      </c>
      <c r="Y16" s="5"/>
      <c r="Z16" s="24"/>
      <c r="AA16" s="19" t="str">
        <f t="shared" si="7"/>
        <v/>
      </c>
      <c r="AB16" s="5"/>
      <c r="AC16" s="24"/>
      <c r="AD16" s="19" t="str">
        <f t="shared" si="8"/>
        <v/>
      </c>
      <c r="AE16" s="5"/>
      <c r="AF16" s="24"/>
      <c r="AG16" s="19" t="str">
        <f t="shared" si="9"/>
        <v/>
      </c>
      <c r="AH16" s="5"/>
      <c r="AI16" s="24"/>
      <c r="AJ16" s="19" t="str">
        <f t="shared" si="10"/>
        <v/>
      </c>
      <c r="AK16" s="5"/>
      <c r="AL16" s="24"/>
      <c r="AM16" s="20" t="str">
        <f t="shared" si="11"/>
        <v/>
      </c>
    </row>
    <row r="17" spans="2:39" x14ac:dyDescent="0.25">
      <c r="B17" s="11" t="s">
        <v>42</v>
      </c>
      <c r="C17" t="s">
        <v>107</v>
      </c>
      <c r="D17" s="5"/>
      <c r="E17" s="24"/>
      <c r="F17" s="19" t="str">
        <f t="shared" si="0"/>
        <v/>
      </c>
      <c r="G17" s="5"/>
      <c r="H17" s="24"/>
      <c r="I17" s="19" t="str">
        <f t="shared" si="1"/>
        <v/>
      </c>
      <c r="J17" s="5"/>
      <c r="K17" s="24">
        <v>4761.46</v>
      </c>
      <c r="L17" s="19" t="str">
        <f t="shared" si="2"/>
        <v/>
      </c>
      <c r="M17" s="5"/>
      <c r="N17" s="24"/>
      <c r="O17" s="19" t="str">
        <f t="shared" si="3"/>
        <v/>
      </c>
      <c r="P17" s="5"/>
      <c r="Q17" s="24"/>
      <c r="R17" s="19" t="str">
        <f t="shared" si="4"/>
        <v/>
      </c>
      <c r="S17" s="5"/>
      <c r="T17" s="24"/>
      <c r="U17" s="19" t="str">
        <f t="shared" si="5"/>
        <v/>
      </c>
      <c r="V17" s="5"/>
      <c r="W17" s="24"/>
      <c r="X17" s="19" t="str">
        <f t="shared" si="6"/>
        <v/>
      </c>
      <c r="Y17" s="5"/>
      <c r="Z17" s="24"/>
      <c r="AA17" s="19" t="str">
        <f t="shared" si="7"/>
        <v/>
      </c>
      <c r="AB17" s="5"/>
      <c r="AC17" s="24"/>
      <c r="AD17" s="19" t="str">
        <f t="shared" si="8"/>
        <v/>
      </c>
      <c r="AE17" s="5"/>
      <c r="AF17" s="24"/>
      <c r="AG17" s="19" t="str">
        <f t="shared" si="9"/>
        <v/>
      </c>
      <c r="AH17" s="5"/>
      <c r="AI17" s="24"/>
      <c r="AJ17" s="19" t="str">
        <f t="shared" si="10"/>
        <v/>
      </c>
      <c r="AK17" s="5"/>
      <c r="AL17" s="24"/>
      <c r="AM17" s="20" t="str">
        <f t="shared" si="11"/>
        <v/>
      </c>
    </row>
    <row r="18" spans="2:39" x14ac:dyDescent="0.25">
      <c r="B18" s="11" t="s">
        <v>42</v>
      </c>
      <c r="C18" t="s">
        <v>47</v>
      </c>
      <c r="D18" s="5">
        <v>600000</v>
      </c>
      <c r="E18" s="24">
        <v>588690.12000000034</v>
      </c>
      <c r="F18" s="19">
        <f t="shared" si="0"/>
        <v>0.98115020000000053</v>
      </c>
      <c r="G18" s="5">
        <v>850000</v>
      </c>
      <c r="H18" s="24">
        <v>763488.10000000009</v>
      </c>
      <c r="I18" s="19">
        <f t="shared" si="1"/>
        <v>0.89822129411764717</v>
      </c>
      <c r="J18" s="5">
        <v>850000</v>
      </c>
      <c r="K18" s="24">
        <v>351250.59000000008</v>
      </c>
      <c r="L18" s="19">
        <f t="shared" si="2"/>
        <v>0.41323598823529423</v>
      </c>
      <c r="M18" s="5"/>
      <c r="N18" s="24"/>
      <c r="O18" s="19" t="str">
        <f t="shared" si="3"/>
        <v/>
      </c>
      <c r="P18" s="5"/>
      <c r="Q18" s="24"/>
      <c r="R18" s="19" t="str">
        <f t="shared" si="4"/>
        <v/>
      </c>
      <c r="S18" s="5"/>
      <c r="T18" s="24"/>
      <c r="U18" s="19" t="str">
        <f t="shared" si="5"/>
        <v/>
      </c>
      <c r="V18" s="5"/>
      <c r="W18" s="24"/>
      <c r="X18" s="19" t="str">
        <f t="shared" si="6"/>
        <v/>
      </c>
      <c r="Y18" s="5"/>
      <c r="Z18" s="24"/>
      <c r="AA18" s="19" t="str">
        <f t="shared" si="7"/>
        <v/>
      </c>
      <c r="AB18" s="5"/>
      <c r="AC18" s="24"/>
      <c r="AD18" s="19" t="str">
        <f t="shared" si="8"/>
        <v/>
      </c>
      <c r="AE18" s="5"/>
      <c r="AF18" s="24"/>
      <c r="AG18" s="19" t="str">
        <f t="shared" si="9"/>
        <v/>
      </c>
      <c r="AH18" s="5"/>
      <c r="AI18" s="24"/>
      <c r="AJ18" s="19" t="str">
        <f t="shared" si="10"/>
        <v/>
      </c>
      <c r="AK18" s="5"/>
      <c r="AL18" s="24"/>
      <c r="AM18" s="20" t="str">
        <f t="shared" si="11"/>
        <v/>
      </c>
    </row>
    <row r="19" spans="2:39" x14ac:dyDescent="0.25">
      <c r="B19" s="11" t="s">
        <v>34</v>
      </c>
      <c r="C19" t="s">
        <v>37</v>
      </c>
      <c r="D19" s="5">
        <v>400000</v>
      </c>
      <c r="E19" s="24">
        <v>246196.12000000005</v>
      </c>
      <c r="F19" s="19">
        <f t="shared" si="0"/>
        <v>0.61549030000000016</v>
      </c>
      <c r="G19" s="5">
        <v>600000</v>
      </c>
      <c r="H19" s="24">
        <v>678085.69000000006</v>
      </c>
      <c r="I19" s="19">
        <f t="shared" si="1"/>
        <v>1.1301428166666667</v>
      </c>
      <c r="J19" s="5">
        <v>600000</v>
      </c>
      <c r="K19" s="24">
        <v>174509.23000000004</v>
      </c>
      <c r="L19" s="19">
        <f t="shared" si="2"/>
        <v>0.29084871666666673</v>
      </c>
      <c r="M19" s="5"/>
      <c r="N19" s="24"/>
      <c r="O19" s="19" t="str">
        <f t="shared" si="3"/>
        <v/>
      </c>
      <c r="P19" s="5"/>
      <c r="Q19" s="24"/>
      <c r="R19" s="19" t="str">
        <f t="shared" si="4"/>
        <v/>
      </c>
      <c r="S19" s="5"/>
      <c r="T19" s="24"/>
      <c r="U19" s="19" t="str">
        <f t="shared" si="5"/>
        <v/>
      </c>
      <c r="V19" s="5"/>
      <c r="W19" s="24"/>
      <c r="X19" s="19" t="str">
        <f t="shared" si="6"/>
        <v/>
      </c>
      <c r="Y19" s="5"/>
      <c r="Z19" s="24"/>
      <c r="AA19" s="19" t="str">
        <f t="shared" si="7"/>
        <v/>
      </c>
      <c r="AB19" s="5"/>
      <c r="AC19" s="24"/>
      <c r="AD19" s="19" t="str">
        <f t="shared" si="8"/>
        <v/>
      </c>
      <c r="AE19" s="5"/>
      <c r="AF19" s="24"/>
      <c r="AG19" s="19" t="str">
        <f t="shared" si="9"/>
        <v/>
      </c>
      <c r="AH19" s="5"/>
      <c r="AI19" s="24"/>
      <c r="AJ19" s="19" t="str">
        <f t="shared" si="10"/>
        <v/>
      </c>
      <c r="AK19" s="5"/>
      <c r="AL19" s="24"/>
      <c r="AM19" s="20" t="str">
        <f t="shared" si="11"/>
        <v/>
      </c>
    </row>
    <row r="20" spans="2:39" x14ac:dyDescent="0.25">
      <c r="B20" s="11" t="s">
        <v>74</v>
      </c>
      <c r="C20" t="s">
        <v>97</v>
      </c>
      <c r="D20" s="5"/>
      <c r="E20" s="24"/>
      <c r="F20" s="19" t="str">
        <f t="shared" si="0"/>
        <v/>
      </c>
      <c r="G20" s="5">
        <v>150000</v>
      </c>
      <c r="H20" s="24">
        <v>168941.6</v>
      </c>
      <c r="I20" s="19">
        <f t="shared" si="1"/>
        <v>1.1262773333333334</v>
      </c>
      <c r="J20" s="5">
        <v>150000</v>
      </c>
      <c r="K20" s="24">
        <v>67551.850000000006</v>
      </c>
      <c r="L20" s="19">
        <f t="shared" si="2"/>
        <v>0.4503456666666667</v>
      </c>
      <c r="M20" s="5"/>
      <c r="N20" s="24"/>
      <c r="O20" s="19" t="str">
        <f t="shared" si="3"/>
        <v/>
      </c>
      <c r="P20" s="5"/>
      <c r="Q20" s="24"/>
      <c r="R20" s="19" t="str">
        <f t="shared" si="4"/>
        <v/>
      </c>
      <c r="S20" s="5"/>
      <c r="T20" s="24"/>
      <c r="U20" s="19" t="str">
        <f t="shared" si="5"/>
        <v/>
      </c>
      <c r="V20" s="5"/>
      <c r="W20" s="24"/>
      <c r="X20" s="19" t="str">
        <f t="shared" si="6"/>
        <v/>
      </c>
      <c r="Y20" s="5"/>
      <c r="Z20" s="24"/>
      <c r="AA20" s="19" t="str">
        <f t="shared" si="7"/>
        <v/>
      </c>
      <c r="AB20" s="5"/>
      <c r="AC20" s="24"/>
      <c r="AD20" s="19" t="str">
        <f t="shared" si="8"/>
        <v/>
      </c>
      <c r="AE20" s="5"/>
      <c r="AF20" s="24"/>
      <c r="AG20" s="19" t="str">
        <f t="shared" si="9"/>
        <v/>
      </c>
      <c r="AH20" s="5"/>
      <c r="AI20" s="24"/>
      <c r="AJ20" s="19" t="str">
        <f t="shared" si="10"/>
        <v/>
      </c>
      <c r="AK20" s="5"/>
      <c r="AL20" s="24"/>
      <c r="AM20" s="20" t="str">
        <f t="shared" si="11"/>
        <v/>
      </c>
    </row>
    <row r="21" spans="2:39" x14ac:dyDescent="0.25">
      <c r="B21" s="11" t="s">
        <v>12</v>
      </c>
      <c r="C21" t="s">
        <v>92</v>
      </c>
      <c r="D21" s="5"/>
      <c r="E21" s="24">
        <v>97.95</v>
      </c>
      <c r="F21" s="19" t="str">
        <f t="shared" si="0"/>
        <v/>
      </c>
      <c r="G21" s="5"/>
      <c r="H21" s="24">
        <v>1221.69</v>
      </c>
      <c r="I21" s="19" t="str">
        <f t="shared" si="1"/>
        <v/>
      </c>
      <c r="J21" s="5"/>
      <c r="K21" s="24">
        <v>717.81000000000006</v>
      </c>
      <c r="L21" s="19" t="str">
        <f t="shared" si="2"/>
        <v/>
      </c>
      <c r="M21" s="5"/>
      <c r="N21" s="24"/>
      <c r="O21" s="19" t="str">
        <f t="shared" si="3"/>
        <v/>
      </c>
      <c r="P21" s="5"/>
      <c r="Q21" s="24"/>
      <c r="R21" s="19" t="str">
        <f t="shared" si="4"/>
        <v/>
      </c>
      <c r="S21" s="5"/>
      <c r="T21" s="24"/>
      <c r="U21" s="19" t="str">
        <f t="shared" si="5"/>
        <v/>
      </c>
      <c r="V21" s="5"/>
      <c r="W21" s="24"/>
      <c r="X21" s="19" t="str">
        <f t="shared" si="6"/>
        <v/>
      </c>
      <c r="Y21" s="5"/>
      <c r="Z21" s="24"/>
      <c r="AA21" s="19" t="str">
        <f t="shared" si="7"/>
        <v/>
      </c>
      <c r="AB21" s="5"/>
      <c r="AC21" s="24"/>
      <c r="AD21" s="19" t="str">
        <f t="shared" si="8"/>
        <v/>
      </c>
      <c r="AE21" s="5"/>
      <c r="AF21" s="24"/>
      <c r="AG21" s="19" t="str">
        <f t="shared" si="9"/>
        <v/>
      </c>
      <c r="AH21" s="5"/>
      <c r="AI21" s="24"/>
      <c r="AJ21" s="19" t="str">
        <f t="shared" si="10"/>
        <v/>
      </c>
      <c r="AK21" s="5"/>
      <c r="AL21" s="24"/>
      <c r="AM21" s="20" t="str">
        <f t="shared" si="11"/>
        <v/>
      </c>
    </row>
    <row r="22" spans="2:39" x14ac:dyDescent="0.25">
      <c r="B22" s="11" t="s">
        <v>74</v>
      </c>
      <c r="C22" t="s">
        <v>76</v>
      </c>
      <c r="D22" s="5"/>
      <c r="E22" s="24">
        <v>54506.93</v>
      </c>
      <c r="F22" s="19" t="str">
        <f t="shared" si="0"/>
        <v/>
      </c>
      <c r="G22" s="5"/>
      <c r="H22" s="24">
        <v>4269.91</v>
      </c>
      <c r="I22" s="19" t="str">
        <f t="shared" si="1"/>
        <v/>
      </c>
      <c r="J22" s="5"/>
      <c r="K22" s="24"/>
      <c r="L22" s="19" t="str">
        <f t="shared" si="2"/>
        <v/>
      </c>
      <c r="M22" s="5"/>
      <c r="N22" s="24"/>
      <c r="O22" s="19" t="str">
        <f t="shared" si="3"/>
        <v/>
      </c>
      <c r="P22" s="5"/>
      <c r="Q22" s="24"/>
      <c r="R22" s="19" t="str">
        <f t="shared" si="4"/>
        <v/>
      </c>
      <c r="S22" s="5"/>
      <c r="T22" s="24"/>
      <c r="U22" s="19" t="str">
        <f t="shared" si="5"/>
        <v/>
      </c>
      <c r="V22" s="5"/>
      <c r="W22" s="24"/>
      <c r="X22" s="19" t="str">
        <f t="shared" si="6"/>
        <v/>
      </c>
      <c r="Y22" s="5"/>
      <c r="Z22" s="24"/>
      <c r="AA22" s="19" t="str">
        <f t="shared" si="7"/>
        <v/>
      </c>
      <c r="AB22" s="5"/>
      <c r="AC22" s="24"/>
      <c r="AD22" s="19" t="str">
        <f t="shared" si="8"/>
        <v/>
      </c>
      <c r="AE22" s="5"/>
      <c r="AF22" s="24"/>
      <c r="AG22" s="19" t="str">
        <f t="shared" si="9"/>
        <v/>
      </c>
      <c r="AH22" s="5"/>
      <c r="AI22" s="24"/>
      <c r="AJ22" s="19" t="str">
        <f t="shared" si="10"/>
        <v/>
      </c>
      <c r="AK22" s="5"/>
      <c r="AL22" s="24"/>
      <c r="AM22" s="20" t="str">
        <f t="shared" si="11"/>
        <v/>
      </c>
    </row>
    <row r="23" spans="2:39" x14ac:dyDescent="0.25">
      <c r="B23" s="11" t="s">
        <v>74</v>
      </c>
      <c r="C23" t="s">
        <v>77</v>
      </c>
      <c r="D23" s="5">
        <v>250000</v>
      </c>
      <c r="E23" s="24">
        <v>229437.51999999996</v>
      </c>
      <c r="F23" s="19">
        <f t="shared" si="0"/>
        <v>0.9177500799999998</v>
      </c>
      <c r="G23" s="5">
        <v>350000</v>
      </c>
      <c r="H23" s="24">
        <v>382381.54999599978</v>
      </c>
      <c r="I23" s="19">
        <f t="shared" si="1"/>
        <v>1.0925187142742852</v>
      </c>
      <c r="J23" s="5">
        <v>350000</v>
      </c>
      <c r="K23" s="24">
        <v>116188.85</v>
      </c>
      <c r="L23" s="19">
        <f t="shared" si="2"/>
        <v>0.33196814285714288</v>
      </c>
      <c r="M23" s="5"/>
      <c r="N23" s="24"/>
      <c r="O23" s="19" t="str">
        <f t="shared" si="3"/>
        <v/>
      </c>
      <c r="P23" s="5"/>
      <c r="Q23" s="24"/>
      <c r="R23" s="19" t="str">
        <f t="shared" si="4"/>
        <v/>
      </c>
      <c r="S23" s="5"/>
      <c r="T23" s="24"/>
      <c r="U23" s="19" t="str">
        <f t="shared" si="5"/>
        <v/>
      </c>
      <c r="V23" s="5"/>
      <c r="W23" s="24"/>
      <c r="X23" s="19" t="str">
        <f t="shared" si="6"/>
        <v/>
      </c>
      <c r="Y23" s="5"/>
      <c r="Z23" s="24"/>
      <c r="AA23" s="19" t="str">
        <f t="shared" si="7"/>
        <v/>
      </c>
      <c r="AB23" s="5"/>
      <c r="AC23" s="24"/>
      <c r="AD23" s="19" t="str">
        <f t="shared" si="8"/>
        <v/>
      </c>
      <c r="AE23" s="5"/>
      <c r="AF23" s="24"/>
      <c r="AG23" s="19" t="str">
        <f t="shared" si="9"/>
        <v/>
      </c>
      <c r="AH23" s="5"/>
      <c r="AI23" s="24"/>
      <c r="AJ23" s="19" t="str">
        <f t="shared" si="10"/>
        <v/>
      </c>
      <c r="AK23" s="5"/>
      <c r="AL23" s="24"/>
      <c r="AM23" s="20" t="str">
        <f t="shared" si="11"/>
        <v/>
      </c>
    </row>
    <row r="24" spans="2:39" x14ac:dyDescent="0.25">
      <c r="B24" s="11" t="s">
        <v>28</v>
      </c>
      <c r="C24" t="s">
        <v>30</v>
      </c>
      <c r="D24" s="5">
        <v>450000</v>
      </c>
      <c r="E24" s="24">
        <v>383815.06</v>
      </c>
      <c r="F24" s="19">
        <f t="shared" si="0"/>
        <v>0.85292235555555551</v>
      </c>
      <c r="G24" s="5">
        <v>600000</v>
      </c>
      <c r="H24" s="24">
        <v>682235.06999899971</v>
      </c>
      <c r="I24" s="19">
        <f t="shared" si="1"/>
        <v>1.1370584499983329</v>
      </c>
      <c r="J24" s="5">
        <v>600000</v>
      </c>
      <c r="K24" s="24">
        <v>260316.05999999994</v>
      </c>
      <c r="L24" s="19">
        <f t="shared" si="2"/>
        <v>0.43386009999999992</v>
      </c>
      <c r="M24" s="5"/>
      <c r="N24" s="24"/>
      <c r="O24" s="19" t="str">
        <f t="shared" si="3"/>
        <v/>
      </c>
      <c r="P24" s="5"/>
      <c r="Q24" s="24"/>
      <c r="R24" s="19" t="str">
        <f t="shared" si="4"/>
        <v/>
      </c>
      <c r="S24" s="5"/>
      <c r="T24" s="24"/>
      <c r="U24" s="19" t="str">
        <f t="shared" si="5"/>
        <v/>
      </c>
      <c r="V24" s="5"/>
      <c r="W24" s="24"/>
      <c r="X24" s="19" t="str">
        <f t="shared" si="6"/>
        <v/>
      </c>
      <c r="Y24" s="5"/>
      <c r="Z24" s="24"/>
      <c r="AA24" s="19" t="str">
        <f t="shared" si="7"/>
        <v/>
      </c>
      <c r="AB24" s="5"/>
      <c r="AC24" s="24"/>
      <c r="AD24" s="19" t="str">
        <f t="shared" si="8"/>
        <v/>
      </c>
      <c r="AE24" s="5"/>
      <c r="AF24" s="24"/>
      <c r="AG24" s="19" t="str">
        <f t="shared" si="9"/>
        <v/>
      </c>
      <c r="AH24" s="5"/>
      <c r="AI24" s="24"/>
      <c r="AJ24" s="19" t="str">
        <f t="shared" si="10"/>
        <v/>
      </c>
      <c r="AK24" s="5"/>
      <c r="AL24" s="24"/>
      <c r="AM24" s="20" t="str">
        <f t="shared" si="11"/>
        <v/>
      </c>
    </row>
    <row r="25" spans="2:39" x14ac:dyDescent="0.25">
      <c r="B25" s="11" t="s">
        <v>19</v>
      </c>
      <c r="C25" t="s">
        <v>20</v>
      </c>
      <c r="D25" s="5">
        <v>250000</v>
      </c>
      <c r="E25" s="24">
        <v>371111.20999999979</v>
      </c>
      <c r="F25" s="19">
        <f t="shared" si="0"/>
        <v>1.4844448399999992</v>
      </c>
      <c r="G25" s="5">
        <v>350000</v>
      </c>
      <c r="H25" s="24">
        <v>399101.43</v>
      </c>
      <c r="I25" s="19">
        <f t="shared" si="1"/>
        <v>1.1402897999999999</v>
      </c>
      <c r="J25" s="5">
        <v>350000</v>
      </c>
      <c r="K25" s="24">
        <v>82263.37</v>
      </c>
      <c r="L25" s="19">
        <f t="shared" si="2"/>
        <v>0.23503819999999997</v>
      </c>
      <c r="M25" s="5"/>
      <c r="N25" s="24"/>
      <c r="O25" s="19" t="str">
        <f t="shared" si="3"/>
        <v/>
      </c>
      <c r="P25" s="5"/>
      <c r="Q25" s="24"/>
      <c r="R25" s="19" t="str">
        <f t="shared" si="4"/>
        <v/>
      </c>
      <c r="S25" s="5"/>
      <c r="T25" s="24"/>
      <c r="U25" s="19" t="str">
        <f t="shared" si="5"/>
        <v/>
      </c>
      <c r="V25" s="5"/>
      <c r="W25" s="24"/>
      <c r="X25" s="19" t="str">
        <f t="shared" si="6"/>
        <v/>
      </c>
      <c r="Y25" s="5"/>
      <c r="Z25" s="24"/>
      <c r="AA25" s="19" t="str">
        <f t="shared" si="7"/>
        <v/>
      </c>
      <c r="AB25" s="5"/>
      <c r="AC25" s="24"/>
      <c r="AD25" s="19" t="str">
        <f t="shared" si="8"/>
        <v/>
      </c>
      <c r="AE25" s="5"/>
      <c r="AF25" s="24"/>
      <c r="AG25" s="19" t="str">
        <f t="shared" si="9"/>
        <v/>
      </c>
      <c r="AH25" s="5"/>
      <c r="AI25" s="24"/>
      <c r="AJ25" s="19" t="str">
        <f t="shared" si="10"/>
        <v/>
      </c>
      <c r="AK25" s="5"/>
      <c r="AL25" s="24"/>
      <c r="AM25" s="20" t="str">
        <f t="shared" si="11"/>
        <v/>
      </c>
    </row>
    <row r="26" spans="2:39" x14ac:dyDescent="0.25">
      <c r="B26" s="11" t="s">
        <v>12</v>
      </c>
      <c r="C26" t="s">
        <v>18</v>
      </c>
      <c r="D26" s="5"/>
      <c r="E26" s="24">
        <v>468.41999999999996</v>
      </c>
      <c r="F26" s="19" t="str">
        <f t="shared" si="0"/>
        <v/>
      </c>
      <c r="G26" s="5"/>
      <c r="H26" s="24"/>
      <c r="I26" s="19" t="str">
        <f t="shared" si="1"/>
        <v/>
      </c>
      <c r="J26" s="5"/>
      <c r="K26" s="24"/>
      <c r="L26" s="19" t="str">
        <f t="shared" si="2"/>
        <v/>
      </c>
      <c r="M26" s="5"/>
      <c r="N26" s="24"/>
      <c r="O26" s="19" t="str">
        <f t="shared" si="3"/>
        <v/>
      </c>
      <c r="P26" s="5"/>
      <c r="Q26" s="24"/>
      <c r="R26" s="19" t="str">
        <f t="shared" si="4"/>
        <v/>
      </c>
      <c r="S26" s="5"/>
      <c r="T26" s="24"/>
      <c r="U26" s="19" t="str">
        <f t="shared" si="5"/>
        <v/>
      </c>
      <c r="V26" s="5"/>
      <c r="W26" s="24"/>
      <c r="X26" s="19" t="str">
        <f t="shared" si="6"/>
        <v/>
      </c>
      <c r="Y26" s="5"/>
      <c r="Z26" s="24"/>
      <c r="AA26" s="19" t="str">
        <f t="shared" si="7"/>
        <v/>
      </c>
      <c r="AB26" s="5"/>
      <c r="AC26" s="24"/>
      <c r="AD26" s="19" t="str">
        <f t="shared" si="8"/>
        <v/>
      </c>
      <c r="AE26" s="5"/>
      <c r="AF26" s="24"/>
      <c r="AG26" s="19" t="str">
        <f t="shared" si="9"/>
        <v/>
      </c>
      <c r="AH26" s="5"/>
      <c r="AI26" s="24"/>
      <c r="AJ26" s="19" t="str">
        <f t="shared" si="10"/>
        <v/>
      </c>
      <c r="AK26" s="5"/>
      <c r="AL26" s="24"/>
      <c r="AM26" s="20" t="str">
        <f t="shared" si="11"/>
        <v/>
      </c>
    </row>
    <row r="27" spans="2:39" x14ac:dyDescent="0.25">
      <c r="B27" s="11" t="s">
        <v>65</v>
      </c>
      <c r="C27" t="s">
        <v>66</v>
      </c>
      <c r="D27" s="5">
        <v>300000</v>
      </c>
      <c r="E27" s="24">
        <v>258931.27000000016</v>
      </c>
      <c r="F27" s="19">
        <f t="shared" si="0"/>
        <v>0.86310423333333386</v>
      </c>
      <c r="G27" s="5">
        <v>350000</v>
      </c>
      <c r="H27" s="24">
        <v>331593.58999999997</v>
      </c>
      <c r="I27" s="19">
        <f t="shared" si="1"/>
        <v>0.94741025714285709</v>
      </c>
      <c r="J27" s="5">
        <v>350000</v>
      </c>
      <c r="K27" s="24">
        <v>122910.27</v>
      </c>
      <c r="L27" s="19">
        <f t="shared" si="2"/>
        <v>0.35117219999999999</v>
      </c>
      <c r="M27" s="5"/>
      <c r="N27" s="24"/>
      <c r="O27" s="19" t="str">
        <f t="shared" si="3"/>
        <v/>
      </c>
      <c r="P27" s="5"/>
      <c r="Q27" s="24"/>
      <c r="R27" s="19" t="str">
        <f t="shared" si="4"/>
        <v/>
      </c>
      <c r="S27" s="5"/>
      <c r="T27" s="24"/>
      <c r="U27" s="19" t="str">
        <f t="shared" si="5"/>
        <v/>
      </c>
      <c r="V27" s="5"/>
      <c r="W27" s="24"/>
      <c r="X27" s="19" t="str">
        <f t="shared" si="6"/>
        <v/>
      </c>
      <c r="Y27" s="5"/>
      <c r="Z27" s="24"/>
      <c r="AA27" s="19" t="str">
        <f t="shared" si="7"/>
        <v/>
      </c>
      <c r="AB27" s="5"/>
      <c r="AC27" s="24"/>
      <c r="AD27" s="19" t="str">
        <f t="shared" si="8"/>
        <v/>
      </c>
      <c r="AE27" s="5"/>
      <c r="AF27" s="24"/>
      <c r="AG27" s="19" t="str">
        <f t="shared" si="9"/>
        <v/>
      </c>
      <c r="AH27" s="5"/>
      <c r="AI27" s="24"/>
      <c r="AJ27" s="19" t="str">
        <f t="shared" si="10"/>
        <v/>
      </c>
      <c r="AK27" s="5"/>
      <c r="AL27" s="24"/>
      <c r="AM27" s="20" t="str">
        <f t="shared" si="11"/>
        <v/>
      </c>
    </row>
    <row r="28" spans="2:39" x14ac:dyDescent="0.25">
      <c r="B28" s="11" t="s">
        <v>28</v>
      </c>
      <c r="C28" t="s">
        <v>33</v>
      </c>
      <c r="D28" s="5">
        <v>100000</v>
      </c>
      <c r="E28" s="24">
        <v>31970.049999999988</v>
      </c>
      <c r="F28" s="19">
        <f t="shared" si="0"/>
        <v>0.31970049999999989</v>
      </c>
      <c r="G28" s="5">
        <v>50000</v>
      </c>
      <c r="H28" s="24">
        <v>36634.92</v>
      </c>
      <c r="I28" s="19">
        <f t="shared" si="1"/>
        <v>0.73269839999999997</v>
      </c>
      <c r="J28" s="5">
        <v>50000</v>
      </c>
      <c r="K28" s="24">
        <v>4739.92</v>
      </c>
      <c r="L28" s="19">
        <f t="shared" si="2"/>
        <v>9.4798400000000005E-2</v>
      </c>
      <c r="M28" s="5"/>
      <c r="N28" s="24"/>
      <c r="O28" s="19" t="str">
        <f t="shared" si="3"/>
        <v/>
      </c>
      <c r="P28" s="5"/>
      <c r="Q28" s="24"/>
      <c r="R28" s="19" t="str">
        <f t="shared" si="4"/>
        <v/>
      </c>
      <c r="S28" s="5"/>
      <c r="T28" s="24"/>
      <c r="U28" s="19" t="str">
        <f t="shared" si="5"/>
        <v/>
      </c>
      <c r="V28" s="5"/>
      <c r="W28" s="24"/>
      <c r="X28" s="19" t="str">
        <f t="shared" si="6"/>
        <v/>
      </c>
      <c r="Y28" s="5"/>
      <c r="Z28" s="24"/>
      <c r="AA28" s="19" t="str">
        <f t="shared" si="7"/>
        <v/>
      </c>
      <c r="AB28" s="5"/>
      <c r="AC28" s="24"/>
      <c r="AD28" s="19" t="str">
        <f t="shared" si="8"/>
        <v/>
      </c>
      <c r="AE28" s="5"/>
      <c r="AF28" s="24"/>
      <c r="AG28" s="19" t="str">
        <f t="shared" si="9"/>
        <v/>
      </c>
      <c r="AH28" s="5"/>
      <c r="AI28" s="24"/>
      <c r="AJ28" s="19" t="str">
        <f t="shared" si="10"/>
        <v/>
      </c>
      <c r="AK28" s="5"/>
      <c r="AL28" s="24"/>
      <c r="AM28" s="20" t="str">
        <f t="shared" si="11"/>
        <v/>
      </c>
    </row>
    <row r="29" spans="2:39" x14ac:dyDescent="0.25">
      <c r="B29" s="11" t="s">
        <v>12</v>
      </c>
      <c r="C29" t="s">
        <v>17</v>
      </c>
      <c r="D29" s="5">
        <v>50000</v>
      </c>
      <c r="E29" s="24">
        <v>29592.699999999997</v>
      </c>
      <c r="F29" s="19">
        <f t="shared" si="0"/>
        <v>0.59185399999999999</v>
      </c>
      <c r="G29" s="5">
        <v>50000</v>
      </c>
      <c r="H29" s="24">
        <v>26310.220000000008</v>
      </c>
      <c r="I29" s="19">
        <f t="shared" si="1"/>
        <v>0.52620440000000013</v>
      </c>
      <c r="J29" s="5">
        <v>50000</v>
      </c>
      <c r="K29" s="24">
        <v>7586.7800000000007</v>
      </c>
      <c r="L29" s="19">
        <f t="shared" si="2"/>
        <v>0.15173560000000003</v>
      </c>
      <c r="M29" s="5"/>
      <c r="N29" s="24"/>
      <c r="O29" s="19" t="str">
        <f t="shared" si="3"/>
        <v/>
      </c>
      <c r="P29" s="5"/>
      <c r="Q29" s="24"/>
      <c r="R29" s="19" t="str">
        <f t="shared" si="4"/>
        <v/>
      </c>
      <c r="S29" s="5"/>
      <c r="T29" s="24"/>
      <c r="U29" s="19" t="str">
        <f t="shared" si="5"/>
        <v/>
      </c>
      <c r="V29" s="5"/>
      <c r="W29" s="24"/>
      <c r="X29" s="19" t="str">
        <f t="shared" si="6"/>
        <v/>
      </c>
      <c r="Y29" s="5"/>
      <c r="Z29" s="24"/>
      <c r="AA29" s="19" t="str">
        <f t="shared" si="7"/>
        <v/>
      </c>
      <c r="AB29" s="5"/>
      <c r="AC29" s="24"/>
      <c r="AD29" s="19" t="str">
        <f t="shared" si="8"/>
        <v/>
      </c>
      <c r="AE29" s="5"/>
      <c r="AF29" s="24"/>
      <c r="AG29" s="19" t="str">
        <f t="shared" si="9"/>
        <v/>
      </c>
      <c r="AH29" s="5"/>
      <c r="AI29" s="24"/>
      <c r="AJ29" s="19" t="str">
        <f t="shared" si="10"/>
        <v/>
      </c>
      <c r="AK29" s="5"/>
      <c r="AL29" s="24"/>
      <c r="AM29" s="20" t="str">
        <f t="shared" si="11"/>
        <v/>
      </c>
    </row>
    <row r="30" spans="2:39" x14ac:dyDescent="0.25">
      <c r="B30" s="11" t="s">
        <v>19</v>
      </c>
      <c r="C30" t="s">
        <v>22</v>
      </c>
      <c r="D30" s="5">
        <v>200000</v>
      </c>
      <c r="E30" s="24">
        <v>282326.93999900005</v>
      </c>
      <c r="F30" s="19">
        <f t="shared" si="0"/>
        <v>1.4116346999950002</v>
      </c>
      <c r="G30" s="5">
        <v>300000</v>
      </c>
      <c r="H30" s="24">
        <v>282427.45999999996</v>
      </c>
      <c r="I30" s="19">
        <f t="shared" si="1"/>
        <v>0.94142486666666658</v>
      </c>
      <c r="J30" s="5">
        <v>300000</v>
      </c>
      <c r="K30" s="24">
        <v>68376.639999999999</v>
      </c>
      <c r="L30" s="19">
        <f t="shared" si="2"/>
        <v>0.22792213333333333</v>
      </c>
      <c r="M30" s="5"/>
      <c r="N30" s="24"/>
      <c r="O30" s="19" t="str">
        <f t="shared" si="3"/>
        <v/>
      </c>
      <c r="P30" s="5"/>
      <c r="Q30" s="24"/>
      <c r="R30" s="19" t="str">
        <f t="shared" si="4"/>
        <v/>
      </c>
      <c r="S30" s="5"/>
      <c r="T30" s="24"/>
      <c r="U30" s="19" t="str">
        <f t="shared" si="5"/>
        <v/>
      </c>
      <c r="V30" s="5"/>
      <c r="W30" s="24"/>
      <c r="X30" s="19" t="str">
        <f t="shared" si="6"/>
        <v/>
      </c>
      <c r="Y30" s="5"/>
      <c r="Z30" s="24"/>
      <c r="AA30" s="19" t="str">
        <f t="shared" si="7"/>
        <v/>
      </c>
      <c r="AB30" s="5"/>
      <c r="AC30" s="24"/>
      <c r="AD30" s="19" t="str">
        <f t="shared" si="8"/>
        <v/>
      </c>
      <c r="AE30" s="5"/>
      <c r="AF30" s="24"/>
      <c r="AG30" s="19" t="str">
        <f t="shared" si="9"/>
        <v/>
      </c>
      <c r="AH30" s="5"/>
      <c r="AI30" s="24"/>
      <c r="AJ30" s="19" t="str">
        <f t="shared" si="10"/>
        <v/>
      </c>
      <c r="AK30" s="5"/>
      <c r="AL30" s="24"/>
      <c r="AM30" s="20" t="str">
        <f t="shared" si="11"/>
        <v/>
      </c>
    </row>
    <row r="31" spans="2:39" x14ac:dyDescent="0.25">
      <c r="B31" s="11" t="s">
        <v>42</v>
      </c>
      <c r="C31" t="s">
        <v>49</v>
      </c>
      <c r="D31" s="5">
        <v>550000</v>
      </c>
      <c r="E31" s="24">
        <v>225181.83000000002</v>
      </c>
      <c r="F31" s="19">
        <f t="shared" si="0"/>
        <v>0.40942150909090913</v>
      </c>
      <c r="G31" s="5">
        <v>600000</v>
      </c>
      <c r="H31" s="24">
        <v>748099.13000000012</v>
      </c>
      <c r="I31" s="19">
        <f t="shared" si="1"/>
        <v>1.2468318833333336</v>
      </c>
      <c r="J31" s="5">
        <v>600000</v>
      </c>
      <c r="K31" s="24">
        <v>90435.370000000024</v>
      </c>
      <c r="L31" s="19">
        <f t="shared" si="2"/>
        <v>0.1507256166666667</v>
      </c>
      <c r="M31" s="5"/>
      <c r="N31" s="24"/>
      <c r="O31" s="19" t="str">
        <f t="shared" si="3"/>
        <v/>
      </c>
      <c r="P31" s="5"/>
      <c r="Q31" s="24"/>
      <c r="R31" s="19" t="str">
        <f t="shared" si="4"/>
        <v/>
      </c>
      <c r="S31" s="5"/>
      <c r="T31" s="24"/>
      <c r="U31" s="19" t="str">
        <f t="shared" si="5"/>
        <v/>
      </c>
      <c r="V31" s="5"/>
      <c r="W31" s="24"/>
      <c r="X31" s="19" t="str">
        <f t="shared" si="6"/>
        <v/>
      </c>
      <c r="Y31" s="5"/>
      <c r="Z31" s="24"/>
      <c r="AA31" s="19" t="str">
        <f t="shared" si="7"/>
        <v/>
      </c>
      <c r="AB31" s="5"/>
      <c r="AC31" s="24"/>
      <c r="AD31" s="19" t="str">
        <f t="shared" si="8"/>
        <v/>
      </c>
      <c r="AE31" s="5"/>
      <c r="AF31" s="24"/>
      <c r="AG31" s="19" t="str">
        <f t="shared" si="9"/>
        <v/>
      </c>
      <c r="AH31" s="5"/>
      <c r="AI31" s="24"/>
      <c r="AJ31" s="19" t="str">
        <f t="shared" si="10"/>
        <v/>
      </c>
      <c r="AK31" s="5"/>
      <c r="AL31" s="24"/>
      <c r="AM31" s="20" t="str">
        <f t="shared" si="11"/>
        <v/>
      </c>
    </row>
    <row r="32" spans="2:39" x14ac:dyDescent="0.25">
      <c r="B32" s="11" t="s">
        <v>12</v>
      </c>
      <c r="C32" t="s">
        <v>15</v>
      </c>
      <c r="D32" s="5">
        <v>300000</v>
      </c>
      <c r="E32" s="24">
        <v>159233.629988</v>
      </c>
      <c r="F32" s="19">
        <f t="shared" si="0"/>
        <v>0.53077876662666668</v>
      </c>
      <c r="G32" s="5">
        <v>300000</v>
      </c>
      <c r="H32" s="24">
        <v>447618.34998799994</v>
      </c>
      <c r="I32" s="19">
        <f t="shared" si="1"/>
        <v>1.4920611666266665</v>
      </c>
      <c r="J32" s="5">
        <v>300000</v>
      </c>
      <c r="K32" s="24">
        <v>243.22</v>
      </c>
      <c r="L32" s="19">
        <f t="shared" si="2"/>
        <v>8.1073333333333338E-4</v>
      </c>
      <c r="M32" s="5"/>
      <c r="N32" s="24"/>
      <c r="O32" s="19" t="str">
        <f t="shared" si="3"/>
        <v/>
      </c>
      <c r="P32" s="5"/>
      <c r="Q32" s="24"/>
      <c r="R32" s="19" t="str">
        <f t="shared" si="4"/>
        <v/>
      </c>
      <c r="S32" s="5"/>
      <c r="T32" s="24"/>
      <c r="U32" s="19" t="str">
        <f t="shared" si="5"/>
        <v/>
      </c>
      <c r="V32" s="5"/>
      <c r="W32" s="24"/>
      <c r="X32" s="19" t="str">
        <f t="shared" si="6"/>
        <v/>
      </c>
      <c r="Y32" s="5"/>
      <c r="Z32" s="24"/>
      <c r="AA32" s="19" t="str">
        <f t="shared" si="7"/>
        <v/>
      </c>
      <c r="AB32" s="5"/>
      <c r="AC32" s="24"/>
      <c r="AD32" s="19" t="str">
        <f t="shared" si="8"/>
        <v/>
      </c>
      <c r="AE32" s="5"/>
      <c r="AF32" s="24"/>
      <c r="AG32" s="19" t="str">
        <f t="shared" si="9"/>
        <v/>
      </c>
      <c r="AH32" s="5"/>
      <c r="AI32" s="24"/>
      <c r="AJ32" s="19" t="str">
        <f t="shared" si="10"/>
        <v/>
      </c>
      <c r="AK32" s="5"/>
      <c r="AL32" s="24"/>
      <c r="AM32" s="20" t="str">
        <f t="shared" si="11"/>
        <v/>
      </c>
    </row>
    <row r="33" spans="2:39" x14ac:dyDescent="0.25">
      <c r="B33" s="11" t="s">
        <v>34</v>
      </c>
      <c r="C33" t="s">
        <v>38</v>
      </c>
      <c r="D33" s="5">
        <v>400000</v>
      </c>
      <c r="E33" s="24">
        <v>1064272.9300000002</v>
      </c>
      <c r="F33" s="19">
        <f t="shared" si="0"/>
        <v>2.6606823250000002</v>
      </c>
      <c r="G33" s="5">
        <v>350000</v>
      </c>
      <c r="H33" s="24">
        <v>334261.22999800008</v>
      </c>
      <c r="I33" s="19">
        <f t="shared" si="1"/>
        <v>0.95503208570857168</v>
      </c>
      <c r="J33" s="5">
        <v>350000</v>
      </c>
      <c r="K33" s="24">
        <v>84487.169999000005</v>
      </c>
      <c r="L33" s="19">
        <f t="shared" si="2"/>
        <v>0.24139191428285717</v>
      </c>
      <c r="M33" s="5"/>
      <c r="N33" s="24"/>
      <c r="O33" s="19" t="str">
        <f t="shared" si="3"/>
        <v/>
      </c>
      <c r="P33" s="5"/>
      <c r="Q33" s="24"/>
      <c r="R33" s="19" t="str">
        <f t="shared" si="4"/>
        <v/>
      </c>
      <c r="S33" s="5"/>
      <c r="T33" s="24"/>
      <c r="U33" s="19" t="str">
        <f t="shared" si="5"/>
        <v/>
      </c>
      <c r="V33" s="5"/>
      <c r="W33" s="24"/>
      <c r="X33" s="19" t="str">
        <f t="shared" si="6"/>
        <v/>
      </c>
      <c r="Y33" s="5"/>
      <c r="Z33" s="24"/>
      <c r="AA33" s="19" t="str">
        <f t="shared" si="7"/>
        <v/>
      </c>
      <c r="AB33" s="5"/>
      <c r="AC33" s="24"/>
      <c r="AD33" s="19" t="str">
        <f t="shared" si="8"/>
        <v/>
      </c>
      <c r="AE33" s="5"/>
      <c r="AF33" s="24"/>
      <c r="AG33" s="19" t="str">
        <f t="shared" si="9"/>
        <v/>
      </c>
      <c r="AH33" s="5"/>
      <c r="AI33" s="24"/>
      <c r="AJ33" s="19" t="str">
        <f t="shared" si="10"/>
        <v/>
      </c>
      <c r="AK33" s="5"/>
      <c r="AL33" s="24"/>
      <c r="AM33" s="20" t="str">
        <f t="shared" si="11"/>
        <v/>
      </c>
    </row>
    <row r="34" spans="2:39" x14ac:dyDescent="0.25">
      <c r="B34" s="11" t="s">
        <v>79</v>
      </c>
      <c r="C34" t="s">
        <v>98</v>
      </c>
      <c r="D34" s="5"/>
      <c r="E34" s="24"/>
      <c r="F34" s="19" t="str">
        <f t="shared" si="0"/>
        <v/>
      </c>
      <c r="G34" s="5"/>
      <c r="H34" s="24">
        <v>281.55</v>
      </c>
      <c r="I34" s="19" t="str">
        <f t="shared" si="1"/>
        <v/>
      </c>
      <c r="J34" s="5"/>
      <c r="K34" s="24"/>
      <c r="L34" s="19" t="str">
        <f t="shared" si="2"/>
        <v/>
      </c>
      <c r="M34" s="5"/>
      <c r="N34" s="24"/>
      <c r="O34" s="19" t="str">
        <f t="shared" si="3"/>
        <v/>
      </c>
      <c r="P34" s="5"/>
      <c r="Q34" s="24"/>
      <c r="R34" s="19" t="str">
        <f t="shared" si="4"/>
        <v/>
      </c>
      <c r="S34" s="5"/>
      <c r="T34" s="24"/>
      <c r="U34" s="19" t="str">
        <f t="shared" si="5"/>
        <v/>
      </c>
      <c r="V34" s="5"/>
      <c r="W34" s="24"/>
      <c r="X34" s="19" t="str">
        <f t="shared" si="6"/>
        <v/>
      </c>
      <c r="Y34" s="5"/>
      <c r="Z34" s="24"/>
      <c r="AA34" s="19" t="str">
        <f t="shared" si="7"/>
        <v/>
      </c>
      <c r="AB34" s="5"/>
      <c r="AC34" s="24"/>
      <c r="AD34" s="19" t="str">
        <f t="shared" si="8"/>
        <v/>
      </c>
      <c r="AE34" s="5"/>
      <c r="AF34" s="24"/>
      <c r="AG34" s="19" t="str">
        <f t="shared" si="9"/>
        <v/>
      </c>
      <c r="AH34" s="5"/>
      <c r="AI34" s="24"/>
      <c r="AJ34" s="19" t="str">
        <f t="shared" si="10"/>
        <v/>
      </c>
      <c r="AK34" s="5"/>
      <c r="AL34" s="24"/>
      <c r="AM34" s="20" t="str">
        <f t="shared" si="11"/>
        <v/>
      </c>
    </row>
    <row r="35" spans="2:39" x14ac:dyDescent="0.25">
      <c r="B35" s="11" t="s">
        <v>56</v>
      </c>
      <c r="C35" t="s">
        <v>61</v>
      </c>
      <c r="D35" s="5">
        <v>300000</v>
      </c>
      <c r="E35" s="24">
        <v>172246.27000000002</v>
      </c>
      <c r="F35" s="19">
        <f t="shared" si="0"/>
        <v>0.57415423333333337</v>
      </c>
      <c r="G35" s="5">
        <v>350000</v>
      </c>
      <c r="H35" s="24">
        <v>208080.38</v>
      </c>
      <c r="I35" s="19">
        <f t="shared" si="1"/>
        <v>0.59451537142857147</v>
      </c>
      <c r="J35" s="5">
        <v>350000</v>
      </c>
      <c r="K35" s="24">
        <v>204100.11000000002</v>
      </c>
      <c r="L35" s="19">
        <f t="shared" si="2"/>
        <v>0.58314317142857153</v>
      </c>
      <c r="M35" s="5"/>
      <c r="N35" s="24"/>
      <c r="O35" s="19" t="str">
        <f t="shared" si="3"/>
        <v/>
      </c>
      <c r="P35" s="5"/>
      <c r="Q35" s="24"/>
      <c r="R35" s="19" t="str">
        <f t="shared" si="4"/>
        <v/>
      </c>
      <c r="S35" s="5"/>
      <c r="T35" s="24"/>
      <c r="U35" s="19" t="str">
        <f t="shared" si="5"/>
        <v/>
      </c>
      <c r="V35" s="5"/>
      <c r="W35" s="24"/>
      <c r="X35" s="19" t="str">
        <f t="shared" si="6"/>
        <v/>
      </c>
      <c r="Y35" s="5"/>
      <c r="Z35" s="24"/>
      <c r="AA35" s="19" t="str">
        <f t="shared" si="7"/>
        <v/>
      </c>
      <c r="AB35" s="5"/>
      <c r="AC35" s="24"/>
      <c r="AD35" s="19" t="str">
        <f t="shared" si="8"/>
        <v/>
      </c>
      <c r="AE35" s="5"/>
      <c r="AF35" s="24"/>
      <c r="AG35" s="19" t="str">
        <f t="shared" si="9"/>
        <v/>
      </c>
      <c r="AH35" s="5"/>
      <c r="AI35" s="24"/>
      <c r="AJ35" s="19" t="str">
        <f t="shared" si="10"/>
        <v/>
      </c>
      <c r="AK35" s="5"/>
      <c r="AL35" s="24"/>
      <c r="AM35" s="20" t="str">
        <f t="shared" si="11"/>
        <v/>
      </c>
    </row>
    <row r="36" spans="2:39" x14ac:dyDescent="0.25">
      <c r="B36" s="11" t="s">
        <v>42</v>
      </c>
      <c r="C36" t="s">
        <v>55</v>
      </c>
      <c r="D36" s="5">
        <v>0</v>
      </c>
      <c r="E36" s="24"/>
      <c r="F36" s="19" t="str">
        <f t="shared" si="0"/>
        <v/>
      </c>
      <c r="G36" s="5">
        <v>0</v>
      </c>
      <c r="H36" s="24">
        <v>1086.2</v>
      </c>
      <c r="I36" s="19" t="str">
        <f t="shared" si="1"/>
        <v/>
      </c>
      <c r="J36" s="5">
        <v>0</v>
      </c>
      <c r="K36" s="24"/>
      <c r="L36" s="19" t="str">
        <f t="shared" si="2"/>
        <v/>
      </c>
      <c r="M36" s="5"/>
      <c r="N36" s="24"/>
      <c r="O36" s="19" t="str">
        <f t="shared" si="3"/>
        <v/>
      </c>
      <c r="P36" s="5"/>
      <c r="Q36" s="24"/>
      <c r="R36" s="19" t="str">
        <f t="shared" si="4"/>
        <v/>
      </c>
      <c r="S36" s="5"/>
      <c r="T36" s="24"/>
      <c r="U36" s="19" t="str">
        <f t="shared" si="5"/>
        <v/>
      </c>
      <c r="V36" s="5"/>
      <c r="W36" s="24"/>
      <c r="X36" s="19" t="str">
        <f t="shared" si="6"/>
        <v/>
      </c>
      <c r="Y36" s="5"/>
      <c r="Z36" s="24"/>
      <c r="AA36" s="19" t="str">
        <f t="shared" si="7"/>
        <v/>
      </c>
      <c r="AB36" s="5"/>
      <c r="AC36" s="24"/>
      <c r="AD36" s="19" t="str">
        <f t="shared" si="8"/>
        <v/>
      </c>
      <c r="AE36" s="5"/>
      <c r="AF36" s="24"/>
      <c r="AG36" s="19" t="str">
        <f t="shared" si="9"/>
        <v/>
      </c>
      <c r="AH36" s="5"/>
      <c r="AI36" s="24"/>
      <c r="AJ36" s="19" t="str">
        <f t="shared" si="10"/>
        <v/>
      </c>
      <c r="AK36" s="5"/>
      <c r="AL36" s="24"/>
      <c r="AM36" s="20" t="str">
        <f t="shared" si="11"/>
        <v/>
      </c>
    </row>
    <row r="37" spans="2:39" x14ac:dyDescent="0.25">
      <c r="B37" s="11" t="s">
        <v>42</v>
      </c>
      <c r="C37" t="s">
        <v>46</v>
      </c>
      <c r="D37" s="5">
        <v>750000</v>
      </c>
      <c r="E37" s="24">
        <v>914896.16999999969</v>
      </c>
      <c r="F37" s="19">
        <f t="shared" ref="F37:F68" si="12">IFERROR(E37/D37,"")</f>
        <v>1.2198615599999996</v>
      </c>
      <c r="G37" s="5">
        <v>1100000</v>
      </c>
      <c r="H37" s="24">
        <v>1015192.2600000002</v>
      </c>
      <c r="I37" s="19">
        <f t="shared" ref="I37:I68" si="13">IFERROR(H37/G37,"")</f>
        <v>0.92290205454545482</v>
      </c>
      <c r="J37" s="5">
        <v>1100000</v>
      </c>
      <c r="K37" s="24">
        <v>279405.84999999992</v>
      </c>
      <c r="L37" s="19">
        <f t="shared" ref="L37:L68" si="14">IFERROR(K37/J37,"")</f>
        <v>0.2540053181818181</v>
      </c>
      <c r="M37" s="5"/>
      <c r="N37" s="24"/>
      <c r="O37" s="19" t="str">
        <f t="shared" ref="O37:O68" si="15">IFERROR(N37/M37,"")</f>
        <v/>
      </c>
      <c r="P37" s="5"/>
      <c r="Q37" s="24"/>
      <c r="R37" s="19" t="str">
        <f t="shared" ref="R37:R68" si="16">IFERROR(Q37/P37,"")</f>
        <v/>
      </c>
      <c r="S37" s="5"/>
      <c r="T37" s="24"/>
      <c r="U37" s="19" t="str">
        <f t="shared" ref="U37:U68" si="17">IFERROR(T37/S37,"")</f>
        <v/>
      </c>
      <c r="V37" s="5"/>
      <c r="W37" s="24"/>
      <c r="X37" s="19" t="str">
        <f t="shared" ref="X37:X68" si="18">IFERROR(W37/V37,"")</f>
        <v/>
      </c>
      <c r="Y37" s="5"/>
      <c r="Z37" s="24"/>
      <c r="AA37" s="19" t="str">
        <f t="shared" ref="AA37:AA68" si="19">IFERROR(Z37/Y37,"")</f>
        <v/>
      </c>
      <c r="AB37" s="5"/>
      <c r="AC37" s="24"/>
      <c r="AD37" s="19" t="str">
        <f t="shared" ref="AD37:AD68" si="20">IFERROR(AC37/AB37,"")</f>
        <v/>
      </c>
      <c r="AE37" s="5"/>
      <c r="AF37" s="24"/>
      <c r="AG37" s="19" t="str">
        <f t="shared" ref="AG37:AG68" si="21">IFERROR(AF37/AE37,"")</f>
        <v/>
      </c>
      <c r="AH37" s="5"/>
      <c r="AI37" s="24"/>
      <c r="AJ37" s="19" t="str">
        <f t="shared" ref="AJ37:AJ68" si="22">IFERROR(AI37/AH37,"")</f>
        <v/>
      </c>
      <c r="AK37" s="5"/>
      <c r="AL37" s="24"/>
      <c r="AM37" s="20" t="str">
        <f t="shared" ref="AM37:AM68" si="23">IFERROR(AL37/AK37,"")</f>
        <v/>
      </c>
    </row>
    <row r="38" spans="2:39" x14ac:dyDescent="0.25">
      <c r="B38" s="11" t="s">
        <v>19</v>
      </c>
      <c r="C38" t="s">
        <v>21</v>
      </c>
      <c r="D38" s="5">
        <v>300000</v>
      </c>
      <c r="E38" s="24">
        <v>271437.00999900006</v>
      </c>
      <c r="F38" s="19">
        <f t="shared" si="12"/>
        <v>0.90479003333000019</v>
      </c>
      <c r="G38" s="5">
        <v>350000</v>
      </c>
      <c r="H38" s="24">
        <v>416097.45000000019</v>
      </c>
      <c r="I38" s="19">
        <f t="shared" si="13"/>
        <v>1.1888498571428576</v>
      </c>
      <c r="J38" s="5">
        <v>350000</v>
      </c>
      <c r="K38" s="24">
        <v>123047.53999999998</v>
      </c>
      <c r="L38" s="19">
        <f t="shared" si="14"/>
        <v>0.35156439999999994</v>
      </c>
      <c r="M38" s="5"/>
      <c r="N38" s="24"/>
      <c r="O38" s="19" t="str">
        <f t="shared" si="15"/>
        <v/>
      </c>
      <c r="P38" s="5"/>
      <c r="Q38" s="24"/>
      <c r="R38" s="19" t="str">
        <f t="shared" si="16"/>
        <v/>
      </c>
      <c r="S38" s="5"/>
      <c r="T38" s="24"/>
      <c r="U38" s="19" t="str">
        <f t="shared" si="17"/>
        <v/>
      </c>
      <c r="V38" s="5"/>
      <c r="W38" s="24"/>
      <c r="X38" s="19" t="str">
        <f t="shared" si="18"/>
        <v/>
      </c>
      <c r="Y38" s="5"/>
      <c r="Z38" s="24"/>
      <c r="AA38" s="19" t="str">
        <f t="shared" si="19"/>
        <v/>
      </c>
      <c r="AB38" s="5"/>
      <c r="AC38" s="24"/>
      <c r="AD38" s="19" t="str">
        <f t="shared" si="20"/>
        <v/>
      </c>
      <c r="AE38" s="5"/>
      <c r="AF38" s="24"/>
      <c r="AG38" s="19" t="str">
        <f t="shared" si="21"/>
        <v/>
      </c>
      <c r="AH38" s="5"/>
      <c r="AI38" s="24"/>
      <c r="AJ38" s="19" t="str">
        <f t="shared" si="22"/>
        <v/>
      </c>
      <c r="AK38" s="5"/>
      <c r="AL38" s="24"/>
      <c r="AM38" s="20" t="str">
        <f t="shared" si="23"/>
        <v/>
      </c>
    </row>
    <row r="39" spans="2:39" x14ac:dyDescent="0.25">
      <c r="B39" s="11" t="s">
        <v>69</v>
      </c>
      <c r="C39" t="s">
        <v>72</v>
      </c>
      <c r="D39" s="5">
        <v>400000</v>
      </c>
      <c r="E39" s="24">
        <v>168323.35</v>
      </c>
      <c r="F39" s="19">
        <f t="shared" si="12"/>
        <v>0.42080837500000001</v>
      </c>
      <c r="G39" s="5">
        <v>500000</v>
      </c>
      <c r="H39" s="24">
        <v>280694.199998</v>
      </c>
      <c r="I39" s="19">
        <f t="shared" si="13"/>
        <v>0.56138839999599999</v>
      </c>
      <c r="J39" s="5">
        <v>500000</v>
      </c>
      <c r="K39" s="24">
        <v>12991.910000000002</v>
      </c>
      <c r="L39" s="19">
        <f t="shared" si="14"/>
        <v>2.5983820000000005E-2</v>
      </c>
      <c r="M39" s="5"/>
      <c r="N39" s="24"/>
      <c r="O39" s="19" t="str">
        <f t="shared" si="15"/>
        <v/>
      </c>
      <c r="P39" s="5"/>
      <c r="Q39" s="24"/>
      <c r="R39" s="19" t="str">
        <f t="shared" si="16"/>
        <v/>
      </c>
      <c r="S39" s="5"/>
      <c r="T39" s="24"/>
      <c r="U39" s="19" t="str">
        <f t="shared" si="17"/>
        <v/>
      </c>
      <c r="V39" s="5"/>
      <c r="W39" s="24"/>
      <c r="X39" s="19" t="str">
        <f t="shared" si="18"/>
        <v/>
      </c>
      <c r="Y39" s="5"/>
      <c r="Z39" s="24"/>
      <c r="AA39" s="19" t="str">
        <f t="shared" si="19"/>
        <v/>
      </c>
      <c r="AB39" s="5"/>
      <c r="AC39" s="24"/>
      <c r="AD39" s="19" t="str">
        <f t="shared" si="20"/>
        <v/>
      </c>
      <c r="AE39" s="5"/>
      <c r="AF39" s="24"/>
      <c r="AG39" s="19" t="str">
        <f t="shared" si="21"/>
        <v/>
      </c>
      <c r="AH39" s="5"/>
      <c r="AI39" s="24"/>
      <c r="AJ39" s="19" t="str">
        <f t="shared" si="22"/>
        <v/>
      </c>
      <c r="AK39" s="5"/>
      <c r="AL39" s="24"/>
      <c r="AM39" s="20" t="str">
        <f t="shared" si="23"/>
        <v/>
      </c>
    </row>
    <row r="40" spans="2:39" x14ac:dyDescent="0.25">
      <c r="B40" s="11" t="s">
        <v>12</v>
      </c>
      <c r="C40" t="s">
        <v>16</v>
      </c>
      <c r="D40" s="5">
        <v>300000</v>
      </c>
      <c r="E40" s="24">
        <v>234387.31</v>
      </c>
      <c r="F40" s="19">
        <f t="shared" si="12"/>
        <v>0.78129103333333327</v>
      </c>
      <c r="G40" s="5">
        <v>350000</v>
      </c>
      <c r="H40" s="24">
        <v>452594.35000000021</v>
      </c>
      <c r="I40" s="19">
        <f t="shared" si="13"/>
        <v>1.2931267142857148</v>
      </c>
      <c r="J40" s="5">
        <v>350000</v>
      </c>
      <c r="K40" s="24">
        <v>188616.46998999998</v>
      </c>
      <c r="L40" s="19">
        <f t="shared" si="14"/>
        <v>0.53890419997142858</v>
      </c>
      <c r="M40" s="5"/>
      <c r="N40" s="24"/>
      <c r="O40" s="19" t="str">
        <f t="shared" si="15"/>
        <v/>
      </c>
      <c r="P40" s="5"/>
      <c r="Q40" s="24"/>
      <c r="R40" s="19" t="str">
        <f t="shared" si="16"/>
        <v/>
      </c>
      <c r="S40" s="5"/>
      <c r="T40" s="24"/>
      <c r="U40" s="19" t="str">
        <f t="shared" si="17"/>
        <v/>
      </c>
      <c r="V40" s="5"/>
      <c r="W40" s="24"/>
      <c r="X40" s="19" t="str">
        <f t="shared" si="18"/>
        <v/>
      </c>
      <c r="Y40" s="5"/>
      <c r="Z40" s="24"/>
      <c r="AA40" s="19" t="str">
        <f t="shared" si="19"/>
        <v/>
      </c>
      <c r="AB40" s="5"/>
      <c r="AC40" s="24"/>
      <c r="AD40" s="19" t="str">
        <f t="shared" si="20"/>
        <v/>
      </c>
      <c r="AE40" s="5"/>
      <c r="AF40" s="24"/>
      <c r="AG40" s="19" t="str">
        <f t="shared" si="21"/>
        <v/>
      </c>
      <c r="AH40" s="5"/>
      <c r="AI40" s="24"/>
      <c r="AJ40" s="19" t="str">
        <f t="shared" si="22"/>
        <v/>
      </c>
      <c r="AK40" s="5"/>
      <c r="AL40" s="24"/>
      <c r="AM40" s="20" t="str">
        <f t="shared" si="23"/>
        <v/>
      </c>
    </row>
    <row r="41" spans="2:39" x14ac:dyDescent="0.25">
      <c r="B41" s="11" t="s">
        <v>34</v>
      </c>
      <c r="C41" t="s">
        <v>36</v>
      </c>
      <c r="D41" s="5">
        <v>400000</v>
      </c>
      <c r="E41" s="24">
        <v>553259.62999999977</v>
      </c>
      <c r="F41" s="19">
        <f t="shared" si="12"/>
        <v>1.3831490749999995</v>
      </c>
      <c r="G41" s="5">
        <v>650000</v>
      </c>
      <c r="H41" s="24">
        <v>596433.78000000014</v>
      </c>
      <c r="I41" s="19">
        <f t="shared" si="13"/>
        <v>0.91759043076923097</v>
      </c>
      <c r="J41" s="5">
        <v>650000</v>
      </c>
      <c r="K41" s="24">
        <v>196014.37</v>
      </c>
      <c r="L41" s="19">
        <f t="shared" si="14"/>
        <v>0.30156056923076924</v>
      </c>
      <c r="M41" s="5"/>
      <c r="N41" s="24"/>
      <c r="O41" s="19" t="str">
        <f t="shared" si="15"/>
        <v/>
      </c>
      <c r="P41" s="5"/>
      <c r="Q41" s="24"/>
      <c r="R41" s="19" t="str">
        <f t="shared" si="16"/>
        <v/>
      </c>
      <c r="S41" s="5"/>
      <c r="T41" s="24"/>
      <c r="U41" s="19" t="str">
        <f t="shared" si="17"/>
        <v/>
      </c>
      <c r="V41" s="5"/>
      <c r="W41" s="24"/>
      <c r="X41" s="19" t="str">
        <f t="shared" si="18"/>
        <v/>
      </c>
      <c r="Y41" s="5"/>
      <c r="Z41" s="24"/>
      <c r="AA41" s="19" t="str">
        <f t="shared" si="19"/>
        <v/>
      </c>
      <c r="AB41" s="5"/>
      <c r="AC41" s="24"/>
      <c r="AD41" s="19" t="str">
        <f t="shared" si="20"/>
        <v/>
      </c>
      <c r="AE41" s="5"/>
      <c r="AF41" s="24"/>
      <c r="AG41" s="19" t="str">
        <f t="shared" si="21"/>
        <v/>
      </c>
      <c r="AH41" s="5"/>
      <c r="AI41" s="24"/>
      <c r="AJ41" s="19" t="str">
        <f t="shared" si="22"/>
        <v/>
      </c>
      <c r="AK41" s="5"/>
      <c r="AL41" s="24"/>
      <c r="AM41" s="20" t="str">
        <f t="shared" si="23"/>
        <v/>
      </c>
    </row>
    <row r="42" spans="2:39" x14ac:dyDescent="0.25">
      <c r="B42" s="11" t="s">
        <v>42</v>
      </c>
      <c r="C42" t="s">
        <v>52</v>
      </c>
      <c r="D42" s="5"/>
      <c r="E42" s="24">
        <v>678.5</v>
      </c>
      <c r="F42" s="19" t="str">
        <f t="shared" si="12"/>
        <v/>
      </c>
      <c r="G42" s="5"/>
      <c r="H42" s="24">
        <v>2597.44</v>
      </c>
      <c r="I42" s="19" t="str">
        <f t="shared" si="13"/>
        <v/>
      </c>
      <c r="J42" s="5"/>
      <c r="K42" s="24"/>
      <c r="L42" s="19" t="str">
        <f t="shared" si="14"/>
        <v/>
      </c>
      <c r="M42" s="5"/>
      <c r="N42" s="24"/>
      <c r="O42" s="19" t="str">
        <f t="shared" si="15"/>
        <v/>
      </c>
      <c r="P42" s="5"/>
      <c r="Q42" s="24"/>
      <c r="R42" s="19" t="str">
        <f t="shared" si="16"/>
        <v/>
      </c>
      <c r="S42" s="5"/>
      <c r="T42" s="24"/>
      <c r="U42" s="19" t="str">
        <f t="shared" si="17"/>
        <v/>
      </c>
      <c r="V42" s="5"/>
      <c r="W42" s="24"/>
      <c r="X42" s="19" t="str">
        <f t="shared" si="18"/>
        <v/>
      </c>
      <c r="Y42" s="5"/>
      <c r="Z42" s="24"/>
      <c r="AA42" s="19" t="str">
        <f t="shared" si="19"/>
        <v/>
      </c>
      <c r="AB42" s="5"/>
      <c r="AC42" s="24"/>
      <c r="AD42" s="19" t="str">
        <f t="shared" si="20"/>
        <v/>
      </c>
      <c r="AE42" s="5"/>
      <c r="AF42" s="24"/>
      <c r="AG42" s="19" t="str">
        <f t="shared" si="21"/>
        <v/>
      </c>
      <c r="AH42" s="5"/>
      <c r="AI42" s="24"/>
      <c r="AJ42" s="19" t="str">
        <f t="shared" si="22"/>
        <v/>
      </c>
      <c r="AK42" s="5"/>
      <c r="AL42" s="24"/>
      <c r="AM42" s="20" t="str">
        <f t="shared" si="23"/>
        <v/>
      </c>
    </row>
    <row r="43" spans="2:39" x14ac:dyDescent="0.25">
      <c r="B43" s="11" t="s">
        <v>42</v>
      </c>
      <c r="C43" t="s">
        <v>53</v>
      </c>
      <c r="D43" s="5">
        <v>0</v>
      </c>
      <c r="E43" s="24"/>
      <c r="F43" s="19" t="str">
        <f t="shared" si="12"/>
        <v/>
      </c>
      <c r="G43" s="5"/>
      <c r="H43" s="24">
        <v>2477.13</v>
      </c>
      <c r="I43" s="19" t="str">
        <f t="shared" si="13"/>
        <v/>
      </c>
      <c r="J43" s="5"/>
      <c r="K43" s="24"/>
      <c r="L43" s="19" t="str">
        <f t="shared" si="14"/>
        <v/>
      </c>
      <c r="M43" s="5"/>
      <c r="N43" s="24"/>
      <c r="O43" s="19" t="str">
        <f t="shared" si="15"/>
        <v/>
      </c>
      <c r="P43" s="5"/>
      <c r="Q43" s="24"/>
      <c r="R43" s="19" t="str">
        <f t="shared" si="16"/>
        <v/>
      </c>
      <c r="S43" s="5"/>
      <c r="T43" s="24"/>
      <c r="U43" s="19" t="str">
        <f t="shared" si="17"/>
        <v/>
      </c>
      <c r="V43" s="5"/>
      <c r="W43" s="24"/>
      <c r="X43" s="19" t="str">
        <f t="shared" si="18"/>
        <v/>
      </c>
      <c r="Y43" s="5"/>
      <c r="Z43" s="24"/>
      <c r="AA43" s="19" t="str">
        <f t="shared" si="19"/>
        <v/>
      </c>
      <c r="AB43" s="5"/>
      <c r="AC43" s="24"/>
      <c r="AD43" s="19" t="str">
        <f t="shared" si="20"/>
        <v/>
      </c>
      <c r="AE43" s="5"/>
      <c r="AF43" s="24"/>
      <c r="AG43" s="19" t="str">
        <f t="shared" si="21"/>
        <v/>
      </c>
      <c r="AH43" s="5"/>
      <c r="AI43" s="24"/>
      <c r="AJ43" s="19" t="str">
        <f t="shared" si="22"/>
        <v/>
      </c>
      <c r="AK43" s="5"/>
      <c r="AL43" s="24"/>
      <c r="AM43" s="20" t="str">
        <f t="shared" si="23"/>
        <v/>
      </c>
    </row>
    <row r="44" spans="2:39" x14ac:dyDescent="0.25">
      <c r="B44" s="11" t="s">
        <v>74</v>
      </c>
      <c r="C44" t="s">
        <v>78</v>
      </c>
      <c r="D44" s="5">
        <v>0</v>
      </c>
      <c r="E44" s="24">
        <v>930.20999999999992</v>
      </c>
      <c r="F44" s="19" t="str">
        <f t="shared" si="12"/>
        <v/>
      </c>
      <c r="G44" s="5"/>
      <c r="H44" s="24"/>
      <c r="I44" s="19" t="str">
        <f t="shared" si="13"/>
        <v/>
      </c>
      <c r="J44" s="5"/>
      <c r="K44" s="24"/>
      <c r="L44" s="19" t="str">
        <f t="shared" si="14"/>
        <v/>
      </c>
      <c r="M44" s="5"/>
      <c r="N44" s="24"/>
      <c r="O44" s="19" t="str">
        <f t="shared" si="15"/>
        <v/>
      </c>
      <c r="P44" s="5"/>
      <c r="Q44" s="24"/>
      <c r="R44" s="19" t="str">
        <f t="shared" si="16"/>
        <v/>
      </c>
      <c r="S44" s="5"/>
      <c r="T44" s="24"/>
      <c r="U44" s="19" t="str">
        <f t="shared" si="17"/>
        <v/>
      </c>
      <c r="V44" s="5"/>
      <c r="W44" s="24"/>
      <c r="X44" s="19" t="str">
        <f t="shared" si="18"/>
        <v/>
      </c>
      <c r="Y44" s="5"/>
      <c r="Z44" s="24"/>
      <c r="AA44" s="19" t="str">
        <f t="shared" si="19"/>
        <v/>
      </c>
      <c r="AB44" s="5"/>
      <c r="AC44" s="24"/>
      <c r="AD44" s="19" t="str">
        <f t="shared" si="20"/>
        <v/>
      </c>
      <c r="AE44" s="5"/>
      <c r="AF44" s="24"/>
      <c r="AG44" s="19" t="str">
        <f t="shared" si="21"/>
        <v/>
      </c>
      <c r="AH44" s="5"/>
      <c r="AI44" s="24"/>
      <c r="AJ44" s="19" t="str">
        <f t="shared" si="22"/>
        <v/>
      </c>
      <c r="AK44" s="5"/>
      <c r="AL44" s="24"/>
      <c r="AM44" s="20" t="str">
        <f t="shared" si="23"/>
        <v/>
      </c>
    </row>
    <row r="45" spans="2:39" x14ac:dyDescent="0.25">
      <c r="B45" s="11" t="s">
        <v>23</v>
      </c>
      <c r="C45" t="s">
        <v>27</v>
      </c>
      <c r="D45" s="5">
        <v>0</v>
      </c>
      <c r="E45" s="24">
        <v>29838.729999999996</v>
      </c>
      <c r="F45" s="19" t="str">
        <f t="shared" si="12"/>
        <v/>
      </c>
      <c r="G45" s="5">
        <v>50000</v>
      </c>
      <c r="H45" s="24">
        <v>19416.120000000003</v>
      </c>
      <c r="I45" s="19">
        <f t="shared" si="13"/>
        <v>0.38832240000000007</v>
      </c>
      <c r="J45" s="5">
        <v>50000</v>
      </c>
      <c r="K45" s="24">
        <v>8589.06</v>
      </c>
      <c r="L45" s="19">
        <f t="shared" si="14"/>
        <v>0.1717812</v>
      </c>
      <c r="M45" s="5"/>
      <c r="N45" s="24"/>
      <c r="O45" s="19" t="str">
        <f t="shared" si="15"/>
        <v/>
      </c>
      <c r="P45" s="5"/>
      <c r="Q45" s="24"/>
      <c r="R45" s="19" t="str">
        <f t="shared" si="16"/>
        <v/>
      </c>
      <c r="S45" s="5"/>
      <c r="T45" s="24"/>
      <c r="U45" s="19" t="str">
        <f t="shared" si="17"/>
        <v/>
      </c>
      <c r="V45" s="5"/>
      <c r="W45" s="24"/>
      <c r="X45" s="19" t="str">
        <f t="shared" si="18"/>
        <v/>
      </c>
      <c r="Y45" s="5"/>
      <c r="Z45" s="24"/>
      <c r="AA45" s="19" t="str">
        <f t="shared" si="19"/>
        <v/>
      </c>
      <c r="AB45" s="5"/>
      <c r="AC45" s="24"/>
      <c r="AD45" s="19" t="str">
        <f t="shared" si="20"/>
        <v/>
      </c>
      <c r="AE45" s="5"/>
      <c r="AF45" s="24"/>
      <c r="AG45" s="19" t="str">
        <f t="shared" si="21"/>
        <v/>
      </c>
      <c r="AH45" s="5"/>
      <c r="AI45" s="24"/>
      <c r="AJ45" s="19" t="str">
        <f t="shared" si="22"/>
        <v/>
      </c>
      <c r="AK45" s="5"/>
      <c r="AL45" s="24"/>
      <c r="AM45" s="20" t="str">
        <f t="shared" si="23"/>
        <v/>
      </c>
    </row>
    <row r="46" spans="2:39" x14ac:dyDescent="0.25">
      <c r="B46" s="11" t="s">
        <v>42</v>
      </c>
      <c r="C46" t="s">
        <v>51</v>
      </c>
      <c r="D46" s="5">
        <v>0</v>
      </c>
      <c r="E46" s="24">
        <v>52576.23000000001</v>
      </c>
      <c r="F46" s="19" t="str">
        <f t="shared" si="12"/>
        <v/>
      </c>
      <c r="G46" s="5">
        <v>100000</v>
      </c>
      <c r="H46" s="24">
        <v>87534.750000000015</v>
      </c>
      <c r="I46" s="19">
        <f t="shared" si="13"/>
        <v>0.87534750000000017</v>
      </c>
      <c r="J46" s="5">
        <v>100000</v>
      </c>
      <c r="K46" s="24">
        <v>34374.340000000011</v>
      </c>
      <c r="L46" s="19">
        <f t="shared" si="14"/>
        <v>0.34374340000000009</v>
      </c>
      <c r="M46" s="5"/>
      <c r="N46" s="24"/>
      <c r="O46" s="19" t="str">
        <f t="shared" si="15"/>
        <v/>
      </c>
      <c r="P46" s="5"/>
      <c r="Q46" s="24"/>
      <c r="R46" s="19" t="str">
        <f t="shared" si="16"/>
        <v/>
      </c>
      <c r="S46" s="5"/>
      <c r="T46" s="24"/>
      <c r="U46" s="19" t="str">
        <f t="shared" si="17"/>
        <v/>
      </c>
      <c r="V46" s="5"/>
      <c r="W46" s="24"/>
      <c r="X46" s="19" t="str">
        <f t="shared" si="18"/>
        <v/>
      </c>
      <c r="Y46" s="5"/>
      <c r="Z46" s="24"/>
      <c r="AA46" s="19" t="str">
        <f t="shared" si="19"/>
        <v/>
      </c>
      <c r="AB46" s="5"/>
      <c r="AC46" s="24"/>
      <c r="AD46" s="19" t="str">
        <f t="shared" si="20"/>
        <v/>
      </c>
      <c r="AE46" s="5"/>
      <c r="AF46" s="24"/>
      <c r="AG46" s="19" t="str">
        <f t="shared" si="21"/>
        <v/>
      </c>
      <c r="AH46" s="5"/>
      <c r="AI46" s="24"/>
      <c r="AJ46" s="19" t="str">
        <f t="shared" si="22"/>
        <v/>
      </c>
      <c r="AK46" s="5"/>
      <c r="AL46" s="24"/>
      <c r="AM46" s="20" t="str">
        <f t="shared" si="23"/>
        <v/>
      </c>
    </row>
    <row r="47" spans="2:39" x14ac:dyDescent="0.25">
      <c r="B47" s="11" t="s">
        <v>56</v>
      </c>
      <c r="C47" t="s">
        <v>57</v>
      </c>
      <c r="D47" s="5">
        <v>500000</v>
      </c>
      <c r="E47" s="24">
        <v>242521.57000000004</v>
      </c>
      <c r="F47" s="19">
        <f t="shared" si="12"/>
        <v>0.48504314000000009</v>
      </c>
      <c r="G47" s="5">
        <v>700000</v>
      </c>
      <c r="H47" s="24">
        <v>978030.83999500028</v>
      </c>
      <c r="I47" s="19">
        <f t="shared" si="13"/>
        <v>1.3971869142785718</v>
      </c>
      <c r="J47" s="5">
        <v>700000</v>
      </c>
      <c r="K47" s="24">
        <v>113593.48999999999</v>
      </c>
      <c r="L47" s="19">
        <f t="shared" si="14"/>
        <v>0.16227641428571427</v>
      </c>
      <c r="M47" s="5"/>
      <c r="N47" s="24"/>
      <c r="O47" s="19" t="str">
        <f t="shared" si="15"/>
        <v/>
      </c>
      <c r="P47" s="5"/>
      <c r="Q47" s="24"/>
      <c r="R47" s="19" t="str">
        <f t="shared" si="16"/>
        <v/>
      </c>
      <c r="S47" s="5"/>
      <c r="T47" s="24"/>
      <c r="U47" s="19" t="str">
        <f t="shared" si="17"/>
        <v/>
      </c>
      <c r="V47" s="5"/>
      <c r="W47" s="24"/>
      <c r="X47" s="19" t="str">
        <f t="shared" si="18"/>
        <v/>
      </c>
      <c r="Y47" s="5"/>
      <c r="Z47" s="24"/>
      <c r="AA47" s="19" t="str">
        <f t="shared" si="19"/>
        <v/>
      </c>
      <c r="AB47" s="5"/>
      <c r="AC47" s="24"/>
      <c r="AD47" s="19" t="str">
        <f t="shared" si="20"/>
        <v/>
      </c>
      <c r="AE47" s="5"/>
      <c r="AF47" s="24"/>
      <c r="AG47" s="19" t="str">
        <f t="shared" si="21"/>
        <v/>
      </c>
      <c r="AH47" s="5"/>
      <c r="AI47" s="24"/>
      <c r="AJ47" s="19" t="str">
        <f t="shared" si="22"/>
        <v/>
      </c>
      <c r="AK47" s="5"/>
      <c r="AL47" s="24"/>
      <c r="AM47" s="20" t="str">
        <f t="shared" si="23"/>
        <v/>
      </c>
    </row>
    <row r="48" spans="2:39" x14ac:dyDescent="0.25">
      <c r="B48" s="11" t="s">
        <v>85</v>
      </c>
      <c r="C48" t="s">
        <v>93</v>
      </c>
      <c r="D48" s="5">
        <v>100000</v>
      </c>
      <c r="E48" s="24">
        <v>15895.08</v>
      </c>
      <c r="F48" s="19">
        <f t="shared" si="12"/>
        <v>0.1589508</v>
      </c>
      <c r="G48" s="5">
        <v>50000</v>
      </c>
      <c r="H48" s="24">
        <v>25169.31</v>
      </c>
      <c r="I48" s="19">
        <f t="shared" si="13"/>
        <v>0.50338620000000001</v>
      </c>
      <c r="J48" s="5">
        <v>50000</v>
      </c>
      <c r="K48" s="24">
        <v>69325.2</v>
      </c>
      <c r="L48" s="19">
        <f t="shared" si="14"/>
        <v>1.386504</v>
      </c>
      <c r="M48" s="5"/>
      <c r="N48" s="24"/>
      <c r="O48" s="19" t="str">
        <f t="shared" si="15"/>
        <v/>
      </c>
      <c r="P48" s="5"/>
      <c r="Q48" s="24"/>
      <c r="R48" s="19" t="str">
        <f t="shared" si="16"/>
        <v/>
      </c>
      <c r="S48" s="5"/>
      <c r="T48" s="24"/>
      <c r="U48" s="19" t="str">
        <f t="shared" si="17"/>
        <v/>
      </c>
      <c r="V48" s="5"/>
      <c r="W48" s="24"/>
      <c r="X48" s="19" t="str">
        <f t="shared" si="18"/>
        <v/>
      </c>
      <c r="Y48" s="5"/>
      <c r="Z48" s="24"/>
      <c r="AA48" s="19" t="str">
        <f t="shared" si="19"/>
        <v/>
      </c>
      <c r="AB48" s="5"/>
      <c r="AC48" s="24"/>
      <c r="AD48" s="19" t="str">
        <f t="shared" si="20"/>
        <v/>
      </c>
      <c r="AE48" s="5"/>
      <c r="AF48" s="24"/>
      <c r="AG48" s="19" t="str">
        <f t="shared" si="21"/>
        <v/>
      </c>
      <c r="AH48" s="5"/>
      <c r="AI48" s="24"/>
      <c r="AJ48" s="19" t="str">
        <f t="shared" si="22"/>
        <v/>
      </c>
      <c r="AK48" s="5"/>
      <c r="AL48" s="24"/>
      <c r="AM48" s="20" t="str">
        <f t="shared" si="23"/>
        <v/>
      </c>
    </row>
    <row r="49" spans="2:39" x14ac:dyDescent="0.25">
      <c r="B49" s="11" t="s">
        <v>23</v>
      </c>
      <c r="C49" t="s">
        <v>24</v>
      </c>
      <c r="D49" s="5">
        <v>300000</v>
      </c>
      <c r="E49" s="24">
        <v>376315.64999999991</v>
      </c>
      <c r="F49" s="19">
        <f t="shared" si="12"/>
        <v>1.2543854999999997</v>
      </c>
      <c r="G49" s="5">
        <v>500000</v>
      </c>
      <c r="H49" s="24">
        <v>481396.1399999999</v>
      </c>
      <c r="I49" s="19">
        <f t="shared" si="13"/>
        <v>0.96279227999999983</v>
      </c>
      <c r="J49" s="5">
        <v>500000</v>
      </c>
      <c r="K49" s="24">
        <v>146965.41</v>
      </c>
      <c r="L49" s="19">
        <f t="shared" si="14"/>
        <v>0.29393081999999998</v>
      </c>
      <c r="M49" s="5"/>
      <c r="N49" s="24"/>
      <c r="O49" s="19" t="str">
        <f t="shared" si="15"/>
        <v/>
      </c>
      <c r="P49" s="5"/>
      <c r="Q49" s="24"/>
      <c r="R49" s="19" t="str">
        <f t="shared" si="16"/>
        <v/>
      </c>
      <c r="S49" s="5"/>
      <c r="T49" s="24"/>
      <c r="U49" s="19" t="str">
        <f t="shared" si="17"/>
        <v/>
      </c>
      <c r="V49" s="5"/>
      <c r="W49" s="24"/>
      <c r="X49" s="19" t="str">
        <f t="shared" si="18"/>
        <v/>
      </c>
      <c r="Y49" s="5"/>
      <c r="Z49" s="24"/>
      <c r="AA49" s="19" t="str">
        <f t="shared" si="19"/>
        <v/>
      </c>
      <c r="AB49" s="5"/>
      <c r="AC49" s="24"/>
      <c r="AD49" s="19" t="str">
        <f t="shared" si="20"/>
        <v/>
      </c>
      <c r="AE49" s="5"/>
      <c r="AF49" s="24"/>
      <c r="AG49" s="19" t="str">
        <f t="shared" si="21"/>
        <v/>
      </c>
      <c r="AH49" s="5"/>
      <c r="AI49" s="24"/>
      <c r="AJ49" s="19" t="str">
        <f t="shared" si="22"/>
        <v/>
      </c>
      <c r="AK49" s="5"/>
      <c r="AL49" s="24"/>
      <c r="AM49" s="20" t="str">
        <f t="shared" si="23"/>
        <v/>
      </c>
    </row>
    <row r="50" spans="2:39" x14ac:dyDescent="0.25">
      <c r="B50" s="11" t="s">
        <v>56</v>
      </c>
      <c r="C50" t="s">
        <v>58</v>
      </c>
      <c r="D50" s="5">
        <v>500000</v>
      </c>
      <c r="E50" s="24">
        <v>286690.76999799989</v>
      </c>
      <c r="F50" s="19">
        <f t="shared" si="12"/>
        <v>0.57338153999599972</v>
      </c>
      <c r="G50" s="5">
        <v>650000</v>
      </c>
      <c r="H50" s="24">
        <v>551489.31999900006</v>
      </c>
      <c r="I50" s="19">
        <f t="shared" si="13"/>
        <v>0.84844510769076931</v>
      </c>
      <c r="J50" s="5">
        <v>650000</v>
      </c>
      <c r="K50" s="24">
        <v>127802.00000000006</v>
      </c>
      <c r="L50" s="19">
        <f t="shared" si="14"/>
        <v>0.19661846153846163</v>
      </c>
      <c r="M50" s="5"/>
      <c r="N50" s="24"/>
      <c r="O50" s="19" t="str">
        <f t="shared" si="15"/>
        <v/>
      </c>
      <c r="P50" s="5"/>
      <c r="Q50" s="24"/>
      <c r="R50" s="19" t="str">
        <f t="shared" si="16"/>
        <v/>
      </c>
      <c r="S50" s="5"/>
      <c r="T50" s="24"/>
      <c r="U50" s="19" t="str">
        <f t="shared" si="17"/>
        <v/>
      </c>
      <c r="V50" s="5"/>
      <c r="W50" s="24"/>
      <c r="X50" s="19" t="str">
        <f t="shared" si="18"/>
        <v/>
      </c>
      <c r="Y50" s="5"/>
      <c r="Z50" s="24"/>
      <c r="AA50" s="19" t="str">
        <f t="shared" si="19"/>
        <v/>
      </c>
      <c r="AB50" s="5"/>
      <c r="AC50" s="24"/>
      <c r="AD50" s="19" t="str">
        <f t="shared" si="20"/>
        <v/>
      </c>
      <c r="AE50" s="5"/>
      <c r="AF50" s="24"/>
      <c r="AG50" s="19" t="str">
        <f t="shared" si="21"/>
        <v/>
      </c>
      <c r="AH50" s="5"/>
      <c r="AI50" s="24"/>
      <c r="AJ50" s="19" t="str">
        <f t="shared" si="22"/>
        <v/>
      </c>
      <c r="AK50" s="5"/>
      <c r="AL50" s="24"/>
      <c r="AM50" s="20" t="str">
        <f t="shared" si="23"/>
        <v/>
      </c>
    </row>
    <row r="51" spans="2:39" x14ac:dyDescent="0.25">
      <c r="B51" s="11" t="s">
        <v>69</v>
      </c>
      <c r="C51" t="s">
        <v>73</v>
      </c>
      <c r="D51" s="5">
        <v>400000</v>
      </c>
      <c r="E51" s="24">
        <v>421227.94000000006</v>
      </c>
      <c r="F51" s="19">
        <f t="shared" si="12"/>
        <v>1.0530698500000002</v>
      </c>
      <c r="G51" s="5">
        <v>550000</v>
      </c>
      <c r="H51" s="24">
        <v>469539.33999999985</v>
      </c>
      <c r="I51" s="19">
        <f t="shared" si="13"/>
        <v>0.85370789090909061</v>
      </c>
      <c r="J51" s="5">
        <v>550000</v>
      </c>
      <c r="K51" s="24">
        <v>209089.76999999993</v>
      </c>
      <c r="L51" s="19">
        <f t="shared" si="14"/>
        <v>0.38016321818181803</v>
      </c>
      <c r="M51" s="5"/>
      <c r="N51" s="24"/>
      <c r="O51" s="19" t="str">
        <f t="shared" si="15"/>
        <v/>
      </c>
      <c r="P51" s="5"/>
      <c r="Q51" s="24"/>
      <c r="R51" s="19" t="str">
        <f t="shared" si="16"/>
        <v/>
      </c>
      <c r="S51" s="5"/>
      <c r="T51" s="24"/>
      <c r="U51" s="19" t="str">
        <f t="shared" si="17"/>
        <v/>
      </c>
      <c r="V51" s="5"/>
      <c r="W51" s="24"/>
      <c r="X51" s="19" t="str">
        <f t="shared" si="18"/>
        <v/>
      </c>
      <c r="Y51" s="5"/>
      <c r="Z51" s="24"/>
      <c r="AA51" s="19" t="str">
        <f t="shared" si="19"/>
        <v/>
      </c>
      <c r="AB51" s="5"/>
      <c r="AC51" s="24"/>
      <c r="AD51" s="19" t="str">
        <f t="shared" si="20"/>
        <v/>
      </c>
      <c r="AE51" s="5"/>
      <c r="AF51" s="24"/>
      <c r="AG51" s="19" t="str">
        <f t="shared" si="21"/>
        <v/>
      </c>
      <c r="AH51" s="5"/>
      <c r="AI51" s="24"/>
      <c r="AJ51" s="19" t="str">
        <f t="shared" si="22"/>
        <v/>
      </c>
      <c r="AK51" s="5"/>
      <c r="AL51" s="24"/>
      <c r="AM51" s="20" t="str">
        <f t="shared" si="23"/>
        <v/>
      </c>
    </row>
    <row r="52" spans="2:39" x14ac:dyDescent="0.25">
      <c r="B52" s="11" t="s">
        <v>82</v>
      </c>
      <c r="C52" t="s">
        <v>83</v>
      </c>
      <c r="D52" s="5">
        <v>1000000</v>
      </c>
      <c r="E52" s="24">
        <v>1001966.9099999998</v>
      </c>
      <c r="F52" s="19">
        <f t="shared" si="12"/>
        <v>1.0019669099999997</v>
      </c>
      <c r="G52" s="5">
        <v>650000</v>
      </c>
      <c r="H52" s="24">
        <v>455189.16000000003</v>
      </c>
      <c r="I52" s="19">
        <f t="shared" si="13"/>
        <v>0.70029101538461547</v>
      </c>
      <c r="J52" s="5">
        <v>650000</v>
      </c>
      <c r="K52" s="24">
        <v>158602.63999999996</v>
      </c>
      <c r="L52" s="19">
        <f t="shared" si="14"/>
        <v>0.24400406153846146</v>
      </c>
      <c r="M52" s="5"/>
      <c r="N52" s="24"/>
      <c r="O52" s="19" t="str">
        <f t="shared" si="15"/>
        <v/>
      </c>
      <c r="P52" s="5"/>
      <c r="Q52" s="24"/>
      <c r="R52" s="19" t="str">
        <f t="shared" si="16"/>
        <v/>
      </c>
      <c r="S52" s="5"/>
      <c r="T52" s="24"/>
      <c r="U52" s="19" t="str">
        <f t="shared" si="17"/>
        <v/>
      </c>
      <c r="V52" s="5"/>
      <c r="W52" s="24"/>
      <c r="X52" s="19" t="str">
        <f t="shared" si="18"/>
        <v/>
      </c>
      <c r="Y52" s="5"/>
      <c r="Z52" s="24"/>
      <c r="AA52" s="19" t="str">
        <f t="shared" si="19"/>
        <v/>
      </c>
      <c r="AB52" s="5"/>
      <c r="AC52" s="24"/>
      <c r="AD52" s="19" t="str">
        <f t="shared" si="20"/>
        <v/>
      </c>
      <c r="AE52" s="5"/>
      <c r="AF52" s="24"/>
      <c r="AG52" s="19" t="str">
        <f t="shared" si="21"/>
        <v/>
      </c>
      <c r="AH52" s="5"/>
      <c r="AI52" s="24"/>
      <c r="AJ52" s="19" t="str">
        <f t="shared" si="22"/>
        <v/>
      </c>
      <c r="AK52" s="5"/>
      <c r="AL52" s="24"/>
      <c r="AM52" s="20" t="str">
        <f t="shared" si="23"/>
        <v/>
      </c>
    </row>
    <row r="53" spans="2:39" x14ac:dyDescent="0.25">
      <c r="B53" s="11" t="s">
        <v>69</v>
      </c>
      <c r="C53" t="s">
        <v>62</v>
      </c>
      <c r="D53" s="5">
        <v>100000</v>
      </c>
      <c r="E53" s="24">
        <v>41054.199999000011</v>
      </c>
      <c r="F53" s="19">
        <f t="shared" si="12"/>
        <v>0.41054199999000013</v>
      </c>
      <c r="G53" s="5">
        <v>50000</v>
      </c>
      <c r="H53" s="24">
        <v>115102.48000000003</v>
      </c>
      <c r="I53" s="19">
        <f t="shared" si="13"/>
        <v>2.3020496000000006</v>
      </c>
      <c r="J53" s="5">
        <v>50000</v>
      </c>
      <c r="K53" s="24">
        <v>66836.78</v>
      </c>
      <c r="L53" s="19">
        <f t="shared" si="14"/>
        <v>1.3367355999999999</v>
      </c>
      <c r="M53" s="5"/>
      <c r="N53" s="24"/>
      <c r="O53" s="19" t="str">
        <f t="shared" si="15"/>
        <v/>
      </c>
      <c r="P53" s="5"/>
      <c r="Q53" s="24"/>
      <c r="R53" s="19" t="str">
        <f t="shared" si="16"/>
        <v/>
      </c>
      <c r="S53" s="5"/>
      <c r="T53" s="24"/>
      <c r="U53" s="19" t="str">
        <f t="shared" si="17"/>
        <v/>
      </c>
      <c r="V53" s="5"/>
      <c r="W53" s="24"/>
      <c r="X53" s="19" t="str">
        <f t="shared" si="18"/>
        <v/>
      </c>
      <c r="Y53" s="5"/>
      <c r="Z53" s="24"/>
      <c r="AA53" s="19" t="str">
        <f t="shared" si="19"/>
        <v/>
      </c>
      <c r="AB53" s="5"/>
      <c r="AC53" s="24"/>
      <c r="AD53" s="19" t="str">
        <f t="shared" si="20"/>
        <v/>
      </c>
      <c r="AE53" s="5"/>
      <c r="AF53" s="24"/>
      <c r="AG53" s="19" t="str">
        <f t="shared" si="21"/>
        <v/>
      </c>
      <c r="AH53" s="5"/>
      <c r="AI53" s="24"/>
      <c r="AJ53" s="19" t="str">
        <f t="shared" si="22"/>
        <v/>
      </c>
      <c r="AK53" s="5"/>
      <c r="AL53" s="24"/>
      <c r="AM53" s="20" t="str">
        <f t="shared" si="23"/>
        <v/>
      </c>
    </row>
    <row r="54" spans="2:39" x14ac:dyDescent="0.25">
      <c r="B54" s="11" t="s">
        <v>28</v>
      </c>
      <c r="C54" t="s">
        <v>31</v>
      </c>
      <c r="D54" s="5">
        <v>400000</v>
      </c>
      <c r="E54" s="24">
        <v>173025.52000000002</v>
      </c>
      <c r="F54" s="19">
        <f t="shared" si="12"/>
        <v>0.43256380000000005</v>
      </c>
      <c r="G54" s="5">
        <v>600000</v>
      </c>
      <c r="H54" s="24">
        <v>353677.05000000005</v>
      </c>
      <c r="I54" s="19">
        <f t="shared" si="13"/>
        <v>0.58946175000000012</v>
      </c>
      <c r="J54" s="5">
        <v>600000</v>
      </c>
      <c r="K54" s="24">
        <v>45353.89</v>
      </c>
      <c r="L54" s="19">
        <f t="shared" si="14"/>
        <v>7.558981666666667E-2</v>
      </c>
      <c r="M54" s="5"/>
      <c r="N54" s="24"/>
      <c r="O54" s="19" t="str">
        <f t="shared" si="15"/>
        <v/>
      </c>
      <c r="P54" s="5"/>
      <c r="Q54" s="24"/>
      <c r="R54" s="19" t="str">
        <f t="shared" si="16"/>
        <v/>
      </c>
      <c r="S54" s="5"/>
      <c r="T54" s="24"/>
      <c r="U54" s="19" t="str">
        <f t="shared" si="17"/>
        <v/>
      </c>
      <c r="V54" s="5"/>
      <c r="W54" s="24"/>
      <c r="X54" s="19" t="str">
        <f t="shared" si="18"/>
        <v/>
      </c>
      <c r="Y54" s="5"/>
      <c r="Z54" s="24"/>
      <c r="AA54" s="19" t="str">
        <f t="shared" si="19"/>
        <v/>
      </c>
      <c r="AB54" s="5"/>
      <c r="AC54" s="24"/>
      <c r="AD54" s="19" t="str">
        <f t="shared" si="20"/>
        <v/>
      </c>
      <c r="AE54" s="5"/>
      <c r="AF54" s="24"/>
      <c r="AG54" s="19" t="str">
        <f t="shared" si="21"/>
        <v/>
      </c>
      <c r="AH54" s="5"/>
      <c r="AI54" s="24"/>
      <c r="AJ54" s="19" t="str">
        <f t="shared" si="22"/>
        <v/>
      </c>
      <c r="AK54" s="5"/>
      <c r="AL54" s="24"/>
      <c r="AM54" s="20" t="str">
        <f t="shared" si="23"/>
        <v/>
      </c>
    </row>
    <row r="55" spans="2:39" x14ac:dyDescent="0.25">
      <c r="B55" s="11" t="s">
        <v>23</v>
      </c>
      <c r="C55" t="s">
        <v>25</v>
      </c>
      <c r="D55" s="5">
        <v>350000</v>
      </c>
      <c r="E55" s="24">
        <v>262735.83999999997</v>
      </c>
      <c r="F55" s="19">
        <f t="shared" si="12"/>
        <v>0.7506738285714285</v>
      </c>
      <c r="G55" s="5">
        <v>200000</v>
      </c>
      <c r="H55" s="24">
        <v>217385.90000000008</v>
      </c>
      <c r="I55" s="19">
        <f t="shared" si="13"/>
        <v>1.0869295000000003</v>
      </c>
      <c r="J55" s="5">
        <v>200000</v>
      </c>
      <c r="K55" s="24"/>
      <c r="L55" s="19">
        <f t="shared" si="14"/>
        <v>0</v>
      </c>
      <c r="M55" s="5"/>
      <c r="N55" s="24"/>
      <c r="O55" s="19" t="str">
        <f t="shared" si="15"/>
        <v/>
      </c>
      <c r="P55" s="5"/>
      <c r="Q55" s="24"/>
      <c r="R55" s="19" t="str">
        <f t="shared" si="16"/>
        <v/>
      </c>
      <c r="S55" s="5"/>
      <c r="T55" s="24"/>
      <c r="U55" s="19" t="str">
        <f t="shared" si="17"/>
        <v/>
      </c>
      <c r="V55" s="5"/>
      <c r="W55" s="24"/>
      <c r="X55" s="19" t="str">
        <f t="shared" si="18"/>
        <v/>
      </c>
      <c r="Y55" s="5"/>
      <c r="Z55" s="24"/>
      <c r="AA55" s="19" t="str">
        <f t="shared" si="19"/>
        <v/>
      </c>
      <c r="AB55" s="5"/>
      <c r="AC55" s="24"/>
      <c r="AD55" s="19" t="str">
        <f t="shared" si="20"/>
        <v/>
      </c>
      <c r="AE55" s="5"/>
      <c r="AF55" s="24"/>
      <c r="AG55" s="19" t="str">
        <f t="shared" si="21"/>
        <v/>
      </c>
      <c r="AH55" s="5"/>
      <c r="AI55" s="24"/>
      <c r="AJ55" s="19" t="str">
        <f t="shared" si="22"/>
        <v/>
      </c>
      <c r="AK55" s="5"/>
      <c r="AL55" s="24"/>
      <c r="AM55" s="20" t="str">
        <f t="shared" si="23"/>
        <v/>
      </c>
    </row>
    <row r="56" spans="2:39" x14ac:dyDescent="0.25">
      <c r="B56" s="11" t="s">
        <v>79</v>
      </c>
      <c r="C56" t="s">
        <v>99</v>
      </c>
      <c r="D56" s="5"/>
      <c r="E56" s="24"/>
      <c r="F56" s="19" t="str">
        <f t="shared" si="12"/>
        <v/>
      </c>
      <c r="G56" s="5"/>
      <c r="H56" s="24">
        <v>19564.96</v>
      </c>
      <c r="I56" s="19" t="str">
        <f t="shared" si="13"/>
        <v/>
      </c>
      <c r="J56" s="5"/>
      <c r="K56" s="24">
        <v>11490.230000000001</v>
      </c>
      <c r="L56" s="19" t="str">
        <f t="shared" si="14"/>
        <v/>
      </c>
      <c r="M56" s="5"/>
      <c r="N56" s="24"/>
      <c r="O56" s="19" t="str">
        <f t="shared" si="15"/>
        <v/>
      </c>
      <c r="P56" s="5"/>
      <c r="Q56" s="24"/>
      <c r="R56" s="19" t="str">
        <f t="shared" si="16"/>
        <v/>
      </c>
      <c r="S56" s="5"/>
      <c r="T56" s="24"/>
      <c r="U56" s="19" t="str">
        <f t="shared" si="17"/>
        <v/>
      </c>
      <c r="V56" s="5"/>
      <c r="W56" s="24"/>
      <c r="X56" s="19" t="str">
        <f t="shared" si="18"/>
        <v/>
      </c>
      <c r="Y56" s="5"/>
      <c r="Z56" s="24"/>
      <c r="AA56" s="19" t="str">
        <f t="shared" si="19"/>
        <v/>
      </c>
      <c r="AB56" s="5"/>
      <c r="AC56" s="24"/>
      <c r="AD56" s="19" t="str">
        <f t="shared" si="20"/>
        <v/>
      </c>
      <c r="AE56" s="5"/>
      <c r="AF56" s="24"/>
      <c r="AG56" s="19" t="str">
        <f t="shared" si="21"/>
        <v/>
      </c>
      <c r="AH56" s="5"/>
      <c r="AI56" s="24"/>
      <c r="AJ56" s="19" t="str">
        <f t="shared" si="22"/>
        <v/>
      </c>
      <c r="AK56" s="5"/>
      <c r="AL56" s="24"/>
      <c r="AM56" s="20" t="str">
        <f t="shared" si="23"/>
        <v/>
      </c>
    </row>
    <row r="57" spans="2:39" x14ac:dyDescent="0.25">
      <c r="B57" s="11" t="s">
        <v>69</v>
      </c>
      <c r="C57" t="s">
        <v>70</v>
      </c>
      <c r="D57" s="5">
        <v>450000</v>
      </c>
      <c r="E57" s="24">
        <v>636321.09000000008</v>
      </c>
      <c r="F57" s="19">
        <f t="shared" si="12"/>
        <v>1.4140468666666668</v>
      </c>
      <c r="G57" s="5">
        <v>650000</v>
      </c>
      <c r="H57" s="24">
        <v>1060087.8699999999</v>
      </c>
      <c r="I57" s="19">
        <f t="shared" si="13"/>
        <v>1.6309044153846153</v>
      </c>
      <c r="J57" s="5">
        <v>650000</v>
      </c>
      <c r="K57" s="24">
        <v>117201.04000000001</v>
      </c>
      <c r="L57" s="19">
        <f t="shared" si="14"/>
        <v>0.18030929230769233</v>
      </c>
      <c r="M57" s="5"/>
      <c r="N57" s="24"/>
      <c r="O57" s="19" t="str">
        <f t="shared" si="15"/>
        <v/>
      </c>
      <c r="P57" s="5"/>
      <c r="Q57" s="24"/>
      <c r="R57" s="19" t="str">
        <f t="shared" si="16"/>
        <v/>
      </c>
      <c r="S57" s="5"/>
      <c r="T57" s="24"/>
      <c r="U57" s="19" t="str">
        <f t="shared" si="17"/>
        <v/>
      </c>
      <c r="V57" s="5"/>
      <c r="W57" s="24"/>
      <c r="X57" s="19" t="str">
        <f t="shared" si="18"/>
        <v/>
      </c>
      <c r="Y57" s="5"/>
      <c r="Z57" s="24"/>
      <c r="AA57" s="19" t="str">
        <f t="shared" si="19"/>
        <v/>
      </c>
      <c r="AB57" s="5"/>
      <c r="AC57" s="24"/>
      <c r="AD57" s="19" t="str">
        <f t="shared" si="20"/>
        <v/>
      </c>
      <c r="AE57" s="5"/>
      <c r="AF57" s="24"/>
      <c r="AG57" s="19" t="str">
        <f t="shared" si="21"/>
        <v/>
      </c>
      <c r="AH57" s="5"/>
      <c r="AI57" s="24"/>
      <c r="AJ57" s="19" t="str">
        <f t="shared" si="22"/>
        <v/>
      </c>
      <c r="AK57" s="5"/>
      <c r="AL57" s="24"/>
      <c r="AM57" s="20" t="str">
        <f t="shared" si="23"/>
        <v/>
      </c>
    </row>
    <row r="58" spans="2:39" x14ac:dyDescent="0.25">
      <c r="B58" s="11" t="s">
        <v>56</v>
      </c>
      <c r="C58" t="s">
        <v>63</v>
      </c>
      <c r="D58" s="5">
        <v>50000</v>
      </c>
      <c r="E58" s="24">
        <v>56940.590000000018</v>
      </c>
      <c r="F58" s="19">
        <f t="shared" si="12"/>
        <v>1.1388118000000003</v>
      </c>
      <c r="G58" s="5">
        <v>150000</v>
      </c>
      <c r="H58" s="24">
        <v>96909.21</v>
      </c>
      <c r="I58" s="19">
        <f t="shared" si="13"/>
        <v>0.64606140000000001</v>
      </c>
      <c r="J58" s="5">
        <v>150000</v>
      </c>
      <c r="K58" s="24">
        <v>28396.999999999993</v>
      </c>
      <c r="L58" s="19">
        <f t="shared" si="14"/>
        <v>0.18931333333333328</v>
      </c>
      <c r="M58" s="5"/>
      <c r="N58" s="24"/>
      <c r="O58" s="19" t="str">
        <f t="shared" si="15"/>
        <v/>
      </c>
      <c r="P58" s="5"/>
      <c r="Q58" s="24"/>
      <c r="R58" s="19" t="str">
        <f t="shared" si="16"/>
        <v/>
      </c>
      <c r="S58" s="5"/>
      <c r="T58" s="24"/>
      <c r="U58" s="19" t="str">
        <f t="shared" si="17"/>
        <v/>
      </c>
      <c r="V58" s="5"/>
      <c r="W58" s="24"/>
      <c r="X58" s="19" t="str">
        <f t="shared" si="18"/>
        <v/>
      </c>
      <c r="Y58" s="5"/>
      <c r="Z58" s="24"/>
      <c r="AA58" s="19" t="str">
        <f t="shared" si="19"/>
        <v/>
      </c>
      <c r="AB58" s="5"/>
      <c r="AC58" s="24"/>
      <c r="AD58" s="19" t="str">
        <f t="shared" si="20"/>
        <v/>
      </c>
      <c r="AE58" s="5"/>
      <c r="AF58" s="24"/>
      <c r="AG58" s="19" t="str">
        <f t="shared" si="21"/>
        <v/>
      </c>
      <c r="AH58" s="5"/>
      <c r="AI58" s="24"/>
      <c r="AJ58" s="19" t="str">
        <f t="shared" si="22"/>
        <v/>
      </c>
      <c r="AK58" s="5"/>
      <c r="AL58" s="24"/>
      <c r="AM58" s="20" t="str">
        <f t="shared" si="23"/>
        <v/>
      </c>
    </row>
    <row r="59" spans="2:39" x14ac:dyDescent="0.25">
      <c r="B59" s="11" t="s">
        <v>12</v>
      </c>
      <c r="C59" t="s">
        <v>13</v>
      </c>
      <c r="D59" s="5">
        <v>450000</v>
      </c>
      <c r="E59" s="24">
        <v>606033.07000000041</v>
      </c>
      <c r="F59" s="19">
        <f t="shared" si="12"/>
        <v>1.3467401555555565</v>
      </c>
      <c r="G59" s="5">
        <v>750000</v>
      </c>
      <c r="H59" s="24">
        <v>1115637.5500000003</v>
      </c>
      <c r="I59" s="19">
        <f t="shared" si="13"/>
        <v>1.4875167333333337</v>
      </c>
      <c r="J59" s="5">
        <v>750000</v>
      </c>
      <c r="K59" s="24">
        <v>322706.75000000006</v>
      </c>
      <c r="L59" s="19">
        <f t="shared" si="14"/>
        <v>0.43027566666666672</v>
      </c>
      <c r="M59" s="5"/>
      <c r="N59" s="24"/>
      <c r="O59" s="19" t="str">
        <f t="shared" si="15"/>
        <v/>
      </c>
      <c r="P59" s="5"/>
      <c r="Q59" s="24"/>
      <c r="R59" s="19" t="str">
        <f t="shared" si="16"/>
        <v/>
      </c>
      <c r="S59" s="5"/>
      <c r="T59" s="24"/>
      <c r="U59" s="19" t="str">
        <f t="shared" si="17"/>
        <v/>
      </c>
      <c r="V59" s="5"/>
      <c r="W59" s="24"/>
      <c r="X59" s="19" t="str">
        <f t="shared" si="18"/>
        <v/>
      </c>
      <c r="Y59" s="5"/>
      <c r="Z59" s="24"/>
      <c r="AA59" s="19" t="str">
        <f t="shared" si="19"/>
        <v/>
      </c>
      <c r="AB59" s="5"/>
      <c r="AC59" s="24"/>
      <c r="AD59" s="19" t="str">
        <f t="shared" si="20"/>
        <v/>
      </c>
      <c r="AE59" s="5"/>
      <c r="AF59" s="24"/>
      <c r="AG59" s="19" t="str">
        <f t="shared" si="21"/>
        <v/>
      </c>
      <c r="AH59" s="5"/>
      <c r="AI59" s="24"/>
      <c r="AJ59" s="19" t="str">
        <f t="shared" si="22"/>
        <v/>
      </c>
      <c r="AK59" s="5"/>
      <c r="AL59" s="24"/>
      <c r="AM59" s="20" t="str">
        <f t="shared" si="23"/>
        <v/>
      </c>
    </row>
    <row r="60" spans="2:39" x14ac:dyDescent="0.25">
      <c r="B60" s="11" t="s">
        <v>42</v>
      </c>
      <c r="C60" t="s">
        <v>54</v>
      </c>
      <c r="D60" s="5">
        <v>0</v>
      </c>
      <c r="E60" s="24">
        <v>10215.65</v>
      </c>
      <c r="F60" s="19" t="str">
        <f t="shared" si="12"/>
        <v/>
      </c>
      <c r="G60" s="5">
        <v>0</v>
      </c>
      <c r="H60" s="24">
        <v>10016.049999999999</v>
      </c>
      <c r="I60" s="19" t="str">
        <f t="shared" si="13"/>
        <v/>
      </c>
      <c r="J60" s="5">
        <v>0</v>
      </c>
      <c r="K60" s="24">
        <v>3252.38</v>
      </c>
      <c r="L60" s="19" t="str">
        <f t="shared" si="14"/>
        <v/>
      </c>
      <c r="M60" s="5"/>
      <c r="N60" s="24"/>
      <c r="O60" s="19" t="str">
        <f t="shared" si="15"/>
        <v/>
      </c>
      <c r="P60" s="5"/>
      <c r="Q60" s="24"/>
      <c r="R60" s="19" t="str">
        <f t="shared" si="16"/>
        <v/>
      </c>
      <c r="S60" s="5"/>
      <c r="T60" s="24"/>
      <c r="U60" s="19" t="str">
        <f t="shared" si="17"/>
        <v/>
      </c>
      <c r="V60" s="5"/>
      <c r="W60" s="24"/>
      <c r="X60" s="19" t="str">
        <f t="shared" si="18"/>
        <v/>
      </c>
      <c r="Y60" s="5"/>
      <c r="Z60" s="24"/>
      <c r="AA60" s="19" t="str">
        <f t="shared" si="19"/>
        <v/>
      </c>
      <c r="AB60" s="5"/>
      <c r="AC60" s="24"/>
      <c r="AD60" s="19" t="str">
        <f t="shared" si="20"/>
        <v/>
      </c>
      <c r="AE60" s="5"/>
      <c r="AF60" s="24"/>
      <c r="AG60" s="19" t="str">
        <f t="shared" si="21"/>
        <v/>
      </c>
      <c r="AH60" s="5"/>
      <c r="AI60" s="24"/>
      <c r="AJ60" s="19" t="str">
        <f t="shared" si="22"/>
        <v/>
      </c>
      <c r="AK60" s="5"/>
      <c r="AL60" s="24"/>
      <c r="AM60" s="20" t="str">
        <f t="shared" si="23"/>
        <v/>
      </c>
    </row>
    <row r="61" spans="2:39" x14ac:dyDescent="0.25">
      <c r="B61" s="11" t="s">
        <v>69</v>
      </c>
      <c r="C61" t="s">
        <v>71</v>
      </c>
      <c r="D61" s="5">
        <v>400000</v>
      </c>
      <c r="E61" s="24">
        <v>324490.56</v>
      </c>
      <c r="F61" s="19">
        <f t="shared" si="12"/>
        <v>0.81122640000000001</v>
      </c>
      <c r="G61" s="5">
        <v>500000</v>
      </c>
      <c r="H61" s="24">
        <v>415218.74000000005</v>
      </c>
      <c r="I61" s="19">
        <f t="shared" si="13"/>
        <v>0.83043748000000006</v>
      </c>
      <c r="J61" s="5">
        <v>500000</v>
      </c>
      <c r="K61" s="24">
        <v>287499.07999900007</v>
      </c>
      <c r="L61" s="19">
        <f t="shared" si="14"/>
        <v>0.57499815999800008</v>
      </c>
      <c r="M61" s="5"/>
      <c r="N61" s="24"/>
      <c r="O61" s="19" t="str">
        <f t="shared" si="15"/>
        <v/>
      </c>
      <c r="P61" s="5"/>
      <c r="Q61" s="24"/>
      <c r="R61" s="19" t="str">
        <f t="shared" si="16"/>
        <v/>
      </c>
      <c r="S61" s="5"/>
      <c r="T61" s="24"/>
      <c r="U61" s="19" t="str">
        <f t="shared" si="17"/>
        <v/>
      </c>
      <c r="V61" s="5"/>
      <c r="W61" s="24"/>
      <c r="X61" s="19" t="str">
        <f t="shared" si="18"/>
        <v/>
      </c>
      <c r="Y61" s="5"/>
      <c r="Z61" s="24"/>
      <c r="AA61" s="19" t="str">
        <f t="shared" si="19"/>
        <v/>
      </c>
      <c r="AB61" s="5"/>
      <c r="AC61" s="24"/>
      <c r="AD61" s="19" t="str">
        <f t="shared" si="20"/>
        <v/>
      </c>
      <c r="AE61" s="5"/>
      <c r="AF61" s="24"/>
      <c r="AG61" s="19" t="str">
        <f t="shared" si="21"/>
        <v/>
      </c>
      <c r="AH61" s="5"/>
      <c r="AI61" s="24"/>
      <c r="AJ61" s="19" t="str">
        <f t="shared" si="22"/>
        <v/>
      </c>
      <c r="AK61" s="5"/>
      <c r="AL61" s="24"/>
      <c r="AM61" s="20" t="str">
        <f t="shared" si="23"/>
        <v/>
      </c>
    </row>
    <row r="62" spans="2:39" x14ac:dyDescent="0.25">
      <c r="B62" s="11" t="s">
        <v>85</v>
      </c>
      <c r="C62" t="s">
        <v>71</v>
      </c>
      <c r="D62" s="5">
        <v>400000</v>
      </c>
      <c r="E62" s="24"/>
      <c r="F62" s="19">
        <f t="shared" si="12"/>
        <v>0</v>
      </c>
      <c r="G62" s="5">
        <v>500000</v>
      </c>
      <c r="H62" s="24"/>
      <c r="I62" s="19">
        <f t="shared" si="13"/>
        <v>0</v>
      </c>
      <c r="J62" s="5">
        <v>500000</v>
      </c>
      <c r="K62" s="24">
        <v>477.6</v>
      </c>
      <c r="L62" s="19">
        <f t="shared" si="14"/>
        <v>9.5520000000000002E-4</v>
      </c>
      <c r="M62" s="5"/>
      <c r="N62" s="24"/>
      <c r="O62" s="19" t="str">
        <f t="shared" si="15"/>
        <v/>
      </c>
      <c r="P62" s="5"/>
      <c r="Q62" s="24"/>
      <c r="R62" s="19" t="str">
        <f t="shared" si="16"/>
        <v/>
      </c>
      <c r="S62" s="5"/>
      <c r="T62" s="24"/>
      <c r="U62" s="19" t="str">
        <f t="shared" si="17"/>
        <v/>
      </c>
      <c r="V62" s="5"/>
      <c r="W62" s="24"/>
      <c r="X62" s="19" t="str">
        <f t="shared" si="18"/>
        <v/>
      </c>
      <c r="Y62" s="5"/>
      <c r="Z62" s="24"/>
      <c r="AA62" s="19" t="str">
        <f t="shared" si="19"/>
        <v/>
      </c>
      <c r="AB62" s="5"/>
      <c r="AC62" s="24"/>
      <c r="AD62" s="19" t="str">
        <f t="shared" si="20"/>
        <v/>
      </c>
      <c r="AE62" s="5"/>
      <c r="AF62" s="24"/>
      <c r="AG62" s="19" t="str">
        <f t="shared" si="21"/>
        <v/>
      </c>
      <c r="AH62" s="5"/>
      <c r="AI62" s="24"/>
      <c r="AJ62" s="19" t="str">
        <f t="shared" si="22"/>
        <v/>
      </c>
      <c r="AK62" s="5"/>
      <c r="AL62" s="24"/>
      <c r="AM62" s="20" t="str">
        <f t="shared" si="23"/>
        <v/>
      </c>
    </row>
    <row r="63" spans="2:39" x14ac:dyDescent="0.25">
      <c r="B63" s="11" t="s">
        <v>79</v>
      </c>
      <c r="C63" t="s">
        <v>81</v>
      </c>
      <c r="D63" s="5">
        <v>0</v>
      </c>
      <c r="E63" s="24">
        <v>744.23</v>
      </c>
      <c r="F63" s="19" t="str">
        <f t="shared" si="12"/>
        <v/>
      </c>
      <c r="G63" s="5">
        <v>0</v>
      </c>
      <c r="H63" s="24">
        <v>1839.59</v>
      </c>
      <c r="I63" s="19" t="str">
        <f t="shared" si="13"/>
        <v/>
      </c>
      <c r="J63" s="5">
        <v>0</v>
      </c>
      <c r="K63" s="24"/>
      <c r="L63" s="19" t="str">
        <f t="shared" si="14"/>
        <v/>
      </c>
      <c r="M63" s="5"/>
      <c r="N63" s="24"/>
      <c r="O63" s="19" t="str">
        <f t="shared" si="15"/>
        <v/>
      </c>
      <c r="P63" s="5"/>
      <c r="Q63" s="24"/>
      <c r="R63" s="19" t="str">
        <f t="shared" si="16"/>
        <v/>
      </c>
      <c r="S63" s="5"/>
      <c r="T63" s="24"/>
      <c r="U63" s="19" t="str">
        <f t="shared" si="17"/>
        <v/>
      </c>
      <c r="V63" s="5"/>
      <c r="W63" s="24"/>
      <c r="X63" s="19" t="str">
        <f t="shared" si="18"/>
        <v/>
      </c>
      <c r="Y63" s="5"/>
      <c r="Z63" s="24"/>
      <c r="AA63" s="19" t="str">
        <f t="shared" si="19"/>
        <v/>
      </c>
      <c r="AB63" s="5"/>
      <c r="AC63" s="24"/>
      <c r="AD63" s="19" t="str">
        <f t="shared" si="20"/>
        <v/>
      </c>
      <c r="AE63" s="5"/>
      <c r="AF63" s="24"/>
      <c r="AG63" s="19" t="str">
        <f t="shared" si="21"/>
        <v/>
      </c>
      <c r="AH63" s="5"/>
      <c r="AI63" s="24"/>
      <c r="AJ63" s="19" t="str">
        <f t="shared" si="22"/>
        <v/>
      </c>
      <c r="AK63" s="5"/>
      <c r="AL63" s="24"/>
      <c r="AM63" s="20" t="str">
        <f t="shared" si="23"/>
        <v/>
      </c>
    </row>
    <row r="64" spans="2:39" x14ac:dyDescent="0.25">
      <c r="B64" s="11" t="s">
        <v>28</v>
      </c>
      <c r="C64" t="s">
        <v>29</v>
      </c>
      <c r="D64" s="5">
        <v>500000</v>
      </c>
      <c r="E64" s="24">
        <v>398607.4099999998</v>
      </c>
      <c r="F64" s="19">
        <f t="shared" si="12"/>
        <v>0.79721481999999955</v>
      </c>
      <c r="G64" s="5">
        <v>600000</v>
      </c>
      <c r="H64" s="24">
        <v>1023559.3499999999</v>
      </c>
      <c r="I64" s="19">
        <f t="shared" si="13"/>
        <v>1.7059322499999998</v>
      </c>
      <c r="J64" s="5">
        <v>600000</v>
      </c>
      <c r="K64" s="24">
        <v>164458.53000000003</v>
      </c>
      <c r="L64" s="19">
        <f t="shared" si="14"/>
        <v>0.27409755000000002</v>
      </c>
      <c r="M64" s="5"/>
      <c r="N64" s="24"/>
      <c r="O64" s="19" t="str">
        <f t="shared" si="15"/>
        <v/>
      </c>
      <c r="P64" s="5"/>
      <c r="Q64" s="24"/>
      <c r="R64" s="19" t="str">
        <f t="shared" si="16"/>
        <v/>
      </c>
      <c r="S64" s="5"/>
      <c r="T64" s="24"/>
      <c r="U64" s="19" t="str">
        <f t="shared" si="17"/>
        <v/>
      </c>
      <c r="V64" s="5"/>
      <c r="W64" s="24"/>
      <c r="X64" s="19" t="str">
        <f t="shared" si="18"/>
        <v/>
      </c>
      <c r="Y64" s="5"/>
      <c r="Z64" s="24"/>
      <c r="AA64" s="19" t="str">
        <f t="shared" si="19"/>
        <v/>
      </c>
      <c r="AB64" s="5"/>
      <c r="AC64" s="24"/>
      <c r="AD64" s="19" t="str">
        <f t="shared" si="20"/>
        <v/>
      </c>
      <c r="AE64" s="5"/>
      <c r="AF64" s="24"/>
      <c r="AG64" s="19" t="str">
        <f t="shared" si="21"/>
        <v/>
      </c>
      <c r="AH64" s="5"/>
      <c r="AI64" s="24"/>
      <c r="AJ64" s="19" t="str">
        <f t="shared" si="22"/>
        <v/>
      </c>
      <c r="AK64" s="5"/>
      <c r="AL64" s="24"/>
      <c r="AM64" s="20" t="str">
        <f t="shared" si="23"/>
        <v/>
      </c>
    </row>
    <row r="65" spans="2:39" x14ac:dyDescent="0.25">
      <c r="B65" s="11" t="s">
        <v>56</v>
      </c>
      <c r="C65" t="s">
        <v>59</v>
      </c>
      <c r="D65" s="5">
        <v>325000</v>
      </c>
      <c r="E65" s="24">
        <v>210060.39999999997</v>
      </c>
      <c r="F65" s="19">
        <f t="shared" si="12"/>
        <v>0.64633969230769217</v>
      </c>
      <c r="G65" s="5">
        <v>550000</v>
      </c>
      <c r="H65" s="24">
        <v>551809.28000000014</v>
      </c>
      <c r="I65" s="19">
        <f t="shared" si="13"/>
        <v>1.0032896000000002</v>
      </c>
      <c r="J65" s="5">
        <v>550000</v>
      </c>
      <c r="K65" s="24">
        <v>175390.36</v>
      </c>
      <c r="L65" s="19">
        <f t="shared" si="14"/>
        <v>0.31889156363636362</v>
      </c>
      <c r="M65" s="5"/>
      <c r="N65" s="24"/>
      <c r="O65" s="19" t="str">
        <f t="shared" si="15"/>
        <v/>
      </c>
      <c r="P65" s="5"/>
      <c r="Q65" s="24"/>
      <c r="R65" s="19" t="str">
        <f t="shared" si="16"/>
        <v/>
      </c>
      <c r="S65" s="5"/>
      <c r="T65" s="24"/>
      <c r="U65" s="19" t="str">
        <f t="shared" si="17"/>
        <v/>
      </c>
      <c r="V65" s="5"/>
      <c r="W65" s="24"/>
      <c r="X65" s="19" t="str">
        <f t="shared" si="18"/>
        <v/>
      </c>
      <c r="Y65" s="5"/>
      <c r="Z65" s="24"/>
      <c r="AA65" s="19" t="str">
        <f t="shared" si="19"/>
        <v/>
      </c>
      <c r="AB65" s="5"/>
      <c r="AC65" s="24"/>
      <c r="AD65" s="19" t="str">
        <f t="shared" si="20"/>
        <v/>
      </c>
      <c r="AE65" s="5"/>
      <c r="AF65" s="24"/>
      <c r="AG65" s="19" t="str">
        <f t="shared" si="21"/>
        <v/>
      </c>
      <c r="AH65" s="5"/>
      <c r="AI65" s="24"/>
      <c r="AJ65" s="19" t="str">
        <f t="shared" si="22"/>
        <v/>
      </c>
      <c r="AK65" s="5"/>
      <c r="AL65" s="24"/>
      <c r="AM65" s="20" t="str">
        <f t="shared" si="23"/>
        <v/>
      </c>
    </row>
    <row r="66" spans="2:39" x14ac:dyDescent="0.25">
      <c r="B66" s="11" t="s">
        <v>74</v>
      </c>
      <c r="C66" t="s">
        <v>75</v>
      </c>
      <c r="D66" s="5">
        <v>250000</v>
      </c>
      <c r="E66" s="24">
        <v>253018.84999999992</v>
      </c>
      <c r="F66" s="19">
        <f t="shared" si="12"/>
        <v>1.0120753999999996</v>
      </c>
      <c r="G66" s="5">
        <v>400000</v>
      </c>
      <c r="H66" s="24">
        <v>550168.24</v>
      </c>
      <c r="I66" s="19">
        <f t="shared" si="13"/>
        <v>1.3754206</v>
      </c>
      <c r="J66" s="5">
        <v>400000</v>
      </c>
      <c r="K66" s="24">
        <v>310934.24</v>
      </c>
      <c r="L66" s="19">
        <f t="shared" si="14"/>
        <v>0.77733560000000002</v>
      </c>
      <c r="M66" s="5"/>
      <c r="N66" s="24"/>
      <c r="O66" s="19" t="str">
        <f t="shared" si="15"/>
        <v/>
      </c>
      <c r="P66" s="5"/>
      <c r="Q66" s="24"/>
      <c r="R66" s="19" t="str">
        <f t="shared" si="16"/>
        <v/>
      </c>
      <c r="S66" s="5"/>
      <c r="T66" s="24"/>
      <c r="U66" s="19" t="str">
        <f t="shared" si="17"/>
        <v/>
      </c>
      <c r="V66" s="5"/>
      <c r="W66" s="24"/>
      <c r="X66" s="19" t="str">
        <f t="shared" si="18"/>
        <v/>
      </c>
      <c r="Y66" s="5"/>
      <c r="Z66" s="24"/>
      <c r="AA66" s="19" t="str">
        <f t="shared" si="19"/>
        <v/>
      </c>
      <c r="AB66" s="5"/>
      <c r="AC66" s="24"/>
      <c r="AD66" s="19" t="str">
        <f t="shared" si="20"/>
        <v/>
      </c>
      <c r="AE66" s="5"/>
      <c r="AF66" s="24"/>
      <c r="AG66" s="19" t="str">
        <f t="shared" si="21"/>
        <v/>
      </c>
      <c r="AH66" s="5"/>
      <c r="AI66" s="24"/>
      <c r="AJ66" s="19" t="str">
        <f t="shared" si="22"/>
        <v/>
      </c>
      <c r="AK66" s="5"/>
      <c r="AL66" s="24"/>
      <c r="AM66" s="20" t="str">
        <f t="shared" si="23"/>
        <v/>
      </c>
    </row>
    <row r="67" spans="2:39" x14ac:dyDescent="0.25">
      <c r="B67" s="11" t="s">
        <v>65</v>
      </c>
      <c r="C67" t="s">
        <v>101</v>
      </c>
      <c r="D67" s="5"/>
      <c r="E67" s="24"/>
      <c r="F67" s="19" t="str">
        <f t="shared" si="12"/>
        <v/>
      </c>
      <c r="G67" s="5"/>
      <c r="H67" s="24">
        <v>9051.2899999999991</v>
      </c>
      <c r="I67" s="19" t="str">
        <f t="shared" si="13"/>
        <v/>
      </c>
      <c r="J67" s="5"/>
      <c r="K67" s="24">
        <v>27823.89</v>
      </c>
      <c r="L67" s="19" t="str">
        <f t="shared" si="14"/>
        <v/>
      </c>
      <c r="M67" s="5"/>
      <c r="N67" s="24"/>
      <c r="O67" s="19" t="str">
        <f t="shared" si="15"/>
        <v/>
      </c>
      <c r="P67" s="5"/>
      <c r="Q67" s="24"/>
      <c r="R67" s="19" t="str">
        <f t="shared" si="16"/>
        <v/>
      </c>
      <c r="S67" s="5"/>
      <c r="T67" s="24"/>
      <c r="U67" s="19" t="str">
        <f t="shared" si="17"/>
        <v/>
      </c>
      <c r="V67" s="5"/>
      <c r="W67" s="24"/>
      <c r="X67" s="19" t="str">
        <f t="shared" si="18"/>
        <v/>
      </c>
      <c r="Y67" s="5"/>
      <c r="Z67" s="24"/>
      <c r="AA67" s="19" t="str">
        <f t="shared" si="19"/>
        <v/>
      </c>
      <c r="AB67" s="5"/>
      <c r="AC67" s="24"/>
      <c r="AD67" s="19" t="str">
        <f t="shared" si="20"/>
        <v/>
      </c>
      <c r="AE67" s="5"/>
      <c r="AF67" s="24"/>
      <c r="AG67" s="19" t="str">
        <f t="shared" si="21"/>
        <v/>
      </c>
      <c r="AH67" s="5"/>
      <c r="AI67" s="24"/>
      <c r="AJ67" s="19" t="str">
        <f t="shared" si="22"/>
        <v/>
      </c>
      <c r="AK67" s="5"/>
      <c r="AL67" s="24"/>
      <c r="AM67" s="20" t="str">
        <f t="shared" si="23"/>
        <v/>
      </c>
    </row>
    <row r="68" spans="2:39" x14ac:dyDescent="0.25">
      <c r="B68" s="11" t="s">
        <v>42</v>
      </c>
      <c r="C68" t="s">
        <v>43</v>
      </c>
      <c r="D68" s="5">
        <v>0</v>
      </c>
      <c r="E68" s="24">
        <v>316</v>
      </c>
      <c r="F68" s="19" t="str">
        <f t="shared" si="12"/>
        <v/>
      </c>
      <c r="G68" s="5">
        <v>0</v>
      </c>
      <c r="H68" s="24"/>
      <c r="I68" s="19" t="str">
        <f t="shared" si="13"/>
        <v/>
      </c>
      <c r="J68" s="5">
        <v>0</v>
      </c>
      <c r="K68" s="24"/>
      <c r="L68" s="19" t="str">
        <f t="shared" si="14"/>
        <v/>
      </c>
      <c r="M68" s="5"/>
      <c r="N68" s="24"/>
      <c r="O68" s="19" t="str">
        <f t="shared" si="15"/>
        <v/>
      </c>
      <c r="P68" s="5"/>
      <c r="Q68" s="24"/>
      <c r="R68" s="19" t="str">
        <f t="shared" si="16"/>
        <v/>
      </c>
      <c r="S68" s="5"/>
      <c r="T68" s="24"/>
      <c r="U68" s="19" t="str">
        <f t="shared" si="17"/>
        <v/>
      </c>
      <c r="V68" s="5"/>
      <c r="W68" s="24"/>
      <c r="X68" s="19" t="str">
        <f t="shared" si="18"/>
        <v/>
      </c>
      <c r="Y68" s="5"/>
      <c r="Z68" s="24"/>
      <c r="AA68" s="19" t="str">
        <f t="shared" si="19"/>
        <v/>
      </c>
      <c r="AB68" s="5"/>
      <c r="AC68" s="24"/>
      <c r="AD68" s="19" t="str">
        <f t="shared" si="20"/>
        <v/>
      </c>
      <c r="AE68" s="5"/>
      <c r="AF68" s="24"/>
      <c r="AG68" s="19" t="str">
        <f t="shared" si="21"/>
        <v/>
      </c>
      <c r="AH68" s="5"/>
      <c r="AI68" s="24"/>
      <c r="AJ68" s="19" t="str">
        <f t="shared" si="22"/>
        <v/>
      </c>
      <c r="AK68" s="5"/>
      <c r="AL68" s="24"/>
      <c r="AM68" s="20" t="str">
        <f t="shared" si="23"/>
        <v/>
      </c>
    </row>
    <row r="69" spans="2:39" x14ac:dyDescent="0.25">
      <c r="B69" s="11" t="s">
        <v>65</v>
      </c>
      <c r="C69" t="s">
        <v>68</v>
      </c>
      <c r="D69" s="5">
        <v>250000</v>
      </c>
      <c r="E69" s="24">
        <v>163584.01000000007</v>
      </c>
      <c r="F69" s="19">
        <f t="shared" ref="F69:F79" si="24">IFERROR(E69/D69,"")</f>
        <v>0.65433604000000023</v>
      </c>
      <c r="G69" s="5">
        <v>300000</v>
      </c>
      <c r="H69" s="24">
        <v>209506.47</v>
      </c>
      <c r="I69" s="19">
        <f t="shared" ref="I69:I79" si="25">IFERROR(H69/G69,"")</f>
        <v>0.6983549</v>
      </c>
      <c r="J69" s="5">
        <v>300000</v>
      </c>
      <c r="K69" s="24">
        <v>55473.320000000007</v>
      </c>
      <c r="L69" s="19">
        <f t="shared" ref="L69:L79" si="26">IFERROR(K69/J69,"")</f>
        <v>0.18491106666666668</v>
      </c>
      <c r="M69" s="5"/>
      <c r="N69" s="24"/>
      <c r="O69" s="19" t="str">
        <f t="shared" ref="O69:O79" si="27">IFERROR(N69/M69,"")</f>
        <v/>
      </c>
      <c r="P69" s="5"/>
      <c r="Q69" s="24"/>
      <c r="R69" s="19" t="str">
        <f t="shared" ref="R69:R79" si="28">IFERROR(Q69/P69,"")</f>
        <v/>
      </c>
      <c r="S69" s="5"/>
      <c r="T69" s="24"/>
      <c r="U69" s="19" t="str">
        <f t="shared" ref="U69:U79" si="29">IFERROR(T69/S69,"")</f>
        <v/>
      </c>
      <c r="V69" s="5"/>
      <c r="W69" s="24"/>
      <c r="X69" s="19" t="str">
        <f t="shared" ref="X69:X79" si="30">IFERROR(W69/V69,"")</f>
        <v/>
      </c>
      <c r="Y69" s="5"/>
      <c r="Z69" s="24"/>
      <c r="AA69" s="19" t="str">
        <f t="shared" ref="AA69:AA79" si="31">IFERROR(Z69/Y69,"")</f>
        <v/>
      </c>
      <c r="AB69" s="5"/>
      <c r="AC69" s="24"/>
      <c r="AD69" s="19" t="str">
        <f t="shared" ref="AD69:AD79" si="32">IFERROR(AC69/AB69,"")</f>
        <v/>
      </c>
      <c r="AE69" s="5"/>
      <c r="AF69" s="24"/>
      <c r="AG69" s="19" t="str">
        <f t="shared" ref="AG69:AG79" si="33">IFERROR(AF69/AE69,"")</f>
        <v/>
      </c>
      <c r="AH69" s="5"/>
      <c r="AI69" s="24"/>
      <c r="AJ69" s="19" t="str">
        <f t="shared" ref="AJ69:AJ79" si="34">IFERROR(AI69/AH69,"")</f>
        <v/>
      </c>
      <c r="AK69" s="5"/>
      <c r="AL69" s="24"/>
      <c r="AM69" s="20" t="str">
        <f t="shared" ref="AM69:AM79" si="35">IFERROR(AL69/AK69,"")</f>
        <v/>
      </c>
    </row>
    <row r="70" spans="2:39" x14ac:dyDescent="0.25">
      <c r="B70" s="11" t="s">
        <v>85</v>
      </c>
      <c r="C70" t="s">
        <v>84</v>
      </c>
      <c r="D70" s="5">
        <v>600000</v>
      </c>
      <c r="E70" s="24">
        <v>344712.34000000008</v>
      </c>
      <c r="F70" s="19">
        <f t="shared" si="24"/>
        <v>0.57452056666666684</v>
      </c>
      <c r="G70" s="5">
        <v>650000</v>
      </c>
      <c r="H70" s="24">
        <v>733057.68999999971</v>
      </c>
      <c r="I70" s="19">
        <f t="shared" si="25"/>
        <v>1.1277810615384611</v>
      </c>
      <c r="J70" s="5">
        <v>650000</v>
      </c>
      <c r="K70" s="24">
        <v>186005.09999999995</v>
      </c>
      <c r="L70" s="19">
        <f t="shared" si="26"/>
        <v>0.28616169230769223</v>
      </c>
      <c r="M70" s="5"/>
      <c r="N70" s="24"/>
      <c r="O70" s="19" t="str">
        <f t="shared" si="27"/>
        <v/>
      </c>
      <c r="P70" s="5"/>
      <c r="Q70" s="24"/>
      <c r="R70" s="19" t="str">
        <f t="shared" si="28"/>
        <v/>
      </c>
      <c r="S70" s="5"/>
      <c r="T70" s="24"/>
      <c r="U70" s="19" t="str">
        <f t="shared" si="29"/>
        <v/>
      </c>
      <c r="V70" s="5"/>
      <c r="W70" s="24"/>
      <c r="X70" s="19" t="str">
        <f t="shared" si="30"/>
        <v/>
      </c>
      <c r="Y70" s="5"/>
      <c r="Z70" s="24"/>
      <c r="AA70" s="19" t="str">
        <f t="shared" si="31"/>
        <v/>
      </c>
      <c r="AB70" s="5"/>
      <c r="AC70" s="24"/>
      <c r="AD70" s="19" t="str">
        <f t="shared" si="32"/>
        <v/>
      </c>
      <c r="AE70" s="5"/>
      <c r="AF70" s="24"/>
      <c r="AG70" s="19" t="str">
        <f t="shared" si="33"/>
        <v/>
      </c>
      <c r="AH70" s="5"/>
      <c r="AI70" s="24"/>
      <c r="AJ70" s="19" t="str">
        <f t="shared" si="34"/>
        <v/>
      </c>
      <c r="AK70" s="5"/>
      <c r="AL70" s="24"/>
      <c r="AM70" s="20" t="str">
        <f t="shared" si="35"/>
        <v/>
      </c>
    </row>
    <row r="71" spans="2:39" x14ac:dyDescent="0.25">
      <c r="B71" s="11" t="s">
        <v>65</v>
      </c>
      <c r="C71" t="s">
        <v>67</v>
      </c>
      <c r="D71" s="5">
        <v>250000</v>
      </c>
      <c r="E71" s="24">
        <v>183684.20999999993</v>
      </c>
      <c r="F71" s="19">
        <f t="shared" si="24"/>
        <v>0.73473683999999972</v>
      </c>
      <c r="G71" s="5">
        <v>300000</v>
      </c>
      <c r="H71" s="24">
        <v>478762.37000000005</v>
      </c>
      <c r="I71" s="19">
        <f t="shared" si="25"/>
        <v>1.5958745666666669</v>
      </c>
      <c r="J71" s="5">
        <v>300000</v>
      </c>
      <c r="K71" s="24">
        <v>78958.11</v>
      </c>
      <c r="L71" s="19">
        <f t="shared" si="26"/>
        <v>0.26319369999999997</v>
      </c>
      <c r="M71" s="5"/>
      <c r="N71" s="24"/>
      <c r="O71" s="19" t="str">
        <f t="shared" si="27"/>
        <v/>
      </c>
      <c r="P71" s="5"/>
      <c r="Q71" s="24"/>
      <c r="R71" s="19" t="str">
        <f t="shared" si="28"/>
        <v/>
      </c>
      <c r="S71" s="5"/>
      <c r="T71" s="24"/>
      <c r="U71" s="19" t="str">
        <f t="shared" si="29"/>
        <v/>
      </c>
      <c r="V71" s="5"/>
      <c r="W71" s="24"/>
      <c r="X71" s="19" t="str">
        <f t="shared" si="30"/>
        <v/>
      </c>
      <c r="Y71" s="5"/>
      <c r="Z71" s="24"/>
      <c r="AA71" s="19" t="str">
        <f t="shared" si="31"/>
        <v/>
      </c>
      <c r="AB71" s="5"/>
      <c r="AC71" s="24"/>
      <c r="AD71" s="19" t="str">
        <f t="shared" si="32"/>
        <v/>
      </c>
      <c r="AE71" s="5"/>
      <c r="AF71" s="24"/>
      <c r="AG71" s="19" t="str">
        <f t="shared" si="33"/>
        <v/>
      </c>
      <c r="AH71" s="5"/>
      <c r="AI71" s="24"/>
      <c r="AJ71" s="19" t="str">
        <f t="shared" si="34"/>
        <v/>
      </c>
      <c r="AK71" s="5"/>
      <c r="AL71" s="24"/>
      <c r="AM71" s="20" t="str">
        <f t="shared" si="35"/>
        <v/>
      </c>
    </row>
    <row r="72" spans="2:39" x14ac:dyDescent="0.25">
      <c r="B72" s="11" t="s">
        <v>56</v>
      </c>
      <c r="C72" t="s">
        <v>64</v>
      </c>
      <c r="D72" s="5">
        <v>125000</v>
      </c>
      <c r="E72" s="24">
        <v>90231.460000000021</v>
      </c>
      <c r="F72" s="19">
        <f t="shared" si="24"/>
        <v>0.72185168000000022</v>
      </c>
      <c r="G72" s="5">
        <v>200000</v>
      </c>
      <c r="H72" s="24">
        <v>112367.76</v>
      </c>
      <c r="I72" s="19">
        <f t="shared" si="25"/>
        <v>0.56183879999999997</v>
      </c>
      <c r="J72" s="5">
        <v>200000</v>
      </c>
      <c r="K72" s="24">
        <v>52459.11</v>
      </c>
      <c r="L72" s="19">
        <f t="shared" si="26"/>
        <v>0.26229554999999999</v>
      </c>
      <c r="M72" s="5"/>
      <c r="N72" s="24"/>
      <c r="O72" s="19" t="str">
        <f t="shared" si="27"/>
        <v/>
      </c>
      <c r="P72" s="5"/>
      <c r="Q72" s="24"/>
      <c r="R72" s="19" t="str">
        <f t="shared" si="28"/>
        <v/>
      </c>
      <c r="S72" s="5"/>
      <c r="T72" s="24"/>
      <c r="U72" s="19" t="str">
        <f t="shared" si="29"/>
        <v/>
      </c>
      <c r="V72" s="5"/>
      <c r="W72" s="24"/>
      <c r="X72" s="19" t="str">
        <f t="shared" si="30"/>
        <v/>
      </c>
      <c r="Y72" s="5"/>
      <c r="Z72" s="24"/>
      <c r="AA72" s="19" t="str">
        <f t="shared" si="31"/>
        <v/>
      </c>
      <c r="AB72" s="5"/>
      <c r="AC72" s="24"/>
      <c r="AD72" s="19" t="str">
        <f t="shared" si="32"/>
        <v/>
      </c>
      <c r="AE72" s="5"/>
      <c r="AF72" s="24"/>
      <c r="AG72" s="19" t="str">
        <f t="shared" si="33"/>
        <v/>
      </c>
      <c r="AH72" s="5"/>
      <c r="AI72" s="24"/>
      <c r="AJ72" s="19" t="str">
        <f t="shared" si="34"/>
        <v/>
      </c>
      <c r="AK72" s="5"/>
      <c r="AL72" s="24"/>
      <c r="AM72" s="20" t="str">
        <f t="shared" si="35"/>
        <v/>
      </c>
    </row>
    <row r="73" spans="2:39" x14ac:dyDescent="0.25">
      <c r="B73" s="11" t="s">
        <v>34</v>
      </c>
      <c r="C73" t="s">
        <v>41</v>
      </c>
      <c r="D73" s="5">
        <v>150000</v>
      </c>
      <c r="E73" s="24">
        <v>169499.74999899996</v>
      </c>
      <c r="F73" s="19">
        <f t="shared" si="24"/>
        <v>1.1299983333266663</v>
      </c>
      <c r="G73" s="5">
        <v>250000</v>
      </c>
      <c r="H73" s="24">
        <v>102408.18000000002</v>
      </c>
      <c r="I73" s="19">
        <f t="shared" si="25"/>
        <v>0.40963272000000006</v>
      </c>
      <c r="J73" s="5">
        <v>250000</v>
      </c>
      <c r="K73" s="24">
        <v>15317.14</v>
      </c>
      <c r="L73" s="19">
        <f t="shared" si="26"/>
        <v>6.126856E-2</v>
      </c>
      <c r="M73" s="5"/>
      <c r="N73" s="24"/>
      <c r="O73" s="19" t="str">
        <f t="shared" si="27"/>
        <v/>
      </c>
      <c r="P73" s="5"/>
      <c r="Q73" s="24"/>
      <c r="R73" s="19" t="str">
        <f t="shared" si="28"/>
        <v/>
      </c>
      <c r="S73" s="5"/>
      <c r="T73" s="24"/>
      <c r="U73" s="19" t="str">
        <f t="shared" si="29"/>
        <v/>
      </c>
      <c r="V73" s="5"/>
      <c r="W73" s="24"/>
      <c r="X73" s="19" t="str">
        <f t="shared" si="30"/>
        <v/>
      </c>
      <c r="Y73" s="5"/>
      <c r="Z73" s="24"/>
      <c r="AA73" s="19" t="str">
        <f t="shared" si="31"/>
        <v/>
      </c>
      <c r="AB73" s="5"/>
      <c r="AC73" s="24"/>
      <c r="AD73" s="19" t="str">
        <f t="shared" si="32"/>
        <v/>
      </c>
      <c r="AE73" s="5"/>
      <c r="AF73" s="24"/>
      <c r="AG73" s="19" t="str">
        <f t="shared" si="33"/>
        <v/>
      </c>
      <c r="AH73" s="5"/>
      <c r="AI73" s="24"/>
      <c r="AJ73" s="19" t="str">
        <f t="shared" si="34"/>
        <v/>
      </c>
      <c r="AK73" s="5"/>
      <c r="AL73" s="24"/>
      <c r="AM73" s="20" t="str">
        <f t="shared" si="35"/>
        <v/>
      </c>
    </row>
    <row r="74" spans="2:39" x14ac:dyDescent="0.25">
      <c r="B74" s="11" t="s">
        <v>65</v>
      </c>
      <c r="C74" t="s">
        <v>94</v>
      </c>
      <c r="D74" s="5">
        <v>80000</v>
      </c>
      <c r="E74" s="24">
        <v>39759.33</v>
      </c>
      <c r="F74" s="19">
        <f t="shared" si="24"/>
        <v>0.49699162500000005</v>
      </c>
      <c r="G74" s="5">
        <v>140000</v>
      </c>
      <c r="H74" s="24">
        <v>50044.969999999987</v>
      </c>
      <c r="I74" s="19">
        <f t="shared" si="25"/>
        <v>0.35746407142857134</v>
      </c>
      <c r="J74" s="5">
        <v>140000</v>
      </c>
      <c r="K74" s="24"/>
      <c r="L74" s="19">
        <f t="shared" si="26"/>
        <v>0</v>
      </c>
      <c r="M74" s="5"/>
      <c r="N74" s="24"/>
      <c r="O74" s="19" t="str">
        <f t="shared" si="27"/>
        <v/>
      </c>
      <c r="P74" s="5"/>
      <c r="Q74" s="24"/>
      <c r="R74" s="19" t="str">
        <f t="shared" si="28"/>
        <v/>
      </c>
      <c r="S74" s="5"/>
      <c r="T74" s="24"/>
      <c r="U74" s="19" t="str">
        <f t="shared" si="29"/>
        <v/>
      </c>
      <c r="V74" s="5"/>
      <c r="W74" s="24"/>
      <c r="X74" s="19" t="str">
        <f t="shared" si="30"/>
        <v/>
      </c>
      <c r="Y74" s="5"/>
      <c r="Z74" s="24"/>
      <c r="AA74" s="19" t="str">
        <f t="shared" si="31"/>
        <v/>
      </c>
      <c r="AB74" s="5"/>
      <c r="AC74" s="24"/>
      <c r="AD74" s="19" t="str">
        <f t="shared" si="32"/>
        <v/>
      </c>
      <c r="AE74" s="5"/>
      <c r="AF74" s="24"/>
      <c r="AG74" s="19" t="str">
        <f t="shared" si="33"/>
        <v/>
      </c>
      <c r="AH74" s="5"/>
      <c r="AI74" s="24"/>
      <c r="AJ74" s="19" t="str">
        <f t="shared" si="34"/>
        <v/>
      </c>
      <c r="AK74" s="5"/>
      <c r="AL74" s="24"/>
      <c r="AM74" s="20" t="str">
        <f t="shared" si="35"/>
        <v/>
      </c>
    </row>
    <row r="75" spans="2:39" x14ac:dyDescent="0.25">
      <c r="B75" s="11" t="s">
        <v>42</v>
      </c>
      <c r="C75" t="s">
        <v>50</v>
      </c>
      <c r="D75" s="5">
        <v>200000</v>
      </c>
      <c r="E75" s="24">
        <v>147102.34000000003</v>
      </c>
      <c r="F75" s="19">
        <f t="shared" si="24"/>
        <v>0.7355117000000001</v>
      </c>
      <c r="G75" s="5">
        <v>200000</v>
      </c>
      <c r="H75" s="24">
        <v>269123.66999999993</v>
      </c>
      <c r="I75" s="19">
        <f t="shared" si="25"/>
        <v>1.3456183499999996</v>
      </c>
      <c r="J75" s="5">
        <v>200000</v>
      </c>
      <c r="K75" s="24">
        <v>69365.84</v>
      </c>
      <c r="L75" s="19">
        <f t="shared" si="26"/>
        <v>0.3468292</v>
      </c>
      <c r="M75" s="5"/>
      <c r="N75" s="24"/>
      <c r="O75" s="19" t="str">
        <f t="shared" si="27"/>
        <v/>
      </c>
      <c r="P75" s="5"/>
      <c r="Q75" s="24"/>
      <c r="R75" s="19" t="str">
        <f t="shared" si="28"/>
        <v/>
      </c>
      <c r="S75" s="5"/>
      <c r="T75" s="24"/>
      <c r="U75" s="19" t="str">
        <f t="shared" si="29"/>
        <v/>
      </c>
      <c r="V75" s="5"/>
      <c r="W75" s="24"/>
      <c r="X75" s="19" t="str">
        <f t="shared" si="30"/>
        <v/>
      </c>
      <c r="Y75" s="5"/>
      <c r="Z75" s="24"/>
      <c r="AA75" s="19" t="str">
        <f t="shared" si="31"/>
        <v/>
      </c>
      <c r="AB75" s="5"/>
      <c r="AC75" s="24"/>
      <c r="AD75" s="19" t="str">
        <f t="shared" si="32"/>
        <v/>
      </c>
      <c r="AE75" s="5"/>
      <c r="AF75" s="24"/>
      <c r="AG75" s="19" t="str">
        <f t="shared" si="33"/>
        <v/>
      </c>
      <c r="AH75" s="5"/>
      <c r="AI75" s="24"/>
      <c r="AJ75" s="19" t="str">
        <f t="shared" si="34"/>
        <v/>
      </c>
      <c r="AK75" s="5"/>
      <c r="AL75" s="24"/>
      <c r="AM75" s="20" t="str">
        <f t="shared" si="35"/>
        <v/>
      </c>
    </row>
    <row r="76" spans="2:39" x14ac:dyDescent="0.25">
      <c r="B76" s="11" t="s">
        <v>12</v>
      </c>
      <c r="C76" t="s">
        <v>14</v>
      </c>
      <c r="D76" s="5">
        <v>350000</v>
      </c>
      <c r="E76" s="24">
        <v>317161.93000000017</v>
      </c>
      <c r="F76" s="19">
        <f t="shared" si="24"/>
        <v>0.90617694285714334</v>
      </c>
      <c r="G76" s="5">
        <v>600000</v>
      </c>
      <c r="H76" s="24">
        <v>489556.49000000022</v>
      </c>
      <c r="I76" s="19">
        <f t="shared" si="25"/>
        <v>0.81592748333333376</v>
      </c>
      <c r="J76" s="5">
        <v>600000</v>
      </c>
      <c r="K76" s="24">
        <v>299406.24000000011</v>
      </c>
      <c r="L76" s="19">
        <f t="shared" si="26"/>
        <v>0.49901040000000019</v>
      </c>
      <c r="M76" s="5"/>
      <c r="N76" s="24"/>
      <c r="O76" s="19" t="str">
        <f t="shared" si="27"/>
        <v/>
      </c>
      <c r="P76" s="5"/>
      <c r="Q76" s="24"/>
      <c r="R76" s="19" t="str">
        <f t="shared" si="28"/>
        <v/>
      </c>
      <c r="S76" s="5"/>
      <c r="T76" s="24"/>
      <c r="U76" s="19" t="str">
        <f t="shared" si="29"/>
        <v/>
      </c>
      <c r="V76" s="5"/>
      <c r="W76" s="24"/>
      <c r="X76" s="19" t="str">
        <f t="shared" si="30"/>
        <v/>
      </c>
      <c r="Y76" s="5"/>
      <c r="Z76" s="24"/>
      <c r="AA76" s="19" t="str">
        <f t="shared" si="31"/>
        <v/>
      </c>
      <c r="AB76" s="5"/>
      <c r="AC76" s="24"/>
      <c r="AD76" s="19" t="str">
        <f t="shared" si="32"/>
        <v/>
      </c>
      <c r="AE76" s="5"/>
      <c r="AF76" s="24"/>
      <c r="AG76" s="19" t="str">
        <f t="shared" si="33"/>
        <v/>
      </c>
      <c r="AH76" s="5"/>
      <c r="AI76" s="24"/>
      <c r="AJ76" s="19" t="str">
        <f t="shared" si="34"/>
        <v/>
      </c>
      <c r="AK76" s="5"/>
      <c r="AL76" s="24"/>
      <c r="AM76" s="20" t="str">
        <f t="shared" si="35"/>
        <v/>
      </c>
    </row>
    <row r="77" spans="2:39" x14ac:dyDescent="0.25">
      <c r="B77" s="11" t="s">
        <v>34</v>
      </c>
      <c r="C77" t="s">
        <v>35</v>
      </c>
      <c r="D77" s="5">
        <v>400000</v>
      </c>
      <c r="E77" s="24">
        <v>297605.51</v>
      </c>
      <c r="F77" s="19">
        <f t="shared" si="24"/>
        <v>0.74401377499999999</v>
      </c>
      <c r="G77" s="5">
        <v>650000</v>
      </c>
      <c r="H77" s="24">
        <v>523697.01999999973</v>
      </c>
      <c r="I77" s="19">
        <f t="shared" si="25"/>
        <v>0.80568772307692271</v>
      </c>
      <c r="J77" s="5">
        <v>650000</v>
      </c>
      <c r="K77" s="24">
        <v>82585.090000000026</v>
      </c>
      <c r="L77" s="19">
        <f t="shared" si="26"/>
        <v>0.12705398461538467</v>
      </c>
      <c r="M77" s="5"/>
      <c r="N77" s="24"/>
      <c r="O77" s="19" t="str">
        <f t="shared" si="27"/>
        <v/>
      </c>
      <c r="P77" s="5"/>
      <c r="Q77" s="24"/>
      <c r="R77" s="19" t="str">
        <f t="shared" si="28"/>
        <v/>
      </c>
      <c r="S77" s="5"/>
      <c r="T77" s="24"/>
      <c r="U77" s="19" t="str">
        <f t="shared" si="29"/>
        <v/>
      </c>
      <c r="V77" s="5"/>
      <c r="W77" s="24"/>
      <c r="X77" s="19" t="str">
        <f t="shared" si="30"/>
        <v/>
      </c>
      <c r="Y77" s="5"/>
      <c r="Z77" s="24"/>
      <c r="AA77" s="19" t="str">
        <f t="shared" si="31"/>
        <v/>
      </c>
      <c r="AB77" s="5"/>
      <c r="AC77" s="24"/>
      <c r="AD77" s="19" t="str">
        <f t="shared" si="32"/>
        <v/>
      </c>
      <c r="AE77" s="5"/>
      <c r="AF77" s="24"/>
      <c r="AG77" s="19" t="str">
        <f t="shared" si="33"/>
        <v/>
      </c>
      <c r="AH77" s="5"/>
      <c r="AI77" s="24"/>
      <c r="AJ77" s="19" t="str">
        <f t="shared" si="34"/>
        <v/>
      </c>
      <c r="AK77" s="5"/>
      <c r="AL77" s="24"/>
      <c r="AM77" s="20" t="str">
        <f t="shared" si="35"/>
        <v/>
      </c>
    </row>
    <row r="78" spans="2:39" x14ac:dyDescent="0.25">
      <c r="B78" s="11" t="s">
        <v>12</v>
      </c>
      <c r="C78" t="s">
        <v>106</v>
      </c>
      <c r="D78" s="5"/>
      <c r="E78" s="24"/>
      <c r="F78" s="19" t="str">
        <f t="shared" si="24"/>
        <v/>
      </c>
      <c r="G78" s="5"/>
      <c r="H78" s="24">
        <v>6241.5800000000008</v>
      </c>
      <c r="I78" s="19" t="str">
        <f t="shared" si="25"/>
        <v/>
      </c>
      <c r="J78" s="5"/>
      <c r="K78" s="24">
        <v>7009.67</v>
      </c>
      <c r="L78" s="19" t="str">
        <f t="shared" si="26"/>
        <v/>
      </c>
      <c r="M78" s="5"/>
      <c r="N78" s="24"/>
      <c r="O78" s="19" t="str">
        <f t="shared" si="27"/>
        <v/>
      </c>
      <c r="P78" s="5"/>
      <c r="Q78" s="24"/>
      <c r="R78" s="19" t="str">
        <f t="shared" si="28"/>
        <v/>
      </c>
      <c r="S78" s="5"/>
      <c r="T78" s="24"/>
      <c r="U78" s="19" t="str">
        <f t="shared" si="29"/>
        <v/>
      </c>
      <c r="V78" s="5"/>
      <c r="W78" s="24"/>
      <c r="X78" s="19" t="str">
        <f t="shared" si="30"/>
        <v/>
      </c>
      <c r="Y78" s="5"/>
      <c r="Z78" s="24"/>
      <c r="AA78" s="19" t="str">
        <f t="shared" si="31"/>
        <v/>
      </c>
      <c r="AB78" s="5"/>
      <c r="AC78" s="24"/>
      <c r="AD78" s="19" t="str">
        <f t="shared" si="32"/>
        <v/>
      </c>
      <c r="AE78" s="5"/>
      <c r="AF78" s="24"/>
      <c r="AG78" s="19" t="str">
        <f t="shared" si="33"/>
        <v/>
      </c>
      <c r="AH78" s="5"/>
      <c r="AI78" s="24"/>
      <c r="AJ78" s="19" t="str">
        <f t="shared" si="34"/>
        <v/>
      </c>
      <c r="AK78" s="5"/>
      <c r="AL78" s="24"/>
      <c r="AM78" s="20" t="str">
        <f t="shared" si="35"/>
        <v/>
      </c>
    </row>
    <row r="79" spans="2:39" ht="15.75" thickBot="1" x14ac:dyDescent="0.3">
      <c r="B79" s="15" t="s">
        <v>28</v>
      </c>
      <c r="C79" s="16" t="s">
        <v>32</v>
      </c>
      <c r="D79" s="6">
        <v>400000</v>
      </c>
      <c r="E79" s="25">
        <v>284092.32999799994</v>
      </c>
      <c r="F79" s="21">
        <f t="shared" si="24"/>
        <v>0.7102308249949999</v>
      </c>
      <c r="G79" s="6">
        <v>600000</v>
      </c>
      <c r="H79" s="25">
        <v>360152.43999799981</v>
      </c>
      <c r="I79" s="21">
        <f t="shared" si="25"/>
        <v>0.60025406666333303</v>
      </c>
      <c r="J79" s="6">
        <v>600000</v>
      </c>
      <c r="K79" s="25">
        <v>87992.420000000013</v>
      </c>
      <c r="L79" s="21">
        <f t="shared" si="26"/>
        <v>0.14665403333333335</v>
      </c>
      <c r="M79" s="6"/>
      <c r="N79" s="25"/>
      <c r="O79" s="21" t="str">
        <f t="shared" si="27"/>
        <v/>
      </c>
      <c r="P79" s="6"/>
      <c r="Q79" s="25"/>
      <c r="R79" s="21" t="str">
        <f t="shared" si="28"/>
        <v/>
      </c>
      <c r="S79" s="6"/>
      <c r="T79" s="25"/>
      <c r="U79" s="21" t="str">
        <f t="shared" si="29"/>
        <v/>
      </c>
      <c r="V79" s="6"/>
      <c r="W79" s="25"/>
      <c r="X79" s="21" t="str">
        <f t="shared" si="30"/>
        <v/>
      </c>
      <c r="Y79" s="6"/>
      <c r="Z79" s="25"/>
      <c r="AA79" s="21" t="str">
        <f t="shared" si="31"/>
        <v/>
      </c>
      <c r="AB79" s="6"/>
      <c r="AC79" s="25"/>
      <c r="AD79" s="21" t="str">
        <f t="shared" si="32"/>
        <v/>
      </c>
      <c r="AE79" s="6"/>
      <c r="AF79" s="25"/>
      <c r="AG79" s="21" t="str">
        <f t="shared" si="33"/>
        <v/>
      </c>
      <c r="AH79" s="6"/>
      <c r="AI79" s="25"/>
      <c r="AJ79" s="21" t="str">
        <f t="shared" si="34"/>
        <v/>
      </c>
      <c r="AK79" s="6"/>
      <c r="AL79" s="25"/>
      <c r="AM79" s="22" t="str">
        <f t="shared" si="35"/>
        <v/>
      </c>
    </row>
  </sheetData>
  <autoFilter ref="B4:L79" xr:uid="{2EBB3D9F-B6CF-495A-9EBF-556D700CC56D}"/>
  <conditionalFormatting sqref="F5">
    <cfRule type="expression" priority="897" stopIfTrue="1">
      <formula>LEN(TRIM(D5))=0</formula>
    </cfRule>
    <cfRule type="cellIs" dxfId="674" priority="898" operator="greaterThan">
      <formula>1</formula>
    </cfRule>
    <cfRule type="cellIs" dxfId="673" priority="899" operator="between">
      <formula>0.9</formula>
      <formula>1</formula>
    </cfRule>
    <cfRule type="cellIs" dxfId="672" priority="900" operator="lessThan">
      <formula>0.9</formula>
    </cfRule>
  </conditionalFormatting>
  <conditionalFormatting sqref="I5">
    <cfRule type="expression" priority="893" stopIfTrue="1">
      <formula>LEN(TRIM(G5))=0</formula>
    </cfRule>
    <cfRule type="cellIs" dxfId="671" priority="894" operator="greaterThan">
      <formula>1</formula>
    </cfRule>
    <cfRule type="cellIs" dxfId="670" priority="895" operator="between">
      <formula>0.9</formula>
      <formula>1</formula>
    </cfRule>
    <cfRule type="cellIs" dxfId="669" priority="896" operator="lessThan">
      <formula>0.9</formula>
    </cfRule>
  </conditionalFormatting>
  <conditionalFormatting sqref="L5">
    <cfRule type="expression" priority="889" stopIfTrue="1">
      <formula>LEN(TRIM(J5))=0</formula>
    </cfRule>
    <cfRule type="cellIs" dxfId="668" priority="890" operator="greaterThan">
      <formula>1</formula>
    </cfRule>
    <cfRule type="cellIs" dxfId="667" priority="891" operator="between">
      <formula>0.9</formula>
      <formula>1</formula>
    </cfRule>
    <cfRule type="cellIs" dxfId="666" priority="892" operator="lessThan">
      <formula>0.9</formula>
    </cfRule>
  </conditionalFormatting>
  <conditionalFormatting sqref="F6">
    <cfRule type="expression" priority="885" stopIfTrue="1">
      <formula>LEN(TRIM(D6))=0</formula>
    </cfRule>
    <cfRule type="cellIs" dxfId="665" priority="886" operator="greaterThan">
      <formula>1</formula>
    </cfRule>
    <cfRule type="cellIs" dxfId="664" priority="887" operator="between">
      <formula>0.9</formula>
      <formula>1</formula>
    </cfRule>
    <cfRule type="cellIs" dxfId="663" priority="888" operator="lessThan">
      <formula>0.9</formula>
    </cfRule>
  </conditionalFormatting>
  <conditionalFormatting sqref="I6">
    <cfRule type="expression" priority="881" stopIfTrue="1">
      <formula>LEN(TRIM(G6))=0</formula>
    </cfRule>
    <cfRule type="cellIs" dxfId="662" priority="882" operator="greaterThan">
      <formula>1</formula>
    </cfRule>
    <cfRule type="cellIs" dxfId="661" priority="883" operator="between">
      <formula>0.9</formula>
      <formula>1</formula>
    </cfRule>
    <cfRule type="cellIs" dxfId="660" priority="884" operator="lessThan">
      <formula>0.9</formula>
    </cfRule>
  </conditionalFormatting>
  <conditionalFormatting sqref="L6">
    <cfRule type="expression" priority="877" stopIfTrue="1">
      <formula>LEN(TRIM(J6))=0</formula>
    </cfRule>
    <cfRule type="cellIs" dxfId="659" priority="878" operator="greaterThan">
      <formula>1</formula>
    </cfRule>
    <cfRule type="cellIs" dxfId="658" priority="879" operator="between">
      <formula>0.9</formula>
      <formula>1</formula>
    </cfRule>
    <cfRule type="cellIs" dxfId="657" priority="880" operator="lessThan">
      <formula>0.9</formula>
    </cfRule>
  </conditionalFormatting>
  <conditionalFormatting sqref="F7">
    <cfRule type="expression" priority="873" stopIfTrue="1">
      <formula>LEN(TRIM(D7))=0</formula>
    </cfRule>
    <cfRule type="cellIs" dxfId="656" priority="874" operator="greaterThan">
      <formula>1</formula>
    </cfRule>
    <cfRule type="cellIs" dxfId="655" priority="875" operator="between">
      <formula>0.9</formula>
      <formula>1</formula>
    </cfRule>
    <cfRule type="cellIs" dxfId="654" priority="876" operator="lessThan">
      <formula>0.9</formula>
    </cfRule>
  </conditionalFormatting>
  <conditionalFormatting sqref="I7">
    <cfRule type="expression" priority="869" stopIfTrue="1">
      <formula>LEN(TRIM(G7))=0</formula>
    </cfRule>
    <cfRule type="cellIs" dxfId="653" priority="870" operator="greaterThan">
      <formula>1</formula>
    </cfRule>
    <cfRule type="cellIs" dxfId="652" priority="871" operator="between">
      <formula>0.9</formula>
      <formula>1</formula>
    </cfRule>
    <cfRule type="cellIs" dxfId="651" priority="872" operator="lessThan">
      <formula>0.9</formula>
    </cfRule>
  </conditionalFormatting>
  <conditionalFormatting sqref="L7">
    <cfRule type="expression" priority="865" stopIfTrue="1">
      <formula>LEN(TRIM(J7))=0</formula>
    </cfRule>
    <cfRule type="cellIs" dxfId="650" priority="866" operator="greaterThan">
      <formula>1</formula>
    </cfRule>
    <cfRule type="cellIs" dxfId="649" priority="867" operator="between">
      <formula>0.9</formula>
      <formula>1</formula>
    </cfRule>
    <cfRule type="cellIs" dxfId="648" priority="868" operator="lessThan">
      <formula>0.9</formula>
    </cfRule>
  </conditionalFormatting>
  <conditionalFormatting sqref="F8">
    <cfRule type="expression" priority="861" stopIfTrue="1">
      <formula>LEN(TRIM(D8))=0</formula>
    </cfRule>
    <cfRule type="cellIs" dxfId="647" priority="862" operator="greaterThan">
      <formula>1</formula>
    </cfRule>
    <cfRule type="cellIs" dxfId="646" priority="863" operator="between">
      <formula>0.9</formula>
      <formula>1</formula>
    </cfRule>
    <cfRule type="cellIs" dxfId="645" priority="864" operator="lessThan">
      <formula>0.9</formula>
    </cfRule>
  </conditionalFormatting>
  <conditionalFormatting sqref="I8">
    <cfRule type="expression" priority="857" stopIfTrue="1">
      <formula>LEN(TRIM(G8))=0</formula>
    </cfRule>
    <cfRule type="cellIs" dxfId="644" priority="858" operator="greaterThan">
      <formula>1</formula>
    </cfRule>
    <cfRule type="cellIs" dxfId="643" priority="859" operator="between">
      <formula>0.9</formula>
      <formula>1</formula>
    </cfRule>
    <cfRule type="cellIs" dxfId="642" priority="860" operator="lessThan">
      <formula>0.9</formula>
    </cfRule>
  </conditionalFormatting>
  <conditionalFormatting sqref="L8">
    <cfRule type="expression" priority="853" stopIfTrue="1">
      <formula>LEN(TRIM(J8))=0</formula>
    </cfRule>
    <cfRule type="cellIs" dxfId="641" priority="854" operator="greaterThan">
      <formula>1</formula>
    </cfRule>
    <cfRule type="cellIs" dxfId="640" priority="855" operator="between">
      <formula>0.9</formula>
      <formula>1</formula>
    </cfRule>
    <cfRule type="cellIs" dxfId="639" priority="856" operator="lessThan">
      <formula>0.9</formula>
    </cfRule>
  </conditionalFormatting>
  <conditionalFormatting sqref="F9">
    <cfRule type="expression" priority="849" stopIfTrue="1">
      <formula>LEN(TRIM(D9))=0</formula>
    </cfRule>
    <cfRule type="cellIs" dxfId="638" priority="850" operator="greaterThan">
      <formula>1</formula>
    </cfRule>
    <cfRule type="cellIs" dxfId="637" priority="851" operator="between">
      <formula>0.9</formula>
      <formula>1</formula>
    </cfRule>
    <cfRule type="cellIs" dxfId="636" priority="852" operator="lessThan">
      <formula>0.9</formula>
    </cfRule>
  </conditionalFormatting>
  <conditionalFormatting sqref="I9">
    <cfRule type="expression" priority="845" stopIfTrue="1">
      <formula>LEN(TRIM(G9))=0</formula>
    </cfRule>
    <cfRule type="cellIs" dxfId="635" priority="846" operator="greaterThan">
      <formula>1</formula>
    </cfRule>
    <cfRule type="cellIs" dxfId="634" priority="847" operator="between">
      <formula>0.9</formula>
      <formula>1</formula>
    </cfRule>
    <cfRule type="cellIs" dxfId="633" priority="848" operator="lessThan">
      <formula>0.9</formula>
    </cfRule>
  </conditionalFormatting>
  <conditionalFormatting sqref="L9">
    <cfRule type="expression" priority="841" stopIfTrue="1">
      <formula>LEN(TRIM(J9))=0</formula>
    </cfRule>
    <cfRule type="cellIs" dxfId="632" priority="842" operator="greaterThan">
      <formula>1</formula>
    </cfRule>
    <cfRule type="cellIs" dxfId="631" priority="843" operator="between">
      <formula>0.9</formula>
      <formula>1</formula>
    </cfRule>
    <cfRule type="cellIs" dxfId="630" priority="844" operator="lessThan">
      <formula>0.9</formula>
    </cfRule>
  </conditionalFormatting>
  <conditionalFormatting sqref="F10">
    <cfRule type="expression" priority="837" stopIfTrue="1">
      <formula>LEN(TRIM(D10))=0</formula>
    </cfRule>
    <cfRule type="cellIs" dxfId="629" priority="838" operator="greaterThan">
      <formula>1</formula>
    </cfRule>
    <cfRule type="cellIs" dxfId="628" priority="839" operator="between">
      <formula>0.9</formula>
      <formula>1</formula>
    </cfRule>
    <cfRule type="cellIs" dxfId="627" priority="840" operator="lessThan">
      <formula>0.9</formula>
    </cfRule>
  </conditionalFormatting>
  <conditionalFormatting sqref="I10">
    <cfRule type="expression" priority="833" stopIfTrue="1">
      <formula>LEN(TRIM(G10))=0</formula>
    </cfRule>
    <cfRule type="cellIs" dxfId="626" priority="834" operator="greaterThan">
      <formula>1</formula>
    </cfRule>
    <cfRule type="cellIs" dxfId="625" priority="835" operator="between">
      <formula>0.9</formula>
      <formula>1</formula>
    </cfRule>
    <cfRule type="cellIs" dxfId="624" priority="836" operator="lessThan">
      <formula>0.9</formula>
    </cfRule>
  </conditionalFormatting>
  <conditionalFormatting sqref="L10">
    <cfRule type="expression" priority="829" stopIfTrue="1">
      <formula>LEN(TRIM(J10))=0</formula>
    </cfRule>
    <cfRule type="cellIs" dxfId="623" priority="830" operator="greaterThan">
      <formula>1</formula>
    </cfRule>
    <cfRule type="cellIs" dxfId="622" priority="831" operator="between">
      <formula>0.9</formula>
      <formula>1</formula>
    </cfRule>
    <cfRule type="cellIs" dxfId="621" priority="832" operator="lessThan">
      <formula>0.9</formula>
    </cfRule>
  </conditionalFormatting>
  <conditionalFormatting sqref="F11">
    <cfRule type="expression" priority="825" stopIfTrue="1">
      <formula>LEN(TRIM(D11))=0</formula>
    </cfRule>
    <cfRule type="cellIs" dxfId="620" priority="826" operator="greaterThan">
      <formula>1</formula>
    </cfRule>
    <cfRule type="cellIs" dxfId="619" priority="827" operator="between">
      <formula>0.9</formula>
      <formula>1</formula>
    </cfRule>
    <cfRule type="cellIs" dxfId="618" priority="828" operator="lessThan">
      <formula>0.9</formula>
    </cfRule>
  </conditionalFormatting>
  <conditionalFormatting sqref="I11">
    <cfRule type="expression" priority="821" stopIfTrue="1">
      <formula>LEN(TRIM(G11))=0</formula>
    </cfRule>
    <cfRule type="cellIs" dxfId="617" priority="822" operator="greaterThan">
      <formula>1</formula>
    </cfRule>
    <cfRule type="cellIs" dxfId="616" priority="823" operator="between">
      <formula>0.9</formula>
      <formula>1</formula>
    </cfRule>
    <cfRule type="cellIs" dxfId="615" priority="824" operator="lessThan">
      <formula>0.9</formula>
    </cfRule>
  </conditionalFormatting>
  <conditionalFormatting sqref="L11">
    <cfRule type="cellIs" dxfId="614" priority="820" operator="lessThan">
      <formula>0.9</formula>
    </cfRule>
  </conditionalFormatting>
  <conditionalFormatting sqref="L11">
    <cfRule type="cellIs" dxfId="613" priority="819" operator="between">
      <formula>0.9</formula>
      <formula>1</formula>
    </cfRule>
  </conditionalFormatting>
  <conditionalFormatting sqref="L11">
    <cfRule type="cellIs" dxfId="612" priority="818" operator="greaterThan">
      <formula>1</formula>
    </cfRule>
  </conditionalFormatting>
  <conditionalFormatting sqref="L11">
    <cfRule type="expression" priority="817" stopIfTrue="1">
      <formula>LEN(TRIM(J11))=0</formula>
    </cfRule>
  </conditionalFormatting>
  <conditionalFormatting sqref="F12">
    <cfRule type="cellIs" dxfId="611" priority="816" operator="lessThan">
      <formula>0.9</formula>
    </cfRule>
  </conditionalFormatting>
  <conditionalFormatting sqref="F12">
    <cfRule type="cellIs" dxfId="610" priority="815" operator="between">
      <formula>0.9</formula>
      <formula>1</formula>
    </cfRule>
  </conditionalFormatting>
  <conditionalFormatting sqref="F12">
    <cfRule type="cellIs" dxfId="609" priority="814" operator="greaterThan">
      <formula>1</formula>
    </cfRule>
  </conditionalFormatting>
  <conditionalFormatting sqref="F12">
    <cfRule type="expression" priority="813" stopIfTrue="1">
      <formula>LEN(TRIM(D12))=0</formula>
    </cfRule>
  </conditionalFormatting>
  <conditionalFormatting sqref="I12">
    <cfRule type="cellIs" dxfId="608" priority="812" operator="lessThan">
      <formula>0.9</formula>
    </cfRule>
  </conditionalFormatting>
  <conditionalFormatting sqref="I12">
    <cfRule type="cellIs" dxfId="607" priority="811" operator="between">
      <formula>0.9</formula>
      <formula>1</formula>
    </cfRule>
  </conditionalFormatting>
  <conditionalFormatting sqref="I12">
    <cfRule type="cellIs" dxfId="606" priority="810" operator="greaterThan">
      <formula>1</formula>
    </cfRule>
  </conditionalFormatting>
  <conditionalFormatting sqref="I12">
    <cfRule type="expression" priority="809" stopIfTrue="1">
      <formula>LEN(TRIM(G12))=0</formula>
    </cfRule>
  </conditionalFormatting>
  <conditionalFormatting sqref="L12">
    <cfRule type="cellIs" dxfId="605" priority="808" operator="lessThan">
      <formula>0.9</formula>
    </cfRule>
  </conditionalFormatting>
  <conditionalFormatting sqref="L12">
    <cfRule type="cellIs" dxfId="604" priority="807" operator="between">
      <formula>0.9</formula>
      <formula>1</formula>
    </cfRule>
  </conditionalFormatting>
  <conditionalFormatting sqref="L12">
    <cfRule type="cellIs" dxfId="603" priority="806" operator="greaterThan">
      <formula>1</formula>
    </cfRule>
  </conditionalFormatting>
  <conditionalFormatting sqref="L12">
    <cfRule type="expression" priority="805" stopIfTrue="1">
      <formula>LEN(TRIM(J12))=0</formula>
    </cfRule>
  </conditionalFormatting>
  <conditionalFormatting sqref="F13">
    <cfRule type="cellIs" dxfId="602" priority="804" operator="lessThan">
      <formula>0.9</formula>
    </cfRule>
  </conditionalFormatting>
  <conditionalFormatting sqref="F13">
    <cfRule type="cellIs" dxfId="601" priority="803" operator="between">
      <formula>0.9</formula>
      <formula>1</formula>
    </cfRule>
  </conditionalFormatting>
  <conditionalFormatting sqref="F13">
    <cfRule type="cellIs" dxfId="600" priority="802" operator="greaterThan">
      <formula>1</formula>
    </cfRule>
  </conditionalFormatting>
  <conditionalFormatting sqref="F13">
    <cfRule type="expression" priority="801" stopIfTrue="1">
      <formula>LEN(TRIM(D13))=0</formula>
    </cfRule>
  </conditionalFormatting>
  <conditionalFormatting sqref="I13">
    <cfRule type="cellIs" dxfId="599" priority="800" operator="lessThan">
      <formula>0.9</formula>
    </cfRule>
  </conditionalFormatting>
  <conditionalFormatting sqref="I13">
    <cfRule type="cellIs" dxfId="598" priority="799" operator="between">
      <formula>0.9</formula>
      <formula>1</formula>
    </cfRule>
  </conditionalFormatting>
  <conditionalFormatting sqref="I13">
    <cfRule type="cellIs" dxfId="597" priority="798" operator="greaterThan">
      <formula>1</formula>
    </cfRule>
  </conditionalFormatting>
  <conditionalFormatting sqref="I13">
    <cfRule type="expression" priority="797" stopIfTrue="1">
      <formula>LEN(TRIM(G13))=0</formula>
    </cfRule>
  </conditionalFormatting>
  <conditionalFormatting sqref="L13">
    <cfRule type="cellIs" dxfId="596" priority="796" operator="lessThan">
      <formula>0.9</formula>
    </cfRule>
  </conditionalFormatting>
  <conditionalFormatting sqref="L13">
    <cfRule type="cellIs" dxfId="595" priority="795" operator="between">
      <formula>0.9</formula>
      <formula>1</formula>
    </cfRule>
  </conditionalFormatting>
  <conditionalFormatting sqref="L13">
    <cfRule type="cellIs" dxfId="594" priority="794" operator="greaterThan">
      <formula>1</formula>
    </cfRule>
  </conditionalFormatting>
  <conditionalFormatting sqref="L13">
    <cfRule type="expression" priority="793" stopIfTrue="1">
      <formula>LEN(TRIM(J13))=0</formula>
    </cfRule>
  </conditionalFormatting>
  <conditionalFormatting sqref="F14">
    <cfRule type="cellIs" dxfId="593" priority="792" operator="lessThan">
      <formula>0.9</formula>
    </cfRule>
  </conditionalFormatting>
  <conditionalFormatting sqref="F14">
    <cfRule type="cellIs" dxfId="592" priority="791" operator="between">
      <formula>0.9</formula>
      <formula>1</formula>
    </cfRule>
  </conditionalFormatting>
  <conditionalFormatting sqref="F14">
    <cfRule type="cellIs" dxfId="591" priority="790" operator="greaterThan">
      <formula>1</formula>
    </cfRule>
  </conditionalFormatting>
  <conditionalFormatting sqref="F14">
    <cfRule type="expression" priority="789" stopIfTrue="1">
      <formula>LEN(TRIM(D14))=0</formula>
    </cfRule>
  </conditionalFormatting>
  <conditionalFormatting sqref="I14">
    <cfRule type="cellIs" dxfId="590" priority="788" operator="lessThan">
      <formula>0.9</formula>
    </cfRule>
  </conditionalFormatting>
  <conditionalFormatting sqref="I14">
    <cfRule type="cellIs" dxfId="589" priority="787" operator="between">
      <formula>0.9</formula>
      <formula>1</formula>
    </cfRule>
  </conditionalFormatting>
  <conditionalFormatting sqref="I14">
    <cfRule type="cellIs" dxfId="588" priority="786" operator="greaterThan">
      <formula>1</formula>
    </cfRule>
  </conditionalFormatting>
  <conditionalFormatting sqref="I14">
    <cfRule type="expression" priority="785" stopIfTrue="1">
      <formula>LEN(TRIM(G14))=0</formula>
    </cfRule>
  </conditionalFormatting>
  <conditionalFormatting sqref="L14">
    <cfRule type="cellIs" dxfId="587" priority="784" operator="lessThan">
      <formula>0.9</formula>
    </cfRule>
  </conditionalFormatting>
  <conditionalFormatting sqref="L14">
    <cfRule type="cellIs" dxfId="586" priority="783" operator="between">
      <formula>0.9</formula>
      <formula>1</formula>
    </cfRule>
  </conditionalFormatting>
  <conditionalFormatting sqref="L14">
    <cfRule type="cellIs" dxfId="585" priority="782" operator="greaterThan">
      <formula>1</formula>
    </cfRule>
  </conditionalFormatting>
  <conditionalFormatting sqref="L14">
    <cfRule type="expression" priority="781" stopIfTrue="1">
      <formula>LEN(TRIM(J14))=0</formula>
    </cfRule>
  </conditionalFormatting>
  <conditionalFormatting sqref="F15">
    <cfRule type="cellIs" dxfId="584" priority="780" operator="lessThan">
      <formula>0.9</formula>
    </cfRule>
  </conditionalFormatting>
  <conditionalFormatting sqref="F15">
    <cfRule type="cellIs" dxfId="583" priority="779" operator="between">
      <formula>0.9</formula>
      <formula>1</formula>
    </cfRule>
  </conditionalFormatting>
  <conditionalFormatting sqref="F15">
    <cfRule type="cellIs" dxfId="582" priority="778" operator="greaterThan">
      <formula>1</formula>
    </cfRule>
  </conditionalFormatting>
  <conditionalFormatting sqref="F15">
    <cfRule type="expression" priority="777" stopIfTrue="1">
      <formula>LEN(TRIM(D15))=0</formula>
    </cfRule>
  </conditionalFormatting>
  <conditionalFormatting sqref="I15">
    <cfRule type="cellIs" dxfId="581" priority="776" operator="lessThan">
      <formula>0.9</formula>
    </cfRule>
  </conditionalFormatting>
  <conditionalFormatting sqref="I15">
    <cfRule type="cellIs" dxfId="580" priority="775" operator="between">
      <formula>0.9</formula>
      <formula>1</formula>
    </cfRule>
  </conditionalFormatting>
  <conditionalFormatting sqref="I15">
    <cfRule type="cellIs" dxfId="579" priority="774" operator="greaterThan">
      <formula>1</formula>
    </cfRule>
  </conditionalFormatting>
  <conditionalFormatting sqref="I15">
    <cfRule type="expression" priority="773" stopIfTrue="1">
      <formula>LEN(TRIM(G15))=0</formula>
    </cfRule>
  </conditionalFormatting>
  <conditionalFormatting sqref="L15">
    <cfRule type="cellIs" dxfId="578" priority="772" operator="lessThan">
      <formula>0.9</formula>
    </cfRule>
  </conditionalFormatting>
  <conditionalFormatting sqref="L15">
    <cfRule type="cellIs" dxfId="577" priority="771" operator="between">
      <formula>0.9</formula>
      <formula>1</formula>
    </cfRule>
  </conditionalFormatting>
  <conditionalFormatting sqref="L15">
    <cfRule type="cellIs" dxfId="576" priority="770" operator="greaterThan">
      <formula>1</formula>
    </cfRule>
  </conditionalFormatting>
  <conditionalFormatting sqref="L15">
    <cfRule type="expression" priority="769" stopIfTrue="1">
      <formula>LEN(TRIM(J15))=0</formula>
    </cfRule>
  </conditionalFormatting>
  <conditionalFormatting sqref="F16">
    <cfRule type="cellIs" dxfId="575" priority="768" operator="lessThan">
      <formula>0.9</formula>
    </cfRule>
  </conditionalFormatting>
  <conditionalFormatting sqref="F16">
    <cfRule type="cellIs" dxfId="574" priority="767" operator="between">
      <formula>0.9</formula>
      <formula>1</formula>
    </cfRule>
  </conditionalFormatting>
  <conditionalFormatting sqref="F16">
    <cfRule type="cellIs" dxfId="573" priority="766" operator="greaterThan">
      <formula>1</formula>
    </cfRule>
  </conditionalFormatting>
  <conditionalFormatting sqref="F16">
    <cfRule type="expression" priority="765" stopIfTrue="1">
      <formula>LEN(TRIM(D16))=0</formula>
    </cfRule>
  </conditionalFormatting>
  <conditionalFormatting sqref="I16">
    <cfRule type="cellIs" dxfId="572" priority="764" operator="lessThan">
      <formula>0.9</formula>
    </cfRule>
  </conditionalFormatting>
  <conditionalFormatting sqref="I16">
    <cfRule type="cellIs" dxfId="571" priority="763" operator="between">
      <formula>0.9</formula>
      <formula>1</formula>
    </cfRule>
  </conditionalFormatting>
  <conditionalFormatting sqref="I16">
    <cfRule type="cellIs" dxfId="570" priority="762" operator="greaterThan">
      <formula>1</formula>
    </cfRule>
  </conditionalFormatting>
  <conditionalFormatting sqref="I16">
    <cfRule type="expression" priority="761" stopIfTrue="1">
      <formula>LEN(TRIM(G16))=0</formula>
    </cfRule>
  </conditionalFormatting>
  <conditionalFormatting sqref="L16">
    <cfRule type="cellIs" dxfId="569" priority="760" operator="lessThan">
      <formula>0.9</formula>
    </cfRule>
  </conditionalFormatting>
  <conditionalFormatting sqref="L16">
    <cfRule type="cellIs" dxfId="568" priority="759" operator="between">
      <formula>0.9</formula>
      <formula>1</formula>
    </cfRule>
  </conditionalFormatting>
  <conditionalFormatting sqref="L16">
    <cfRule type="cellIs" dxfId="567" priority="758" operator="greaterThan">
      <formula>1</formula>
    </cfRule>
  </conditionalFormatting>
  <conditionalFormatting sqref="L16">
    <cfRule type="expression" priority="757" stopIfTrue="1">
      <formula>LEN(TRIM(J16))=0</formula>
    </cfRule>
  </conditionalFormatting>
  <conditionalFormatting sqref="F17">
    <cfRule type="cellIs" dxfId="566" priority="756" operator="lessThan">
      <formula>0.9</formula>
    </cfRule>
  </conditionalFormatting>
  <conditionalFormatting sqref="F17">
    <cfRule type="cellIs" dxfId="565" priority="755" operator="between">
      <formula>0.9</formula>
      <formula>1</formula>
    </cfRule>
  </conditionalFormatting>
  <conditionalFormatting sqref="F17">
    <cfRule type="cellIs" dxfId="564" priority="754" operator="greaterThan">
      <formula>1</formula>
    </cfRule>
  </conditionalFormatting>
  <conditionalFormatting sqref="F17">
    <cfRule type="expression" priority="753" stopIfTrue="1">
      <formula>LEN(TRIM(D17))=0</formula>
    </cfRule>
  </conditionalFormatting>
  <conditionalFormatting sqref="I17">
    <cfRule type="cellIs" dxfId="563" priority="752" operator="lessThan">
      <formula>0.9</formula>
    </cfRule>
  </conditionalFormatting>
  <conditionalFormatting sqref="I17">
    <cfRule type="cellIs" dxfId="562" priority="751" operator="between">
      <formula>0.9</formula>
      <formula>1</formula>
    </cfRule>
  </conditionalFormatting>
  <conditionalFormatting sqref="I17">
    <cfRule type="cellIs" dxfId="561" priority="750" operator="greaterThan">
      <formula>1</formula>
    </cfRule>
  </conditionalFormatting>
  <conditionalFormatting sqref="I17">
    <cfRule type="expression" priority="749" stopIfTrue="1">
      <formula>LEN(TRIM(G17))=0</formula>
    </cfRule>
  </conditionalFormatting>
  <conditionalFormatting sqref="L17">
    <cfRule type="cellIs" dxfId="560" priority="748" operator="lessThan">
      <formula>0.9</formula>
    </cfRule>
  </conditionalFormatting>
  <conditionalFormatting sqref="L17">
    <cfRule type="cellIs" dxfId="559" priority="747" operator="between">
      <formula>0.9</formula>
      <formula>1</formula>
    </cfRule>
  </conditionalFormatting>
  <conditionalFormatting sqref="L17">
    <cfRule type="cellIs" dxfId="558" priority="746" operator="greaterThan">
      <formula>1</formula>
    </cfRule>
  </conditionalFormatting>
  <conditionalFormatting sqref="L17">
    <cfRule type="expression" priority="745" stopIfTrue="1">
      <formula>LEN(TRIM(J17))=0</formula>
    </cfRule>
  </conditionalFormatting>
  <conditionalFormatting sqref="F18">
    <cfRule type="cellIs" dxfId="557" priority="744" operator="lessThan">
      <formula>0.9</formula>
    </cfRule>
  </conditionalFormatting>
  <conditionalFormatting sqref="F18">
    <cfRule type="cellIs" dxfId="556" priority="743" operator="between">
      <formula>0.9</formula>
      <formula>1</formula>
    </cfRule>
  </conditionalFormatting>
  <conditionalFormatting sqref="F18">
    <cfRule type="cellIs" dxfId="555" priority="742" operator="greaterThan">
      <formula>1</formula>
    </cfRule>
  </conditionalFormatting>
  <conditionalFormatting sqref="F18">
    <cfRule type="expression" priority="741" stopIfTrue="1">
      <formula>LEN(TRIM(D18))=0</formula>
    </cfRule>
  </conditionalFormatting>
  <conditionalFormatting sqref="I18">
    <cfRule type="cellIs" dxfId="554" priority="740" operator="lessThan">
      <formula>0.9</formula>
    </cfRule>
  </conditionalFormatting>
  <conditionalFormatting sqref="I18">
    <cfRule type="cellIs" dxfId="553" priority="739" operator="between">
      <formula>0.9</formula>
      <formula>1</formula>
    </cfRule>
  </conditionalFormatting>
  <conditionalFormatting sqref="I18">
    <cfRule type="cellIs" dxfId="552" priority="738" operator="greaterThan">
      <formula>1</formula>
    </cfRule>
  </conditionalFormatting>
  <conditionalFormatting sqref="I18">
    <cfRule type="expression" priority="737" stopIfTrue="1">
      <formula>LEN(TRIM(G18))=0</formula>
    </cfRule>
  </conditionalFormatting>
  <conditionalFormatting sqref="L18">
    <cfRule type="cellIs" dxfId="551" priority="736" operator="lessThan">
      <formula>0.9</formula>
    </cfRule>
  </conditionalFormatting>
  <conditionalFormatting sqref="L18">
    <cfRule type="cellIs" dxfId="550" priority="735" operator="between">
      <formula>0.9</formula>
      <formula>1</formula>
    </cfRule>
  </conditionalFormatting>
  <conditionalFormatting sqref="L18">
    <cfRule type="cellIs" dxfId="549" priority="734" operator="greaterThan">
      <formula>1</formula>
    </cfRule>
  </conditionalFormatting>
  <conditionalFormatting sqref="L18">
    <cfRule type="expression" priority="733" stopIfTrue="1">
      <formula>LEN(TRIM(J18))=0</formula>
    </cfRule>
  </conditionalFormatting>
  <conditionalFormatting sqref="F19">
    <cfRule type="cellIs" dxfId="548" priority="732" operator="lessThan">
      <formula>0.9</formula>
    </cfRule>
  </conditionalFormatting>
  <conditionalFormatting sqref="F19">
    <cfRule type="cellIs" dxfId="547" priority="731" operator="between">
      <formula>0.9</formula>
      <formula>1</formula>
    </cfRule>
  </conditionalFormatting>
  <conditionalFormatting sqref="F19">
    <cfRule type="cellIs" dxfId="546" priority="730" operator="greaterThan">
      <formula>1</formula>
    </cfRule>
  </conditionalFormatting>
  <conditionalFormatting sqref="F19">
    <cfRule type="expression" priority="729" stopIfTrue="1">
      <formula>LEN(TRIM(D19))=0</formula>
    </cfRule>
  </conditionalFormatting>
  <conditionalFormatting sqref="I19">
    <cfRule type="cellIs" dxfId="545" priority="728" operator="lessThan">
      <formula>0.9</formula>
    </cfRule>
  </conditionalFormatting>
  <conditionalFormatting sqref="I19">
    <cfRule type="cellIs" dxfId="544" priority="727" operator="between">
      <formula>0.9</formula>
      <formula>1</formula>
    </cfRule>
  </conditionalFormatting>
  <conditionalFormatting sqref="I19">
    <cfRule type="cellIs" dxfId="543" priority="726" operator="greaterThan">
      <formula>1</formula>
    </cfRule>
  </conditionalFormatting>
  <conditionalFormatting sqref="I19">
    <cfRule type="expression" priority="725" stopIfTrue="1">
      <formula>LEN(TRIM(G19))=0</formula>
    </cfRule>
  </conditionalFormatting>
  <conditionalFormatting sqref="L19">
    <cfRule type="cellIs" dxfId="542" priority="724" operator="lessThan">
      <formula>0.9</formula>
    </cfRule>
  </conditionalFormatting>
  <conditionalFormatting sqref="L19">
    <cfRule type="cellIs" dxfId="541" priority="723" operator="between">
      <formula>0.9</formula>
      <formula>1</formula>
    </cfRule>
  </conditionalFormatting>
  <conditionalFormatting sqref="L19">
    <cfRule type="cellIs" dxfId="540" priority="722" operator="greaterThan">
      <formula>1</formula>
    </cfRule>
  </conditionalFormatting>
  <conditionalFormatting sqref="L19">
    <cfRule type="expression" priority="721" stopIfTrue="1">
      <formula>LEN(TRIM(J19))=0</formula>
    </cfRule>
  </conditionalFormatting>
  <conditionalFormatting sqref="F20">
    <cfRule type="cellIs" dxfId="539" priority="720" operator="lessThan">
      <formula>0.9</formula>
    </cfRule>
  </conditionalFormatting>
  <conditionalFormatting sqref="F20">
    <cfRule type="cellIs" dxfId="538" priority="719" operator="between">
      <formula>0.9</formula>
      <formula>1</formula>
    </cfRule>
  </conditionalFormatting>
  <conditionalFormatting sqref="F20">
    <cfRule type="cellIs" dxfId="537" priority="718" operator="greaterThan">
      <formula>1</formula>
    </cfRule>
  </conditionalFormatting>
  <conditionalFormatting sqref="F20">
    <cfRule type="expression" priority="717" stopIfTrue="1">
      <formula>LEN(TRIM(D20))=0</formula>
    </cfRule>
  </conditionalFormatting>
  <conditionalFormatting sqref="I20">
    <cfRule type="cellIs" dxfId="536" priority="716" operator="lessThan">
      <formula>0.9</formula>
    </cfRule>
  </conditionalFormatting>
  <conditionalFormatting sqref="I20">
    <cfRule type="cellIs" dxfId="535" priority="715" operator="between">
      <formula>0.9</formula>
      <formula>1</formula>
    </cfRule>
  </conditionalFormatting>
  <conditionalFormatting sqref="I20">
    <cfRule type="cellIs" dxfId="534" priority="714" operator="greaterThan">
      <formula>1</formula>
    </cfRule>
  </conditionalFormatting>
  <conditionalFormatting sqref="I20">
    <cfRule type="expression" priority="713" stopIfTrue="1">
      <formula>LEN(TRIM(G20))=0</formula>
    </cfRule>
  </conditionalFormatting>
  <conditionalFormatting sqref="L20">
    <cfRule type="cellIs" dxfId="533" priority="712" operator="lessThan">
      <formula>0.9</formula>
    </cfRule>
  </conditionalFormatting>
  <conditionalFormatting sqref="L20">
    <cfRule type="cellIs" dxfId="532" priority="711" operator="between">
      <formula>0.9</formula>
      <formula>1</formula>
    </cfRule>
  </conditionalFormatting>
  <conditionalFormatting sqref="L20">
    <cfRule type="cellIs" dxfId="531" priority="710" operator="greaterThan">
      <formula>1</formula>
    </cfRule>
  </conditionalFormatting>
  <conditionalFormatting sqref="L20">
    <cfRule type="expression" priority="709" stopIfTrue="1">
      <formula>LEN(TRIM(J20))=0</formula>
    </cfRule>
  </conditionalFormatting>
  <conditionalFormatting sqref="F21">
    <cfRule type="cellIs" dxfId="530" priority="708" operator="lessThan">
      <formula>0.9</formula>
    </cfRule>
  </conditionalFormatting>
  <conditionalFormatting sqref="F21">
    <cfRule type="cellIs" dxfId="529" priority="707" operator="between">
      <formula>0.9</formula>
      <formula>1</formula>
    </cfRule>
  </conditionalFormatting>
  <conditionalFormatting sqref="F21">
    <cfRule type="cellIs" dxfId="528" priority="706" operator="greaterThan">
      <formula>1</formula>
    </cfRule>
  </conditionalFormatting>
  <conditionalFormatting sqref="F21">
    <cfRule type="expression" priority="705" stopIfTrue="1">
      <formula>LEN(TRIM(D21))=0</formula>
    </cfRule>
  </conditionalFormatting>
  <conditionalFormatting sqref="I21">
    <cfRule type="cellIs" dxfId="527" priority="704" operator="lessThan">
      <formula>0.9</formula>
    </cfRule>
  </conditionalFormatting>
  <conditionalFormatting sqref="I21">
    <cfRule type="cellIs" dxfId="526" priority="703" operator="between">
      <formula>0.9</formula>
      <formula>1</formula>
    </cfRule>
  </conditionalFormatting>
  <conditionalFormatting sqref="I21">
    <cfRule type="cellIs" dxfId="525" priority="702" operator="greaterThan">
      <formula>1</formula>
    </cfRule>
  </conditionalFormatting>
  <conditionalFormatting sqref="I21">
    <cfRule type="expression" priority="701" stopIfTrue="1">
      <formula>LEN(TRIM(G21))=0</formula>
    </cfRule>
  </conditionalFormatting>
  <conditionalFormatting sqref="L21">
    <cfRule type="cellIs" dxfId="524" priority="700" operator="lessThan">
      <formula>0.9</formula>
    </cfRule>
  </conditionalFormatting>
  <conditionalFormatting sqref="L21">
    <cfRule type="cellIs" dxfId="523" priority="699" operator="between">
      <formula>0.9</formula>
      <formula>1</formula>
    </cfRule>
  </conditionalFormatting>
  <conditionalFormatting sqref="L21">
    <cfRule type="cellIs" dxfId="522" priority="698" operator="greaterThan">
      <formula>1</formula>
    </cfRule>
  </conditionalFormatting>
  <conditionalFormatting sqref="L21">
    <cfRule type="expression" priority="697" stopIfTrue="1">
      <formula>LEN(TRIM(J21))=0</formula>
    </cfRule>
  </conditionalFormatting>
  <conditionalFormatting sqref="F22">
    <cfRule type="cellIs" dxfId="521" priority="696" operator="lessThan">
      <formula>0.9</formula>
    </cfRule>
  </conditionalFormatting>
  <conditionalFormatting sqref="F22">
    <cfRule type="cellIs" dxfId="520" priority="695" operator="between">
      <formula>0.9</formula>
      <formula>1</formula>
    </cfRule>
  </conditionalFormatting>
  <conditionalFormatting sqref="F22">
    <cfRule type="cellIs" dxfId="519" priority="694" operator="greaterThan">
      <formula>1</formula>
    </cfRule>
  </conditionalFormatting>
  <conditionalFormatting sqref="F22">
    <cfRule type="expression" priority="693" stopIfTrue="1">
      <formula>LEN(TRIM(D22))=0</formula>
    </cfRule>
  </conditionalFormatting>
  <conditionalFormatting sqref="I22">
    <cfRule type="cellIs" dxfId="518" priority="692" operator="lessThan">
      <formula>0.9</formula>
    </cfRule>
  </conditionalFormatting>
  <conditionalFormatting sqref="I22">
    <cfRule type="cellIs" dxfId="517" priority="691" operator="between">
      <formula>0.9</formula>
      <formula>1</formula>
    </cfRule>
  </conditionalFormatting>
  <conditionalFormatting sqref="I22">
    <cfRule type="cellIs" dxfId="516" priority="690" operator="greaterThan">
      <formula>1</formula>
    </cfRule>
  </conditionalFormatting>
  <conditionalFormatting sqref="I22">
    <cfRule type="expression" priority="689" stopIfTrue="1">
      <formula>LEN(TRIM(G22))=0</formula>
    </cfRule>
  </conditionalFormatting>
  <conditionalFormatting sqref="L22">
    <cfRule type="cellIs" dxfId="515" priority="688" operator="lessThan">
      <formula>0.9</formula>
    </cfRule>
  </conditionalFormatting>
  <conditionalFormatting sqref="L22">
    <cfRule type="cellIs" dxfId="514" priority="687" operator="between">
      <formula>0.9</formula>
      <formula>1</formula>
    </cfRule>
  </conditionalFormatting>
  <conditionalFormatting sqref="L22">
    <cfRule type="cellIs" dxfId="513" priority="686" operator="greaterThan">
      <formula>1</formula>
    </cfRule>
  </conditionalFormatting>
  <conditionalFormatting sqref="L22">
    <cfRule type="expression" priority="685" stopIfTrue="1">
      <formula>LEN(TRIM(J22))=0</formula>
    </cfRule>
  </conditionalFormatting>
  <conditionalFormatting sqref="F23">
    <cfRule type="cellIs" dxfId="512" priority="684" operator="lessThan">
      <formula>0.9</formula>
    </cfRule>
  </conditionalFormatting>
  <conditionalFormatting sqref="F23">
    <cfRule type="cellIs" dxfId="511" priority="683" operator="between">
      <formula>0.9</formula>
      <formula>1</formula>
    </cfRule>
  </conditionalFormatting>
  <conditionalFormatting sqref="F23">
    <cfRule type="cellIs" dxfId="510" priority="682" operator="greaterThan">
      <formula>1</formula>
    </cfRule>
  </conditionalFormatting>
  <conditionalFormatting sqref="F23">
    <cfRule type="expression" priority="681" stopIfTrue="1">
      <formula>LEN(TRIM(D23))=0</formula>
    </cfRule>
  </conditionalFormatting>
  <conditionalFormatting sqref="I23">
    <cfRule type="cellIs" dxfId="509" priority="680" operator="lessThan">
      <formula>0.9</formula>
    </cfRule>
  </conditionalFormatting>
  <conditionalFormatting sqref="I23">
    <cfRule type="cellIs" dxfId="508" priority="679" operator="between">
      <formula>0.9</formula>
      <formula>1</formula>
    </cfRule>
  </conditionalFormatting>
  <conditionalFormatting sqref="I23">
    <cfRule type="cellIs" dxfId="507" priority="678" operator="greaterThan">
      <formula>1</formula>
    </cfRule>
  </conditionalFormatting>
  <conditionalFormatting sqref="I23">
    <cfRule type="expression" priority="677" stopIfTrue="1">
      <formula>LEN(TRIM(G23))=0</formula>
    </cfRule>
  </conditionalFormatting>
  <conditionalFormatting sqref="L23">
    <cfRule type="cellIs" dxfId="506" priority="676" operator="lessThan">
      <formula>0.9</formula>
    </cfRule>
  </conditionalFormatting>
  <conditionalFormatting sqref="L23">
    <cfRule type="cellIs" dxfId="505" priority="675" operator="between">
      <formula>0.9</formula>
      <formula>1</formula>
    </cfRule>
  </conditionalFormatting>
  <conditionalFormatting sqref="L23">
    <cfRule type="cellIs" dxfId="504" priority="674" operator="greaterThan">
      <formula>1</formula>
    </cfRule>
  </conditionalFormatting>
  <conditionalFormatting sqref="L23">
    <cfRule type="expression" priority="673" stopIfTrue="1">
      <formula>LEN(TRIM(J23))=0</formula>
    </cfRule>
  </conditionalFormatting>
  <conditionalFormatting sqref="F24">
    <cfRule type="cellIs" dxfId="503" priority="672" operator="lessThan">
      <formula>0.9</formula>
    </cfRule>
  </conditionalFormatting>
  <conditionalFormatting sqref="F24">
    <cfRule type="cellIs" dxfId="502" priority="671" operator="between">
      <formula>0.9</formula>
      <formula>1</formula>
    </cfRule>
  </conditionalFormatting>
  <conditionalFormatting sqref="F24">
    <cfRule type="cellIs" dxfId="501" priority="670" operator="greaterThan">
      <formula>1</formula>
    </cfRule>
  </conditionalFormatting>
  <conditionalFormatting sqref="F24">
    <cfRule type="expression" priority="669" stopIfTrue="1">
      <formula>LEN(TRIM(D24))=0</formula>
    </cfRule>
  </conditionalFormatting>
  <conditionalFormatting sqref="I24">
    <cfRule type="cellIs" dxfId="500" priority="668" operator="lessThan">
      <formula>0.9</formula>
    </cfRule>
  </conditionalFormatting>
  <conditionalFormatting sqref="I24">
    <cfRule type="cellIs" dxfId="499" priority="667" operator="between">
      <formula>0.9</formula>
      <formula>1</formula>
    </cfRule>
  </conditionalFormatting>
  <conditionalFormatting sqref="I24">
    <cfRule type="cellIs" dxfId="498" priority="666" operator="greaterThan">
      <formula>1</formula>
    </cfRule>
  </conditionalFormatting>
  <conditionalFormatting sqref="I24">
    <cfRule type="expression" priority="665" stopIfTrue="1">
      <formula>LEN(TRIM(G24))=0</formula>
    </cfRule>
  </conditionalFormatting>
  <conditionalFormatting sqref="L24">
    <cfRule type="cellIs" dxfId="497" priority="664" operator="lessThan">
      <formula>0.9</formula>
    </cfRule>
  </conditionalFormatting>
  <conditionalFormatting sqref="L24">
    <cfRule type="cellIs" dxfId="496" priority="663" operator="between">
      <formula>0.9</formula>
      <formula>1</formula>
    </cfRule>
  </conditionalFormatting>
  <conditionalFormatting sqref="L24">
    <cfRule type="cellIs" dxfId="495" priority="662" operator="greaterThan">
      <formula>1</formula>
    </cfRule>
  </conditionalFormatting>
  <conditionalFormatting sqref="L24">
    <cfRule type="expression" priority="661" stopIfTrue="1">
      <formula>LEN(TRIM(J24))=0</formula>
    </cfRule>
  </conditionalFormatting>
  <conditionalFormatting sqref="F25">
    <cfRule type="cellIs" dxfId="494" priority="660" operator="lessThan">
      <formula>0.9</formula>
    </cfRule>
  </conditionalFormatting>
  <conditionalFormatting sqref="F25">
    <cfRule type="cellIs" dxfId="493" priority="659" operator="between">
      <formula>0.9</formula>
      <formula>1</formula>
    </cfRule>
  </conditionalFormatting>
  <conditionalFormatting sqref="F25">
    <cfRule type="cellIs" dxfId="492" priority="658" operator="greaterThan">
      <formula>1</formula>
    </cfRule>
  </conditionalFormatting>
  <conditionalFormatting sqref="F25">
    <cfRule type="expression" priority="657" stopIfTrue="1">
      <formula>LEN(TRIM(D25))=0</formula>
    </cfRule>
  </conditionalFormatting>
  <conditionalFormatting sqref="I25">
    <cfRule type="cellIs" dxfId="491" priority="656" operator="lessThan">
      <formula>0.9</formula>
    </cfRule>
  </conditionalFormatting>
  <conditionalFormatting sqref="I25">
    <cfRule type="cellIs" dxfId="490" priority="655" operator="between">
      <formula>0.9</formula>
      <formula>1</formula>
    </cfRule>
  </conditionalFormatting>
  <conditionalFormatting sqref="I25">
    <cfRule type="cellIs" dxfId="489" priority="654" operator="greaterThan">
      <formula>1</formula>
    </cfRule>
  </conditionalFormatting>
  <conditionalFormatting sqref="I25">
    <cfRule type="expression" priority="653" stopIfTrue="1">
      <formula>LEN(TRIM(G25))=0</formula>
    </cfRule>
  </conditionalFormatting>
  <conditionalFormatting sqref="L25">
    <cfRule type="cellIs" dxfId="488" priority="652" operator="lessThan">
      <formula>0.9</formula>
    </cfRule>
  </conditionalFormatting>
  <conditionalFormatting sqref="L25">
    <cfRule type="cellIs" dxfId="487" priority="651" operator="between">
      <formula>0.9</formula>
      <formula>1</formula>
    </cfRule>
  </conditionalFormatting>
  <conditionalFormatting sqref="L25">
    <cfRule type="cellIs" dxfId="486" priority="650" operator="greaterThan">
      <formula>1</formula>
    </cfRule>
  </conditionalFormatting>
  <conditionalFormatting sqref="L25">
    <cfRule type="expression" priority="649" stopIfTrue="1">
      <formula>LEN(TRIM(J25))=0</formula>
    </cfRule>
  </conditionalFormatting>
  <conditionalFormatting sqref="F26">
    <cfRule type="cellIs" dxfId="485" priority="648" operator="lessThan">
      <formula>0.9</formula>
    </cfRule>
  </conditionalFormatting>
  <conditionalFormatting sqref="F26">
    <cfRule type="cellIs" dxfId="484" priority="647" operator="between">
      <formula>0.9</formula>
      <formula>1</formula>
    </cfRule>
  </conditionalFormatting>
  <conditionalFormatting sqref="F26">
    <cfRule type="cellIs" dxfId="483" priority="646" operator="greaterThan">
      <formula>1</formula>
    </cfRule>
  </conditionalFormatting>
  <conditionalFormatting sqref="F26">
    <cfRule type="expression" priority="645" stopIfTrue="1">
      <formula>LEN(TRIM(D26))=0</formula>
    </cfRule>
  </conditionalFormatting>
  <conditionalFormatting sqref="I26">
    <cfRule type="cellIs" dxfId="482" priority="644" operator="lessThan">
      <formula>0.9</formula>
    </cfRule>
  </conditionalFormatting>
  <conditionalFormatting sqref="I26">
    <cfRule type="cellIs" dxfId="481" priority="643" operator="between">
      <formula>0.9</formula>
      <formula>1</formula>
    </cfRule>
  </conditionalFormatting>
  <conditionalFormatting sqref="I26">
    <cfRule type="cellIs" dxfId="480" priority="642" operator="greaterThan">
      <formula>1</formula>
    </cfRule>
  </conditionalFormatting>
  <conditionalFormatting sqref="I26">
    <cfRule type="expression" priority="641" stopIfTrue="1">
      <formula>LEN(TRIM(G26))=0</formula>
    </cfRule>
  </conditionalFormatting>
  <conditionalFormatting sqref="L26">
    <cfRule type="cellIs" dxfId="479" priority="640" operator="lessThan">
      <formula>0.9</formula>
    </cfRule>
  </conditionalFormatting>
  <conditionalFormatting sqref="L26">
    <cfRule type="cellIs" dxfId="478" priority="639" operator="between">
      <formula>0.9</formula>
      <formula>1</formula>
    </cfRule>
  </conditionalFormatting>
  <conditionalFormatting sqref="L26">
    <cfRule type="cellIs" dxfId="477" priority="638" operator="greaterThan">
      <formula>1</formula>
    </cfRule>
  </conditionalFormatting>
  <conditionalFormatting sqref="L26">
    <cfRule type="expression" priority="637" stopIfTrue="1">
      <formula>LEN(TRIM(J26))=0</formula>
    </cfRule>
  </conditionalFormatting>
  <conditionalFormatting sqref="F27">
    <cfRule type="cellIs" dxfId="476" priority="636" operator="lessThan">
      <formula>0.9</formula>
    </cfRule>
  </conditionalFormatting>
  <conditionalFormatting sqref="F27">
    <cfRule type="cellIs" dxfId="475" priority="635" operator="between">
      <formula>0.9</formula>
      <formula>1</formula>
    </cfRule>
  </conditionalFormatting>
  <conditionalFormatting sqref="F27">
    <cfRule type="cellIs" dxfId="474" priority="634" operator="greaterThan">
      <formula>1</formula>
    </cfRule>
  </conditionalFormatting>
  <conditionalFormatting sqref="F27">
    <cfRule type="expression" priority="633" stopIfTrue="1">
      <formula>LEN(TRIM(D27))=0</formula>
    </cfRule>
  </conditionalFormatting>
  <conditionalFormatting sqref="I27">
    <cfRule type="cellIs" dxfId="473" priority="632" operator="lessThan">
      <formula>0.9</formula>
    </cfRule>
  </conditionalFormatting>
  <conditionalFormatting sqref="I27">
    <cfRule type="cellIs" dxfId="472" priority="631" operator="between">
      <formula>0.9</formula>
      <formula>1</formula>
    </cfRule>
  </conditionalFormatting>
  <conditionalFormatting sqref="I27">
    <cfRule type="cellIs" dxfId="471" priority="630" operator="greaterThan">
      <formula>1</formula>
    </cfRule>
  </conditionalFormatting>
  <conditionalFormatting sqref="I27">
    <cfRule type="expression" priority="629" stopIfTrue="1">
      <formula>LEN(TRIM(G27))=0</formula>
    </cfRule>
  </conditionalFormatting>
  <conditionalFormatting sqref="L27">
    <cfRule type="cellIs" dxfId="470" priority="628" operator="lessThan">
      <formula>0.9</formula>
    </cfRule>
  </conditionalFormatting>
  <conditionalFormatting sqref="L27">
    <cfRule type="cellIs" dxfId="469" priority="627" operator="between">
      <formula>0.9</formula>
      <formula>1</formula>
    </cfRule>
  </conditionalFormatting>
  <conditionalFormatting sqref="L27">
    <cfRule type="cellIs" dxfId="468" priority="626" operator="greaterThan">
      <formula>1</formula>
    </cfRule>
  </conditionalFormatting>
  <conditionalFormatting sqref="L27">
    <cfRule type="expression" priority="625" stopIfTrue="1">
      <formula>LEN(TRIM(J27))=0</formula>
    </cfRule>
  </conditionalFormatting>
  <conditionalFormatting sqref="F28">
    <cfRule type="cellIs" dxfId="467" priority="624" operator="lessThan">
      <formula>0.9</formula>
    </cfRule>
  </conditionalFormatting>
  <conditionalFormatting sqref="F28">
    <cfRule type="cellIs" dxfId="466" priority="623" operator="between">
      <formula>0.9</formula>
      <formula>1</formula>
    </cfRule>
  </conditionalFormatting>
  <conditionalFormatting sqref="F28">
    <cfRule type="cellIs" dxfId="465" priority="622" operator="greaterThan">
      <formula>1</formula>
    </cfRule>
  </conditionalFormatting>
  <conditionalFormatting sqref="F28">
    <cfRule type="expression" priority="621" stopIfTrue="1">
      <formula>LEN(TRIM(D28))=0</formula>
    </cfRule>
  </conditionalFormatting>
  <conditionalFormatting sqref="I28">
    <cfRule type="cellIs" dxfId="464" priority="620" operator="lessThan">
      <formula>0.9</formula>
    </cfRule>
  </conditionalFormatting>
  <conditionalFormatting sqref="I28">
    <cfRule type="cellIs" dxfId="463" priority="619" operator="between">
      <formula>0.9</formula>
      <formula>1</formula>
    </cfRule>
  </conditionalFormatting>
  <conditionalFormatting sqref="I28">
    <cfRule type="cellIs" dxfId="462" priority="618" operator="greaterThan">
      <formula>1</formula>
    </cfRule>
  </conditionalFormatting>
  <conditionalFormatting sqref="I28">
    <cfRule type="expression" priority="617" stopIfTrue="1">
      <formula>LEN(TRIM(G28))=0</formula>
    </cfRule>
  </conditionalFormatting>
  <conditionalFormatting sqref="L28">
    <cfRule type="cellIs" dxfId="461" priority="616" operator="lessThan">
      <formula>0.9</formula>
    </cfRule>
  </conditionalFormatting>
  <conditionalFormatting sqref="L28">
    <cfRule type="cellIs" dxfId="460" priority="615" operator="between">
      <formula>0.9</formula>
      <formula>1</formula>
    </cfRule>
  </conditionalFormatting>
  <conditionalFormatting sqref="L28">
    <cfRule type="cellIs" dxfId="459" priority="614" operator="greaterThan">
      <formula>1</formula>
    </cfRule>
  </conditionalFormatting>
  <conditionalFormatting sqref="L28">
    <cfRule type="expression" priority="613" stopIfTrue="1">
      <formula>LEN(TRIM(J28))=0</formula>
    </cfRule>
  </conditionalFormatting>
  <conditionalFormatting sqref="F29">
    <cfRule type="cellIs" dxfId="458" priority="612" operator="lessThan">
      <formula>0.9</formula>
    </cfRule>
  </conditionalFormatting>
  <conditionalFormatting sqref="F29">
    <cfRule type="cellIs" dxfId="457" priority="611" operator="between">
      <formula>0.9</formula>
      <formula>1</formula>
    </cfRule>
  </conditionalFormatting>
  <conditionalFormatting sqref="F29">
    <cfRule type="cellIs" dxfId="456" priority="610" operator="greaterThan">
      <formula>1</formula>
    </cfRule>
  </conditionalFormatting>
  <conditionalFormatting sqref="F29">
    <cfRule type="expression" priority="609" stopIfTrue="1">
      <formula>LEN(TRIM(D29))=0</formula>
    </cfRule>
  </conditionalFormatting>
  <conditionalFormatting sqref="I29">
    <cfRule type="cellIs" dxfId="455" priority="608" operator="lessThan">
      <formula>0.9</formula>
    </cfRule>
  </conditionalFormatting>
  <conditionalFormatting sqref="I29">
    <cfRule type="cellIs" dxfId="454" priority="607" operator="between">
      <formula>0.9</formula>
      <formula>1</formula>
    </cfRule>
  </conditionalFormatting>
  <conditionalFormatting sqref="I29">
    <cfRule type="cellIs" dxfId="453" priority="606" operator="greaterThan">
      <formula>1</formula>
    </cfRule>
  </conditionalFormatting>
  <conditionalFormatting sqref="I29">
    <cfRule type="expression" priority="605" stopIfTrue="1">
      <formula>LEN(TRIM(G29))=0</formula>
    </cfRule>
  </conditionalFormatting>
  <conditionalFormatting sqref="L29">
    <cfRule type="cellIs" dxfId="452" priority="604" operator="lessThan">
      <formula>0.9</formula>
    </cfRule>
  </conditionalFormatting>
  <conditionalFormatting sqref="L29">
    <cfRule type="cellIs" dxfId="451" priority="603" operator="between">
      <formula>0.9</formula>
      <formula>1</formula>
    </cfRule>
  </conditionalFormatting>
  <conditionalFormatting sqref="L29">
    <cfRule type="cellIs" dxfId="450" priority="602" operator="greaterThan">
      <formula>1</formula>
    </cfRule>
  </conditionalFormatting>
  <conditionalFormatting sqref="L29">
    <cfRule type="expression" priority="601" stopIfTrue="1">
      <formula>LEN(TRIM(J29))=0</formula>
    </cfRule>
  </conditionalFormatting>
  <conditionalFormatting sqref="F30">
    <cfRule type="cellIs" dxfId="449" priority="600" operator="lessThan">
      <formula>0.9</formula>
    </cfRule>
  </conditionalFormatting>
  <conditionalFormatting sqref="F30">
    <cfRule type="cellIs" dxfId="448" priority="599" operator="between">
      <formula>0.9</formula>
      <formula>1</formula>
    </cfRule>
  </conditionalFormatting>
  <conditionalFormatting sqref="F30">
    <cfRule type="cellIs" dxfId="447" priority="598" operator="greaterThan">
      <formula>1</formula>
    </cfRule>
  </conditionalFormatting>
  <conditionalFormatting sqref="F30">
    <cfRule type="expression" priority="597" stopIfTrue="1">
      <formula>LEN(TRIM(D30))=0</formula>
    </cfRule>
  </conditionalFormatting>
  <conditionalFormatting sqref="I30">
    <cfRule type="cellIs" dxfId="446" priority="596" operator="lessThan">
      <formula>0.9</formula>
    </cfRule>
  </conditionalFormatting>
  <conditionalFormatting sqref="I30">
    <cfRule type="cellIs" dxfId="445" priority="595" operator="between">
      <formula>0.9</formula>
      <formula>1</formula>
    </cfRule>
  </conditionalFormatting>
  <conditionalFormatting sqref="I30">
    <cfRule type="cellIs" dxfId="444" priority="594" operator="greaterThan">
      <formula>1</formula>
    </cfRule>
  </conditionalFormatting>
  <conditionalFormatting sqref="I30">
    <cfRule type="expression" priority="593" stopIfTrue="1">
      <formula>LEN(TRIM(G30))=0</formula>
    </cfRule>
  </conditionalFormatting>
  <conditionalFormatting sqref="L30">
    <cfRule type="cellIs" dxfId="443" priority="592" operator="lessThan">
      <formula>0.9</formula>
    </cfRule>
  </conditionalFormatting>
  <conditionalFormatting sqref="L30">
    <cfRule type="cellIs" dxfId="442" priority="591" operator="between">
      <formula>0.9</formula>
      <formula>1</formula>
    </cfRule>
  </conditionalFormatting>
  <conditionalFormatting sqref="L30">
    <cfRule type="cellIs" dxfId="441" priority="590" operator="greaterThan">
      <formula>1</formula>
    </cfRule>
  </conditionalFormatting>
  <conditionalFormatting sqref="L30">
    <cfRule type="expression" priority="589" stopIfTrue="1">
      <formula>LEN(TRIM(J30))=0</formula>
    </cfRule>
  </conditionalFormatting>
  <conditionalFormatting sqref="F31">
    <cfRule type="cellIs" dxfId="440" priority="588" operator="lessThan">
      <formula>0.9</formula>
    </cfRule>
  </conditionalFormatting>
  <conditionalFormatting sqref="F31">
    <cfRule type="cellIs" dxfId="439" priority="587" operator="between">
      <formula>0.9</formula>
      <formula>1</formula>
    </cfRule>
  </conditionalFormatting>
  <conditionalFormatting sqref="F31">
    <cfRule type="cellIs" dxfId="438" priority="586" operator="greaterThan">
      <formula>1</formula>
    </cfRule>
  </conditionalFormatting>
  <conditionalFormatting sqref="F31">
    <cfRule type="expression" priority="585" stopIfTrue="1">
      <formula>LEN(TRIM(D31))=0</formula>
    </cfRule>
  </conditionalFormatting>
  <conditionalFormatting sqref="I31">
    <cfRule type="cellIs" dxfId="437" priority="584" operator="lessThan">
      <formula>0.9</formula>
    </cfRule>
  </conditionalFormatting>
  <conditionalFormatting sqref="I31">
    <cfRule type="cellIs" dxfId="436" priority="583" operator="between">
      <formula>0.9</formula>
      <formula>1</formula>
    </cfRule>
  </conditionalFormatting>
  <conditionalFormatting sqref="I31">
    <cfRule type="cellIs" dxfId="435" priority="582" operator="greaterThan">
      <formula>1</formula>
    </cfRule>
  </conditionalFormatting>
  <conditionalFormatting sqref="I31">
    <cfRule type="expression" priority="581" stopIfTrue="1">
      <formula>LEN(TRIM(G31))=0</formula>
    </cfRule>
  </conditionalFormatting>
  <conditionalFormatting sqref="L31">
    <cfRule type="cellIs" dxfId="434" priority="580" operator="lessThan">
      <formula>0.9</formula>
    </cfRule>
  </conditionalFormatting>
  <conditionalFormatting sqref="L31">
    <cfRule type="cellIs" dxfId="433" priority="579" operator="between">
      <formula>0.9</formula>
      <formula>1</formula>
    </cfRule>
  </conditionalFormatting>
  <conditionalFormatting sqref="L31">
    <cfRule type="cellIs" dxfId="432" priority="578" operator="greaterThan">
      <formula>1</formula>
    </cfRule>
  </conditionalFormatting>
  <conditionalFormatting sqref="L31">
    <cfRule type="expression" priority="577" stopIfTrue="1">
      <formula>LEN(TRIM(J31))=0</formula>
    </cfRule>
  </conditionalFormatting>
  <conditionalFormatting sqref="F32">
    <cfRule type="cellIs" dxfId="431" priority="576" operator="lessThan">
      <formula>0.9</formula>
    </cfRule>
  </conditionalFormatting>
  <conditionalFormatting sqref="F32">
    <cfRule type="cellIs" dxfId="430" priority="575" operator="between">
      <formula>0.9</formula>
      <formula>1</formula>
    </cfRule>
  </conditionalFormatting>
  <conditionalFormatting sqref="F32">
    <cfRule type="cellIs" dxfId="429" priority="574" operator="greaterThan">
      <formula>1</formula>
    </cfRule>
  </conditionalFormatting>
  <conditionalFormatting sqref="F32">
    <cfRule type="expression" priority="573" stopIfTrue="1">
      <formula>LEN(TRIM(D32))=0</formula>
    </cfRule>
  </conditionalFormatting>
  <conditionalFormatting sqref="I32">
    <cfRule type="cellIs" dxfId="428" priority="572" operator="lessThan">
      <formula>0.9</formula>
    </cfRule>
  </conditionalFormatting>
  <conditionalFormatting sqref="I32">
    <cfRule type="cellIs" dxfId="427" priority="571" operator="between">
      <formula>0.9</formula>
      <formula>1</formula>
    </cfRule>
  </conditionalFormatting>
  <conditionalFormatting sqref="I32">
    <cfRule type="cellIs" dxfId="426" priority="570" operator="greaterThan">
      <formula>1</formula>
    </cfRule>
  </conditionalFormatting>
  <conditionalFormatting sqref="I32">
    <cfRule type="expression" priority="569" stopIfTrue="1">
      <formula>LEN(TRIM(G32))=0</formula>
    </cfRule>
  </conditionalFormatting>
  <conditionalFormatting sqref="L32">
    <cfRule type="cellIs" dxfId="425" priority="568" operator="lessThan">
      <formula>0.9</formula>
    </cfRule>
  </conditionalFormatting>
  <conditionalFormatting sqref="L32">
    <cfRule type="cellIs" dxfId="424" priority="567" operator="between">
      <formula>0.9</formula>
      <formula>1</formula>
    </cfRule>
  </conditionalFormatting>
  <conditionalFormatting sqref="L32">
    <cfRule type="cellIs" dxfId="423" priority="566" operator="greaterThan">
      <formula>1</formula>
    </cfRule>
  </conditionalFormatting>
  <conditionalFormatting sqref="L32">
    <cfRule type="expression" priority="565" stopIfTrue="1">
      <formula>LEN(TRIM(J32))=0</formula>
    </cfRule>
  </conditionalFormatting>
  <conditionalFormatting sqref="F33">
    <cfRule type="cellIs" dxfId="422" priority="564" operator="lessThan">
      <formula>0.9</formula>
    </cfRule>
  </conditionalFormatting>
  <conditionalFormatting sqref="F33">
    <cfRule type="cellIs" dxfId="421" priority="563" operator="between">
      <formula>0.9</formula>
      <formula>1</formula>
    </cfRule>
  </conditionalFormatting>
  <conditionalFormatting sqref="F33">
    <cfRule type="cellIs" dxfId="420" priority="562" operator="greaterThan">
      <formula>1</formula>
    </cfRule>
  </conditionalFormatting>
  <conditionalFormatting sqref="F33">
    <cfRule type="expression" priority="561" stopIfTrue="1">
      <formula>LEN(TRIM(D33))=0</formula>
    </cfRule>
  </conditionalFormatting>
  <conditionalFormatting sqref="I33">
    <cfRule type="cellIs" dxfId="419" priority="560" operator="lessThan">
      <formula>0.9</formula>
    </cfRule>
  </conditionalFormatting>
  <conditionalFormatting sqref="I33">
    <cfRule type="cellIs" dxfId="418" priority="559" operator="between">
      <formula>0.9</formula>
      <formula>1</formula>
    </cfRule>
  </conditionalFormatting>
  <conditionalFormatting sqref="I33">
    <cfRule type="cellIs" dxfId="417" priority="558" operator="greaterThan">
      <formula>1</formula>
    </cfRule>
  </conditionalFormatting>
  <conditionalFormatting sqref="I33">
    <cfRule type="expression" priority="557" stopIfTrue="1">
      <formula>LEN(TRIM(G33))=0</formula>
    </cfRule>
  </conditionalFormatting>
  <conditionalFormatting sqref="L33">
    <cfRule type="cellIs" dxfId="416" priority="556" operator="lessThan">
      <formula>0.9</formula>
    </cfRule>
  </conditionalFormatting>
  <conditionalFormatting sqref="L33">
    <cfRule type="cellIs" dxfId="415" priority="555" operator="between">
      <formula>0.9</formula>
      <formula>1</formula>
    </cfRule>
  </conditionalFormatting>
  <conditionalFormatting sqref="L33">
    <cfRule type="cellIs" dxfId="414" priority="554" operator="greaterThan">
      <formula>1</formula>
    </cfRule>
  </conditionalFormatting>
  <conditionalFormatting sqref="L33">
    <cfRule type="expression" priority="553" stopIfTrue="1">
      <formula>LEN(TRIM(J33))=0</formula>
    </cfRule>
  </conditionalFormatting>
  <conditionalFormatting sqref="F34">
    <cfRule type="cellIs" dxfId="413" priority="552" operator="lessThan">
      <formula>0.9</formula>
    </cfRule>
  </conditionalFormatting>
  <conditionalFormatting sqref="F34">
    <cfRule type="cellIs" dxfId="412" priority="551" operator="between">
      <formula>0.9</formula>
      <formula>1</formula>
    </cfRule>
  </conditionalFormatting>
  <conditionalFormatting sqref="F34">
    <cfRule type="cellIs" dxfId="411" priority="550" operator="greaterThan">
      <formula>1</formula>
    </cfRule>
  </conditionalFormatting>
  <conditionalFormatting sqref="F34">
    <cfRule type="expression" priority="549" stopIfTrue="1">
      <formula>LEN(TRIM(D34))=0</formula>
    </cfRule>
  </conditionalFormatting>
  <conditionalFormatting sqref="I34">
    <cfRule type="cellIs" dxfId="410" priority="548" operator="lessThan">
      <formula>0.9</formula>
    </cfRule>
  </conditionalFormatting>
  <conditionalFormatting sqref="I34">
    <cfRule type="cellIs" dxfId="409" priority="547" operator="between">
      <formula>0.9</formula>
      <formula>1</formula>
    </cfRule>
  </conditionalFormatting>
  <conditionalFormatting sqref="I34">
    <cfRule type="cellIs" dxfId="408" priority="546" operator="greaterThan">
      <formula>1</formula>
    </cfRule>
  </conditionalFormatting>
  <conditionalFormatting sqref="I34">
    <cfRule type="expression" priority="545" stopIfTrue="1">
      <formula>LEN(TRIM(G34))=0</formula>
    </cfRule>
  </conditionalFormatting>
  <conditionalFormatting sqref="L34">
    <cfRule type="cellIs" dxfId="407" priority="544" operator="lessThan">
      <formula>0.9</formula>
    </cfRule>
  </conditionalFormatting>
  <conditionalFormatting sqref="L34">
    <cfRule type="cellIs" dxfId="406" priority="543" operator="between">
      <formula>0.9</formula>
      <formula>1</formula>
    </cfRule>
  </conditionalFormatting>
  <conditionalFormatting sqref="L34">
    <cfRule type="cellIs" dxfId="405" priority="542" operator="greaterThan">
      <formula>1</formula>
    </cfRule>
  </conditionalFormatting>
  <conditionalFormatting sqref="L34">
    <cfRule type="expression" priority="541" stopIfTrue="1">
      <formula>LEN(TRIM(J34))=0</formula>
    </cfRule>
  </conditionalFormatting>
  <conditionalFormatting sqref="F35">
    <cfRule type="cellIs" dxfId="404" priority="540" operator="lessThan">
      <formula>0.9</formula>
    </cfRule>
  </conditionalFormatting>
  <conditionalFormatting sqref="F35">
    <cfRule type="cellIs" dxfId="403" priority="539" operator="between">
      <formula>0.9</formula>
      <formula>1</formula>
    </cfRule>
  </conditionalFormatting>
  <conditionalFormatting sqref="F35">
    <cfRule type="cellIs" dxfId="402" priority="538" operator="greaterThan">
      <formula>1</formula>
    </cfRule>
  </conditionalFormatting>
  <conditionalFormatting sqref="F35">
    <cfRule type="expression" priority="537" stopIfTrue="1">
      <formula>LEN(TRIM(D35))=0</formula>
    </cfRule>
  </conditionalFormatting>
  <conditionalFormatting sqref="I35">
    <cfRule type="cellIs" dxfId="401" priority="536" operator="lessThan">
      <formula>0.9</formula>
    </cfRule>
  </conditionalFormatting>
  <conditionalFormatting sqref="I35">
    <cfRule type="cellIs" dxfId="400" priority="535" operator="between">
      <formula>0.9</formula>
      <formula>1</formula>
    </cfRule>
  </conditionalFormatting>
  <conditionalFormatting sqref="I35">
    <cfRule type="cellIs" dxfId="399" priority="534" operator="greaterThan">
      <formula>1</formula>
    </cfRule>
  </conditionalFormatting>
  <conditionalFormatting sqref="I35">
    <cfRule type="expression" priority="533" stopIfTrue="1">
      <formula>LEN(TRIM(G35))=0</formula>
    </cfRule>
  </conditionalFormatting>
  <conditionalFormatting sqref="L35">
    <cfRule type="cellIs" dxfId="398" priority="532" operator="lessThan">
      <formula>0.9</formula>
    </cfRule>
  </conditionalFormatting>
  <conditionalFormatting sqref="L35">
    <cfRule type="cellIs" dxfId="397" priority="531" operator="between">
      <formula>0.9</formula>
      <formula>1</formula>
    </cfRule>
  </conditionalFormatting>
  <conditionalFormatting sqref="L35">
    <cfRule type="cellIs" dxfId="396" priority="530" operator="greaterThan">
      <formula>1</formula>
    </cfRule>
  </conditionalFormatting>
  <conditionalFormatting sqref="L35">
    <cfRule type="expression" priority="529" stopIfTrue="1">
      <formula>LEN(TRIM(J35))=0</formula>
    </cfRule>
  </conditionalFormatting>
  <conditionalFormatting sqref="F36">
    <cfRule type="cellIs" dxfId="395" priority="528" operator="lessThan">
      <formula>0.9</formula>
    </cfRule>
  </conditionalFormatting>
  <conditionalFormatting sqref="F36">
    <cfRule type="cellIs" dxfId="394" priority="527" operator="between">
      <formula>0.9</formula>
      <formula>1</formula>
    </cfRule>
  </conditionalFormatting>
  <conditionalFormatting sqref="F36">
    <cfRule type="cellIs" dxfId="393" priority="526" operator="greaterThan">
      <formula>1</formula>
    </cfRule>
  </conditionalFormatting>
  <conditionalFormatting sqref="F36">
    <cfRule type="expression" priority="525" stopIfTrue="1">
      <formula>LEN(TRIM(D36))=0</formula>
    </cfRule>
  </conditionalFormatting>
  <conditionalFormatting sqref="I36">
    <cfRule type="cellIs" dxfId="392" priority="524" operator="lessThan">
      <formula>0.9</formula>
    </cfRule>
  </conditionalFormatting>
  <conditionalFormatting sqref="I36">
    <cfRule type="cellIs" dxfId="391" priority="523" operator="between">
      <formula>0.9</formula>
      <formula>1</formula>
    </cfRule>
  </conditionalFormatting>
  <conditionalFormatting sqref="I36">
    <cfRule type="cellIs" dxfId="390" priority="522" operator="greaterThan">
      <formula>1</formula>
    </cfRule>
  </conditionalFormatting>
  <conditionalFormatting sqref="I36">
    <cfRule type="expression" priority="521" stopIfTrue="1">
      <formula>LEN(TRIM(G36))=0</formula>
    </cfRule>
  </conditionalFormatting>
  <conditionalFormatting sqref="L36">
    <cfRule type="cellIs" dxfId="389" priority="520" operator="lessThan">
      <formula>0.9</formula>
    </cfRule>
  </conditionalFormatting>
  <conditionalFormatting sqref="L36">
    <cfRule type="cellIs" dxfId="388" priority="519" operator="between">
      <formula>0.9</formula>
      <formula>1</formula>
    </cfRule>
  </conditionalFormatting>
  <conditionalFormatting sqref="L36">
    <cfRule type="cellIs" dxfId="387" priority="518" operator="greaterThan">
      <formula>1</formula>
    </cfRule>
  </conditionalFormatting>
  <conditionalFormatting sqref="L36">
    <cfRule type="expression" priority="517" stopIfTrue="1">
      <formula>LEN(TRIM(J36))=0</formula>
    </cfRule>
  </conditionalFormatting>
  <conditionalFormatting sqref="F37">
    <cfRule type="cellIs" dxfId="386" priority="516" operator="lessThan">
      <formula>0.9</formula>
    </cfRule>
  </conditionalFormatting>
  <conditionalFormatting sqref="F37">
    <cfRule type="cellIs" dxfId="385" priority="515" operator="between">
      <formula>0.9</formula>
      <formula>1</formula>
    </cfRule>
  </conditionalFormatting>
  <conditionalFormatting sqref="F37">
    <cfRule type="cellIs" dxfId="384" priority="514" operator="greaterThan">
      <formula>1</formula>
    </cfRule>
  </conditionalFormatting>
  <conditionalFormatting sqref="F37">
    <cfRule type="expression" priority="513" stopIfTrue="1">
      <formula>LEN(TRIM(D37))=0</formula>
    </cfRule>
  </conditionalFormatting>
  <conditionalFormatting sqref="I37">
    <cfRule type="cellIs" dxfId="383" priority="512" operator="lessThan">
      <formula>0.9</formula>
    </cfRule>
  </conditionalFormatting>
  <conditionalFormatting sqref="I37">
    <cfRule type="cellIs" dxfId="382" priority="511" operator="between">
      <formula>0.9</formula>
      <formula>1</formula>
    </cfRule>
  </conditionalFormatting>
  <conditionalFormatting sqref="I37">
    <cfRule type="cellIs" dxfId="381" priority="510" operator="greaterThan">
      <formula>1</formula>
    </cfRule>
  </conditionalFormatting>
  <conditionalFormatting sqref="I37">
    <cfRule type="expression" priority="509" stopIfTrue="1">
      <formula>LEN(TRIM(G37))=0</formula>
    </cfRule>
  </conditionalFormatting>
  <conditionalFormatting sqref="L37">
    <cfRule type="cellIs" dxfId="380" priority="508" operator="lessThan">
      <formula>0.9</formula>
    </cfRule>
  </conditionalFormatting>
  <conditionalFormatting sqref="L37">
    <cfRule type="cellIs" dxfId="379" priority="507" operator="between">
      <formula>0.9</formula>
      <formula>1</formula>
    </cfRule>
  </conditionalFormatting>
  <conditionalFormatting sqref="L37">
    <cfRule type="cellIs" dxfId="378" priority="506" operator="greaterThan">
      <formula>1</formula>
    </cfRule>
  </conditionalFormatting>
  <conditionalFormatting sqref="L37">
    <cfRule type="expression" priority="505" stopIfTrue="1">
      <formula>LEN(TRIM(J37))=0</formula>
    </cfRule>
  </conditionalFormatting>
  <conditionalFormatting sqref="F38">
    <cfRule type="cellIs" dxfId="377" priority="504" operator="lessThan">
      <formula>0.9</formula>
    </cfRule>
  </conditionalFormatting>
  <conditionalFormatting sqref="F38">
    <cfRule type="cellIs" dxfId="376" priority="503" operator="between">
      <formula>0.9</formula>
      <formula>1</formula>
    </cfRule>
  </conditionalFormatting>
  <conditionalFormatting sqref="F38">
    <cfRule type="cellIs" dxfId="375" priority="502" operator="greaterThan">
      <formula>1</formula>
    </cfRule>
  </conditionalFormatting>
  <conditionalFormatting sqref="F38">
    <cfRule type="expression" priority="501" stopIfTrue="1">
      <formula>LEN(TRIM(D38))=0</formula>
    </cfRule>
  </conditionalFormatting>
  <conditionalFormatting sqref="I38">
    <cfRule type="cellIs" dxfId="374" priority="500" operator="lessThan">
      <formula>0.9</formula>
    </cfRule>
  </conditionalFormatting>
  <conditionalFormatting sqref="I38">
    <cfRule type="cellIs" dxfId="373" priority="499" operator="between">
      <formula>0.9</formula>
      <formula>1</formula>
    </cfRule>
  </conditionalFormatting>
  <conditionalFormatting sqref="I38">
    <cfRule type="cellIs" dxfId="372" priority="498" operator="greaterThan">
      <formula>1</formula>
    </cfRule>
  </conditionalFormatting>
  <conditionalFormatting sqref="I38">
    <cfRule type="expression" priority="497" stopIfTrue="1">
      <formula>LEN(TRIM(G38))=0</formula>
    </cfRule>
  </conditionalFormatting>
  <conditionalFormatting sqref="L38">
    <cfRule type="cellIs" dxfId="371" priority="496" operator="lessThan">
      <formula>0.9</formula>
    </cfRule>
  </conditionalFormatting>
  <conditionalFormatting sqref="L38">
    <cfRule type="cellIs" dxfId="370" priority="495" operator="between">
      <formula>0.9</formula>
      <formula>1</formula>
    </cfRule>
  </conditionalFormatting>
  <conditionalFormatting sqref="L38">
    <cfRule type="cellIs" dxfId="369" priority="494" operator="greaterThan">
      <formula>1</formula>
    </cfRule>
  </conditionalFormatting>
  <conditionalFormatting sqref="L38">
    <cfRule type="expression" priority="493" stopIfTrue="1">
      <formula>LEN(TRIM(J38))=0</formula>
    </cfRule>
  </conditionalFormatting>
  <conditionalFormatting sqref="F39">
    <cfRule type="cellIs" dxfId="368" priority="492" operator="lessThan">
      <formula>0.9</formula>
    </cfRule>
  </conditionalFormatting>
  <conditionalFormatting sqref="F39">
    <cfRule type="cellIs" dxfId="367" priority="491" operator="between">
      <formula>0.9</formula>
      <formula>1</formula>
    </cfRule>
  </conditionalFormatting>
  <conditionalFormatting sqref="F39">
    <cfRule type="cellIs" dxfId="366" priority="490" operator="greaterThan">
      <formula>1</formula>
    </cfRule>
  </conditionalFormatting>
  <conditionalFormatting sqref="F39">
    <cfRule type="expression" priority="489" stopIfTrue="1">
      <formula>LEN(TRIM(D39))=0</formula>
    </cfRule>
  </conditionalFormatting>
  <conditionalFormatting sqref="I39">
    <cfRule type="cellIs" dxfId="365" priority="488" operator="lessThan">
      <formula>0.9</formula>
    </cfRule>
  </conditionalFormatting>
  <conditionalFormatting sqref="I39">
    <cfRule type="cellIs" dxfId="364" priority="487" operator="between">
      <formula>0.9</formula>
      <formula>1</formula>
    </cfRule>
  </conditionalFormatting>
  <conditionalFormatting sqref="I39">
    <cfRule type="cellIs" dxfId="363" priority="486" operator="greaterThan">
      <formula>1</formula>
    </cfRule>
  </conditionalFormatting>
  <conditionalFormatting sqref="I39">
    <cfRule type="expression" priority="485" stopIfTrue="1">
      <formula>LEN(TRIM(G39))=0</formula>
    </cfRule>
  </conditionalFormatting>
  <conditionalFormatting sqref="L39">
    <cfRule type="cellIs" dxfId="362" priority="484" operator="lessThan">
      <formula>0.9</formula>
    </cfRule>
  </conditionalFormatting>
  <conditionalFormatting sqref="L39">
    <cfRule type="cellIs" dxfId="361" priority="483" operator="between">
      <formula>0.9</formula>
      <formula>1</formula>
    </cfRule>
  </conditionalFormatting>
  <conditionalFormatting sqref="L39">
    <cfRule type="cellIs" dxfId="360" priority="482" operator="greaterThan">
      <formula>1</formula>
    </cfRule>
  </conditionalFormatting>
  <conditionalFormatting sqref="L39">
    <cfRule type="expression" priority="481" stopIfTrue="1">
      <formula>LEN(TRIM(J39))=0</formula>
    </cfRule>
  </conditionalFormatting>
  <conditionalFormatting sqref="F40">
    <cfRule type="cellIs" dxfId="359" priority="480" operator="lessThan">
      <formula>0.9</formula>
    </cfRule>
  </conditionalFormatting>
  <conditionalFormatting sqref="F40">
    <cfRule type="cellIs" dxfId="358" priority="479" operator="between">
      <formula>0.9</formula>
      <formula>1</formula>
    </cfRule>
  </conditionalFormatting>
  <conditionalFormatting sqref="F40">
    <cfRule type="cellIs" dxfId="357" priority="478" operator="greaterThan">
      <formula>1</formula>
    </cfRule>
  </conditionalFormatting>
  <conditionalFormatting sqref="F40">
    <cfRule type="expression" priority="477" stopIfTrue="1">
      <formula>LEN(TRIM(D40))=0</formula>
    </cfRule>
  </conditionalFormatting>
  <conditionalFormatting sqref="I40">
    <cfRule type="cellIs" dxfId="356" priority="476" operator="lessThan">
      <formula>0.9</formula>
    </cfRule>
  </conditionalFormatting>
  <conditionalFormatting sqref="I40">
    <cfRule type="cellIs" dxfId="355" priority="475" operator="between">
      <formula>0.9</formula>
      <formula>1</formula>
    </cfRule>
  </conditionalFormatting>
  <conditionalFormatting sqref="I40">
    <cfRule type="cellIs" dxfId="354" priority="474" operator="greaterThan">
      <formula>1</formula>
    </cfRule>
  </conditionalFormatting>
  <conditionalFormatting sqref="I40">
    <cfRule type="expression" priority="473" stopIfTrue="1">
      <formula>LEN(TRIM(G40))=0</formula>
    </cfRule>
  </conditionalFormatting>
  <conditionalFormatting sqref="L40">
    <cfRule type="cellIs" dxfId="353" priority="472" operator="lessThan">
      <formula>0.9</formula>
    </cfRule>
  </conditionalFormatting>
  <conditionalFormatting sqref="L40">
    <cfRule type="cellIs" dxfId="352" priority="471" operator="between">
      <formula>0.9</formula>
      <formula>1</formula>
    </cfRule>
  </conditionalFormatting>
  <conditionalFormatting sqref="L40">
    <cfRule type="cellIs" dxfId="351" priority="470" operator="greaterThan">
      <formula>1</formula>
    </cfRule>
  </conditionalFormatting>
  <conditionalFormatting sqref="L40">
    <cfRule type="expression" priority="469" stopIfTrue="1">
      <formula>LEN(TRIM(J40))=0</formula>
    </cfRule>
  </conditionalFormatting>
  <conditionalFormatting sqref="F41">
    <cfRule type="cellIs" dxfId="350" priority="468" operator="lessThan">
      <formula>0.9</formula>
    </cfRule>
  </conditionalFormatting>
  <conditionalFormatting sqref="F41">
    <cfRule type="cellIs" dxfId="349" priority="467" operator="between">
      <formula>0.9</formula>
      <formula>1</formula>
    </cfRule>
  </conditionalFormatting>
  <conditionalFormatting sqref="F41">
    <cfRule type="cellIs" dxfId="348" priority="466" operator="greaterThan">
      <formula>1</formula>
    </cfRule>
  </conditionalFormatting>
  <conditionalFormatting sqref="F41">
    <cfRule type="expression" priority="465" stopIfTrue="1">
      <formula>LEN(TRIM(D41))=0</formula>
    </cfRule>
  </conditionalFormatting>
  <conditionalFormatting sqref="I41">
    <cfRule type="cellIs" dxfId="347" priority="464" operator="lessThan">
      <formula>0.9</formula>
    </cfRule>
  </conditionalFormatting>
  <conditionalFormatting sqref="I41">
    <cfRule type="cellIs" dxfId="346" priority="463" operator="between">
      <formula>0.9</formula>
      <formula>1</formula>
    </cfRule>
  </conditionalFormatting>
  <conditionalFormatting sqref="I41">
    <cfRule type="cellIs" dxfId="345" priority="462" operator="greaterThan">
      <formula>1</formula>
    </cfRule>
  </conditionalFormatting>
  <conditionalFormatting sqref="I41">
    <cfRule type="expression" priority="461" stopIfTrue="1">
      <formula>LEN(TRIM(G41))=0</formula>
    </cfRule>
  </conditionalFormatting>
  <conditionalFormatting sqref="L41">
    <cfRule type="cellIs" dxfId="344" priority="460" operator="lessThan">
      <formula>0.9</formula>
    </cfRule>
  </conditionalFormatting>
  <conditionalFormatting sqref="L41">
    <cfRule type="cellIs" dxfId="343" priority="459" operator="between">
      <formula>0.9</formula>
      <formula>1</formula>
    </cfRule>
  </conditionalFormatting>
  <conditionalFormatting sqref="L41">
    <cfRule type="cellIs" dxfId="342" priority="458" operator="greaterThan">
      <formula>1</formula>
    </cfRule>
  </conditionalFormatting>
  <conditionalFormatting sqref="L41">
    <cfRule type="expression" priority="457" stopIfTrue="1">
      <formula>LEN(TRIM(J41))=0</formula>
    </cfRule>
  </conditionalFormatting>
  <conditionalFormatting sqref="F42">
    <cfRule type="cellIs" dxfId="341" priority="456" operator="lessThan">
      <formula>0.9</formula>
    </cfRule>
  </conditionalFormatting>
  <conditionalFormatting sqref="F42">
    <cfRule type="cellIs" dxfId="340" priority="455" operator="between">
      <formula>0.9</formula>
      <formula>1</formula>
    </cfRule>
  </conditionalFormatting>
  <conditionalFormatting sqref="F42">
    <cfRule type="cellIs" dxfId="339" priority="454" operator="greaterThan">
      <formula>1</formula>
    </cfRule>
  </conditionalFormatting>
  <conditionalFormatting sqref="F42">
    <cfRule type="expression" priority="453" stopIfTrue="1">
      <formula>LEN(TRIM(D42))=0</formula>
    </cfRule>
  </conditionalFormatting>
  <conditionalFormatting sqref="I42">
    <cfRule type="cellIs" dxfId="338" priority="452" operator="lessThan">
      <formula>0.9</formula>
    </cfRule>
  </conditionalFormatting>
  <conditionalFormatting sqref="I42">
    <cfRule type="cellIs" dxfId="337" priority="451" operator="between">
      <formula>0.9</formula>
      <formula>1</formula>
    </cfRule>
  </conditionalFormatting>
  <conditionalFormatting sqref="I42">
    <cfRule type="cellIs" dxfId="336" priority="450" operator="greaterThan">
      <formula>1</formula>
    </cfRule>
  </conditionalFormatting>
  <conditionalFormatting sqref="I42">
    <cfRule type="expression" priority="449" stopIfTrue="1">
      <formula>LEN(TRIM(G42))=0</formula>
    </cfRule>
  </conditionalFormatting>
  <conditionalFormatting sqref="L42">
    <cfRule type="cellIs" dxfId="335" priority="448" operator="lessThan">
      <formula>0.9</formula>
    </cfRule>
  </conditionalFormatting>
  <conditionalFormatting sqref="L42">
    <cfRule type="cellIs" dxfId="334" priority="447" operator="between">
      <formula>0.9</formula>
      <formula>1</formula>
    </cfRule>
  </conditionalFormatting>
  <conditionalFormatting sqref="L42">
    <cfRule type="cellIs" dxfId="333" priority="446" operator="greaterThan">
      <formula>1</formula>
    </cfRule>
  </conditionalFormatting>
  <conditionalFormatting sqref="L42">
    <cfRule type="expression" priority="445" stopIfTrue="1">
      <formula>LEN(TRIM(J42))=0</formula>
    </cfRule>
  </conditionalFormatting>
  <conditionalFormatting sqref="F43">
    <cfRule type="cellIs" dxfId="332" priority="444" operator="lessThan">
      <formula>0.9</formula>
    </cfRule>
  </conditionalFormatting>
  <conditionalFormatting sqref="F43">
    <cfRule type="cellIs" dxfId="331" priority="443" operator="between">
      <formula>0.9</formula>
      <formula>1</formula>
    </cfRule>
  </conditionalFormatting>
  <conditionalFormatting sqref="F43">
    <cfRule type="cellIs" dxfId="330" priority="442" operator="greaterThan">
      <formula>1</formula>
    </cfRule>
  </conditionalFormatting>
  <conditionalFormatting sqref="F43">
    <cfRule type="expression" priority="441" stopIfTrue="1">
      <formula>LEN(TRIM(D43))=0</formula>
    </cfRule>
  </conditionalFormatting>
  <conditionalFormatting sqref="I43">
    <cfRule type="cellIs" dxfId="329" priority="440" operator="lessThan">
      <formula>0.9</formula>
    </cfRule>
  </conditionalFormatting>
  <conditionalFormatting sqref="I43">
    <cfRule type="cellIs" dxfId="328" priority="439" operator="between">
      <formula>0.9</formula>
      <formula>1</formula>
    </cfRule>
  </conditionalFormatting>
  <conditionalFormatting sqref="I43">
    <cfRule type="cellIs" dxfId="327" priority="438" operator="greaterThan">
      <formula>1</formula>
    </cfRule>
  </conditionalFormatting>
  <conditionalFormatting sqref="I43">
    <cfRule type="expression" priority="437" stopIfTrue="1">
      <formula>LEN(TRIM(G43))=0</formula>
    </cfRule>
  </conditionalFormatting>
  <conditionalFormatting sqref="L43">
    <cfRule type="cellIs" dxfId="326" priority="436" operator="lessThan">
      <formula>0.9</formula>
    </cfRule>
  </conditionalFormatting>
  <conditionalFormatting sqref="L43">
    <cfRule type="cellIs" dxfId="325" priority="435" operator="between">
      <formula>0.9</formula>
      <formula>1</formula>
    </cfRule>
  </conditionalFormatting>
  <conditionalFormatting sqref="L43">
    <cfRule type="cellIs" dxfId="324" priority="434" operator="greaterThan">
      <formula>1</formula>
    </cfRule>
  </conditionalFormatting>
  <conditionalFormatting sqref="L43">
    <cfRule type="expression" priority="433" stopIfTrue="1">
      <formula>LEN(TRIM(J43))=0</formula>
    </cfRule>
  </conditionalFormatting>
  <conditionalFormatting sqref="F44">
    <cfRule type="cellIs" dxfId="323" priority="432" operator="lessThan">
      <formula>0.9</formula>
    </cfRule>
  </conditionalFormatting>
  <conditionalFormatting sqref="F44">
    <cfRule type="cellIs" dxfId="322" priority="431" operator="between">
      <formula>0.9</formula>
      <formula>1</formula>
    </cfRule>
  </conditionalFormatting>
  <conditionalFormatting sqref="F44">
    <cfRule type="cellIs" dxfId="321" priority="430" operator="greaterThan">
      <formula>1</formula>
    </cfRule>
  </conditionalFormatting>
  <conditionalFormatting sqref="F44">
    <cfRule type="expression" priority="429" stopIfTrue="1">
      <formula>LEN(TRIM(D44))=0</formula>
    </cfRule>
  </conditionalFormatting>
  <conditionalFormatting sqref="I44">
    <cfRule type="cellIs" dxfId="320" priority="428" operator="lessThan">
      <formula>0.9</formula>
    </cfRule>
  </conditionalFormatting>
  <conditionalFormatting sqref="I44">
    <cfRule type="cellIs" dxfId="319" priority="427" operator="between">
      <formula>0.9</formula>
      <formula>1</formula>
    </cfRule>
  </conditionalFormatting>
  <conditionalFormatting sqref="I44">
    <cfRule type="cellIs" dxfId="318" priority="426" operator="greaterThan">
      <formula>1</formula>
    </cfRule>
  </conditionalFormatting>
  <conditionalFormatting sqref="I44">
    <cfRule type="expression" priority="425" stopIfTrue="1">
      <formula>LEN(TRIM(G44))=0</formula>
    </cfRule>
  </conditionalFormatting>
  <conditionalFormatting sqref="L44">
    <cfRule type="cellIs" dxfId="317" priority="424" operator="lessThan">
      <formula>0.9</formula>
    </cfRule>
  </conditionalFormatting>
  <conditionalFormatting sqref="L44">
    <cfRule type="cellIs" dxfId="316" priority="423" operator="between">
      <formula>0.9</formula>
      <formula>1</formula>
    </cfRule>
  </conditionalFormatting>
  <conditionalFormatting sqref="L44">
    <cfRule type="cellIs" dxfId="315" priority="422" operator="greaterThan">
      <formula>1</formula>
    </cfRule>
  </conditionalFormatting>
  <conditionalFormatting sqref="L44">
    <cfRule type="expression" priority="421" stopIfTrue="1">
      <formula>LEN(TRIM(J44))=0</formula>
    </cfRule>
  </conditionalFormatting>
  <conditionalFormatting sqref="F45">
    <cfRule type="cellIs" dxfId="314" priority="420" operator="lessThan">
      <formula>0.9</formula>
    </cfRule>
  </conditionalFormatting>
  <conditionalFormatting sqref="F45">
    <cfRule type="cellIs" dxfId="313" priority="419" operator="between">
      <formula>0.9</formula>
      <formula>1</formula>
    </cfRule>
  </conditionalFormatting>
  <conditionalFormatting sqref="F45">
    <cfRule type="cellIs" dxfId="312" priority="418" operator="greaterThan">
      <formula>1</formula>
    </cfRule>
  </conditionalFormatting>
  <conditionalFormatting sqref="F45">
    <cfRule type="expression" priority="417" stopIfTrue="1">
      <formula>LEN(TRIM(D45))=0</formula>
    </cfRule>
  </conditionalFormatting>
  <conditionalFormatting sqref="I45">
    <cfRule type="cellIs" dxfId="311" priority="416" operator="lessThan">
      <formula>0.9</formula>
    </cfRule>
  </conditionalFormatting>
  <conditionalFormatting sqref="I45">
    <cfRule type="cellIs" dxfId="310" priority="415" operator="between">
      <formula>0.9</formula>
      <formula>1</formula>
    </cfRule>
  </conditionalFormatting>
  <conditionalFormatting sqref="I45">
    <cfRule type="cellIs" dxfId="309" priority="414" operator="greaterThan">
      <formula>1</formula>
    </cfRule>
  </conditionalFormatting>
  <conditionalFormatting sqref="I45">
    <cfRule type="expression" priority="413" stopIfTrue="1">
      <formula>LEN(TRIM(G45))=0</formula>
    </cfRule>
  </conditionalFormatting>
  <conditionalFormatting sqref="L45">
    <cfRule type="cellIs" dxfId="308" priority="412" operator="lessThan">
      <formula>0.9</formula>
    </cfRule>
  </conditionalFormatting>
  <conditionalFormatting sqref="L45">
    <cfRule type="cellIs" dxfId="307" priority="411" operator="between">
      <formula>0.9</formula>
      <formula>1</formula>
    </cfRule>
  </conditionalFormatting>
  <conditionalFormatting sqref="L45">
    <cfRule type="cellIs" dxfId="306" priority="410" operator="greaterThan">
      <formula>1</formula>
    </cfRule>
  </conditionalFormatting>
  <conditionalFormatting sqref="L45">
    <cfRule type="expression" priority="409" stopIfTrue="1">
      <formula>LEN(TRIM(J45))=0</formula>
    </cfRule>
  </conditionalFormatting>
  <conditionalFormatting sqref="F46">
    <cfRule type="cellIs" dxfId="305" priority="408" operator="lessThan">
      <formula>0.9</formula>
    </cfRule>
  </conditionalFormatting>
  <conditionalFormatting sqref="F46">
    <cfRule type="cellIs" dxfId="304" priority="407" operator="between">
      <formula>0.9</formula>
      <formula>1</formula>
    </cfRule>
  </conditionalFormatting>
  <conditionalFormatting sqref="F46">
    <cfRule type="cellIs" dxfId="303" priority="406" operator="greaterThan">
      <formula>1</formula>
    </cfRule>
  </conditionalFormatting>
  <conditionalFormatting sqref="F46">
    <cfRule type="expression" priority="405" stopIfTrue="1">
      <formula>LEN(TRIM(D46))=0</formula>
    </cfRule>
  </conditionalFormatting>
  <conditionalFormatting sqref="I46">
    <cfRule type="cellIs" dxfId="302" priority="404" operator="lessThan">
      <formula>0.9</formula>
    </cfRule>
  </conditionalFormatting>
  <conditionalFormatting sqref="I46">
    <cfRule type="cellIs" dxfId="301" priority="403" operator="between">
      <formula>0.9</formula>
      <formula>1</formula>
    </cfRule>
  </conditionalFormatting>
  <conditionalFormatting sqref="I46">
    <cfRule type="cellIs" dxfId="300" priority="402" operator="greaterThan">
      <formula>1</formula>
    </cfRule>
  </conditionalFormatting>
  <conditionalFormatting sqref="I46">
    <cfRule type="expression" priority="401" stopIfTrue="1">
      <formula>LEN(TRIM(G46))=0</formula>
    </cfRule>
  </conditionalFormatting>
  <conditionalFormatting sqref="L46">
    <cfRule type="cellIs" dxfId="299" priority="400" operator="lessThan">
      <formula>0.9</formula>
    </cfRule>
  </conditionalFormatting>
  <conditionalFormatting sqref="L46">
    <cfRule type="cellIs" dxfId="298" priority="399" operator="between">
      <formula>0.9</formula>
      <formula>1</formula>
    </cfRule>
  </conditionalFormatting>
  <conditionalFormatting sqref="L46">
    <cfRule type="cellIs" dxfId="297" priority="398" operator="greaterThan">
      <formula>1</formula>
    </cfRule>
  </conditionalFormatting>
  <conditionalFormatting sqref="L46">
    <cfRule type="expression" priority="397" stopIfTrue="1">
      <formula>LEN(TRIM(J46))=0</formula>
    </cfRule>
  </conditionalFormatting>
  <conditionalFormatting sqref="F47">
    <cfRule type="cellIs" dxfId="296" priority="396" operator="lessThan">
      <formula>0.9</formula>
    </cfRule>
  </conditionalFormatting>
  <conditionalFormatting sqref="F47">
    <cfRule type="cellIs" dxfId="295" priority="395" operator="between">
      <formula>0.9</formula>
      <formula>1</formula>
    </cfRule>
  </conditionalFormatting>
  <conditionalFormatting sqref="F47">
    <cfRule type="cellIs" dxfId="294" priority="394" operator="greaterThan">
      <formula>1</formula>
    </cfRule>
  </conditionalFormatting>
  <conditionalFormatting sqref="F47">
    <cfRule type="expression" priority="393" stopIfTrue="1">
      <formula>LEN(TRIM(D47))=0</formula>
    </cfRule>
  </conditionalFormatting>
  <conditionalFormatting sqref="I47">
    <cfRule type="cellIs" dxfId="293" priority="392" operator="lessThan">
      <formula>0.9</formula>
    </cfRule>
  </conditionalFormatting>
  <conditionalFormatting sqref="I47">
    <cfRule type="cellIs" dxfId="292" priority="391" operator="between">
      <formula>0.9</formula>
      <formula>1</formula>
    </cfRule>
  </conditionalFormatting>
  <conditionalFormatting sqref="I47">
    <cfRule type="cellIs" dxfId="291" priority="390" operator="greaterThan">
      <formula>1</formula>
    </cfRule>
  </conditionalFormatting>
  <conditionalFormatting sqref="I47">
    <cfRule type="expression" priority="389" stopIfTrue="1">
      <formula>LEN(TRIM(G47))=0</formula>
    </cfRule>
  </conditionalFormatting>
  <conditionalFormatting sqref="L47">
    <cfRule type="cellIs" dxfId="290" priority="388" operator="lessThan">
      <formula>0.9</formula>
    </cfRule>
  </conditionalFormatting>
  <conditionalFormatting sqref="L47">
    <cfRule type="cellIs" dxfId="289" priority="387" operator="between">
      <formula>0.9</formula>
      <formula>1</formula>
    </cfRule>
  </conditionalFormatting>
  <conditionalFormatting sqref="L47">
    <cfRule type="cellIs" dxfId="288" priority="386" operator="greaterThan">
      <formula>1</formula>
    </cfRule>
  </conditionalFormatting>
  <conditionalFormatting sqref="L47">
    <cfRule type="expression" priority="385" stopIfTrue="1">
      <formula>LEN(TRIM(J47))=0</formula>
    </cfRule>
  </conditionalFormatting>
  <conditionalFormatting sqref="F48">
    <cfRule type="cellIs" dxfId="287" priority="384" operator="lessThan">
      <formula>0.9</formula>
    </cfRule>
  </conditionalFormatting>
  <conditionalFormatting sqref="F48">
    <cfRule type="cellIs" dxfId="286" priority="383" operator="between">
      <formula>0.9</formula>
      <formula>1</formula>
    </cfRule>
  </conditionalFormatting>
  <conditionalFormatting sqref="F48">
    <cfRule type="cellIs" dxfId="285" priority="382" operator="greaterThan">
      <formula>1</formula>
    </cfRule>
  </conditionalFormatting>
  <conditionalFormatting sqref="F48">
    <cfRule type="expression" priority="381" stopIfTrue="1">
      <formula>LEN(TRIM(D48))=0</formula>
    </cfRule>
  </conditionalFormatting>
  <conditionalFormatting sqref="I48">
    <cfRule type="cellIs" dxfId="284" priority="380" operator="lessThan">
      <formula>0.9</formula>
    </cfRule>
  </conditionalFormatting>
  <conditionalFormatting sqref="I48">
    <cfRule type="cellIs" dxfId="283" priority="379" operator="between">
      <formula>0.9</formula>
      <formula>1</formula>
    </cfRule>
  </conditionalFormatting>
  <conditionalFormatting sqref="I48">
    <cfRule type="cellIs" dxfId="282" priority="378" operator="greaterThan">
      <formula>1</formula>
    </cfRule>
  </conditionalFormatting>
  <conditionalFormatting sqref="I48">
    <cfRule type="expression" priority="377" stopIfTrue="1">
      <formula>LEN(TRIM(G48))=0</formula>
    </cfRule>
  </conditionalFormatting>
  <conditionalFormatting sqref="L48">
    <cfRule type="cellIs" dxfId="281" priority="376" operator="lessThan">
      <formula>0.9</formula>
    </cfRule>
  </conditionalFormatting>
  <conditionalFormatting sqref="L48">
    <cfRule type="cellIs" dxfId="280" priority="375" operator="between">
      <formula>0.9</formula>
      <formula>1</formula>
    </cfRule>
  </conditionalFormatting>
  <conditionalFormatting sqref="L48">
    <cfRule type="cellIs" dxfId="279" priority="374" operator="greaterThan">
      <formula>1</formula>
    </cfRule>
  </conditionalFormatting>
  <conditionalFormatting sqref="L48">
    <cfRule type="expression" priority="373" stopIfTrue="1">
      <formula>LEN(TRIM(J48))=0</formula>
    </cfRule>
  </conditionalFormatting>
  <conditionalFormatting sqref="F49">
    <cfRule type="cellIs" dxfId="278" priority="372" operator="lessThan">
      <formula>0.9</formula>
    </cfRule>
  </conditionalFormatting>
  <conditionalFormatting sqref="F49">
    <cfRule type="cellIs" dxfId="277" priority="371" operator="between">
      <formula>0.9</formula>
      <formula>1</formula>
    </cfRule>
  </conditionalFormatting>
  <conditionalFormatting sqref="F49">
    <cfRule type="cellIs" dxfId="276" priority="370" operator="greaterThan">
      <formula>1</formula>
    </cfRule>
  </conditionalFormatting>
  <conditionalFormatting sqref="F49">
    <cfRule type="expression" priority="369" stopIfTrue="1">
      <formula>LEN(TRIM(D49))=0</formula>
    </cfRule>
  </conditionalFormatting>
  <conditionalFormatting sqref="I49">
    <cfRule type="cellIs" dxfId="275" priority="368" operator="lessThan">
      <formula>0.9</formula>
    </cfRule>
  </conditionalFormatting>
  <conditionalFormatting sqref="I49">
    <cfRule type="cellIs" dxfId="274" priority="367" operator="between">
      <formula>0.9</formula>
      <formula>1</formula>
    </cfRule>
  </conditionalFormatting>
  <conditionalFormatting sqref="I49">
    <cfRule type="cellIs" dxfId="273" priority="366" operator="greaterThan">
      <formula>1</formula>
    </cfRule>
  </conditionalFormatting>
  <conditionalFormatting sqref="I49">
    <cfRule type="expression" priority="365" stopIfTrue="1">
      <formula>LEN(TRIM(G49))=0</formula>
    </cfRule>
  </conditionalFormatting>
  <conditionalFormatting sqref="L49">
    <cfRule type="cellIs" dxfId="272" priority="364" operator="lessThan">
      <formula>0.9</formula>
    </cfRule>
  </conditionalFormatting>
  <conditionalFormatting sqref="L49">
    <cfRule type="cellIs" dxfId="271" priority="363" operator="between">
      <formula>0.9</formula>
      <formula>1</formula>
    </cfRule>
  </conditionalFormatting>
  <conditionalFormatting sqref="L49">
    <cfRule type="cellIs" dxfId="270" priority="362" operator="greaterThan">
      <formula>1</formula>
    </cfRule>
  </conditionalFormatting>
  <conditionalFormatting sqref="L49">
    <cfRule type="expression" priority="361" stopIfTrue="1">
      <formula>LEN(TRIM(J49))=0</formula>
    </cfRule>
  </conditionalFormatting>
  <conditionalFormatting sqref="F50">
    <cfRule type="cellIs" dxfId="269" priority="360" operator="lessThan">
      <formula>0.9</formula>
    </cfRule>
  </conditionalFormatting>
  <conditionalFormatting sqref="F50">
    <cfRule type="cellIs" dxfId="268" priority="359" operator="between">
      <formula>0.9</formula>
      <formula>1</formula>
    </cfRule>
  </conditionalFormatting>
  <conditionalFormatting sqref="F50">
    <cfRule type="cellIs" dxfId="267" priority="358" operator="greaterThan">
      <formula>1</formula>
    </cfRule>
  </conditionalFormatting>
  <conditionalFormatting sqref="F50">
    <cfRule type="expression" priority="357" stopIfTrue="1">
      <formula>LEN(TRIM(D50))=0</formula>
    </cfRule>
  </conditionalFormatting>
  <conditionalFormatting sqref="I50">
    <cfRule type="cellIs" dxfId="266" priority="356" operator="lessThan">
      <formula>0.9</formula>
    </cfRule>
  </conditionalFormatting>
  <conditionalFormatting sqref="I50">
    <cfRule type="cellIs" dxfId="265" priority="355" operator="between">
      <formula>0.9</formula>
      <formula>1</formula>
    </cfRule>
  </conditionalFormatting>
  <conditionalFormatting sqref="I50">
    <cfRule type="cellIs" dxfId="264" priority="354" operator="greaterThan">
      <formula>1</formula>
    </cfRule>
  </conditionalFormatting>
  <conditionalFormatting sqref="I50">
    <cfRule type="expression" priority="353" stopIfTrue="1">
      <formula>LEN(TRIM(G50))=0</formula>
    </cfRule>
  </conditionalFormatting>
  <conditionalFormatting sqref="L50">
    <cfRule type="cellIs" dxfId="263" priority="352" operator="lessThan">
      <formula>0.9</formula>
    </cfRule>
  </conditionalFormatting>
  <conditionalFormatting sqref="L50">
    <cfRule type="cellIs" dxfId="262" priority="351" operator="between">
      <formula>0.9</formula>
      <formula>1</formula>
    </cfRule>
  </conditionalFormatting>
  <conditionalFormatting sqref="L50">
    <cfRule type="cellIs" dxfId="261" priority="350" operator="greaterThan">
      <formula>1</formula>
    </cfRule>
  </conditionalFormatting>
  <conditionalFormatting sqref="L50">
    <cfRule type="expression" priority="349" stopIfTrue="1">
      <formula>LEN(TRIM(J50))=0</formula>
    </cfRule>
  </conditionalFormatting>
  <conditionalFormatting sqref="F51">
    <cfRule type="cellIs" dxfId="260" priority="348" operator="lessThan">
      <formula>0.9</formula>
    </cfRule>
  </conditionalFormatting>
  <conditionalFormatting sqref="F51">
    <cfRule type="cellIs" dxfId="259" priority="347" operator="between">
      <formula>0.9</formula>
      <formula>1</formula>
    </cfRule>
  </conditionalFormatting>
  <conditionalFormatting sqref="F51">
    <cfRule type="cellIs" dxfId="258" priority="346" operator="greaterThan">
      <formula>1</formula>
    </cfRule>
  </conditionalFormatting>
  <conditionalFormatting sqref="F51">
    <cfRule type="expression" priority="345" stopIfTrue="1">
      <formula>LEN(TRIM(D51))=0</formula>
    </cfRule>
  </conditionalFormatting>
  <conditionalFormatting sqref="I51">
    <cfRule type="cellIs" dxfId="257" priority="344" operator="lessThan">
      <formula>0.9</formula>
    </cfRule>
  </conditionalFormatting>
  <conditionalFormatting sqref="I51">
    <cfRule type="cellIs" dxfId="256" priority="343" operator="between">
      <formula>0.9</formula>
      <formula>1</formula>
    </cfRule>
  </conditionalFormatting>
  <conditionalFormatting sqref="I51">
    <cfRule type="cellIs" dxfId="255" priority="342" operator="greaterThan">
      <formula>1</formula>
    </cfRule>
  </conditionalFormatting>
  <conditionalFormatting sqref="I51">
    <cfRule type="expression" priority="341" stopIfTrue="1">
      <formula>LEN(TRIM(G51))=0</formula>
    </cfRule>
  </conditionalFormatting>
  <conditionalFormatting sqref="L51">
    <cfRule type="cellIs" dxfId="254" priority="340" operator="lessThan">
      <formula>0.9</formula>
    </cfRule>
  </conditionalFormatting>
  <conditionalFormatting sqref="L51">
    <cfRule type="cellIs" dxfId="253" priority="339" operator="between">
      <formula>0.9</formula>
      <formula>1</formula>
    </cfRule>
  </conditionalFormatting>
  <conditionalFormatting sqref="L51">
    <cfRule type="cellIs" dxfId="252" priority="338" operator="greaterThan">
      <formula>1</formula>
    </cfRule>
  </conditionalFormatting>
  <conditionalFormatting sqref="L51">
    <cfRule type="expression" priority="337" stopIfTrue="1">
      <formula>LEN(TRIM(J51))=0</formula>
    </cfRule>
  </conditionalFormatting>
  <conditionalFormatting sqref="F52">
    <cfRule type="cellIs" dxfId="251" priority="336" operator="lessThan">
      <formula>0.9</formula>
    </cfRule>
  </conditionalFormatting>
  <conditionalFormatting sqref="F52">
    <cfRule type="cellIs" dxfId="250" priority="335" operator="between">
      <formula>0.9</formula>
      <formula>1</formula>
    </cfRule>
  </conditionalFormatting>
  <conditionalFormatting sqref="F52">
    <cfRule type="cellIs" dxfId="249" priority="334" operator="greaterThan">
      <formula>1</formula>
    </cfRule>
  </conditionalFormatting>
  <conditionalFormatting sqref="F52">
    <cfRule type="expression" priority="333" stopIfTrue="1">
      <formula>LEN(TRIM(D52))=0</formula>
    </cfRule>
  </conditionalFormatting>
  <conditionalFormatting sqref="I52">
    <cfRule type="cellIs" dxfId="248" priority="332" operator="lessThan">
      <formula>0.9</formula>
    </cfRule>
  </conditionalFormatting>
  <conditionalFormatting sqref="I52">
    <cfRule type="cellIs" dxfId="247" priority="331" operator="between">
      <formula>0.9</formula>
      <formula>1</formula>
    </cfRule>
  </conditionalFormatting>
  <conditionalFormatting sqref="I52">
    <cfRule type="cellIs" dxfId="246" priority="330" operator="greaterThan">
      <formula>1</formula>
    </cfRule>
  </conditionalFormatting>
  <conditionalFormatting sqref="I52">
    <cfRule type="expression" priority="329" stopIfTrue="1">
      <formula>LEN(TRIM(G52))=0</formula>
    </cfRule>
  </conditionalFormatting>
  <conditionalFormatting sqref="L52">
    <cfRule type="cellIs" dxfId="245" priority="328" operator="lessThan">
      <formula>0.9</formula>
    </cfRule>
  </conditionalFormatting>
  <conditionalFormatting sqref="L52">
    <cfRule type="cellIs" dxfId="244" priority="327" operator="between">
      <formula>0.9</formula>
      <formula>1</formula>
    </cfRule>
  </conditionalFormatting>
  <conditionalFormatting sqref="L52">
    <cfRule type="cellIs" dxfId="243" priority="326" operator="greaterThan">
      <formula>1</formula>
    </cfRule>
  </conditionalFormatting>
  <conditionalFormatting sqref="L52">
    <cfRule type="expression" priority="325" stopIfTrue="1">
      <formula>LEN(TRIM(J52))=0</formula>
    </cfRule>
  </conditionalFormatting>
  <conditionalFormatting sqref="F53">
    <cfRule type="cellIs" dxfId="242" priority="324" operator="lessThan">
      <formula>0.9</formula>
    </cfRule>
  </conditionalFormatting>
  <conditionalFormatting sqref="F53">
    <cfRule type="cellIs" dxfId="241" priority="323" operator="between">
      <formula>0.9</formula>
      <formula>1</formula>
    </cfRule>
  </conditionalFormatting>
  <conditionalFormatting sqref="F53">
    <cfRule type="cellIs" dxfId="240" priority="322" operator="greaterThan">
      <formula>1</formula>
    </cfRule>
  </conditionalFormatting>
  <conditionalFormatting sqref="F53">
    <cfRule type="expression" priority="321" stopIfTrue="1">
      <formula>LEN(TRIM(D53))=0</formula>
    </cfRule>
  </conditionalFormatting>
  <conditionalFormatting sqref="I53">
    <cfRule type="cellIs" dxfId="239" priority="320" operator="lessThan">
      <formula>0.9</formula>
    </cfRule>
  </conditionalFormatting>
  <conditionalFormatting sqref="I53">
    <cfRule type="cellIs" dxfId="238" priority="319" operator="between">
      <formula>0.9</formula>
      <formula>1</formula>
    </cfRule>
  </conditionalFormatting>
  <conditionalFormatting sqref="I53">
    <cfRule type="cellIs" dxfId="237" priority="318" operator="greaterThan">
      <formula>1</formula>
    </cfRule>
  </conditionalFormatting>
  <conditionalFormatting sqref="I53">
    <cfRule type="expression" priority="317" stopIfTrue="1">
      <formula>LEN(TRIM(G53))=0</formula>
    </cfRule>
  </conditionalFormatting>
  <conditionalFormatting sqref="L53">
    <cfRule type="cellIs" dxfId="236" priority="316" operator="lessThan">
      <formula>0.9</formula>
    </cfRule>
  </conditionalFormatting>
  <conditionalFormatting sqref="L53">
    <cfRule type="cellIs" dxfId="235" priority="315" operator="between">
      <formula>0.9</formula>
      <formula>1</formula>
    </cfRule>
  </conditionalFormatting>
  <conditionalFormatting sqref="L53">
    <cfRule type="cellIs" dxfId="234" priority="314" operator="greaterThan">
      <formula>1</formula>
    </cfRule>
  </conditionalFormatting>
  <conditionalFormatting sqref="L53">
    <cfRule type="expression" priority="313" stopIfTrue="1">
      <formula>LEN(TRIM(J53))=0</formula>
    </cfRule>
  </conditionalFormatting>
  <conditionalFormatting sqref="F54">
    <cfRule type="cellIs" dxfId="233" priority="312" operator="lessThan">
      <formula>0.9</formula>
    </cfRule>
  </conditionalFormatting>
  <conditionalFormatting sqref="F54">
    <cfRule type="cellIs" dxfId="232" priority="311" operator="between">
      <formula>0.9</formula>
      <formula>1</formula>
    </cfRule>
  </conditionalFormatting>
  <conditionalFormatting sqref="F54">
    <cfRule type="cellIs" dxfId="231" priority="310" operator="greaterThan">
      <formula>1</formula>
    </cfRule>
  </conditionalFormatting>
  <conditionalFormatting sqref="F54">
    <cfRule type="expression" priority="309" stopIfTrue="1">
      <formula>LEN(TRIM(D54))=0</formula>
    </cfRule>
  </conditionalFormatting>
  <conditionalFormatting sqref="I54">
    <cfRule type="cellIs" dxfId="230" priority="308" operator="lessThan">
      <formula>0.9</formula>
    </cfRule>
  </conditionalFormatting>
  <conditionalFormatting sqref="I54">
    <cfRule type="cellIs" dxfId="229" priority="307" operator="between">
      <formula>0.9</formula>
      <formula>1</formula>
    </cfRule>
  </conditionalFormatting>
  <conditionalFormatting sqref="I54">
    <cfRule type="cellIs" dxfId="228" priority="306" operator="greaterThan">
      <formula>1</formula>
    </cfRule>
  </conditionalFormatting>
  <conditionalFormatting sqref="I54">
    <cfRule type="expression" priority="305" stopIfTrue="1">
      <formula>LEN(TRIM(G54))=0</formula>
    </cfRule>
  </conditionalFormatting>
  <conditionalFormatting sqref="L54">
    <cfRule type="cellIs" dxfId="227" priority="304" operator="lessThan">
      <formula>0.9</formula>
    </cfRule>
  </conditionalFormatting>
  <conditionalFormatting sqref="L54">
    <cfRule type="cellIs" dxfId="226" priority="303" operator="between">
      <formula>0.9</formula>
      <formula>1</formula>
    </cfRule>
  </conditionalFormatting>
  <conditionalFormatting sqref="L54">
    <cfRule type="cellIs" dxfId="225" priority="302" operator="greaterThan">
      <formula>1</formula>
    </cfRule>
  </conditionalFormatting>
  <conditionalFormatting sqref="L54">
    <cfRule type="expression" priority="301" stopIfTrue="1">
      <formula>LEN(TRIM(J54))=0</formula>
    </cfRule>
  </conditionalFormatting>
  <conditionalFormatting sqref="F55">
    <cfRule type="cellIs" dxfId="224" priority="300" operator="lessThan">
      <formula>0.9</formula>
    </cfRule>
  </conditionalFormatting>
  <conditionalFormatting sqref="F55">
    <cfRule type="cellIs" dxfId="223" priority="299" operator="between">
      <formula>0.9</formula>
      <formula>1</formula>
    </cfRule>
  </conditionalFormatting>
  <conditionalFormatting sqref="F55">
    <cfRule type="cellIs" dxfId="222" priority="298" operator="greaterThan">
      <formula>1</formula>
    </cfRule>
  </conditionalFormatting>
  <conditionalFormatting sqref="F55">
    <cfRule type="expression" priority="297" stopIfTrue="1">
      <formula>LEN(TRIM(D55))=0</formula>
    </cfRule>
  </conditionalFormatting>
  <conditionalFormatting sqref="I55">
    <cfRule type="cellIs" dxfId="221" priority="296" operator="lessThan">
      <formula>0.9</formula>
    </cfRule>
  </conditionalFormatting>
  <conditionalFormatting sqref="I55">
    <cfRule type="cellIs" dxfId="220" priority="295" operator="between">
      <formula>0.9</formula>
      <formula>1</formula>
    </cfRule>
  </conditionalFormatting>
  <conditionalFormatting sqref="I55">
    <cfRule type="cellIs" dxfId="219" priority="294" operator="greaterThan">
      <formula>1</formula>
    </cfRule>
  </conditionalFormatting>
  <conditionalFormatting sqref="I55">
    <cfRule type="expression" priority="293" stopIfTrue="1">
      <formula>LEN(TRIM(G55))=0</formula>
    </cfRule>
  </conditionalFormatting>
  <conditionalFormatting sqref="L55">
    <cfRule type="cellIs" dxfId="218" priority="292" operator="lessThan">
      <formula>0.9</formula>
    </cfRule>
  </conditionalFormatting>
  <conditionalFormatting sqref="L55">
    <cfRule type="cellIs" dxfId="217" priority="291" operator="between">
      <formula>0.9</formula>
      <formula>1</formula>
    </cfRule>
  </conditionalFormatting>
  <conditionalFormatting sqref="L55">
    <cfRule type="cellIs" dxfId="216" priority="290" operator="greaterThan">
      <formula>1</formula>
    </cfRule>
  </conditionalFormatting>
  <conditionalFormatting sqref="L55">
    <cfRule type="expression" priority="289" stopIfTrue="1">
      <formula>LEN(TRIM(J55))=0</formula>
    </cfRule>
  </conditionalFormatting>
  <conditionalFormatting sqref="F56">
    <cfRule type="cellIs" dxfId="215" priority="288" operator="lessThan">
      <formula>0.9</formula>
    </cfRule>
  </conditionalFormatting>
  <conditionalFormatting sqref="F56">
    <cfRule type="cellIs" dxfId="214" priority="287" operator="between">
      <formula>0.9</formula>
      <formula>1</formula>
    </cfRule>
  </conditionalFormatting>
  <conditionalFormatting sqref="F56">
    <cfRule type="cellIs" dxfId="213" priority="286" operator="greaterThan">
      <formula>1</formula>
    </cfRule>
  </conditionalFormatting>
  <conditionalFormatting sqref="F56">
    <cfRule type="expression" priority="285" stopIfTrue="1">
      <formula>LEN(TRIM(D56))=0</formula>
    </cfRule>
  </conditionalFormatting>
  <conditionalFormatting sqref="I56">
    <cfRule type="cellIs" dxfId="212" priority="284" operator="lessThan">
      <formula>0.9</formula>
    </cfRule>
  </conditionalFormatting>
  <conditionalFormatting sqref="I56">
    <cfRule type="cellIs" dxfId="211" priority="283" operator="between">
      <formula>0.9</formula>
      <formula>1</formula>
    </cfRule>
  </conditionalFormatting>
  <conditionalFormatting sqref="I56">
    <cfRule type="cellIs" dxfId="210" priority="282" operator="greaterThan">
      <formula>1</formula>
    </cfRule>
  </conditionalFormatting>
  <conditionalFormatting sqref="I56">
    <cfRule type="expression" priority="281" stopIfTrue="1">
      <formula>LEN(TRIM(G56))=0</formula>
    </cfRule>
  </conditionalFormatting>
  <conditionalFormatting sqref="L56">
    <cfRule type="cellIs" dxfId="209" priority="280" operator="lessThan">
      <formula>0.9</formula>
    </cfRule>
  </conditionalFormatting>
  <conditionalFormatting sqref="L56">
    <cfRule type="cellIs" dxfId="208" priority="279" operator="between">
      <formula>0.9</formula>
      <formula>1</formula>
    </cfRule>
  </conditionalFormatting>
  <conditionalFormatting sqref="L56">
    <cfRule type="cellIs" dxfId="207" priority="278" operator="greaterThan">
      <formula>1</formula>
    </cfRule>
  </conditionalFormatting>
  <conditionalFormatting sqref="L56">
    <cfRule type="expression" priority="277" stopIfTrue="1">
      <formula>LEN(TRIM(J56))=0</formula>
    </cfRule>
  </conditionalFormatting>
  <conditionalFormatting sqref="F57">
    <cfRule type="cellIs" dxfId="206" priority="276" operator="lessThan">
      <formula>0.9</formula>
    </cfRule>
  </conditionalFormatting>
  <conditionalFormatting sqref="F57">
    <cfRule type="cellIs" dxfId="205" priority="275" operator="between">
      <formula>0.9</formula>
      <formula>1</formula>
    </cfRule>
  </conditionalFormatting>
  <conditionalFormatting sqref="F57">
    <cfRule type="cellIs" dxfId="204" priority="274" operator="greaterThan">
      <formula>1</formula>
    </cfRule>
  </conditionalFormatting>
  <conditionalFormatting sqref="F57">
    <cfRule type="expression" priority="273" stopIfTrue="1">
      <formula>LEN(TRIM(D57))=0</formula>
    </cfRule>
  </conditionalFormatting>
  <conditionalFormatting sqref="I57">
    <cfRule type="cellIs" dxfId="203" priority="272" operator="lessThan">
      <formula>0.9</formula>
    </cfRule>
  </conditionalFormatting>
  <conditionalFormatting sqref="I57">
    <cfRule type="cellIs" dxfId="202" priority="271" operator="between">
      <formula>0.9</formula>
      <formula>1</formula>
    </cfRule>
  </conditionalFormatting>
  <conditionalFormatting sqref="I57">
    <cfRule type="cellIs" dxfId="201" priority="270" operator="greaterThan">
      <formula>1</formula>
    </cfRule>
  </conditionalFormatting>
  <conditionalFormatting sqref="I57">
    <cfRule type="expression" priority="269" stopIfTrue="1">
      <formula>LEN(TRIM(G57))=0</formula>
    </cfRule>
  </conditionalFormatting>
  <conditionalFormatting sqref="L57">
    <cfRule type="cellIs" dxfId="200" priority="268" operator="lessThan">
      <formula>0.9</formula>
    </cfRule>
  </conditionalFormatting>
  <conditionalFormatting sqref="L57">
    <cfRule type="cellIs" dxfId="199" priority="267" operator="between">
      <formula>0.9</formula>
      <formula>1</formula>
    </cfRule>
  </conditionalFormatting>
  <conditionalFormatting sqref="L57">
    <cfRule type="cellIs" dxfId="198" priority="266" operator="greaterThan">
      <formula>1</formula>
    </cfRule>
  </conditionalFormatting>
  <conditionalFormatting sqref="L57">
    <cfRule type="expression" priority="265" stopIfTrue="1">
      <formula>LEN(TRIM(J57))=0</formula>
    </cfRule>
  </conditionalFormatting>
  <conditionalFormatting sqref="F58">
    <cfRule type="cellIs" dxfId="197" priority="264" operator="lessThan">
      <formula>0.9</formula>
    </cfRule>
  </conditionalFormatting>
  <conditionalFormatting sqref="F58">
    <cfRule type="cellIs" dxfId="196" priority="263" operator="between">
      <formula>0.9</formula>
      <formula>1</formula>
    </cfRule>
  </conditionalFormatting>
  <conditionalFormatting sqref="F58">
    <cfRule type="cellIs" dxfId="195" priority="262" operator="greaterThan">
      <formula>1</formula>
    </cfRule>
  </conditionalFormatting>
  <conditionalFormatting sqref="F58">
    <cfRule type="expression" priority="261" stopIfTrue="1">
      <formula>LEN(TRIM(D58))=0</formula>
    </cfRule>
  </conditionalFormatting>
  <conditionalFormatting sqref="I58">
    <cfRule type="cellIs" dxfId="194" priority="260" operator="lessThan">
      <formula>0.9</formula>
    </cfRule>
  </conditionalFormatting>
  <conditionalFormatting sqref="I58">
    <cfRule type="cellIs" dxfId="193" priority="259" operator="between">
      <formula>0.9</formula>
      <formula>1</formula>
    </cfRule>
  </conditionalFormatting>
  <conditionalFormatting sqref="I58">
    <cfRule type="cellIs" dxfId="192" priority="258" operator="greaterThan">
      <formula>1</formula>
    </cfRule>
  </conditionalFormatting>
  <conditionalFormatting sqref="I58">
    <cfRule type="expression" priority="257" stopIfTrue="1">
      <formula>LEN(TRIM(G58))=0</formula>
    </cfRule>
  </conditionalFormatting>
  <conditionalFormatting sqref="L58">
    <cfRule type="cellIs" dxfId="191" priority="256" operator="lessThan">
      <formula>0.9</formula>
    </cfRule>
  </conditionalFormatting>
  <conditionalFormatting sqref="L58">
    <cfRule type="cellIs" dxfId="190" priority="255" operator="between">
      <formula>0.9</formula>
      <formula>1</formula>
    </cfRule>
  </conditionalFormatting>
  <conditionalFormatting sqref="L58">
    <cfRule type="cellIs" dxfId="189" priority="254" operator="greaterThan">
      <formula>1</formula>
    </cfRule>
  </conditionalFormatting>
  <conditionalFormatting sqref="L58">
    <cfRule type="expression" priority="253" stopIfTrue="1">
      <formula>LEN(TRIM(J58))=0</formula>
    </cfRule>
  </conditionalFormatting>
  <conditionalFormatting sqref="F59">
    <cfRule type="cellIs" dxfId="188" priority="252" operator="lessThan">
      <formula>0.9</formula>
    </cfRule>
  </conditionalFormatting>
  <conditionalFormatting sqref="F59">
    <cfRule type="cellIs" dxfId="187" priority="251" operator="between">
      <formula>0.9</formula>
      <formula>1</formula>
    </cfRule>
  </conditionalFormatting>
  <conditionalFormatting sqref="F59">
    <cfRule type="cellIs" dxfId="186" priority="250" operator="greaterThan">
      <formula>1</formula>
    </cfRule>
  </conditionalFormatting>
  <conditionalFormatting sqref="F59">
    <cfRule type="expression" priority="249" stopIfTrue="1">
      <formula>LEN(TRIM(D59))=0</formula>
    </cfRule>
  </conditionalFormatting>
  <conditionalFormatting sqref="I59">
    <cfRule type="cellIs" dxfId="185" priority="248" operator="lessThan">
      <formula>0.9</formula>
    </cfRule>
  </conditionalFormatting>
  <conditionalFormatting sqref="I59">
    <cfRule type="cellIs" dxfId="184" priority="247" operator="between">
      <formula>0.9</formula>
      <formula>1</formula>
    </cfRule>
  </conditionalFormatting>
  <conditionalFormatting sqref="I59">
    <cfRule type="cellIs" dxfId="183" priority="246" operator="greaterThan">
      <formula>1</formula>
    </cfRule>
  </conditionalFormatting>
  <conditionalFormatting sqref="I59">
    <cfRule type="expression" priority="245" stopIfTrue="1">
      <formula>LEN(TRIM(G59))=0</formula>
    </cfRule>
  </conditionalFormatting>
  <conditionalFormatting sqref="L59">
    <cfRule type="cellIs" dxfId="182" priority="244" operator="lessThan">
      <formula>0.9</formula>
    </cfRule>
  </conditionalFormatting>
  <conditionalFormatting sqref="L59">
    <cfRule type="cellIs" dxfId="181" priority="243" operator="between">
      <formula>0.9</formula>
      <formula>1</formula>
    </cfRule>
  </conditionalFormatting>
  <conditionalFormatting sqref="L59">
    <cfRule type="cellIs" dxfId="180" priority="242" operator="greaterThan">
      <formula>1</formula>
    </cfRule>
  </conditionalFormatting>
  <conditionalFormatting sqref="L59">
    <cfRule type="expression" priority="241" stopIfTrue="1">
      <formula>LEN(TRIM(J59))=0</formula>
    </cfRule>
  </conditionalFormatting>
  <conditionalFormatting sqref="F60">
    <cfRule type="cellIs" dxfId="179" priority="240" operator="lessThan">
      <formula>0.9</formula>
    </cfRule>
  </conditionalFormatting>
  <conditionalFormatting sqref="F60">
    <cfRule type="cellIs" dxfId="178" priority="239" operator="between">
      <formula>0.9</formula>
      <formula>1</formula>
    </cfRule>
  </conditionalFormatting>
  <conditionalFormatting sqref="F60">
    <cfRule type="cellIs" dxfId="177" priority="238" operator="greaterThan">
      <formula>1</formula>
    </cfRule>
  </conditionalFormatting>
  <conditionalFormatting sqref="F60">
    <cfRule type="expression" priority="237" stopIfTrue="1">
      <formula>LEN(TRIM(D60))=0</formula>
    </cfRule>
  </conditionalFormatting>
  <conditionalFormatting sqref="I60">
    <cfRule type="cellIs" dxfId="176" priority="236" operator="lessThan">
      <formula>0.9</formula>
    </cfRule>
  </conditionalFormatting>
  <conditionalFormatting sqref="I60">
    <cfRule type="cellIs" dxfId="175" priority="235" operator="between">
      <formula>0.9</formula>
      <formula>1</formula>
    </cfRule>
  </conditionalFormatting>
  <conditionalFormatting sqref="I60">
    <cfRule type="cellIs" dxfId="174" priority="234" operator="greaterThan">
      <formula>1</formula>
    </cfRule>
  </conditionalFormatting>
  <conditionalFormatting sqref="I60">
    <cfRule type="expression" priority="233" stopIfTrue="1">
      <formula>LEN(TRIM(G60))=0</formula>
    </cfRule>
  </conditionalFormatting>
  <conditionalFormatting sqref="L60">
    <cfRule type="cellIs" dxfId="173" priority="232" operator="lessThan">
      <formula>0.9</formula>
    </cfRule>
  </conditionalFormatting>
  <conditionalFormatting sqref="L60">
    <cfRule type="cellIs" dxfId="172" priority="231" operator="between">
      <formula>0.9</formula>
      <formula>1</formula>
    </cfRule>
  </conditionalFormatting>
  <conditionalFormatting sqref="L60">
    <cfRule type="cellIs" dxfId="171" priority="230" operator="greaterThan">
      <formula>1</formula>
    </cfRule>
  </conditionalFormatting>
  <conditionalFormatting sqref="L60">
    <cfRule type="expression" priority="229" stopIfTrue="1">
      <formula>LEN(TRIM(J60))=0</formula>
    </cfRule>
  </conditionalFormatting>
  <conditionalFormatting sqref="F61">
    <cfRule type="cellIs" dxfId="170" priority="228" operator="lessThan">
      <formula>0.9</formula>
    </cfRule>
  </conditionalFormatting>
  <conditionalFormatting sqref="F61">
    <cfRule type="cellIs" dxfId="169" priority="227" operator="between">
      <formula>0.9</formula>
      <formula>1</formula>
    </cfRule>
  </conditionalFormatting>
  <conditionalFormatting sqref="F61">
    <cfRule type="cellIs" dxfId="168" priority="226" operator="greaterThan">
      <formula>1</formula>
    </cfRule>
  </conditionalFormatting>
  <conditionalFormatting sqref="F61">
    <cfRule type="expression" priority="225" stopIfTrue="1">
      <formula>LEN(TRIM(D61))=0</formula>
    </cfRule>
  </conditionalFormatting>
  <conditionalFormatting sqref="I61">
    <cfRule type="cellIs" dxfId="167" priority="224" operator="lessThan">
      <formula>0.9</formula>
    </cfRule>
  </conditionalFormatting>
  <conditionalFormatting sqref="I61">
    <cfRule type="cellIs" dxfId="166" priority="223" operator="between">
      <formula>0.9</formula>
      <formula>1</formula>
    </cfRule>
  </conditionalFormatting>
  <conditionalFormatting sqref="I61">
    <cfRule type="cellIs" dxfId="165" priority="222" operator="greaterThan">
      <formula>1</formula>
    </cfRule>
  </conditionalFormatting>
  <conditionalFormatting sqref="I61">
    <cfRule type="expression" priority="221" stopIfTrue="1">
      <formula>LEN(TRIM(G61))=0</formula>
    </cfRule>
  </conditionalFormatting>
  <conditionalFormatting sqref="L61">
    <cfRule type="cellIs" dxfId="164" priority="220" operator="lessThan">
      <formula>0.9</formula>
    </cfRule>
  </conditionalFormatting>
  <conditionalFormatting sqref="L61">
    <cfRule type="cellIs" dxfId="163" priority="219" operator="between">
      <formula>0.9</formula>
      <formula>1</formula>
    </cfRule>
  </conditionalFormatting>
  <conditionalFormatting sqref="L61">
    <cfRule type="cellIs" dxfId="162" priority="218" operator="greaterThan">
      <formula>1</formula>
    </cfRule>
  </conditionalFormatting>
  <conditionalFormatting sqref="L61">
    <cfRule type="expression" priority="217" stopIfTrue="1">
      <formula>LEN(TRIM(J61))=0</formula>
    </cfRule>
  </conditionalFormatting>
  <conditionalFormatting sqref="F62">
    <cfRule type="cellIs" dxfId="161" priority="216" operator="lessThan">
      <formula>0.9</formula>
    </cfRule>
  </conditionalFormatting>
  <conditionalFormatting sqref="F62">
    <cfRule type="cellIs" dxfId="160" priority="215" operator="between">
      <formula>0.9</formula>
      <formula>1</formula>
    </cfRule>
  </conditionalFormatting>
  <conditionalFormatting sqref="F62">
    <cfRule type="cellIs" dxfId="159" priority="214" operator="greaterThan">
      <formula>1</formula>
    </cfRule>
  </conditionalFormatting>
  <conditionalFormatting sqref="F62">
    <cfRule type="expression" priority="213" stopIfTrue="1">
      <formula>LEN(TRIM(D62))=0</formula>
    </cfRule>
  </conditionalFormatting>
  <conditionalFormatting sqref="I62">
    <cfRule type="cellIs" dxfId="158" priority="212" operator="lessThan">
      <formula>0.9</formula>
    </cfRule>
  </conditionalFormatting>
  <conditionalFormatting sqref="I62">
    <cfRule type="cellIs" dxfId="157" priority="211" operator="between">
      <formula>0.9</formula>
      <formula>1</formula>
    </cfRule>
  </conditionalFormatting>
  <conditionalFormatting sqref="I62">
    <cfRule type="cellIs" dxfId="156" priority="210" operator="greaterThan">
      <formula>1</formula>
    </cfRule>
  </conditionalFormatting>
  <conditionalFormatting sqref="I62">
    <cfRule type="expression" priority="209" stopIfTrue="1">
      <formula>LEN(TRIM(G62))=0</formula>
    </cfRule>
  </conditionalFormatting>
  <conditionalFormatting sqref="L62">
    <cfRule type="cellIs" dxfId="155" priority="208" operator="lessThan">
      <formula>0.9</formula>
    </cfRule>
  </conditionalFormatting>
  <conditionalFormatting sqref="L62">
    <cfRule type="cellIs" dxfId="154" priority="207" operator="between">
      <formula>0.9</formula>
      <formula>1</formula>
    </cfRule>
  </conditionalFormatting>
  <conditionalFormatting sqref="L62">
    <cfRule type="cellIs" dxfId="153" priority="206" operator="greaterThan">
      <formula>1</formula>
    </cfRule>
  </conditionalFormatting>
  <conditionalFormatting sqref="L62">
    <cfRule type="expression" priority="205" stopIfTrue="1">
      <formula>LEN(TRIM(J62))=0</formula>
    </cfRule>
  </conditionalFormatting>
  <conditionalFormatting sqref="F63">
    <cfRule type="cellIs" dxfId="152" priority="204" operator="lessThan">
      <formula>0.9</formula>
    </cfRule>
  </conditionalFormatting>
  <conditionalFormatting sqref="F63">
    <cfRule type="cellIs" dxfId="151" priority="203" operator="between">
      <formula>0.9</formula>
      <formula>1</formula>
    </cfRule>
  </conditionalFormatting>
  <conditionalFormatting sqref="F63">
    <cfRule type="cellIs" dxfId="150" priority="202" operator="greaterThan">
      <formula>1</formula>
    </cfRule>
  </conditionalFormatting>
  <conditionalFormatting sqref="F63">
    <cfRule type="expression" priority="201" stopIfTrue="1">
      <formula>LEN(TRIM(D63))=0</formula>
    </cfRule>
  </conditionalFormatting>
  <conditionalFormatting sqref="I63">
    <cfRule type="cellIs" dxfId="149" priority="200" operator="lessThan">
      <formula>0.9</formula>
    </cfRule>
  </conditionalFormatting>
  <conditionalFormatting sqref="I63">
    <cfRule type="cellIs" dxfId="148" priority="199" operator="between">
      <formula>0.9</formula>
      <formula>1</formula>
    </cfRule>
  </conditionalFormatting>
  <conditionalFormatting sqref="I63">
    <cfRule type="cellIs" dxfId="147" priority="198" operator="greaterThan">
      <formula>1</formula>
    </cfRule>
  </conditionalFormatting>
  <conditionalFormatting sqref="I63">
    <cfRule type="expression" priority="197" stopIfTrue="1">
      <formula>LEN(TRIM(G63))=0</formula>
    </cfRule>
  </conditionalFormatting>
  <conditionalFormatting sqref="L63">
    <cfRule type="cellIs" dxfId="146" priority="196" operator="lessThan">
      <formula>0.9</formula>
    </cfRule>
  </conditionalFormatting>
  <conditionalFormatting sqref="L63">
    <cfRule type="cellIs" dxfId="145" priority="195" operator="between">
      <formula>0.9</formula>
      <formula>1</formula>
    </cfRule>
  </conditionalFormatting>
  <conditionalFormatting sqref="L63">
    <cfRule type="cellIs" dxfId="144" priority="194" operator="greaterThan">
      <formula>1</formula>
    </cfRule>
  </conditionalFormatting>
  <conditionalFormatting sqref="L63">
    <cfRule type="expression" priority="193" stopIfTrue="1">
      <formula>LEN(TRIM(J63))=0</formula>
    </cfRule>
  </conditionalFormatting>
  <conditionalFormatting sqref="F64">
    <cfRule type="cellIs" dxfId="143" priority="192" operator="lessThan">
      <formula>0.9</formula>
    </cfRule>
  </conditionalFormatting>
  <conditionalFormatting sqref="F64">
    <cfRule type="cellIs" dxfId="142" priority="191" operator="between">
      <formula>0.9</formula>
      <formula>1</formula>
    </cfRule>
  </conditionalFormatting>
  <conditionalFormatting sqref="F64">
    <cfRule type="cellIs" dxfId="141" priority="190" operator="greaterThan">
      <formula>1</formula>
    </cfRule>
  </conditionalFormatting>
  <conditionalFormatting sqref="F64">
    <cfRule type="expression" priority="189" stopIfTrue="1">
      <formula>LEN(TRIM(D64))=0</formula>
    </cfRule>
  </conditionalFormatting>
  <conditionalFormatting sqref="I64">
    <cfRule type="cellIs" dxfId="140" priority="188" operator="lessThan">
      <formula>0.9</formula>
    </cfRule>
  </conditionalFormatting>
  <conditionalFormatting sqref="I64">
    <cfRule type="cellIs" dxfId="139" priority="187" operator="between">
      <formula>0.9</formula>
      <formula>1</formula>
    </cfRule>
  </conditionalFormatting>
  <conditionalFormatting sqref="I64">
    <cfRule type="cellIs" dxfId="138" priority="186" operator="greaterThan">
      <formula>1</formula>
    </cfRule>
  </conditionalFormatting>
  <conditionalFormatting sqref="I64">
    <cfRule type="expression" priority="185" stopIfTrue="1">
      <formula>LEN(TRIM(G64))=0</formula>
    </cfRule>
  </conditionalFormatting>
  <conditionalFormatting sqref="L64">
    <cfRule type="cellIs" dxfId="137" priority="184" operator="lessThan">
      <formula>0.9</formula>
    </cfRule>
  </conditionalFormatting>
  <conditionalFormatting sqref="L64">
    <cfRule type="cellIs" dxfId="136" priority="183" operator="between">
      <formula>0.9</formula>
      <formula>1</formula>
    </cfRule>
  </conditionalFormatting>
  <conditionalFormatting sqref="L64">
    <cfRule type="cellIs" dxfId="135" priority="182" operator="greaterThan">
      <formula>1</formula>
    </cfRule>
  </conditionalFormatting>
  <conditionalFormatting sqref="L64">
    <cfRule type="expression" priority="181" stopIfTrue="1">
      <formula>LEN(TRIM(J64))=0</formula>
    </cfRule>
  </conditionalFormatting>
  <conditionalFormatting sqref="F65">
    <cfRule type="cellIs" dxfId="134" priority="180" operator="lessThan">
      <formula>0.9</formula>
    </cfRule>
  </conditionalFormatting>
  <conditionalFormatting sqref="F65">
    <cfRule type="cellIs" dxfId="133" priority="179" operator="between">
      <formula>0.9</formula>
      <formula>1</formula>
    </cfRule>
  </conditionalFormatting>
  <conditionalFormatting sqref="F65">
    <cfRule type="cellIs" dxfId="132" priority="178" operator="greaterThan">
      <formula>1</formula>
    </cfRule>
  </conditionalFormatting>
  <conditionalFormatting sqref="F65">
    <cfRule type="expression" priority="177" stopIfTrue="1">
      <formula>LEN(TRIM(D65))=0</formula>
    </cfRule>
  </conditionalFormatting>
  <conditionalFormatting sqref="I65">
    <cfRule type="cellIs" dxfId="131" priority="176" operator="lessThan">
      <formula>0.9</formula>
    </cfRule>
  </conditionalFormatting>
  <conditionalFormatting sqref="I65">
    <cfRule type="cellIs" dxfId="130" priority="175" operator="between">
      <formula>0.9</formula>
      <formula>1</formula>
    </cfRule>
  </conditionalFormatting>
  <conditionalFormatting sqref="I65">
    <cfRule type="cellIs" dxfId="129" priority="174" operator="greaterThan">
      <formula>1</formula>
    </cfRule>
  </conditionalFormatting>
  <conditionalFormatting sqref="I65">
    <cfRule type="expression" priority="173" stopIfTrue="1">
      <formula>LEN(TRIM(G65))=0</formula>
    </cfRule>
  </conditionalFormatting>
  <conditionalFormatting sqref="L65">
    <cfRule type="cellIs" dxfId="128" priority="172" operator="lessThan">
      <formula>0.9</formula>
    </cfRule>
  </conditionalFormatting>
  <conditionalFormatting sqref="L65">
    <cfRule type="cellIs" dxfId="127" priority="171" operator="between">
      <formula>0.9</formula>
      <formula>1</formula>
    </cfRule>
  </conditionalFormatting>
  <conditionalFormatting sqref="L65">
    <cfRule type="cellIs" dxfId="126" priority="170" operator="greaterThan">
      <formula>1</formula>
    </cfRule>
  </conditionalFormatting>
  <conditionalFormatting sqref="L65">
    <cfRule type="expression" priority="169" stopIfTrue="1">
      <formula>LEN(TRIM(J65))=0</formula>
    </cfRule>
  </conditionalFormatting>
  <conditionalFormatting sqref="F66">
    <cfRule type="cellIs" dxfId="125" priority="168" operator="lessThan">
      <formula>0.9</formula>
    </cfRule>
  </conditionalFormatting>
  <conditionalFormatting sqref="F66">
    <cfRule type="cellIs" dxfId="124" priority="167" operator="between">
      <formula>0.9</formula>
      <formula>1</formula>
    </cfRule>
  </conditionalFormatting>
  <conditionalFormatting sqref="F66">
    <cfRule type="cellIs" dxfId="123" priority="166" operator="greaterThan">
      <formula>1</formula>
    </cfRule>
  </conditionalFormatting>
  <conditionalFormatting sqref="F66">
    <cfRule type="expression" priority="165" stopIfTrue="1">
      <formula>LEN(TRIM(D66))=0</formula>
    </cfRule>
  </conditionalFormatting>
  <conditionalFormatting sqref="I66">
    <cfRule type="cellIs" dxfId="122" priority="164" operator="lessThan">
      <formula>0.9</formula>
    </cfRule>
  </conditionalFormatting>
  <conditionalFormatting sqref="I66">
    <cfRule type="cellIs" dxfId="121" priority="163" operator="between">
      <formula>0.9</formula>
      <formula>1</formula>
    </cfRule>
  </conditionalFormatting>
  <conditionalFormatting sqref="I66">
    <cfRule type="cellIs" dxfId="120" priority="162" operator="greaterThan">
      <formula>1</formula>
    </cfRule>
  </conditionalFormatting>
  <conditionalFormatting sqref="I66">
    <cfRule type="expression" priority="161" stopIfTrue="1">
      <formula>LEN(TRIM(G66))=0</formula>
    </cfRule>
  </conditionalFormatting>
  <conditionalFormatting sqref="L66">
    <cfRule type="cellIs" dxfId="119" priority="160" operator="lessThan">
      <formula>0.9</formula>
    </cfRule>
  </conditionalFormatting>
  <conditionalFormatting sqref="L66">
    <cfRule type="cellIs" dxfId="118" priority="159" operator="between">
      <formula>0.9</formula>
      <formula>1</formula>
    </cfRule>
  </conditionalFormatting>
  <conditionalFormatting sqref="L66">
    <cfRule type="cellIs" dxfId="117" priority="158" operator="greaterThan">
      <formula>1</formula>
    </cfRule>
  </conditionalFormatting>
  <conditionalFormatting sqref="L66">
    <cfRule type="expression" priority="157" stopIfTrue="1">
      <formula>LEN(TRIM(J66))=0</formula>
    </cfRule>
  </conditionalFormatting>
  <conditionalFormatting sqref="F67">
    <cfRule type="cellIs" dxfId="116" priority="156" operator="lessThan">
      <formula>0.9</formula>
    </cfRule>
  </conditionalFormatting>
  <conditionalFormatting sqref="F67">
    <cfRule type="cellIs" dxfId="115" priority="155" operator="between">
      <formula>0.9</formula>
      <formula>1</formula>
    </cfRule>
  </conditionalFormatting>
  <conditionalFormatting sqref="F67">
    <cfRule type="cellIs" dxfId="114" priority="154" operator="greaterThan">
      <formula>1</formula>
    </cfRule>
  </conditionalFormatting>
  <conditionalFormatting sqref="F67">
    <cfRule type="expression" priority="153" stopIfTrue="1">
      <formula>LEN(TRIM(D67))=0</formula>
    </cfRule>
  </conditionalFormatting>
  <conditionalFormatting sqref="I67">
    <cfRule type="cellIs" dxfId="113" priority="152" operator="lessThan">
      <formula>0.9</formula>
    </cfRule>
  </conditionalFormatting>
  <conditionalFormatting sqref="I67">
    <cfRule type="cellIs" dxfId="112" priority="151" operator="between">
      <formula>0.9</formula>
      <formula>1</formula>
    </cfRule>
  </conditionalFormatting>
  <conditionalFormatting sqref="I67">
    <cfRule type="cellIs" dxfId="111" priority="150" operator="greaterThan">
      <formula>1</formula>
    </cfRule>
  </conditionalFormatting>
  <conditionalFormatting sqref="I67">
    <cfRule type="expression" priority="149" stopIfTrue="1">
      <formula>LEN(TRIM(G67))=0</formula>
    </cfRule>
  </conditionalFormatting>
  <conditionalFormatting sqref="L67">
    <cfRule type="cellIs" dxfId="110" priority="148" operator="lessThan">
      <formula>0.9</formula>
    </cfRule>
  </conditionalFormatting>
  <conditionalFormatting sqref="L67">
    <cfRule type="cellIs" dxfId="109" priority="147" operator="between">
      <formula>0.9</formula>
      <formula>1</formula>
    </cfRule>
  </conditionalFormatting>
  <conditionalFormatting sqref="L67">
    <cfRule type="cellIs" dxfId="108" priority="146" operator="greaterThan">
      <formula>1</formula>
    </cfRule>
  </conditionalFormatting>
  <conditionalFormatting sqref="L67">
    <cfRule type="expression" priority="145" stopIfTrue="1">
      <formula>LEN(TRIM(J67))=0</formula>
    </cfRule>
  </conditionalFormatting>
  <conditionalFormatting sqref="F68">
    <cfRule type="cellIs" dxfId="107" priority="144" operator="lessThan">
      <formula>0.9</formula>
    </cfRule>
  </conditionalFormatting>
  <conditionalFormatting sqref="F68">
    <cfRule type="cellIs" dxfId="106" priority="143" operator="between">
      <formula>0.9</formula>
      <formula>1</formula>
    </cfRule>
  </conditionalFormatting>
  <conditionalFormatting sqref="F68">
    <cfRule type="cellIs" dxfId="105" priority="142" operator="greaterThan">
      <formula>1</formula>
    </cfRule>
  </conditionalFormatting>
  <conditionalFormatting sqref="F68">
    <cfRule type="expression" priority="141" stopIfTrue="1">
      <formula>LEN(TRIM(D68))=0</formula>
    </cfRule>
  </conditionalFormatting>
  <conditionalFormatting sqref="I68">
    <cfRule type="cellIs" dxfId="104" priority="140" operator="lessThan">
      <formula>0.9</formula>
    </cfRule>
  </conditionalFormatting>
  <conditionalFormatting sqref="I68">
    <cfRule type="cellIs" dxfId="103" priority="139" operator="between">
      <formula>0.9</formula>
      <formula>1</formula>
    </cfRule>
  </conditionalFormatting>
  <conditionalFormatting sqref="I68">
    <cfRule type="cellIs" dxfId="102" priority="138" operator="greaterThan">
      <formula>1</formula>
    </cfRule>
  </conditionalFormatting>
  <conditionalFormatting sqref="I68">
    <cfRule type="expression" priority="137" stopIfTrue="1">
      <formula>LEN(TRIM(G68))=0</formula>
    </cfRule>
  </conditionalFormatting>
  <conditionalFormatting sqref="L68">
    <cfRule type="cellIs" dxfId="101" priority="136" operator="lessThan">
      <formula>0.9</formula>
    </cfRule>
  </conditionalFormatting>
  <conditionalFormatting sqref="L68">
    <cfRule type="cellIs" dxfId="100" priority="135" operator="between">
      <formula>0.9</formula>
      <formula>1</formula>
    </cfRule>
  </conditionalFormatting>
  <conditionalFormatting sqref="L68">
    <cfRule type="cellIs" dxfId="99" priority="134" operator="greaterThan">
      <formula>1</formula>
    </cfRule>
  </conditionalFormatting>
  <conditionalFormatting sqref="L68">
    <cfRule type="expression" priority="133" stopIfTrue="1">
      <formula>LEN(TRIM(J68))=0</formula>
    </cfRule>
  </conditionalFormatting>
  <conditionalFormatting sqref="F69">
    <cfRule type="cellIs" dxfId="98" priority="132" operator="lessThan">
      <formula>0.9</formula>
    </cfRule>
  </conditionalFormatting>
  <conditionalFormatting sqref="F69">
    <cfRule type="cellIs" dxfId="97" priority="131" operator="between">
      <formula>0.9</formula>
      <formula>1</formula>
    </cfRule>
  </conditionalFormatting>
  <conditionalFormatting sqref="F69">
    <cfRule type="cellIs" dxfId="96" priority="130" operator="greaterThan">
      <formula>1</formula>
    </cfRule>
  </conditionalFormatting>
  <conditionalFormatting sqref="F69">
    <cfRule type="expression" priority="129" stopIfTrue="1">
      <formula>LEN(TRIM(D69))=0</formula>
    </cfRule>
  </conditionalFormatting>
  <conditionalFormatting sqref="I69">
    <cfRule type="cellIs" dxfId="95" priority="128" operator="lessThan">
      <formula>0.9</formula>
    </cfRule>
  </conditionalFormatting>
  <conditionalFormatting sqref="I69">
    <cfRule type="cellIs" dxfId="94" priority="127" operator="between">
      <formula>0.9</formula>
      <formula>1</formula>
    </cfRule>
  </conditionalFormatting>
  <conditionalFormatting sqref="I69">
    <cfRule type="cellIs" dxfId="93" priority="126" operator="greaterThan">
      <formula>1</formula>
    </cfRule>
  </conditionalFormatting>
  <conditionalFormatting sqref="I69">
    <cfRule type="expression" priority="125" stopIfTrue="1">
      <formula>LEN(TRIM(G69))=0</formula>
    </cfRule>
  </conditionalFormatting>
  <conditionalFormatting sqref="L69">
    <cfRule type="cellIs" dxfId="92" priority="124" operator="lessThan">
      <formula>0.9</formula>
    </cfRule>
  </conditionalFormatting>
  <conditionalFormatting sqref="L69">
    <cfRule type="cellIs" dxfId="91" priority="123" operator="between">
      <formula>0.9</formula>
      <formula>1</formula>
    </cfRule>
  </conditionalFormatting>
  <conditionalFormatting sqref="L69">
    <cfRule type="cellIs" dxfId="90" priority="122" operator="greaterThan">
      <formula>1</formula>
    </cfRule>
  </conditionalFormatting>
  <conditionalFormatting sqref="L69">
    <cfRule type="expression" priority="121" stopIfTrue="1">
      <formula>LEN(TRIM(J69))=0</formula>
    </cfRule>
  </conditionalFormatting>
  <conditionalFormatting sqref="F70">
    <cfRule type="cellIs" dxfId="89" priority="120" operator="lessThan">
      <formula>0.9</formula>
    </cfRule>
  </conditionalFormatting>
  <conditionalFormatting sqref="F70">
    <cfRule type="cellIs" dxfId="88" priority="119" operator="between">
      <formula>0.9</formula>
      <formula>1</formula>
    </cfRule>
  </conditionalFormatting>
  <conditionalFormatting sqref="F70">
    <cfRule type="cellIs" dxfId="87" priority="118" operator="greaterThan">
      <formula>1</formula>
    </cfRule>
  </conditionalFormatting>
  <conditionalFormatting sqref="F70">
    <cfRule type="expression" priority="117" stopIfTrue="1">
      <formula>LEN(TRIM(D70))=0</formula>
    </cfRule>
  </conditionalFormatting>
  <conditionalFormatting sqref="I70">
    <cfRule type="cellIs" dxfId="86" priority="116" operator="lessThan">
      <formula>0.9</formula>
    </cfRule>
  </conditionalFormatting>
  <conditionalFormatting sqref="I70">
    <cfRule type="cellIs" dxfId="85" priority="115" operator="between">
      <formula>0.9</formula>
      <formula>1</formula>
    </cfRule>
  </conditionalFormatting>
  <conditionalFormatting sqref="I70">
    <cfRule type="cellIs" dxfId="84" priority="114" operator="greaterThan">
      <formula>1</formula>
    </cfRule>
  </conditionalFormatting>
  <conditionalFormatting sqref="I70">
    <cfRule type="expression" priority="113" stopIfTrue="1">
      <formula>LEN(TRIM(G70))=0</formula>
    </cfRule>
  </conditionalFormatting>
  <conditionalFormatting sqref="L70">
    <cfRule type="cellIs" dxfId="83" priority="112" operator="lessThan">
      <formula>0.9</formula>
    </cfRule>
  </conditionalFormatting>
  <conditionalFormatting sqref="L70">
    <cfRule type="cellIs" dxfId="82" priority="111" operator="between">
      <formula>0.9</formula>
      <formula>1</formula>
    </cfRule>
  </conditionalFormatting>
  <conditionalFormatting sqref="L70">
    <cfRule type="cellIs" dxfId="81" priority="110" operator="greaterThan">
      <formula>1</formula>
    </cfRule>
  </conditionalFormatting>
  <conditionalFormatting sqref="L70">
    <cfRule type="expression" priority="109" stopIfTrue="1">
      <formula>LEN(TRIM(J70))=0</formula>
    </cfRule>
  </conditionalFormatting>
  <conditionalFormatting sqref="F71">
    <cfRule type="cellIs" dxfId="80" priority="108" operator="lessThan">
      <formula>0.9</formula>
    </cfRule>
  </conditionalFormatting>
  <conditionalFormatting sqref="F71">
    <cfRule type="cellIs" dxfId="79" priority="107" operator="between">
      <formula>0.9</formula>
      <formula>1</formula>
    </cfRule>
  </conditionalFormatting>
  <conditionalFormatting sqref="F71">
    <cfRule type="cellIs" dxfId="78" priority="106" operator="greaterThan">
      <formula>1</formula>
    </cfRule>
  </conditionalFormatting>
  <conditionalFormatting sqref="F71">
    <cfRule type="expression" priority="105" stopIfTrue="1">
      <formula>LEN(TRIM(D71))=0</formula>
    </cfRule>
  </conditionalFormatting>
  <conditionalFormatting sqref="I71">
    <cfRule type="cellIs" dxfId="77" priority="104" operator="lessThan">
      <formula>0.9</formula>
    </cfRule>
  </conditionalFormatting>
  <conditionalFormatting sqref="I71">
    <cfRule type="cellIs" dxfId="76" priority="103" operator="between">
      <formula>0.9</formula>
      <formula>1</formula>
    </cfRule>
  </conditionalFormatting>
  <conditionalFormatting sqref="I71">
    <cfRule type="cellIs" dxfId="75" priority="102" operator="greaterThan">
      <formula>1</formula>
    </cfRule>
  </conditionalFormatting>
  <conditionalFormatting sqref="I71">
    <cfRule type="expression" priority="101" stopIfTrue="1">
      <formula>LEN(TRIM(G71))=0</formula>
    </cfRule>
  </conditionalFormatting>
  <conditionalFormatting sqref="L71">
    <cfRule type="cellIs" dxfId="74" priority="100" operator="lessThan">
      <formula>0.9</formula>
    </cfRule>
  </conditionalFormatting>
  <conditionalFormatting sqref="L71">
    <cfRule type="cellIs" dxfId="73" priority="99" operator="between">
      <formula>0.9</formula>
      <formula>1</formula>
    </cfRule>
  </conditionalFormatting>
  <conditionalFormatting sqref="L71">
    <cfRule type="cellIs" dxfId="72" priority="98" operator="greaterThan">
      <formula>1</formula>
    </cfRule>
  </conditionalFormatting>
  <conditionalFormatting sqref="L71">
    <cfRule type="expression" priority="97" stopIfTrue="1">
      <formula>LEN(TRIM(J71))=0</formula>
    </cfRule>
  </conditionalFormatting>
  <conditionalFormatting sqref="F72">
    <cfRule type="cellIs" dxfId="71" priority="96" operator="lessThan">
      <formula>0.9</formula>
    </cfRule>
  </conditionalFormatting>
  <conditionalFormatting sqref="F72">
    <cfRule type="cellIs" dxfId="70" priority="95" operator="between">
      <formula>0.9</formula>
      <formula>1</formula>
    </cfRule>
  </conditionalFormatting>
  <conditionalFormatting sqref="F72">
    <cfRule type="cellIs" dxfId="69" priority="94" operator="greaterThan">
      <formula>1</formula>
    </cfRule>
  </conditionalFormatting>
  <conditionalFormatting sqref="F72">
    <cfRule type="expression" priority="93" stopIfTrue="1">
      <formula>LEN(TRIM(D72))=0</formula>
    </cfRule>
  </conditionalFormatting>
  <conditionalFormatting sqref="I72">
    <cfRule type="cellIs" dxfId="68" priority="92" operator="lessThan">
      <formula>0.9</formula>
    </cfRule>
  </conditionalFormatting>
  <conditionalFormatting sqref="I72">
    <cfRule type="cellIs" dxfId="67" priority="91" operator="between">
      <formula>0.9</formula>
      <formula>1</formula>
    </cfRule>
  </conditionalFormatting>
  <conditionalFormatting sqref="I72">
    <cfRule type="cellIs" dxfId="66" priority="90" operator="greaterThan">
      <formula>1</formula>
    </cfRule>
  </conditionalFormatting>
  <conditionalFormatting sqref="I72">
    <cfRule type="expression" priority="89" stopIfTrue="1">
      <formula>LEN(TRIM(G72))=0</formula>
    </cfRule>
  </conditionalFormatting>
  <conditionalFormatting sqref="L72">
    <cfRule type="cellIs" dxfId="65" priority="88" operator="lessThan">
      <formula>0.9</formula>
    </cfRule>
  </conditionalFormatting>
  <conditionalFormatting sqref="L72">
    <cfRule type="cellIs" dxfId="64" priority="87" operator="between">
      <formula>0.9</formula>
      <formula>1</formula>
    </cfRule>
  </conditionalFormatting>
  <conditionalFormatting sqref="L72">
    <cfRule type="cellIs" dxfId="63" priority="86" operator="greaterThan">
      <formula>1</formula>
    </cfRule>
  </conditionalFormatting>
  <conditionalFormatting sqref="L72">
    <cfRule type="expression" priority="85" stopIfTrue="1">
      <formula>LEN(TRIM(J72))=0</formula>
    </cfRule>
  </conditionalFormatting>
  <conditionalFormatting sqref="F73">
    <cfRule type="cellIs" dxfId="62" priority="84" operator="lessThan">
      <formula>0.9</formula>
    </cfRule>
  </conditionalFormatting>
  <conditionalFormatting sqref="F73">
    <cfRule type="cellIs" dxfId="61" priority="83" operator="between">
      <formula>0.9</formula>
      <formula>1</formula>
    </cfRule>
  </conditionalFormatting>
  <conditionalFormatting sqref="F73">
    <cfRule type="cellIs" dxfId="60" priority="82" operator="greaterThan">
      <formula>1</formula>
    </cfRule>
  </conditionalFormatting>
  <conditionalFormatting sqref="F73">
    <cfRule type="expression" priority="81" stopIfTrue="1">
      <formula>LEN(TRIM(D73))=0</formula>
    </cfRule>
  </conditionalFormatting>
  <conditionalFormatting sqref="I73">
    <cfRule type="cellIs" dxfId="59" priority="80" operator="lessThan">
      <formula>0.9</formula>
    </cfRule>
  </conditionalFormatting>
  <conditionalFormatting sqref="I73">
    <cfRule type="cellIs" dxfId="58" priority="79" operator="between">
      <formula>0.9</formula>
      <formula>1</formula>
    </cfRule>
  </conditionalFormatting>
  <conditionalFormatting sqref="I73">
    <cfRule type="cellIs" dxfId="57" priority="78" operator="greaterThan">
      <formula>1</formula>
    </cfRule>
  </conditionalFormatting>
  <conditionalFormatting sqref="I73">
    <cfRule type="expression" priority="77" stopIfTrue="1">
      <formula>LEN(TRIM(G73))=0</formula>
    </cfRule>
  </conditionalFormatting>
  <conditionalFormatting sqref="L73">
    <cfRule type="cellIs" dxfId="56" priority="76" operator="lessThan">
      <formula>0.9</formula>
    </cfRule>
  </conditionalFormatting>
  <conditionalFormatting sqref="L73">
    <cfRule type="cellIs" dxfId="55" priority="75" operator="between">
      <formula>0.9</formula>
      <formula>1</formula>
    </cfRule>
  </conditionalFormatting>
  <conditionalFormatting sqref="L73">
    <cfRule type="cellIs" dxfId="54" priority="74" operator="greaterThan">
      <formula>1</formula>
    </cfRule>
  </conditionalFormatting>
  <conditionalFormatting sqref="L73">
    <cfRule type="expression" priority="73" stopIfTrue="1">
      <formula>LEN(TRIM(J73))=0</formula>
    </cfRule>
  </conditionalFormatting>
  <conditionalFormatting sqref="F74">
    <cfRule type="cellIs" dxfId="53" priority="72" operator="lessThan">
      <formula>0.9</formula>
    </cfRule>
  </conditionalFormatting>
  <conditionalFormatting sqref="F74">
    <cfRule type="cellIs" dxfId="52" priority="71" operator="between">
      <formula>0.9</formula>
      <formula>1</formula>
    </cfRule>
  </conditionalFormatting>
  <conditionalFormatting sqref="F74">
    <cfRule type="cellIs" dxfId="51" priority="70" operator="greaterThan">
      <formula>1</formula>
    </cfRule>
  </conditionalFormatting>
  <conditionalFormatting sqref="F74">
    <cfRule type="expression" priority="69" stopIfTrue="1">
      <formula>LEN(TRIM(D74))=0</formula>
    </cfRule>
  </conditionalFormatting>
  <conditionalFormatting sqref="I74">
    <cfRule type="cellIs" dxfId="50" priority="68" operator="lessThan">
      <formula>0.9</formula>
    </cfRule>
  </conditionalFormatting>
  <conditionalFormatting sqref="I74">
    <cfRule type="cellIs" dxfId="49" priority="67" operator="between">
      <formula>0.9</formula>
      <formula>1</formula>
    </cfRule>
  </conditionalFormatting>
  <conditionalFormatting sqref="I74">
    <cfRule type="cellIs" dxfId="48" priority="66" operator="greaterThan">
      <formula>1</formula>
    </cfRule>
  </conditionalFormatting>
  <conditionalFormatting sqref="I74">
    <cfRule type="expression" priority="65" stopIfTrue="1">
      <formula>LEN(TRIM(G74))=0</formula>
    </cfRule>
  </conditionalFormatting>
  <conditionalFormatting sqref="L74">
    <cfRule type="cellIs" dxfId="47" priority="64" operator="lessThan">
      <formula>0.9</formula>
    </cfRule>
  </conditionalFormatting>
  <conditionalFormatting sqref="L74">
    <cfRule type="cellIs" dxfId="46" priority="63" operator="between">
      <formula>0.9</formula>
      <formula>1</formula>
    </cfRule>
  </conditionalFormatting>
  <conditionalFormatting sqref="L74">
    <cfRule type="cellIs" dxfId="45" priority="62" operator="greaterThan">
      <formula>1</formula>
    </cfRule>
  </conditionalFormatting>
  <conditionalFormatting sqref="L74">
    <cfRule type="expression" priority="61" stopIfTrue="1">
      <formula>LEN(TRIM(J74))=0</formula>
    </cfRule>
  </conditionalFormatting>
  <conditionalFormatting sqref="F75">
    <cfRule type="cellIs" dxfId="44" priority="60" operator="lessThan">
      <formula>0.9</formula>
    </cfRule>
  </conditionalFormatting>
  <conditionalFormatting sqref="F75">
    <cfRule type="cellIs" dxfId="43" priority="59" operator="between">
      <formula>0.9</formula>
      <formula>1</formula>
    </cfRule>
  </conditionalFormatting>
  <conditionalFormatting sqref="F75">
    <cfRule type="cellIs" dxfId="42" priority="58" operator="greaterThan">
      <formula>1</formula>
    </cfRule>
  </conditionalFormatting>
  <conditionalFormatting sqref="F75">
    <cfRule type="expression" priority="57" stopIfTrue="1">
      <formula>LEN(TRIM(D75))=0</formula>
    </cfRule>
  </conditionalFormatting>
  <conditionalFormatting sqref="I75">
    <cfRule type="cellIs" dxfId="41" priority="56" operator="lessThan">
      <formula>0.9</formula>
    </cfRule>
  </conditionalFormatting>
  <conditionalFormatting sqref="I75">
    <cfRule type="cellIs" dxfId="40" priority="55" operator="between">
      <formula>0.9</formula>
      <formula>1</formula>
    </cfRule>
  </conditionalFormatting>
  <conditionalFormatting sqref="I75">
    <cfRule type="cellIs" dxfId="39" priority="54" operator="greaterThan">
      <formula>1</formula>
    </cfRule>
  </conditionalFormatting>
  <conditionalFormatting sqref="I75">
    <cfRule type="expression" priority="53" stopIfTrue="1">
      <formula>LEN(TRIM(G75))=0</formula>
    </cfRule>
  </conditionalFormatting>
  <conditionalFormatting sqref="L75">
    <cfRule type="cellIs" dxfId="38" priority="52" operator="lessThan">
      <formula>0.9</formula>
    </cfRule>
  </conditionalFormatting>
  <conditionalFormatting sqref="L75">
    <cfRule type="cellIs" dxfId="37" priority="51" operator="between">
      <formula>0.9</formula>
      <formula>1</formula>
    </cfRule>
  </conditionalFormatting>
  <conditionalFormatting sqref="L75">
    <cfRule type="cellIs" dxfId="36" priority="50" operator="greaterThan">
      <formula>1</formula>
    </cfRule>
  </conditionalFormatting>
  <conditionalFormatting sqref="L75">
    <cfRule type="expression" priority="49" stopIfTrue="1">
      <formula>LEN(TRIM(J75))=0</formula>
    </cfRule>
  </conditionalFormatting>
  <conditionalFormatting sqref="F76">
    <cfRule type="cellIs" dxfId="35" priority="48" operator="lessThan">
      <formula>0.9</formula>
    </cfRule>
  </conditionalFormatting>
  <conditionalFormatting sqref="F76">
    <cfRule type="cellIs" dxfId="34" priority="47" operator="between">
      <formula>0.9</formula>
      <formula>1</formula>
    </cfRule>
  </conditionalFormatting>
  <conditionalFormatting sqref="F76">
    <cfRule type="cellIs" dxfId="33" priority="46" operator="greaterThan">
      <formula>1</formula>
    </cfRule>
  </conditionalFormatting>
  <conditionalFormatting sqref="F76">
    <cfRule type="expression" priority="45" stopIfTrue="1">
      <formula>LEN(TRIM(D76))=0</formula>
    </cfRule>
  </conditionalFormatting>
  <conditionalFormatting sqref="I76">
    <cfRule type="cellIs" dxfId="32" priority="44" operator="lessThan">
      <formula>0.9</formula>
    </cfRule>
  </conditionalFormatting>
  <conditionalFormatting sqref="I76">
    <cfRule type="cellIs" dxfId="31" priority="43" operator="between">
      <formula>0.9</formula>
      <formula>1</formula>
    </cfRule>
  </conditionalFormatting>
  <conditionalFormatting sqref="I76">
    <cfRule type="cellIs" dxfId="30" priority="42" operator="greaterThan">
      <formula>1</formula>
    </cfRule>
  </conditionalFormatting>
  <conditionalFormatting sqref="I76">
    <cfRule type="expression" priority="41" stopIfTrue="1">
      <formula>LEN(TRIM(G76))=0</formula>
    </cfRule>
  </conditionalFormatting>
  <conditionalFormatting sqref="L76">
    <cfRule type="cellIs" dxfId="29" priority="40" operator="lessThan">
      <formula>0.9</formula>
    </cfRule>
  </conditionalFormatting>
  <conditionalFormatting sqref="L76">
    <cfRule type="cellIs" dxfId="28" priority="39" operator="between">
      <formula>0.9</formula>
      <formula>1</formula>
    </cfRule>
  </conditionalFormatting>
  <conditionalFormatting sqref="L76">
    <cfRule type="cellIs" dxfId="27" priority="38" operator="greaterThan">
      <formula>1</formula>
    </cfRule>
  </conditionalFormatting>
  <conditionalFormatting sqref="L76">
    <cfRule type="expression" priority="37" stopIfTrue="1">
      <formula>LEN(TRIM(J76))=0</formula>
    </cfRule>
  </conditionalFormatting>
  <conditionalFormatting sqref="F77">
    <cfRule type="cellIs" dxfId="26" priority="36" operator="lessThan">
      <formula>0.9</formula>
    </cfRule>
  </conditionalFormatting>
  <conditionalFormatting sqref="F77">
    <cfRule type="cellIs" dxfId="25" priority="35" operator="between">
      <formula>0.9</formula>
      <formula>1</formula>
    </cfRule>
  </conditionalFormatting>
  <conditionalFormatting sqref="F77">
    <cfRule type="cellIs" dxfId="24" priority="34" operator="greaterThan">
      <formula>1</formula>
    </cfRule>
  </conditionalFormatting>
  <conditionalFormatting sqref="F77">
    <cfRule type="expression" priority="33" stopIfTrue="1">
      <formula>LEN(TRIM(D77))=0</formula>
    </cfRule>
  </conditionalFormatting>
  <conditionalFormatting sqref="I77">
    <cfRule type="cellIs" dxfId="23" priority="32" operator="lessThan">
      <formula>0.9</formula>
    </cfRule>
  </conditionalFormatting>
  <conditionalFormatting sqref="I77">
    <cfRule type="cellIs" dxfId="22" priority="31" operator="between">
      <formula>0.9</formula>
      <formula>1</formula>
    </cfRule>
  </conditionalFormatting>
  <conditionalFormatting sqref="I77">
    <cfRule type="cellIs" dxfId="21" priority="30" operator="greaterThan">
      <formula>1</formula>
    </cfRule>
  </conditionalFormatting>
  <conditionalFormatting sqref="I77">
    <cfRule type="expression" priority="29" stopIfTrue="1">
      <formula>LEN(TRIM(G77))=0</formula>
    </cfRule>
  </conditionalFormatting>
  <conditionalFormatting sqref="L77">
    <cfRule type="cellIs" dxfId="20" priority="28" operator="lessThan">
      <formula>0.9</formula>
    </cfRule>
  </conditionalFormatting>
  <conditionalFormatting sqref="L77">
    <cfRule type="cellIs" dxfId="19" priority="27" operator="between">
      <formula>0.9</formula>
      <formula>1</formula>
    </cfRule>
  </conditionalFormatting>
  <conditionalFormatting sqref="L77">
    <cfRule type="cellIs" dxfId="18" priority="26" operator="greaterThan">
      <formula>1</formula>
    </cfRule>
  </conditionalFormatting>
  <conditionalFormatting sqref="L77">
    <cfRule type="expression" priority="25" stopIfTrue="1">
      <formula>LEN(TRIM(J77))=0</formula>
    </cfRule>
  </conditionalFormatting>
  <conditionalFormatting sqref="F78">
    <cfRule type="cellIs" dxfId="17" priority="24" operator="lessThan">
      <formula>0.9</formula>
    </cfRule>
  </conditionalFormatting>
  <conditionalFormatting sqref="F78">
    <cfRule type="cellIs" dxfId="16" priority="23" operator="between">
      <formula>0.9</formula>
      <formula>1</formula>
    </cfRule>
  </conditionalFormatting>
  <conditionalFormatting sqref="F78">
    <cfRule type="cellIs" dxfId="15" priority="22" operator="greaterThan">
      <formula>1</formula>
    </cfRule>
  </conditionalFormatting>
  <conditionalFormatting sqref="F78">
    <cfRule type="expression" priority="21" stopIfTrue="1">
      <formula>LEN(TRIM(D78))=0</formula>
    </cfRule>
  </conditionalFormatting>
  <conditionalFormatting sqref="I78">
    <cfRule type="cellIs" dxfId="14" priority="20" operator="lessThan">
      <formula>0.9</formula>
    </cfRule>
  </conditionalFormatting>
  <conditionalFormatting sqref="I78">
    <cfRule type="cellIs" dxfId="13" priority="19" operator="between">
      <formula>0.9</formula>
      <formula>1</formula>
    </cfRule>
  </conditionalFormatting>
  <conditionalFormatting sqref="I78">
    <cfRule type="cellIs" dxfId="12" priority="18" operator="greaterThan">
      <formula>1</formula>
    </cfRule>
  </conditionalFormatting>
  <conditionalFormatting sqref="I78">
    <cfRule type="expression" priority="17" stopIfTrue="1">
      <formula>LEN(TRIM(G78))=0</formula>
    </cfRule>
  </conditionalFormatting>
  <conditionalFormatting sqref="L78">
    <cfRule type="cellIs" dxfId="11" priority="16" operator="lessThan">
      <formula>0.9</formula>
    </cfRule>
  </conditionalFormatting>
  <conditionalFormatting sqref="L78">
    <cfRule type="cellIs" dxfId="10" priority="15" operator="between">
      <formula>0.9</formula>
      <formula>1</formula>
    </cfRule>
  </conditionalFormatting>
  <conditionalFormatting sqref="L78">
    <cfRule type="cellIs" dxfId="9" priority="14" operator="greaterThan">
      <formula>1</formula>
    </cfRule>
  </conditionalFormatting>
  <conditionalFormatting sqref="L78">
    <cfRule type="expression" priority="13" stopIfTrue="1">
      <formula>LEN(TRIM(J78))=0</formula>
    </cfRule>
  </conditionalFormatting>
  <conditionalFormatting sqref="F79">
    <cfRule type="cellIs" dxfId="8" priority="12" operator="lessThan">
      <formula>0.9</formula>
    </cfRule>
  </conditionalFormatting>
  <conditionalFormatting sqref="F79">
    <cfRule type="cellIs" dxfId="7" priority="11" operator="between">
      <formula>0.9</formula>
      <formula>1</formula>
    </cfRule>
  </conditionalFormatting>
  <conditionalFormatting sqref="F79">
    <cfRule type="cellIs" dxfId="6" priority="10" operator="greaterThan">
      <formula>1</formula>
    </cfRule>
  </conditionalFormatting>
  <conditionalFormatting sqref="F79">
    <cfRule type="expression" priority="9" stopIfTrue="1">
      <formula>LEN(TRIM(D79))=0</formula>
    </cfRule>
  </conditionalFormatting>
  <conditionalFormatting sqref="I79">
    <cfRule type="cellIs" dxfId="5" priority="8" operator="lessThan">
      <formula>0.9</formula>
    </cfRule>
  </conditionalFormatting>
  <conditionalFormatting sqref="I79">
    <cfRule type="cellIs" dxfId="4" priority="7" operator="between">
      <formula>0.9</formula>
      <formula>1</formula>
    </cfRule>
  </conditionalFormatting>
  <conditionalFormatting sqref="I79">
    <cfRule type="cellIs" dxfId="3" priority="6" operator="greaterThan">
      <formula>1</formula>
    </cfRule>
  </conditionalFormatting>
  <conditionalFormatting sqref="I79">
    <cfRule type="expression" priority="5" stopIfTrue="1">
      <formula>LEN(TRIM(G79))=0</formula>
    </cfRule>
  </conditionalFormatting>
  <conditionalFormatting sqref="L79">
    <cfRule type="cellIs" dxfId="2" priority="4" operator="lessThan">
      <formula>0.9</formula>
    </cfRule>
  </conditionalFormatting>
  <conditionalFormatting sqref="L79">
    <cfRule type="cellIs" dxfId="1" priority="3" operator="between">
      <formula>0.9</formula>
      <formula>1</formula>
    </cfRule>
  </conditionalFormatting>
  <conditionalFormatting sqref="L79">
    <cfRule type="cellIs" dxfId="0" priority="2" operator="greaterThan">
      <formula>1</formula>
    </cfRule>
  </conditionalFormatting>
  <conditionalFormatting sqref="L79">
    <cfRule type="expression" priority="1" stopIfTrue="1">
      <formula>LEN(TRIM(J79))=0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C0833D-6D5F-45EF-814F-64999F18C6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BIExport</vt:lpstr>
      <vt:lpstr>MyQuery</vt:lpstr>
      <vt:lpstr>Target per Agent</vt:lpstr>
      <vt:lpstr>DestRange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Radu Niculescu</dc:creator>
  <cp:lastModifiedBy>Vicentiu Mincior</cp:lastModifiedBy>
  <dcterms:created xsi:type="dcterms:W3CDTF">2021-06-24T06:06:10Z</dcterms:created>
  <dcterms:modified xsi:type="dcterms:W3CDTF">2023-06-20T13:42:00Z</dcterms:modified>
</cp:coreProperties>
</file>