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9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12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4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15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16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7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1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19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20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21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nsolight_RPA\Robots\balanta-intrari-iesiri-furnizori\output\"/>
    </mc:Choice>
  </mc:AlternateContent>
  <xr:revisionPtr revIDLastSave="0" documentId="13_ncr:1_{C671D7AA-232D-4ACA-91D7-66BA720FB489}" xr6:coauthVersionLast="47" xr6:coauthVersionMax="47" xr10:uidLastSave="{00000000-0000-0000-0000-000000000000}"/>
  <bookViews>
    <workbookView xWindow="855" yWindow="1035" windowWidth="27855" windowHeight="13605" tabRatio="1000" firstSheet="1" activeTab="1" xr2:uid="{E2795763-FC77-494F-BA87-151B9FFAEB71}"/>
  </bookViews>
  <sheets>
    <sheet name="Prod" sheetId="1" r:id="rId1"/>
    <sheet name="All" sheetId="297" r:id="rId2"/>
    <sheet name="Pivot" sheetId="296" r:id="rId3"/>
    <sheet name="ELMAX" sheetId="2" r:id="rId4"/>
    <sheet name="ICME" sheetId="3" r:id="rId5"/>
    <sheet name="GEWISS ROM" sheetId="4" r:id="rId6"/>
    <sheet name="SCHNEIDER " sheetId="5" r:id="rId7"/>
    <sheet name="EATON ELEC" sheetId="6" r:id="rId8"/>
    <sheet name="LEGRAND RO" sheetId="7" r:id="rId9"/>
    <sheet name="NOARK ELEC" sheetId="8" r:id="rId10"/>
    <sheet name="BTICINO SP" sheetId="9" r:id="rId11"/>
    <sheet name="SIGNIFY RO" sheetId="10" r:id="rId12"/>
    <sheet name="METALICO M" sheetId="11" r:id="rId13"/>
    <sheet name="DABLEROM S" sheetId="12" r:id="rId14"/>
    <sheet name="LEDVANCE D" sheetId="13" r:id="rId15"/>
    <sheet name="BETAK S.A." sheetId="14" r:id="rId16"/>
    <sheet name="OBO BETTER" sheetId="15" r:id="rId17"/>
    <sheet name="KANLUX LIG" sheetId="16" r:id="rId18"/>
    <sheet name="WAGO KONTA" sheetId="17" r:id="rId19"/>
    <sheet name="ASSMANN EL" sheetId="18" r:id="rId20"/>
    <sheet name="ABB POWER " sheetId="19" r:id="rId21"/>
    <sheet name="COURBI ROM" sheetId="20" r:id="rId22"/>
    <sheet name="SPOT VISIO" sheetId="21" r:id="rId23"/>
    <sheet name="SCAME RO S" sheetId="22" r:id="rId24"/>
    <sheet name="LONGI (NET" sheetId="189" r:id="rId25"/>
    <sheet name="Cepas Galv" sheetId="231" r:id="rId26"/>
  </sheets>
  <definedNames>
    <definedName name="DestRange">All!$A$2:$G$1658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2" i="231" l="1"/>
  <c r="D92" i="231"/>
  <c r="C92" i="231"/>
  <c r="H91" i="231"/>
  <c r="D91" i="231"/>
  <c r="C91" i="231"/>
  <c r="I90" i="231"/>
  <c r="H90" i="231"/>
  <c r="I89" i="231"/>
  <c r="H89" i="231"/>
  <c r="I88" i="231"/>
  <c r="H88" i="231"/>
  <c r="I87" i="231"/>
  <c r="H87" i="231"/>
  <c r="I86" i="231"/>
  <c r="H86" i="231"/>
  <c r="I85" i="231"/>
  <c r="H85" i="231"/>
  <c r="I84" i="231"/>
  <c r="H84" i="231"/>
  <c r="I83" i="231"/>
  <c r="H83" i="231"/>
  <c r="I82" i="231"/>
  <c r="H82" i="231"/>
  <c r="I81" i="231"/>
  <c r="H81" i="231"/>
  <c r="I80" i="231"/>
  <c r="H80" i="231"/>
  <c r="I79" i="231"/>
  <c r="H79" i="231"/>
  <c r="D77" i="231"/>
  <c r="C77" i="231"/>
  <c r="H76" i="231"/>
  <c r="D76" i="231"/>
  <c r="C76" i="231"/>
  <c r="H75" i="231"/>
  <c r="H74" i="231"/>
  <c r="H73" i="231"/>
  <c r="I72" i="231"/>
  <c r="H72" i="231"/>
  <c r="E72" i="231"/>
  <c r="E73" i="231" s="1"/>
  <c r="E74" i="231" s="1"/>
  <c r="I71" i="231"/>
  <c r="H71" i="231"/>
  <c r="E71" i="231"/>
  <c r="I70" i="231"/>
  <c r="H70" i="231"/>
  <c r="E70" i="231"/>
  <c r="I69" i="231"/>
  <c r="H69" i="231"/>
  <c r="E69" i="231"/>
  <c r="I68" i="231"/>
  <c r="H68" i="231"/>
  <c r="E68" i="231"/>
  <c r="I67" i="231"/>
  <c r="H67" i="231"/>
  <c r="E67" i="231"/>
  <c r="I66" i="231"/>
  <c r="H66" i="231"/>
  <c r="E66" i="231"/>
  <c r="I65" i="231"/>
  <c r="H65" i="231"/>
  <c r="E65" i="231"/>
  <c r="I64" i="231"/>
  <c r="H64" i="231"/>
  <c r="E64" i="231"/>
  <c r="E63" i="231"/>
  <c r="E62" i="231"/>
  <c r="D62" i="231"/>
  <c r="C62" i="231"/>
  <c r="H61" i="231"/>
  <c r="D61" i="231"/>
  <c r="C61" i="231"/>
  <c r="I60" i="231"/>
  <c r="H60" i="231"/>
  <c r="E60" i="231"/>
  <c r="I59" i="231"/>
  <c r="H59" i="231"/>
  <c r="E59" i="231"/>
  <c r="I58" i="231"/>
  <c r="H58" i="231"/>
  <c r="E58" i="231"/>
  <c r="I57" i="231"/>
  <c r="H57" i="231"/>
  <c r="E57" i="231"/>
  <c r="I56" i="231"/>
  <c r="H56" i="231"/>
  <c r="E56" i="231"/>
  <c r="I55" i="231"/>
  <c r="H55" i="231"/>
  <c r="E55" i="231"/>
  <c r="I54" i="231"/>
  <c r="H54" i="231"/>
  <c r="E54" i="231"/>
  <c r="I53" i="231"/>
  <c r="H53" i="231"/>
  <c r="E53" i="231"/>
  <c r="I52" i="231"/>
  <c r="H52" i="231"/>
  <c r="E52" i="231"/>
  <c r="I51" i="231"/>
  <c r="H51" i="231"/>
  <c r="E51" i="231"/>
  <c r="I50" i="231"/>
  <c r="H50" i="231"/>
  <c r="E50" i="231"/>
  <c r="I49" i="231"/>
  <c r="H49" i="231"/>
  <c r="E49" i="231"/>
  <c r="E48" i="231"/>
  <c r="E47" i="231"/>
  <c r="D47" i="231"/>
  <c r="C47" i="231"/>
  <c r="H46" i="231"/>
  <c r="D46" i="231"/>
  <c r="C46" i="231"/>
  <c r="I45" i="231"/>
  <c r="H45" i="231"/>
  <c r="E45" i="231"/>
  <c r="I44" i="231"/>
  <c r="H44" i="231"/>
  <c r="E44" i="231"/>
  <c r="I43" i="231"/>
  <c r="H43" i="231"/>
  <c r="E43" i="231"/>
  <c r="I42" i="231"/>
  <c r="H42" i="231"/>
  <c r="E42" i="231"/>
  <c r="I41" i="231"/>
  <c r="H41" i="231"/>
  <c r="E41" i="231"/>
  <c r="I40" i="231"/>
  <c r="H40" i="231"/>
  <c r="E40" i="231"/>
  <c r="I39" i="231"/>
  <c r="H39" i="231"/>
  <c r="E39" i="231"/>
  <c r="I38" i="231"/>
  <c r="H38" i="231"/>
  <c r="E38" i="231"/>
  <c r="I37" i="231"/>
  <c r="H37" i="231"/>
  <c r="E37" i="231"/>
  <c r="I36" i="231"/>
  <c r="H36" i="231"/>
  <c r="E36" i="231"/>
  <c r="I35" i="231"/>
  <c r="H35" i="231"/>
  <c r="E35" i="231"/>
  <c r="I34" i="231"/>
  <c r="H34" i="231"/>
  <c r="E34" i="231"/>
  <c r="E33" i="231"/>
  <c r="E32" i="231"/>
  <c r="D32" i="231"/>
  <c r="C32" i="231"/>
  <c r="H31" i="231"/>
  <c r="D31" i="231"/>
  <c r="C31" i="231"/>
  <c r="I30" i="231"/>
  <c r="H30" i="231"/>
  <c r="E30" i="231"/>
  <c r="I29" i="231"/>
  <c r="H29" i="231"/>
  <c r="E29" i="231"/>
  <c r="I28" i="231"/>
  <c r="H28" i="231"/>
  <c r="E28" i="231"/>
  <c r="I27" i="231"/>
  <c r="H27" i="231"/>
  <c r="E27" i="231"/>
  <c r="I26" i="231"/>
  <c r="H26" i="231"/>
  <c r="E26" i="231"/>
  <c r="I25" i="231"/>
  <c r="H25" i="231"/>
  <c r="E25" i="231"/>
  <c r="I24" i="231"/>
  <c r="H24" i="231"/>
  <c r="E24" i="231"/>
  <c r="I23" i="231"/>
  <c r="H23" i="231"/>
  <c r="E23" i="231"/>
  <c r="I22" i="231"/>
  <c r="H22" i="231"/>
  <c r="E22" i="231"/>
  <c r="I21" i="231"/>
  <c r="H21" i="231"/>
  <c r="E21" i="231"/>
  <c r="I20" i="231"/>
  <c r="H20" i="231"/>
  <c r="E20" i="231"/>
  <c r="I19" i="231"/>
  <c r="H19" i="231"/>
  <c r="E19" i="231"/>
  <c r="E18" i="231"/>
  <c r="E17" i="231"/>
  <c r="D17" i="231"/>
  <c r="C17" i="231"/>
  <c r="D16" i="231"/>
  <c r="C16" i="231"/>
  <c r="E15" i="231"/>
  <c r="E14" i="231"/>
  <c r="E13" i="231"/>
  <c r="E12" i="231"/>
  <c r="E11" i="231"/>
  <c r="E10" i="231"/>
  <c r="E9" i="231"/>
  <c r="E8" i="231"/>
  <c r="E7" i="231"/>
  <c r="E6" i="231"/>
  <c r="E5" i="231"/>
  <c r="E4" i="231"/>
  <c r="E92" i="189"/>
  <c r="D92" i="189"/>
  <c r="C92" i="189"/>
  <c r="H91" i="189"/>
  <c r="D91" i="189"/>
  <c r="C91" i="189"/>
  <c r="I90" i="189"/>
  <c r="H90" i="189"/>
  <c r="I89" i="189"/>
  <c r="H89" i="189"/>
  <c r="I88" i="189"/>
  <c r="H88" i="189"/>
  <c r="I87" i="189"/>
  <c r="H87" i="189"/>
  <c r="I86" i="189"/>
  <c r="H86" i="189"/>
  <c r="I85" i="189"/>
  <c r="H85" i="189"/>
  <c r="I84" i="189"/>
  <c r="H84" i="189"/>
  <c r="I83" i="189"/>
  <c r="H83" i="189"/>
  <c r="I82" i="189"/>
  <c r="H82" i="189"/>
  <c r="I81" i="189"/>
  <c r="H81" i="189"/>
  <c r="I80" i="189"/>
  <c r="H80" i="189"/>
  <c r="I79" i="189"/>
  <c r="H79" i="189"/>
  <c r="D77" i="189"/>
  <c r="C77" i="189"/>
  <c r="D76" i="189"/>
  <c r="C76" i="189"/>
  <c r="H75" i="189"/>
  <c r="H76" i="189" s="1"/>
  <c r="H74" i="189"/>
  <c r="H73" i="189"/>
  <c r="I72" i="189"/>
  <c r="H72" i="189"/>
  <c r="E72" i="189"/>
  <c r="E73" i="189" s="1"/>
  <c r="E74" i="189" s="1"/>
  <c r="I71" i="189"/>
  <c r="H71" i="189"/>
  <c r="E71" i="189"/>
  <c r="I70" i="189"/>
  <c r="H70" i="189"/>
  <c r="E70" i="189"/>
  <c r="I69" i="189"/>
  <c r="H69" i="189"/>
  <c r="E69" i="189"/>
  <c r="I68" i="189"/>
  <c r="H68" i="189"/>
  <c r="E68" i="189"/>
  <c r="I67" i="189"/>
  <c r="H67" i="189"/>
  <c r="E67" i="189"/>
  <c r="I66" i="189"/>
  <c r="H66" i="189"/>
  <c r="E66" i="189"/>
  <c r="I65" i="189"/>
  <c r="H65" i="189"/>
  <c r="E65" i="189"/>
  <c r="I64" i="189"/>
  <c r="H64" i="189"/>
  <c r="E64" i="189"/>
  <c r="E63" i="189"/>
  <c r="E62" i="189"/>
  <c r="D62" i="189"/>
  <c r="C62" i="189"/>
  <c r="H61" i="189"/>
  <c r="D61" i="189"/>
  <c r="C61" i="189"/>
  <c r="I60" i="189"/>
  <c r="H60" i="189"/>
  <c r="E60" i="189"/>
  <c r="I59" i="189"/>
  <c r="H59" i="189"/>
  <c r="E59" i="189"/>
  <c r="I58" i="189"/>
  <c r="H58" i="189"/>
  <c r="E58" i="189"/>
  <c r="I57" i="189"/>
  <c r="H57" i="189"/>
  <c r="E57" i="189"/>
  <c r="I56" i="189"/>
  <c r="H56" i="189"/>
  <c r="E56" i="189"/>
  <c r="I55" i="189"/>
  <c r="H55" i="189"/>
  <c r="E55" i="189"/>
  <c r="I54" i="189"/>
  <c r="H54" i="189"/>
  <c r="E54" i="189"/>
  <c r="I53" i="189"/>
  <c r="H53" i="189"/>
  <c r="E53" i="189"/>
  <c r="I52" i="189"/>
  <c r="H52" i="189"/>
  <c r="E52" i="189"/>
  <c r="I51" i="189"/>
  <c r="H51" i="189"/>
  <c r="E51" i="189"/>
  <c r="I50" i="189"/>
  <c r="H50" i="189"/>
  <c r="E50" i="189"/>
  <c r="I49" i="189"/>
  <c r="H49" i="189"/>
  <c r="E49" i="189"/>
  <c r="E48" i="189"/>
  <c r="E47" i="189"/>
  <c r="D47" i="189"/>
  <c r="C47" i="189"/>
  <c r="H46" i="189"/>
  <c r="D46" i="189"/>
  <c r="C46" i="189"/>
  <c r="I45" i="189"/>
  <c r="H45" i="189"/>
  <c r="E45" i="189"/>
  <c r="I44" i="189"/>
  <c r="H44" i="189"/>
  <c r="E44" i="189"/>
  <c r="I43" i="189"/>
  <c r="H43" i="189"/>
  <c r="E43" i="189"/>
  <c r="I42" i="189"/>
  <c r="H42" i="189"/>
  <c r="E42" i="189"/>
  <c r="I41" i="189"/>
  <c r="H41" i="189"/>
  <c r="E41" i="189"/>
  <c r="I40" i="189"/>
  <c r="H40" i="189"/>
  <c r="E40" i="189"/>
  <c r="I39" i="189"/>
  <c r="H39" i="189"/>
  <c r="E39" i="189"/>
  <c r="I38" i="189"/>
  <c r="H38" i="189"/>
  <c r="E38" i="189"/>
  <c r="I37" i="189"/>
  <c r="H37" i="189"/>
  <c r="E37" i="189"/>
  <c r="I36" i="189"/>
  <c r="H36" i="189"/>
  <c r="E36" i="189"/>
  <c r="I35" i="189"/>
  <c r="H35" i="189"/>
  <c r="E35" i="189"/>
  <c r="I34" i="189"/>
  <c r="H34" i="189"/>
  <c r="E34" i="189"/>
  <c r="E33" i="189"/>
  <c r="E32" i="189"/>
  <c r="D32" i="189"/>
  <c r="C32" i="189"/>
  <c r="H31" i="189"/>
  <c r="D31" i="189"/>
  <c r="C31" i="189"/>
  <c r="I30" i="189"/>
  <c r="H30" i="189"/>
  <c r="E30" i="189"/>
  <c r="I29" i="189"/>
  <c r="H29" i="189"/>
  <c r="E29" i="189"/>
  <c r="I28" i="189"/>
  <c r="H28" i="189"/>
  <c r="E28" i="189"/>
  <c r="I27" i="189"/>
  <c r="H27" i="189"/>
  <c r="E27" i="189"/>
  <c r="I26" i="189"/>
  <c r="H26" i="189"/>
  <c r="E26" i="189"/>
  <c r="I25" i="189"/>
  <c r="H25" i="189"/>
  <c r="E25" i="189"/>
  <c r="I24" i="189"/>
  <c r="H24" i="189"/>
  <c r="E24" i="189"/>
  <c r="I23" i="189"/>
  <c r="H23" i="189"/>
  <c r="E23" i="189"/>
  <c r="I22" i="189"/>
  <c r="H22" i="189"/>
  <c r="E22" i="189"/>
  <c r="I21" i="189"/>
  <c r="H21" i="189"/>
  <c r="E21" i="189"/>
  <c r="I20" i="189"/>
  <c r="H20" i="189"/>
  <c r="E20" i="189"/>
  <c r="I19" i="189"/>
  <c r="H19" i="189"/>
  <c r="E19" i="189"/>
  <c r="E18" i="189"/>
  <c r="E17" i="189"/>
  <c r="D17" i="189"/>
  <c r="C17" i="189"/>
  <c r="D16" i="189"/>
  <c r="C16" i="189"/>
  <c r="E15" i="189"/>
  <c r="E14" i="189"/>
  <c r="E13" i="189"/>
  <c r="E12" i="189"/>
  <c r="E11" i="189"/>
  <c r="E10" i="189"/>
  <c r="E9" i="189"/>
  <c r="E8" i="189"/>
  <c r="E7" i="189"/>
  <c r="E6" i="189"/>
  <c r="E5" i="189"/>
  <c r="E4" i="189"/>
  <c r="E92" i="22"/>
  <c r="D92" i="22"/>
  <c r="C92" i="22"/>
  <c r="H91" i="22"/>
  <c r="D91" i="22"/>
  <c r="C91" i="22"/>
  <c r="I90" i="22"/>
  <c r="H90" i="22"/>
  <c r="I89" i="22"/>
  <c r="H89" i="22"/>
  <c r="I88" i="22"/>
  <c r="H88" i="22"/>
  <c r="I87" i="22"/>
  <c r="H87" i="22"/>
  <c r="I86" i="22"/>
  <c r="H86" i="22"/>
  <c r="I85" i="22"/>
  <c r="H85" i="22"/>
  <c r="I84" i="22"/>
  <c r="H84" i="22"/>
  <c r="I83" i="22"/>
  <c r="H83" i="22"/>
  <c r="I82" i="22"/>
  <c r="H82" i="22"/>
  <c r="I81" i="22"/>
  <c r="H81" i="22"/>
  <c r="I80" i="22"/>
  <c r="H80" i="22"/>
  <c r="I79" i="22"/>
  <c r="H79" i="22"/>
  <c r="D77" i="22"/>
  <c r="C77" i="22"/>
  <c r="D76" i="22"/>
  <c r="C76" i="22"/>
  <c r="H75" i="22"/>
  <c r="H76" i="22" s="1"/>
  <c r="H74" i="22"/>
  <c r="H73" i="22"/>
  <c r="E73" i="22"/>
  <c r="E74" i="22" s="1"/>
  <c r="I72" i="22"/>
  <c r="H72" i="22"/>
  <c r="E72" i="22"/>
  <c r="I71" i="22"/>
  <c r="H71" i="22"/>
  <c r="E71" i="22"/>
  <c r="I70" i="22"/>
  <c r="H70" i="22"/>
  <c r="E70" i="22"/>
  <c r="I69" i="22"/>
  <c r="H69" i="22"/>
  <c r="E69" i="22"/>
  <c r="I68" i="22"/>
  <c r="H68" i="22"/>
  <c r="E68" i="22"/>
  <c r="I67" i="22"/>
  <c r="H67" i="22"/>
  <c r="E67" i="22"/>
  <c r="I66" i="22"/>
  <c r="H66" i="22"/>
  <c r="E66" i="22"/>
  <c r="I65" i="22"/>
  <c r="H65" i="22"/>
  <c r="E65" i="22"/>
  <c r="I64" i="22"/>
  <c r="H64" i="22"/>
  <c r="E64" i="22"/>
  <c r="E63" i="22"/>
  <c r="E62" i="22"/>
  <c r="D62" i="22"/>
  <c r="C62" i="22"/>
  <c r="H61" i="22"/>
  <c r="D61" i="22"/>
  <c r="C61" i="22"/>
  <c r="I60" i="22"/>
  <c r="H60" i="22"/>
  <c r="E60" i="22"/>
  <c r="I59" i="22"/>
  <c r="H59" i="22"/>
  <c r="E59" i="22"/>
  <c r="I58" i="22"/>
  <c r="H58" i="22"/>
  <c r="E58" i="22"/>
  <c r="I57" i="22"/>
  <c r="H57" i="22"/>
  <c r="E57" i="22"/>
  <c r="I56" i="22"/>
  <c r="H56" i="22"/>
  <c r="E56" i="22"/>
  <c r="I55" i="22"/>
  <c r="H55" i="22"/>
  <c r="E55" i="22"/>
  <c r="I54" i="22"/>
  <c r="H54" i="22"/>
  <c r="E54" i="22"/>
  <c r="I53" i="22"/>
  <c r="H53" i="22"/>
  <c r="E53" i="22"/>
  <c r="I52" i="22"/>
  <c r="H52" i="22"/>
  <c r="E52" i="22"/>
  <c r="I51" i="22"/>
  <c r="H51" i="22"/>
  <c r="E51" i="22"/>
  <c r="I50" i="22"/>
  <c r="H50" i="22"/>
  <c r="E50" i="22"/>
  <c r="I49" i="22"/>
  <c r="H49" i="22"/>
  <c r="E49" i="22"/>
  <c r="E48" i="22"/>
  <c r="E47" i="22"/>
  <c r="D47" i="22"/>
  <c r="C47" i="22"/>
  <c r="H46" i="22"/>
  <c r="D46" i="22"/>
  <c r="C46" i="22"/>
  <c r="I45" i="22"/>
  <c r="H45" i="22"/>
  <c r="E45" i="22"/>
  <c r="I44" i="22"/>
  <c r="H44" i="22"/>
  <c r="E44" i="22"/>
  <c r="I43" i="22"/>
  <c r="H43" i="22"/>
  <c r="E43" i="22"/>
  <c r="I42" i="22"/>
  <c r="H42" i="22"/>
  <c r="E42" i="22"/>
  <c r="I41" i="22"/>
  <c r="H41" i="22"/>
  <c r="E41" i="22"/>
  <c r="I40" i="22"/>
  <c r="H40" i="22"/>
  <c r="E40" i="22"/>
  <c r="I39" i="22"/>
  <c r="H39" i="22"/>
  <c r="E39" i="22"/>
  <c r="I38" i="22"/>
  <c r="H38" i="22"/>
  <c r="E38" i="22"/>
  <c r="I37" i="22"/>
  <c r="H37" i="22"/>
  <c r="E37" i="22"/>
  <c r="I36" i="22"/>
  <c r="H36" i="22"/>
  <c r="E36" i="22"/>
  <c r="I35" i="22"/>
  <c r="H35" i="22"/>
  <c r="E35" i="22"/>
  <c r="I34" i="22"/>
  <c r="H34" i="22"/>
  <c r="E34" i="22"/>
  <c r="E33" i="22"/>
  <c r="E32" i="22"/>
  <c r="D32" i="22"/>
  <c r="C32" i="22"/>
  <c r="H31" i="22"/>
  <c r="D31" i="22"/>
  <c r="C31" i="22"/>
  <c r="I30" i="22"/>
  <c r="H30" i="22"/>
  <c r="E30" i="22"/>
  <c r="I29" i="22"/>
  <c r="H29" i="22"/>
  <c r="E29" i="22"/>
  <c r="I28" i="22"/>
  <c r="H28" i="22"/>
  <c r="E28" i="22"/>
  <c r="I27" i="22"/>
  <c r="H27" i="22"/>
  <c r="E27" i="22"/>
  <c r="I26" i="22"/>
  <c r="H26" i="22"/>
  <c r="E26" i="22"/>
  <c r="I25" i="22"/>
  <c r="H25" i="22"/>
  <c r="E25" i="22"/>
  <c r="I24" i="22"/>
  <c r="H24" i="22"/>
  <c r="E24" i="22"/>
  <c r="I23" i="22"/>
  <c r="H23" i="22"/>
  <c r="E23" i="22"/>
  <c r="I22" i="22"/>
  <c r="H22" i="22"/>
  <c r="E22" i="22"/>
  <c r="I21" i="22"/>
  <c r="H21" i="22"/>
  <c r="E21" i="22"/>
  <c r="I20" i="22"/>
  <c r="H20" i="22"/>
  <c r="E20" i="22"/>
  <c r="I19" i="22"/>
  <c r="H19" i="22"/>
  <c r="E19" i="22"/>
  <c r="E18" i="22"/>
  <c r="E17" i="22"/>
  <c r="D17" i="22"/>
  <c r="C17" i="22"/>
  <c r="D16" i="22"/>
  <c r="C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92" i="21"/>
  <c r="D92" i="21"/>
  <c r="C92" i="21"/>
  <c r="H91" i="21"/>
  <c r="D91" i="21"/>
  <c r="C91" i="21"/>
  <c r="I90" i="21"/>
  <c r="H90" i="21"/>
  <c r="I89" i="21"/>
  <c r="H89" i="21"/>
  <c r="I88" i="21"/>
  <c r="H88" i="21"/>
  <c r="I87" i="21"/>
  <c r="H87" i="21"/>
  <c r="I86" i="21"/>
  <c r="H86" i="21"/>
  <c r="I85" i="21"/>
  <c r="H85" i="21"/>
  <c r="I84" i="21"/>
  <c r="H84" i="21"/>
  <c r="I83" i="21"/>
  <c r="H83" i="21"/>
  <c r="I82" i="21"/>
  <c r="H82" i="21"/>
  <c r="I81" i="21"/>
  <c r="H81" i="21"/>
  <c r="I80" i="21"/>
  <c r="H80" i="21"/>
  <c r="I79" i="21"/>
  <c r="H79" i="21"/>
  <c r="D77" i="21"/>
  <c r="C77" i="21"/>
  <c r="D76" i="21"/>
  <c r="C76" i="21"/>
  <c r="H75" i="21"/>
  <c r="H76" i="21" s="1"/>
  <c r="H74" i="21"/>
  <c r="H73" i="21"/>
  <c r="I72" i="21"/>
  <c r="H72" i="21"/>
  <c r="E72" i="21"/>
  <c r="E73" i="21" s="1"/>
  <c r="E74" i="21" s="1"/>
  <c r="I71" i="21"/>
  <c r="H71" i="21"/>
  <c r="E71" i="21"/>
  <c r="I70" i="21"/>
  <c r="H70" i="21"/>
  <c r="E70" i="21"/>
  <c r="I69" i="21"/>
  <c r="H69" i="21"/>
  <c r="E69" i="21"/>
  <c r="I68" i="21"/>
  <c r="H68" i="21"/>
  <c r="E68" i="21"/>
  <c r="I67" i="21"/>
  <c r="H67" i="21"/>
  <c r="E67" i="21"/>
  <c r="I66" i="21"/>
  <c r="H66" i="21"/>
  <c r="E66" i="21"/>
  <c r="I65" i="21"/>
  <c r="H65" i="21"/>
  <c r="E65" i="21"/>
  <c r="I64" i="21"/>
  <c r="H64" i="21"/>
  <c r="E64" i="21"/>
  <c r="E63" i="21"/>
  <c r="E62" i="21"/>
  <c r="D62" i="21"/>
  <c r="C62" i="21"/>
  <c r="H61" i="21"/>
  <c r="D61" i="21"/>
  <c r="C61" i="21"/>
  <c r="I60" i="21"/>
  <c r="H60" i="21"/>
  <c r="E60" i="21"/>
  <c r="I59" i="21"/>
  <c r="H59" i="21"/>
  <c r="E59" i="21"/>
  <c r="I58" i="21"/>
  <c r="H58" i="21"/>
  <c r="E58" i="21"/>
  <c r="I57" i="21"/>
  <c r="H57" i="21"/>
  <c r="E57" i="21"/>
  <c r="I56" i="21"/>
  <c r="H56" i="21"/>
  <c r="E56" i="21"/>
  <c r="I55" i="21"/>
  <c r="H55" i="21"/>
  <c r="E55" i="21"/>
  <c r="I54" i="21"/>
  <c r="H54" i="21"/>
  <c r="E54" i="21"/>
  <c r="I53" i="21"/>
  <c r="H53" i="21"/>
  <c r="E53" i="21"/>
  <c r="I52" i="21"/>
  <c r="H52" i="21"/>
  <c r="E52" i="21"/>
  <c r="I51" i="21"/>
  <c r="H51" i="21"/>
  <c r="E51" i="21"/>
  <c r="I50" i="21"/>
  <c r="H50" i="21"/>
  <c r="E50" i="21"/>
  <c r="I49" i="21"/>
  <c r="H49" i="21"/>
  <c r="E49" i="21"/>
  <c r="E48" i="21"/>
  <c r="E47" i="21"/>
  <c r="D47" i="21"/>
  <c r="C47" i="21"/>
  <c r="H46" i="21"/>
  <c r="D46" i="21"/>
  <c r="C46" i="21"/>
  <c r="I45" i="21"/>
  <c r="H45" i="21"/>
  <c r="E45" i="21"/>
  <c r="I44" i="21"/>
  <c r="H44" i="21"/>
  <c r="E44" i="21"/>
  <c r="I43" i="21"/>
  <c r="H43" i="21"/>
  <c r="E43" i="21"/>
  <c r="I42" i="21"/>
  <c r="H42" i="21"/>
  <c r="E42" i="21"/>
  <c r="I41" i="21"/>
  <c r="H41" i="21"/>
  <c r="E41" i="21"/>
  <c r="I40" i="21"/>
  <c r="H40" i="21"/>
  <c r="E40" i="21"/>
  <c r="I39" i="21"/>
  <c r="H39" i="21"/>
  <c r="E39" i="21"/>
  <c r="I38" i="21"/>
  <c r="H38" i="21"/>
  <c r="E38" i="21"/>
  <c r="I37" i="21"/>
  <c r="H37" i="21"/>
  <c r="E37" i="21"/>
  <c r="I36" i="21"/>
  <c r="H36" i="21"/>
  <c r="E36" i="21"/>
  <c r="I35" i="21"/>
  <c r="H35" i="21"/>
  <c r="E35" i="21"/>
  <c r="I34" i="21"/>
  <c r="H34" i="21"/>
  <c r="E34" i="21"/>
  <c r="E33" i="21"/>
  <c r="E32" i="21"/>
  <c r="D32" i="21"/>
  <c r="C32" i="21"/>
  <c r="H31" i="21"/>
  <c r="D31" i="21"/>
  <c r="C31" i="21"/>
  <c r="I30" i="21"/>
  <c r="H30" i="21"/>
  <c r="E30" i="21"/>
  <c r="I29" i="21"/>
  <c r="H29" i="21"/>
  <c r="E29" i="21"/>
  <c r="I28" i="21"/>
  <c r="H28" i="21"/>
  <c r="E28" i="21"/>
  <c r="I27" i="21"/>
  <c r="H27" i="21"/>
  <c r="E27" i="21"/>
  <c r="I26" i="21"/>
  <c r="H26" i="21"/>
  <c r="E26" i="21"/>
  <c r="I25" i="21"/>
  <c r="H25" i="21"/>
  <c r="E25" i="21"/>
  <c r="I24" i="21"/>
  <c r="H24" i="21"/>
  <c r="E24" i="21"/>
  <c r="I23" i="21"/>
  <c r="H23" i="21"/>
  <c r="E23" i="21"/>
  <c r="I22" i="21"/>
  <c r="H22" i="21"/>
  <c r="E22" i="21"/>
  <c r="I21" i="21"/>
  <c r="H21" i="21"/>
  <c r="E21" i="21"/>
  <c r="I20" i="21"/>
  <c r="H20" i="21"/>
  <c r="E20" i="21"/>
  <c r="I19" i="21"/>
  <c r="H19" i="21"/>
  <c r="E19" i="21"/>
  <c r="E18" i="21"/>
  <c r="E17" i="21"/>
  <c r="D17" i="21"/>
  <c r="C17" i="21"/>
  <c r="D16" i="21"/>
  <c r="C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92" i="20"/>
  <c r="D92" i="20"/>
  <c r="C92" i="20"/>
  <c r="H91" i="20"/>
  <c r="D91" i="20"/>
  <c r="C91" i="20"/>
  <c r="I90" i="20"/>
  <c r="H90" i="20"/>
  <c r="I89" i="20"/>
  <c r="H89" i="20"/>
  <c r="I88" i="20"/>
  <c r="H88" i="20"/>
  <c r="I87" i="20"/>
  <c r="H87" i="20"/>
  <c r="I86" i="20"/>
  <c r="H86" i="20"/>
  <c r="I85" i="20"/>
  <c r="H85" i="20"/>
  <c r="I84" i="20"/>
  <c r="H84" i="20"/>
  <c r="I83" i="20"/>
  <c r="H83" i="20"/>
  <c r="I82" i="20"/>
  <c r="H82" i="20"/>
  <c r="I81" i="20"/>
  <c r="H81" i="20"/>
  <c r="I80" i="20"/>
  <c r="H80" i="20"/>
  <c r="I79" i="20"/>
  <c r="H79" i="20"/>
  <c r="D77" i="20"/>
  <c r="C77" i="20"/>
  <c r="H76" i="20"/>
  <c r="D76" i="20"/>
  <c r="C76" i="20"/>
  <c r="H75" i="20"/>
  <c r="H74" i="20"/>
  <c r="H73" i="20"/>
  <c r="H72" i="20"/>
  <c r="E72" i="20"/>
  <c r="E73" i="20" s="1"/>
  <c r="E74" i="20" s="1"/>
  <c r="I71" i="20"/>
  <c r="H71" i="20"/>
  <c r="E71" i="20"/>
  <c r="I70" i="20"/>
  <c r="H70" i="20"/>
  <c r="E70" i="20"/>
  <c r="I69" i="20"/>
  <c r="H69" i="20"/>
  <c r="E69" i="20"/>
  <c r="I68" i="20"/>
  <c r="H68" i="20"/>
  <c r="E68" i="20"/>
  <c r="I67" i="20"/>
  <c r="H67" i="20"/>
  <c r="E67" i="20"/>
  <c r="I66" i="20"/>
  <c r="H66" i="20"/>
  <c r="E66" i="20"/>
  <c r="I65" i="20"/>
  <c r="H65" i="20"/>
  <c r="E65" i="20"/>
  <c r="I64" i="20"/>
  <c r="H64" i="20"/>
  <c r="E64" i="20"/>
  <c r="E63" i="20"/>
  <c r="E62" i="20"/>
  <c r="D62" i="20"/>
  <c r="C62" i="20"/>
  <c r="H61" i="20"/>
  <c r="D61" i="20"/>
  <c r="C61" i="20"/>
  <c r="I60" i="20"/>
  <c r="H60" i="20"/>
  <c r="E60" i="20"/>
  <c r="I59" i="20"/>
  <c r="H59" i="20"/>
  <c r="E59" i="20"/>
  <c r="I58" i="20"/>
  <c r="H58" i="20"/>
  <c r="E58" i="20"/>
  <c r="I57" i="20"/>
  <c r="H57" i="20"/>
  <c r="E57" i="20"/>
  <c r="I56" i="20"/>
  <c r="H56" i="20"/>
  <c r="E56" i="20"/>
  <c r="I55" i="20"/>
  <c r="H55" i="20"/>
  <c r="E55" i="20"/>
  <c r="I54" i="20"/>
  <c r="H54" i="20"/>
  <c r="E54" i="20"/>
  <c r="I53" i="20"/>
  <c r="H53" i="20"/>
  <c r="E53" i="20"/>
  <c r="I52" i="20"/>
  <c r="H52" i="20"/>
  <c r="E52" i="20"/>
  <c r="I51" i="20"/>
  <c r="H51" i="20"/>
  <c r="E51" i="20"/>
  <c r="I50" i="20"/>
  <c r="H50" i="20"/>
  <c r="E50" i="20"/>
  <c r="I49" i="20"/>
  <c r="H49" i="20"/>
  <c r="E49" i="20"/>
  <c r="E48" i="20"/>
  <c r="E47" i="20"/>
  <c r="D47" i="20"/>
  <c r="C47" i="20"/>
  <c r="H46" i="20"/>
  <c r="D46" i="20"/>
  <c r="C46" i="20"/>
  <c r="I45" i="20"/>
  <c r="H45" i="20"/>
  <c r="E45" i="20"/>
  <c r="I44" i="20"/>
  <c r="H44" i="20"/>
  <c r="E44" i="20"/>
  <c r="I43" i="20"/>
  <c r="H43" i="20"/>
  <c r="E43" i="20"/>
  <c r="I42" i="20"/>
  <c r="H42" i="20"/>
  <c r="E42" i="20"/>
  <c r="I41" i="20"/>
  <c r="H41" i="20"/>
  <c r="E41" i="20"/>
  <c r="I40" i="20"/>
  <c r="H40" i="20"/>
  <c r="E40" i="20"/>
  <c r="I39" i="20"/>
  <c r="H39" i="20"/>
  <c r="E39" i="20"/>
  <c r="I38" i="20"/>
  <c r="H38" i="20"/>
  <c r="E38" i="20"/>
  <c r="I37" i="20"/>
  <c r="H37" i="20"/>
  <c r="E37" i="20"/>
  <c r="I36" i="20"/>
  <c r="H36" i="20"/>
  <c r="E36" i="20"/>
  <c r="I35" i="20"/>
  <c r="H35" i="20"/>
  <c r="E35" i="20"/>
  <c r="I34" i="20"/>
  <c r="H34" i="20"/>
  <c r="E34" i="20"/>
  <c r="E33" i="20"/>
  <c r="E32" i="20"/>
  <c r="D32" i="20"/>
  <c r="C32" i="20"/>
  <c r="H31" i="20"/>
  <c r="D31" i="20"/>
  <c r="C31" i="20"/>
  <c r="I30" i="20"/>
  <c r="H30" i="20"/>
  <c r="E30" i="20"/>
  <c r="I29" i="20"/>
  <c r="H29" i="20"/>
  <c r="E29" i="20"/>
  <c r="I28" i="20"/>
  <c r="H28" i="20"/>
  <c r="E28" i="20"/>
  <c r="I27" i="20"/>
  <c r="H27" i="20"/>
  <c r="E27" i="20"/>
  <c r="I26" i="20"/>
  <c r="H26" i="20"/>
  <c r="E26" i="20"/>
  <c r="I25" i="20"/>
  <c r="H25" i="20"/>
  <c r="E25" i="20"/>
  <c r="I24" i="20"/>
  <c r="H24" i="20"/>
  <c r="E24" i="20"/>
  <c r="I23" i="20"/>
  <c r="H23" i="20"/>
  <c r="E23" i="20"/>
  <c r="I22" i="20"/>
  <c r="H22" i="20"/>
  <c r="E22" i="20"/>
  <c r="I21" i="20"/>
  <c r="H21" i="20"/>
  <c r="E21" i="20"/>
  <c r="I20" i="20"/>
  <c r="H20" i="20"/>
  <c r="E20" i="20"/>
  <c r="I19" i="20"/>
  <c r="H19" i="20"/>
  <c r="E19" i="20"/>
  <c r="E18" i="20"/>
  <c r="E17" i="20"/>
  <c r="D17" i="20"/>
  <c r="C17" i="20"/>
  <c r="D16" i="20"/>
  <c r="C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92" i="19"/>
  <c r="D92" i="19"/>
  <c r="C92" i="19"/>
  <c r="H91" i="19"/>
  <c r="D91" i="19"/>
  <c r="C91" i="19"/>
  <c r="I90" i="19"/>
  <c r="H90" i="19"/>
  <c r="I89" i="19"/>
  <c r="H89" i="19"/>
  <c r="I88" i="19"/>
  <c r="H88" i="19"/>
  <c r="I87" i="19"/>
  <c r="H87" i="19"/>
  <c r="I86" i="19"/>
  <c r="H86" i="19"/>
  <c r="I85" i="19"/>
  <c r="H85" i="19"/>
  <c r="I84" i="19"/>
  <c r="H84" i="19"/>
  <c r="I83" i="19"/>
  <c r="H83" i="19"/>
  <c r="I82" i="19"/>
  <c r="H82" i="19"/>
  <c r="I81" i="19"/>
  <c r="H81" i="19"/>
  <c r="I80" i="19"/>
  <c r="H80" i="19"/>
  <c r="I79" i="19"/>
  <c r="H79" i="19"/>
  <c r="D77" i="19"/>
  <c r="C77" i="19"/>
  <c r="D76" i="19"/>
  <c r="C76" i="19"/>
  <c r="H75" i="19"/>
  <c r="H76" i="19" s="1"/>
  <c r="H74" i="19"/>
  <c r="H73" i="19"/>
  <c r="H72" i="19"/>
  <c r="E72" i="19"/>
  <c r="E73" i="19" s="1"/>
  <c r="I71" i="19"/>
  <c r="H71" i="19"/>
  <c r="E71" i="19"/>
  <c r="I70" i="19"/>
  <c r="H70" i="19"/>
  <c r="E70" i="19"/>
  <c r="I69" i="19"/>
  <c r="H69" i="19"/>
  <c r="E69" i="19"/>
  <c r="I68" i="19"/>
  <c r="H68" i="19"/>
  <c r="E68" i="19"/>
  <c r="I67" i="19"/>
  <c r="H67" i="19"/>
  <c r="E67" i="19"/>
  <c r="I66" i="19"/>
  <c r="H66" i="19"/>
  <c r="E66" i="19"/>
  <c r="I65" i="19"/>
  <c r="H65" i="19"/>
  <c r="E65" i="19"/>
  <c r="I64" i="19"/>
  <c r="H64" i="19"/>
  <c r="E64" i="19"/>
  <c r="E63" i="19"/>
  <c r="E62" i="19"/>
  <c r="D62" i="19"/>
  <c r="C62" i="19"/>
  <c r="H61" i="19"/>
  <c r="D61" i="19"/>
  <c r="C61" i="19"/>
  <c r="I60" i="19"/>
  <c r="H60" i="19"/>
  <c r="E60" i="19"/>
  <c r="I59" i="19"/>
  <c r="H59" i="19"/>
  <c r="E59" i="19"/>
  <c r="I58" i="19"/>
  <c r="H58" i="19"/>
  <c r="E58" i="19"/>
  <c r="I57" i="19"/>
  <c r="H57" i="19"/>
  <c r="E57" i="19"/>
  <c r="I56" i="19"/>
  <c r="H56" i="19"/>
  <c r="E56" i="19"/>
  <c r="I55" i="19"/>
  <c r="H55" i="19"/>
  <c r="E55" i="19"/>
  <c r="I54" i="19"/>
  <c r="H54" i="19"/>
  <c r="E54" i="19"/>
  <c r="I53" i="19"/>
  <c r="H53" i="19"/>
  <c r="E53" i="19"/>
  <c r="I52" i="19"/>
  <c r="H52" i="19"/>
  <c r="E52" i="19"/>
  <c r="I51" i="19"/>
  <c r="H51" i="19"/>
  <c r="E51" i="19"/>
  <c r="I50" i="19"/>
  <c r="H50" i="19"/>
  <c r="E50" i="19"/>
  <c r="I49" i="19"/>
  <c r="H49" i="19"/>
  <c r="E49" i="19"/>
  <c r="E48" i="19"/>
  <c r="E47" i="19"/>
  <c r="D47" i="19"/>
  <c r="C47" i="19"/>
  <c r="H46" i="19"/>
  <c r="D46" i="19"/>
  <c r="C46" i="19"/>
  <c r="I45" i="19"/>
  <c r="H45" i="19"/>
  <c r="E45" i="19"/>
  <c r="I44" i="19"/>
  <c r="H44" i="19"/>
  <c r="E44" i="19"/>
  <c r="I43" i="19"/>
  <c r="H43" i="19"/>
  <c r="E43" i="19"/>
  <c r="I42" i="19"/>
  <c r="H42" i="19"/>
  <c r="E42" i="19"/>
  <c r="I41" i="19"/>
  <c r="H41" i="19"/>
  <c r="E41" i="19"/>
  <c r="I40" i="19"/>
  <c r="H40" i="19"/>
  <c r="E40" i="19"/>
  <c r="I39" i="19"/>
  <c r="H39" i="19"/>
  <c r="E39" i="19"/>
  <c r="I38" i="19"/>
  <c r="H38" i="19"/>
  <c r="E38" i="19"/>
  <c r="I37" i="19"/>
  <c r="H37" i="19"/>
  <c r="E37" i="19"/>
  <c r="I36" i="19"/>
  <c r="H36" i="19"/>
  <c r="E36" i="19"/>
  <c r="I35" i="19"/>
  <c r="H35" i="19"/>
  <c r="E35" i="19"/>
  <c r="I34" i="19"/>
  <c r="H34" i="19"/>
  <c r="E34" i="19"/>
  <c r="E33" i="19"/>
  <c r="E32" i="19"/>
  <c r="D32" i="19"/>
  <c r="C32" i="19"/>
  <c r="H31" i="19"/>
  <c r="D31" i="19"/>
  <c r="C31" i="19"/>
  <c r="I30" i="19"/>
  <c r="H30" i="19"/>
  <c r="E30" i="19"/>
  <c r="I29" i="19"/>
  <c r="H29" i="19"/>
  <c r="E29" i="19"/>
  <c r="I28" i="19"/>
  <c r="H28" i="19"/>
  <c r="E28" i="19"/>
  <c r="I27" i="19"/>
  <c r="H27" i="19"/>
  <c r="E27" i="19"/>
  <c r="I26" i="19"/>
  <c r="H26" i="19"/>
  <c r="E26" i="19"/>
  <c r="I25" i="19"/>
  <c r="H25" i="19"/>
  <c r="E25" i="19"/>
  <c r="I24" i="19"/>
  <c r="H24" i="19"/>
  <c r="E24" i="19"/>
  <c r="I23" i="19"/>
  <c r="H23" i="19"/>
  <c r="E23" i="19"/>
  <c r="I22" i="19"/>
  <c r="H22" i="19"/>
  <c r="E22" i="19"/>
  <c r="I21" i="19"/>
  <c r="H21" i="19"/>
  <c r="E21" i="19"/>
  <c r="I20" i="19"/>
  <c r="H20" i="19"/>
  <c r="E20" i="19"/>
  <c r="I19" i="19"/>
  <c r="H19" i="19"/>
  <c r="E19" i="19"/>
  <c r="E18" i="19"/>
  <c r="E17" i="19"/>
  <c r="D17" i="19"/>
  <c r="C17" i="19"/>
  <c r="D16" i="19"/>
  <c r="C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92" i="18"/>
  <c r="D92" i="18"/>
  <c r="C92" i="18"/>
  <c r="H91" i="18"/>
  <c r="D91" i="18"/>
  <c r="C91" i="18"/>
  <c r="I90" i="18"/>
  <c r="H90" i="18"/>
  <c r="I89" i="18"/>
  <c r="H89" i="18"/>
  <c r="I88" i="18"/>
  <c r="H88" i="18"/>
  <c r="I87" i="18"/>
  <c r="H87" i="18"/>
  <c r="I86" i="18"/>
  <c r="H86" i="18"/>
  <c r="I85" i="18"/>
  <c r="H85" i="18"/>
  <c r="I84" i="18"/>
  <c r="H84" i="18"/>
  <c r="I83" i="18"/>
  <c r="H83" i="18"/>
  <c r="I82" i="18"/>
  <c r="H82" i="18"/>
  <c r="I81" i="18"/>
  <c r="H81" i="18"/>
  <c r="I80" i="18"/>
  <c r="H80" i="18"/>
  <c r="I79" i="18"/>
  <c r="H79" i="18"/>
  <c r="D77" i="18"/>
  <c r="C77" i="18"/>
  <c r="D76" i="18"/>
  <c r="C76" i="18"/>
  <c r="H75" i="18"/>
  <c r="H76" i="18" s="1"/>
  <c r="H74" i="18"/>
  <c r="H73" i="18"/>
  <c r="I72" i="18"/>
  <c r="H72" i="18"/>
  <c r="E72" i="18"/>
  <c r="E73" i="18" s="1"/>
  <c r="E74" i="18" s="1"/>
  <c r="I71" i="18"/>
  <c r="H71" i="18"/>
  <c r="E71" i="18"/>
  <c r="I70" i="18"/>
  <c r="H70" i="18"/>
  <c r="E70" i="18"/>
  <c r="I69" i="18"/>
  <c r="H69" i="18"/>
  <c r="E69" i="18"/>
  <c r="I68" i="18"/>
  <c r="H68" i="18"/>
  <c r="E68" i="18"/>
  <c r="I67" i="18"/>
  <c r="H67" i="18"/>
  <c r="E67" i="18"/>
  <c r="I66" i="18"/>
  <c r="H66" i="18"/>
  <c r="E66" i="18"/>
  <c r="I65" i="18"/>
  <c r="H65" i="18"/>
  <c r="E65" i="18"/>
  <c r="I64" i="18"/>
  <c r="H64" i="18"/>
  <c r="E64" i="18"/>
  <c r="E63" i="18"/>
  <c r="E62" i="18"/>
  <c r="D62" i="18"/>
  <c r="C62" i="18"/>
  <c r="H61" i="18"/>
  <c r="D61" i="18"/>
  <c r="C61" i="18"/>
  <c r="I60" i="18"/>
  <c r="H60" i="18"/>
  <c r="E60" i="18"/>
  <c r="I59" i="18"/>
  <c r="H59" i="18"/>
  <c r="E59" i="18"/>
  <c r="I58" i="18"/>
  <c r="H58" i="18"/>
  <c r="E58" i="18"/>
  <c r="I57" i="18"/>
  <c r="H57" i="18"/>
  <c r="E57" i="18"/>
  <c r="I56" i="18"/>
  <c r="H56" i="18"/>
  <c r="E56" i="18"/>
  <c r="I55" i="18"/>
  <c r="H55" i="18"/>
  <c r="E55" i="18"/>
  <c r="I54" i="18"/>
  <c r="H54" i="18"/>
  <c r="E54" i="18"/>
  <c r="I53" i="18"/>
  <c r="H53" i="18"/>
  <c r="E53" i="18"/>
  <c r="I52" i="18"/>
  <c r="H52" i="18"/>
  <c r="E52" i="18"/>
  <c r="I51" i="18"/>
  <c r="H51" i="18"/>
  <c r="E51" i="18"/>
  <c r="I50" i="18"/>
  <c r="H50" i="18"/>
  <c r="E50" i="18"/>
  <c r="I49" i="18"/>
  <c r="H49" i="18"/>
  <c r="E49" i="18"/>
  <c r="E48" i="18"/>
  <c r="E47" i="18"/>
  <c r="D47" i="18"/>
  <c r="C47" i="18"/>
  <c r="H46" i="18"/>
  <c r="D46" i="18"/>
  <c r="C46" i="18"/>
  <c r="I45" i="18"/>
  <c r="H45" i="18"/>
  <c r="E45" i="18"/>
  <c r="I44" i="18"/>
  <c r="H44" i="18"/>
  <c r="E44" i="18"/>
  <c r="I43" i="18"/>
  <c r="H43" i="18"/>
  <c r="E43" i="18"/>
  <c r="I42" i="18"/>
  <c r="H42" i="18"/>
  <c r="E42" i="18"/>
  <c r="I41" i="18"/>
  <c r="H41" i="18"/>
  <c r="E41" i="18"/>
  <c r="I40" i="18"/>
  <c r="H40" i="18"/>
  <c r="E40" i="18"/>
  <c r="I39" i="18"/>
  <c r="H39" i="18"/>
  <c r="E39" i="18"/>
  <c r="I38" i="18"/>
  <c r="H38" i="18"/>
  <c r="E38" i="18"/>
  <c r="I37" i="18"/>
  <c r="H37" i="18"/>
  <c r="E37" i="18"/>
  <c r="I36" i="18"/>
  <c r="H36" i="18"/>
  <c r="E36" i="18"/>
  <c r="I35" i="18"/>
  <c r="H35" i="18"/>
  <c r="E35" i="18"/>
  <c r="I34" i="18"/>
  <c r="H34" i="18"/>
  <c r="E34" i="18"/>
  <c r="E33" i="18"/>
  <c r="E32" i="18"/>
  <c r="D32" i="18"/>
  <c r="C32" i="18"/>
  <c r="H31" i="18"/>
  <c r="D31" i="18"/>
  <c r="C31" i="18"/>
  <c r="I30" i="18"/>
  <c r="H30" i="18"/>
  <c r="E30" i="18"/>
  <c r="I29" i="18"/>
  <c r="H29" i="18"/>
  <c r="E29" i="18"/>
  <c r="I28" i="18"/>
  <c r="H28" i="18"/>
  <c r="E28" i="18"/>
  <c r="I27" i="18"/>
  <c r="H27" i="18"/>
  <c r="E27" i="18"/>
  <c r="I26" i="18"/>
  <c r="H26" i="18"/>
  <c r="E26" i="18"/>
  <c r="I25" i="18"/>
  <c r="H25" i="18"/>
  <c r="E25" i="18"/>
  <c r="I24" i="18"/>
  <c r="H24" i="18"/>
  <c r="E24" i="18"/>
  <c r="I23" i="18"/>
  <c r="H23" i="18"/>
  <c r="E23" i="18"/>
  <c r="I22" i="18"/>
  <c r="H22" i="18"/>
  <c r="E22" i="18"/>
  <c r="I21" i="18"/>
  <c r="H21" i="18"/>
  <c r="E21" i="18"/>
  <c r="I20" i="18"/>
  <c r="H20" i="18"/>
  <c r="E20" i="18"/>
  <c r="I19" i="18"/>
  <c r="H19" i="18"/>
  <c r="E19" i="18"/>
  <c r="E18" i="18"/>
  <c r="E17" i="18"/>
  <c r="D17" i="18"/>
  <c r="C17" i="18"/>
  <c r="D16" i="18"/>
  <c r="C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92" i="17"/>
  <c r="D92" i="17"/>
  <c r="C92" i="17"/>
  <c r="H91" i="17"/>
  <c r="D91" i="17"/>
  <c r="C91" i="17"/>
  <c r="I90" i="17"/>
  <c r="H90" i="17"/>
  <c r="I89" i="17"/>
  <c r="H89" i="17"/>
  <c r="I88" i="17"/>
  <c r="H88" i="17"/>
  <c r="I87" i="17"/>
  <c r="H87" i="17"/>
  <c r="I86" i="17"/>
  <c r="H86" i="17"/>
  <c r="I85" i="17"/>
  <c r="H85" i="17"/>
  <c r="I84" i="17"/>
  <c r="H84" i="17"/>
  <c r="I83" i="17"/>
  <c r="H83" i="17"/>
  <c r="I82" i="17"/>
  <c r="H82" i="17"/>
  <c r="I81" i="17"/>
  <c r="H81" i="17"/>
  <c r="I80" i="17"/>
  <c r="H80" i="17"/>
  <c r="I79" i="17"/>
  <c r="H79" i="17"/>
  <c r="D77" i="17"/>
  <c r="C77" i="17"/>
  <c r="H76" i="17"/>
  <c r="D76" i="17"/>
  <c r="C76" i="17"/>
  <c r="H75" i="17"/>
  <c r="H74" i="17"/>
  <c r="H73" i="17"/>
  <c r="I72" i="17"/>
  <c r="H72" i="17"/>
  <c r="E72" i="17"/>
  <c r="E73" i="17" s="1"/>
  <c r="E74" i="17" s="1"/>
  <c r="I71" i="17"/>
  <c r="H71" i="17"/>
  <c r="E71" i="17"/>
  <c r="I70" i="17"/>
  <c r="H70" i="17"/>
  <c r="E70" i="17"/>
  <c r="I69" i="17"/>
  <c r="H69" i="17"/>
  <c r="E69" i="17"/>
  <c r="I68" i="17"/>
  <c r="H68" i="17"/>
  <c r="E68" i="17"/>
  <c r="I67" i="17"/>
  <c r="H67" i="17"/>
  <c r="E67" i="17"/>
  <c r="I66" i="17"/>
  <c r="H66" i="17"/>
  <c r="E66" i="17"/>
  <c r="I65" i="17"/>
  <c r="H65" i="17"/>
  <c r="E65" i="17"/>
  <c r="I64" i="17"/>
  <c r="H64" i="17"/>
  <c r="E64" i="17"/>
  <c r="E63" i="17"/>
  <c r="E62" i="17"/>
  <c r="D62" i="17"/>
  <c r="C62" i="17"/>
  <c r="H61" i="17"/>
  <c r="D61" i="17"/>
  <c r="C61" i="17"/>
  <c r="I60" i="17"/>
  <c r="H60" i="17"/>
  <c r="E60" i="17"/>
  <c r="I59" i="17"/>
  <c r="H59" i="17"/>
  <c r="E59" i="17"/>
  <c r="I58" i="17"/>
  <c r="H58" i="17"/>
  <c r="E58" i="17"/>
  <c r="I57" i="17"/>
  <c r="H57" i="17"/>
  <c r="E57" i="17"/>
  <c r="I56" i="17"/>
  <c r="H56" i="17"/>
  <c r="E56" i="17"/>
  <c r="I55" i="17"/>
  <c r="H55" i="17"/>
  <c r="E55" i="17"/>
  <c r="I54" i="17"/>
  <c r="H54" i="17"/>
  <c r="E54" i="17"/>
  <c r="I53" i="17"/>
  <c r="H53" i="17"/>
  <c r="E53" i="17"/>
  <c r="I52" i="17"/>
  <c r="H52" i="17"/>
  <c r="E52" i="17"/>
  <c r="I51" i="17"/>
  <c r="H51" i="17"/>
  <c r="E51" i="17"/>
  <c r="I50" i="17"/>
  <c r="H50" i="17"/>
  <c r="E50" i="17"/>
  <c r="I49" i="17"/>
  <c r="H49" i="17"/>
  <c r="E49" i="17"/>
  <c r="E48" i="17"/>
  <c r="E47" i="17"/>
  <c r="D47" i="17"/>
  <c r="C47" i="17"/>
  <c r="H46" i="17"/>
  <c r="D46" i="17"/>
  <c r="C46" i="17"/>
  <c r="I45" i="17"/>
  <c r="H45" i="17"/>
  <c r="E45" i="17"/>
  <c r="I44" i="17"/>
  <c r="H44" i="17"/>
  <c r="E44" i="17"/>
  <c r="I43" i="17"/>
  <c r="H43" i="17"/>
  <c r="E43" i="17"/>
  <c r="I42" i="17"/>
  <c r="H42" i="17"/>
  <c r="E42" i="17"/>
  <c r="I41" i="17"/>
  <c r="H41" i="17"/>
  <c r="E41" i="17"/>
  <c r="I40" i="17"/>
  <c r="H40" i="17"/>
  <c r="E40" i="17"/>
  <c r="I39" i="17"/>
  <c r="H39" i="17"/>
  <c r="E39" i="17"/>
  <c r="I38" i="17"/>
  <c r="H38" i="17"/>
  <c r="E38" i="17"/>
  <c r="I37" i="17"/>
  <c r="H37" i="17"/>
  <c r="E37" i="17"/>
  <c r="I36" i="17"/>
  <c r="H36" i="17"/>
  <c r="E36" i="17"/>
  <c r="I35" i="17"/>
  <c r="H35" i="17"/>
  <c r="E35" i="17"/>
  <c r="I34" i="17"/>
  <c r="H34" i="17"/>
  <c r="E34" i="17"/>
  <c r="E33" i="17"/>
  <c r="E32" i="17"/>
  <c r="D32" i="17"/>
  <c r="C32" i="17"/>
  <c r="H31" i="17"/>
  <c r="D31" i="17"/>
  <c r="C31" i="17"/>
  <c r="I30" i="17"/>
  <c r="H30" i="17"/>
  <c r="E30" i="17"/>
  <c r="I29" i="17"/>
  <c r="H29" i="17"/>
  <c r="E29" i="17"/>
  <c r="I28" i="17"/>
  <c r="H28" i="17"/>
  <c r="E28" i="17"/>
  <c r="I27" i="17"/>
  <c r="H27" i="17"/>
  <c r="E27" i="17"/>
  <c r="I26" i="17"/>
  <c r="H26" i="17"/>
  <c r="E26" i="17"/>
  <c r="I25" i="17"/>
  <c r="H25" i="17"/>
  <c r="E25" i="17"/>
  <c r="I24" i="17"/>
  <c r="H24" i="17"/>
  <c r="E24" i="17"/>
  <c r="I23" i="17"/>
  <c r="H23" i="17"/>
  <c r="E23" i="17"/>
  <c r="I22" i="17"/>
  <c r="H22" i="17"/>
  <c r="E22" i="17"/>
  <c r="I21" i="17"/>
  <c r="H21" i="17"/>
  <c r="E21" i="17"/>
  <c r="I20" i="17"/>
  <c r="H20" i="17"/>
  <c r="E20" i="17"/>
  <c r="I19" i="17"/>
  <c r="H19" i="17"/>
  <c r="E19" i="17"/>
  <c r="E18" i="17"/>
  <c r="E17" i="17"/>
  <c r="D17" i="17"/>
  <c r="C17" i="17"/>
  <c r="D16" i="17"/>
  <c r="C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92" i="16"/>
  <c r="D92" i="16"/>
  <c r="C92" i="16"/>
  <c r="H91" i="16"/>
  <c r="D91" i="16"/>
  <c r="C91" i="16"/>
  <c r="I90" i="16"/>
  <c r="H90" i="16"/>
  <c r="I89" i="16"/>
  <c r="H89" i="16"/>
  <c r="I88" i="16"/>
  <c r="H88" i="16"/>
  <c r="I87" i="16"/>
  <c r="H87" i="16"/>
  <c r="I86" i="16"/>
  <c r="H86" i="16"/>
  <c r="I85" i="16"/>
  <c r="H85" i="16"/>
  <c r="I84" i="16"/>
  <c r="H84" i="16"/>
  <c r="I83" i="16"/>
  <c r="H83" i="16"/>
  <c r="I82" i="16"/>
  <c r="H82" i="16"/>
  <c r="I81" i="16"/>
  <c r="H81" i="16"/>
  <c r="I80" i="16"/>
  <c r="H80" i="16"/>
  <c r="I79" i="16"/>
  <c r="H79" i="16"/>
  <c r="D77" i="16"/>
  <c r="C77" i="16"/>
  <c r="H76" i="16"/>
  <c r="D76" i="16"/>
  <c r="C76" i="16"/>
  <c r="H75" i="16"/>
  <c r="H74" i="16"/>
  <c r="H73" i="16"/>
  <c r="H72" i="16"/>
  <c r="E72" i="16"/>
  <c r="E73" i="16" s="1"/>
  <c r="E74" i="16" s="1"/>
  <c r="I71" i="16"/>
  <c r="H71" i="16"/>
  <c r="E71" i="16"/>
  <c r="I70" i="16"/>
  <c r="H70" i="16"/>
  <c r="E70" i="16"/>
  <c r="I69" i="16"/>
  <c r="H69" i="16"/>
  <c r="E69" i="16"/>
  <c r="I68" i="16"/>
  <c r="H68" i="16"/>
  <c r="E68" i="16"/>
  <c r="I67" i="16"/>
  <c r="H67" i="16"/>
  <c r="E67" i="16"/>
  <c r="I66" i="16"/>
  <c r="H66" i="16"/>
  <c r="E66" i="16"/>
  <c r="I65" i="16"/>
  <c r="H65" i="16"/>
  <c r="E65" i="16"/>
  <c r="I64" i="16"/>
  <c r="H64" i="16"/>
  <c r="E64" i="16"/>
  <c r="E63" i="16"/>
  <c r="E62" i="16"/>
  <c r="D62" i="16"/>
  <c r="C62" i="16"/>
  <c r="H61" i="16"/>
  <c r="D61" i="16"/>
  <c r="C61" i="16"/>
  <c r="I60" i="16"/>
  <c r="H60" i="16"/>
  <c r="E60" i="16"/>
  <c r="I59" i="16"/>
  <c r="H59" i="16"/>
  <c r="E59" i="16"/>
  <c r="I58" i="16"/>
  <c r="H58" i="16"/>
  <c r="E58" i="16"/>
  <c r="I57" i="16"/>
  <c r="H57" i="16"/>
  <c r="E57" i="16"/>
  <c r="I56" i="16"/>
  <c r="H56" i="16"/>
  <c r="E56" i="16"/>
  <c r="I55" i="16"/>
  <c r="H55" i="16"/>
  <c r="E55" i="16"/>
  <c r="I54" i="16"/>
  <c r="H54" i="16"/>
  <c r="E54" i="16"/>
  <c r="I53" i="16"/>
  <c r="H53" i="16"/>
  <c r="E53" i="16"/>
  <c r="I52" i="16"/>
  <c r="H52" i="16"/>
  <c r="E52" i="16"/>
  <c r="I51" i="16"/>
  <c r="H51" i="16"/>
  <c r="E51" i="16"/>
  <c r="I50" i="16"/>
  <c r="H50" i="16"/>
  <c r="E50" i="16"/>
  <c r="I49" i="16"/>
  <c r="H49" i="16"/>
  <c r="E49" i="16"/>
  <c r="E48" i="16"/>
  <c r="E47" i="16"/>
  <c r="D47" i="16"/>
  <c r="C47" i="16"/>
  <c r="H46" i="16"/>
  <c r="D46" i="16"/>
  <c r="C46" i="16"/>
  <c r="I45" i="16"/>
  <c r="H45" i="16"/>
  <c r="E45" i="16"/>
  <c r="I44" i="16"/>
  <c r="H44" i="16"/>
  <c r="E44" i="16"/>
  <c r="I43" i="16"/>
  <c r="H43" i="16"/>
  <c r="E43" i="16"/>
  <c r="I42" i="16"/>
  <c r="H42" i="16"/>
  <c r="E42" i="16"/>
  <c r="I41" i="16"/>
  <c r="H41" i="16"/>
  <c r="E41" i="16"/>
  <c r="I40" i="16"/>
  <c r="H40" i="16"/>
  <c r="E40" i="16"/>
  <c r="I39" i="16"/>
  <c r="H39" i="16"/>
  <c r="E39" i="16"/>
  <c r="I38" i="16"/>
  <c r="H38" i="16"/>
  <c r="E38" i="16"/>
  <c r="I37" i="16"/>
  <c r="H37" i="16"/>
  <c r="E37" i="16"/>
  <c r="I36" i="16"/>
  <c r="H36" i="16"/>
  <c r="E36" i="16"/>
  <c r="I35" i="16"/>
  <c r="H35" i="16"/>
  <c r="E35" i="16"/>
  <c r="I34" i="16"/>
  <c r="H34" i="16"/>
  <c r="E34" i="16"/>
  <c r="E33" i="16"/>
  <c r="E32" i="16"/>
  <c r="D32" i="16"/>
  <c r="C32" i="16"/>
  <c r="H31" i="16"/>
  <c r="D31" i="16"/>
  <c r="C31" i="16"/>
  <c r="I30" i="16"/>
  <c r="H30" i="16"/>
  <c r="E30" i="16"/>
  <c r="I29" i="16"/>
  <c r="H29" i="16"/>
  <c r="E29" i="16"/>
  <c r="I28" i="16"/>
  <c r="H28" i="16"/>
  <c r="E28" i="16"/>
  <c r="I27" i="16"/>
  <c r="H27" i="16"/>
  <c r="E27" i="16"/>
  <c r="I26" i="16"/>
  <c r="H26" i="16"/>
  <c r="E26" i="16"/>
  <c r="I25" i="16"/>
  <c r="H25" i="16"/>
  <c r="E25" i="16"/>
  <c r="I24" i="16"/>
  <c r="H24" i="16"/>
  <c r="E24" i="16"/>
  <c r="I23" i="16"/>
  <c r="H23" i="16"/>
  <c r="E23" i="16"/>
  <c r="I22" i="16"/>
  <c r="H22" i="16"/>
  <c r="E22" i="16"/>
  <c r="I21" i="16"/>
  <c r="H21" i="16"/>
  <c r="E21" i="16"/>
  <c r="I20" i="16"/>
  <c r="H20" i="16"/>
  <c r="E20" i="16"/>
  <c r="I19" i="16"/>
  <c r="H19" i="16"/>
  <c r="E19" i="16"/>
  <c r="E18" i="16"/>
  <c r="E17" i="16"/>
  <c r="D17" i="16"/>
  <c r="C17" i="16"/>
  <c r="D16" i="16"/>
  <c r="C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92" i="15"/>
  <c r="D92" i="15"/>
  <c r="C92" i="15"/>
  <c r="H91" i="15"/>
  <c r="D91" i="15"/>
  <c r="C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I83" i="15"/>
  <c r="H83" i="15"/>
  <c r="I82" i="15"/>
  <c r="H82" i="15"/>
  <c r="I81" i="15"/>
  <c r="H81" i="15"/>
  <c r="I80" i="15"/>
  <c r="H80" i="15"/>
  <c r="I79" i="15"/>
  <c r="H79" i="15"/>
  <c r="D77" i="15"/>
  <c r="C77" i="15"/>
  <c r="D76" i="15"/>
  <c r="C76" i="15"/>
  <c r="H75" i="15"/>
  <c r="H76" i="15" s="1"/>
  <c r="H74" i="15"/>
  <c r="H73" i="15"/>
  <c r="I72" i="15"/>
  <c r="H72" i="15"/>
  <c r="E72" i="15"/>
  <c r="E73" i="15" s="1"/>
  <c r="E74" i="15" s="1"/>
  <c r="I71" i="15"/>
  <c r="H71" i="15"/>
  <c r="E71" i="15"/>
  <c r="I70" i="15"/>
  <c r="H70" i="15"/>
  <c r="E70" i="15"/>
  <c r="I69" i="15"/>
  <c r="H69" i="15"/>
  <c r="E69" i="15"/>
  <c r="I68" i="15"/>
  <c r="H68" i="15"/>
  <c r="E68" i="15"/>
  <c r="I67" i="15"/>
  <c r="H67" i="15"/>
  <c r="E67" i="15"/>
  <c r="I66" i="15"/>
  <c r="H66" i="15"/>
  <c r="E66" i="15"/>
  <c r="I65" i="15"/>
  <c r="H65" i="15"/>
  <c r="E65" i="15"/>
  <c r="I64" i="15"/>
  <c r="H64" i="15"/>
  <c r="E64" i="15"/>
  <c r="E63" i="15"/>
  <c r="E62" i="15"/>
  <c r="D62" i="15"/>
  <c r="C62" i="15"/>
  <c r="H61" i="15"/>
  <c r="D61" i="15"/>
  <c r="C61" i="15"/>
  <c r="I60" i="15"/>
  <c r="H60" i="15"/>
  <c r="E60" i="15"/>
  <c r="I59" i="15"/>
  <c r="H59" i="15"/>
  <c r="E59" i="15"/>
  <c r="I58" i="15"/>
  <c r="H58" i="15"/>
  <c r="E58" i="15"/>
  <c r="I57" i="15"/>
  <c r="H57" i="15"/>
  <c r="E57" i="15"/>
  <c r="I56" i="15"/>
  <c r="H56" i="15"/>
  <c r="E56" i="15"/>
  <c r="I55" i="15"/>
  <c r="H55" i="15"/>
  <c r="E55" i="15"/>
  <c r="I54" i="15"/>
  <c r="H54" i="15"/>
  <c r="E54" i="15"/>
  <c r="I53" i="15"/>
  <c r="H53" i="15"/>
  <c r="E53" i="15"/>
  <c r="I52" i="15"/>
  <c r="H52" i="15"/>
  <c r="E52" i="15"/>
  <c r="I51" i="15"/>
  <c r="H51" i="15"/>
  <c r="E51" i="15"/>
  <c r="I50" i="15"/>
  <c r="H50" i="15"/>
  <c r="E50" i="15"/>
  <c r="I49" i="15"/>
  <c r="H49" i="15"/>
  <c r="E49" i="15"/>
  <c r="E48" i="15"/>
  <c r="E47" i="15"/>
  <c r="D47" i="15"/>
  <c r="C47" i="15"/>
  <c r="H46" i="15"/>
  <c r="D46" i="15"/>
  <c r="C46" i="15"/>
  <c r="I45" i="15"/>
  <c r="H45" i="15"/>
  <c r="E45" i="15"/>
  <c r="I44" i="15"/>
  <c r="H44" i="15"/>
  <c r="E44" i="15"/>
  <c r="I43" i="15"/>
  <c r="H43" i="15"/>
  <c r="E43" i="15"/>
  <c r="I42" i="15"/>
  <c r="H42" i="15"/>
  <c r="E42" i="15"/>
  <c r="I41" i="15"/>
  <c r="H41" i="15"/>
  <c r="E41" i="15"/>
  <c r="I40" i="15"/>
  <c r="H40" i="15"/>
  <c r="E40" i="15"/>
  <c r="I39" i="15"/>
  <c r="H39" i="15"/>
  <c r="E39" i="15"/>
  <c r="I38" i="15"/>
  <c r="H38" i="15"/>
  <c r="E38" i="15"/>
  <c r="I37" i="15"/>
  <c r="H37" i="15"/>
  <c r="E37" i="15"/>
  <c r="I36" i="15"/>
  <c r="H36" i="15"/>
  <c r="E36" i="15"/>
  <c r="I35" i="15"/>
  <c r="H35" i="15"/>
  <c r="E35" i="15"/>
  <c r="I34" i="15"/>
  <c r="H34" i="15"/>
  <c r="E34" i="15"/>
  <c r="E33" i="15"/>
  <c r="E32" i="15"/>
  <c r="D32" i="15"/>
  <c r="C32" i="15"/>
  <c r="H31" i="15"/>
  <c r="D31" i="15"/>
  <c r="C31" i="15"/>
  <c r="I30" i="15"/>
  <c r="H30" i="15"/>
  <c r="E30" i="15"/>
  <c r="I29" i="15"/>
  <c r="H29" i="15"/>
  <c r="E29" i="15"/>
  <c r="I28" i="15"/>
  <c r="H28" i="15"/>
  <c r="E28" i="15"/>
  <c r="I27" i="15"/>
  <c r="H27" i="15"/>
  <c r="E27" i="15"/>
  <c r="I26" i="15"/>
  <c r="H26" i="15"/>
  <c r="E26" i="15"/>
  <c r="I25" i="15"/>
  <c r="H25" i="15"/>
  <c r="E25" i="15"/>
  <c r="I24" i="15"/>
  <c r="H24" i="15"/>
  <c r="E24" i="15"/>
  <c r="I23" i="15"/>
  <c r="H23" i="15"/>
  <c r="E23" i="15"/>
  <c r="I22" i="15"/>
  <c r="H22" i="15"/>
  <c r="E22" i="15"/>
  <c r="I21" i="15"/>
  <c r="H21" i="15"/>
  <c r="E21" i="15"/>
  <c r="I20" i="15"/>
  <c r="H20" i="15"/>
  <c r="E20" i="15"/>
  <c r="I19" i="15"/>
  <c r="H19" i="15"/>
  <c r="E19" i="15"/>
  <c r="E18" i="15"/>
  <c r="E17" i="15"/>
  <c r="D17" i="15"/>
  <c r="C17" i="15"/>
  <c r="D16" i="15"/>
  <c r="C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92" i="14"/>
  <c r="D92" i="14"/>
  <c r="C92" i="14"/>
  <c r="H91" i="14"/>
  <c r="D91" i="14"/>
  <c r="C91" i="14"/>
  <c r="I90" i="14"/>
  <c r="H90" i="14"/>
  <c r="I89" i="14"/>
  <c r="H89" i="14"/>
  <c r="I88" i="14"/>
  <c r="H88" i="14"/>
  <c r="I87" i="14"/>
  <c r="H87" i="14"/>
  <c r="I86" i="14"/>
  <c r="H86" i="14"/>
  <c r="I85" i="14"/>
  <c r="H85" i="14"/>
  <c r="I84" i="14"/>
  <c r="H84" i="14"/>
  <c r="I83" i="14"/>
  <c r="H83" i="14"/>
  <c r="I82" i="14"/>
  <c r="H82" i="14"/>
  <c r="I81" i="14"/>
  <c r="H81" i="14"/>
  <c r="I80" i="14"/>
  <c r="H80" i="14"/>
  <c r="I79" i="14"/>
  <c r="H79" i="14"/>
  <c r="D77" i="14"/>
  <c r="C77" i="14"/>
  <c r="H76" i="14"/>
  <c r="D76" i="14"/>
  <c r="C76" i="14"/>
  <c r="H75" i="14"/>
  <c r="H74" i="14"/>
  <c r="H73" i="14"/>
  <c r="I72" i="14"/>
  <c r="H72" i="14"/>
  <c r="E72" i="14"/>
  <c r="E73" i="14" s="1"/>
  <c r="E74" i="14" s="1"/>
  <c r="I71" i="14"/>
  <c r="H71" i="14"/>
  <c r="E71" i="14"/>
  <c r="I70" i="14"/>
  <c r="H70" i="14"/>
  <c r="E70" i="14"/>
  <c r="I69" i="14"/>
  <c r="H69" i="14"/>
  <c r="E69" i="14"/>
  <c r="I68" i="14"/>
  <c r="H68" i="14"/>
  <c r="E68" i="14"/>
  <c r="I67" i="14"/>
  <c r="H67" i="14"/>
  <c r="E67" i="14"/>
  <c r="I66" i="14"/>
  <c r="H66" i="14"/>
  <c r="E66" i="14"/>
  <c r="I65" i="14"/>
  <c r="H65" i="14"/>
  <c r="E65" i="14"/>
  <c r="I64" i="14"/>
  <c r="H64" i="14"/>
  <c r="E64" i="14"/>
  <c r="E63" i="14"/>
  <c r="E62" i="14"/>
  <c r="D62" i="14"/>
  <c r="C62" i="14"/>
  <c r="H61" i="14"/>
  <c r="D61" i="14"/>
  <c r="C61" i="14"/>
  <c r="I60" i="14"/>
  <c r="H60" i="14"/>
  <c r="E60" i="14"/>
  <c r="I59" i="14"/>
  <c r="H59" i="14"/>
  <c r="E59" i="14"/>
  <c r="I58" i="14"/>
  <c r="H58" i="14"/>
  <c r="E58" i="14"/>
  <c r="I57" i="14"/>
  <c r="H57" i="14"/>
  <c r="E57" i="14"/>
  <c r="I56" i="14"/>
  <c r="H56" i="14"/>
  <c r="E56" i="14"/>
  <c r="I55" i="14"/>
  <c r="H55" i="14"/>
  <c r="E55" i="14"/>
  <c r="I54" i="14"/>
  <c r="H54" i="14"/>
  <c r="E54" i="14"/>
  <c r="I53" i="14"/>
  <c r="H53" i="14"/>
  <c r="E53" i="14"/>
  <c r="I52" i="14"/>
  <c r="H52" i="14"/>
  <c r="E52" i="14"/>
  <c r="I51" i="14"/>
  <c r="H51" i="14"/>
  <c r="E51" i="14"/>
  <c r="I50" i="14"/>
  <c r="H50" i="14"/>
  <c r="E50" i="14"/>
  <c r="I49" i="14"/>
  <c r="H49" i="14"/>
  <c r="E49" i="14"/>
  <c r="E48" i="14"/>
  <c r="E47" i="14"/>
  <c r="D47" i="14"/>
  <c r="C47" i="14"/>
  <c r="H46" i="14"/>
  <c r="D46" i="14"/>
  <c r="C46" i="14"/>
  <c r="I45" i="14"/>
  <c r="H45" i="14"/>
  <c r="E45" i="14"/>
  <c r="I44" i="14"/>
  <c r="H44" i="14"/>
  <c r="E44" i="14"/>
  <c r="I43" i="14"/>
  <c r="H43" i="14"/>
  <c r="E43" i="14"/>
  <c r="I42" i="14"/>
  <c r="H42" i="14"/>
  <c r="E42" i="14"/>
  <c r="I41" i="14"/>
  <c r="H41" i="14"/>
  <c r="E41" i="14"/>
  <c r="I40" i="14"/>
  <c r="H40" i="14"/>
  <c r="E40" i="14"/>
  <c r="I39" i="14"/>
  <c r="H39" i="14"/>
  <c r="E39" i="14"/>
  <c r="I38" i="14"/>
  <c r="H38" i="14"/>
  <c r="E38" i="14"/>
  <c r="I37" i="14"/>
  <c r="H37" i="14"/>
  <c r="E37" i="14"/>
  <c r="I36" i="14"/>
  <c r="H36" i="14"/>
  <c r="E36" i="14"/>
  <c r="I35" i="14"/>
  <c r="H35" i="14"/>
  <c r="E35" i="14"/>
  <c r="I34" i="14"/>
  <c r="H34" i="14"/>
  <c r="E34" i="14"/>
  <c r="E33" i="14"/>
  <c r="E32" i="14"/>
  <c r="D32" i="14"/>
  <c r="C32" i="14"/>
  <c r="H31" i="14"/>
  <c r="D31" i="14"/>
  <c r="C31" i="14"/>
  <c r="I30" i="14"/>
  <c r="H30" i="14"/>
  <c r="E30" i="14"/>
  <c r="I29" i="14"/>
  <c r="H29" i="14"/>
  <c r="E29" i="14"/>
  <c r="I28" i="14"/>
  <c r="H28" i="14"/>
  <c r="E28" i="14"/>
  <c r="I27" i="14"/>
  <c r="H27" i="14"/>
  <c r="E27" i="14"/>
  <c r="I26" i="14"/>
  <c r="H26" i="14"/>
  <c r="E26" i="14"/>
  <c r="I25" i="14"/>
  <c r="H25" i="14"/>
  <c r="E25" i="14"/>
  <c r="I24" i="14"/>
  <c r="H24" i="14"/>
  <c r="E24" i="14"/>
  <c r="I23" i="14"/>
  <c r="H23" i="14"/>
  <c r="E23" i="14"/>
  <c r="I22" i="14"/>
  <c r="H22" i="14"/>
  <c r="E22" i="14"/>
  <c r="I21" i="14"/>
  <c r="H21" i="14"/>
  <c r="E21" i="14"/>
  <c r="I20" i="14"/>
  <c r="H20" i="14"/>
  <c r="E20" i="14"/>
  <c r="I19" i="14"/>
  <c r="H19" i="14"/>
  <c r="E19" i="14"/>
  <c r="E18" i="14"/>
  <c r="E17" i="14"/>
  <c r="D17" i="14"/>
  <c r="C17" i="14"/>
  <c r="D16" i="14"/>
  <c r="C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92" i="13"/>
  <c r="D92" i="13"/>
  <c r="C92" i="13"/>
  <c r="H91" i="13"/>
  <c r="D91" i="13"/>
  <c r="C91" i="13"/>
  <c r="I90" i="13"/>
  <c r="H90" i="13"/>
  <c r="I89" i="13"/>
  <c r="H89" i="13"/>
  <c r="I88" i="13"/>
  <c r="H88" i="13"/>
  <c r="I87" i="13"/>
  <c r="H87" i="13"/>
  <c r="I86" i="13"/>
  <c r="H86" i="13"/>
  <c r="I85" i="13"/>
  <c r="H85" i="13"/>
  <c r="I84" i="13"/>
  <c r="H84" i="13"/>
  <c r="I83" i="13"/>
  <c r="H83" i="13"/>
  <c r="I82" i="13"/>
  <c r="H82" i="13"/>
  <c r="I81" i="13"/>
  <c r="H81" i="13"/>
  <c r="I80" i="13"/>
  <c r="H80" i="13"/>
  <c r="I79" i="13"/>
  <c r="H79" i="13"/>
  <c r="D77" i="13"/>
  <c r="C77" i="13"/>
  <c r="D76" i="13"/>
  <c r="C76" i="13"/>
  <c r="H75" i="13"/>
  <c r="H76" i="13" s="1"/>
  <c r="H74" i="13"/>
  <c r="H73" i="13"/>
  <c r="I72" i="13"/>
  <c r="H72" i="13"/>
  <c r="E72" i="13"/>
  <c r="E73" i="13" s="1"/>
  <c r="E74" i="13" s="1"/>
  <c r="I71" i="13"/>
  <c r="H71" i="13"/>
  <c r="E71" i="13"/>
  <c r="I70" i="13"/>
  <c r="H70" i="13"/>
  <c r="E70" i="13"/>
  <c r="I69" i="13"/>
  <c r="H69" i="13"/>
  <c r="E69" i="13"/>
  <c r="I68" i="13"/>
  <c r="H68" i="13"/>
  <c r="E68" i="13"/>
  <c r="I67" i="13"/>
  <c r="H67" i="13"/>
  <c r="E67" i="13"/>
  <c r="I66" i="13"/>
  <c r="H66" i="13"/>
  <c r="E66" i="13"/>
  <c r="I65" i="13"/>
  <c r="H65" i="13"/>
  <c r="E65" i="13"/>
  <c r="I64" i="13"/>
  <c r="H64" i="13"/>
  <c r="E64" i="13"/>
  <c r="E63" i="13"/>
  <c r="E62" i="13"/>
  <c r="D62" i="13"/>
  <c r="C62" i="13"/>
  <c r="H61" i="13"/>
  <c r="D61" i="13"/>
  <c r="C61" i="13"/>
  <c r="I60" i="13"/>
  <c r="H60" i="13"/>
  <c r="E60" i="13"/>
  <c r="I59" i="13"/>
  <c r="H59" i="13"/>
  <c r="E59" i="13"/>
  <c r="I58" i="13"/>
  <c r="H58" i="13"/>
  <c r="E58" i="13"/>
  <c r="I57" i="13"/>
  <c r="H57" i="13"/>
  <c r="E57" i="13"/>
  <c r="I56" i="13"/>
  <c r="H56" i="13"/>
  <c r="E56" i="13"/>
  <c r="I55" i="13"/>
  <c r="H55" i="13"/>
  <c r="E55" i="13"/>
  <c r="I54" i="13"/>
  <c r="H54" i="13"/>
  <c r="E54" i="13"/>
  <c r="I53" i="13"/>
  <c r="H53" i="13"/>
  <c r="E53" i="13"/>
  <c r="I52" i="13"/>
  <c r="H52" i="13"/>
  <c r="E52" i="13"/>
  <c r="I51" i="13"/>
  <c r="H51" i="13"/>
  <c r="E51" i="13"/>
  <c r="I50" i="13"/>
  <c r="H50" i="13"/>
  <c r="E50" i="13"/>
  <c r="I49" i="13"/>
  <c r="H49" i="13"/>
  <c r="E49" i="13"/>
  <c r="E48" i="13"/>
  <c r="E47" i="13"/>
  <c r="D47" i="13"/>
  <c r="C47" i="13"/>
  <c r="H46" i="13"/>
  <c r="D46" i="13"/>
  <c r="C46" i="13"/>
  <c r="I45" i="13"/>
  <c r="H45" i="13"/>
  <c r="E45" i="13"/>
  <c r="I44" i="13"/>
  <c r="H44" i="13"/>
  <c r="E44" i="13"/>
  <c r="I43" i="13"/>
  <c r="H43" i="13"/>
  <c r="E43" i="13"/>
  <c r="I42" i="13"/>
  <c r="H42" i="13"/>
  <c r="E42" i="13"/>
  <c r="I41" i="13"/>
  <c r="H41" i="13"/>
  <c r="E41" i="13"/>
  <c r="I40" i="13"/>
  <c r="H40" i="13"/>
  <c r="E40" i="13"/>
  <c r="I39" i="13"/>
  <c r="H39" i="13"/>
  <c r="E39" i="13"/>
  <c r="I38" i="13"/>
  <c r="H38" i="13"/>
  <c r="E38" i="13"/>
  <c r="I37" i="13"/>
  <c r="H37" i="13"/>
  <c r="E37" i="13"/>
  <c r="I36" i="13"/>
  <c r="H36" i="13"/>
  <c r="E36" i="13"/>
  <c r="I35" i="13"/>
  <c r="H35" i="13"/>
  <c r="E35" i="13"/>
  <c r="I34" i="13"/>
  <c r="H34" i="13"/>
  <c r="E34" i="13"/>
  <c r="E33" i="13"/>
  <c r="E32" i="13"/>
  <c r="D32" i="13"/>
  <c r="C32" i="13"/>
  <c r="H31" i="13"/>
  <c r="D31" i="13"/>
  <c r="C31" i="13"/>
  <c r="I30" i="13"/>
  <c r="H30" i="13"/>
  <c r="E30" i="13"/>
  <c r="I29" i="13"/>
  <c r="H29" i="13"/>
  <c r="E29" i="13"/>
  <c r="I28" i="13"/>
  <c r="H28" i="13"/>
  <c r="E28" i="13"/>
  <c r="I27" i="13"/>
  <c r="H27" i="13"/>
  <c r="E27" i="13"/>
  <c r="I26" i="13"/>
  <c r="H26" i="13"/>
  <c r="E26" i="13"/>
  <c r="I25" i="13"/>
  <c r="H25" i="13"/>
  <c r="E25" i="13"/>
  <c r="I24" i="13"/>
  <c r="H24" i="13"/>
  <c r="E24" i="13"/>
  <c r="I23" i="13"/>
  <c r="H23" i="13"/>
  <c r="E23" i="13"/>
  <c r="I22" i="13"/>
  <c r="H22" i="13"/>
  <c r="E22" i="13"/>
  <c r="I21" i="13"/>
  <c r="H21" i="13"/>
  <c r="E21" i="13"/>
  <c r="I20" i="13"/>
  <c r="H20" i="13"/>
  <c r="E20" i="13"/>
  <c r="I19" i="13"/>
  <c r="H19" i="13"/>
  <c r="E19" i="13"/>
  <c r="E18" i="13"/>
  <c r="E17" i="13"/>
  <c r="D17" i="13"/>
  <c r="C17" i="13"/>
  <c r="D16" i="13"/>
  <c r="C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92" i="12"/>
  <c r="D92" i="12"/>
  <c r="C92" i="12"/>
  <c r="H91" i="12"/>
  <c r="D91" i="12"/>
  <c r="C91" i="12"/>
  <c r="I90" i="12"/>
  <c r="H90" i="12"/>
  <c r="I89" i="12"/>
  <c r="H89" i="12"/>
  <c r="I88" i="12"/>
  <c r="H88" i="12"/>
  <c r="I87" i="12"/>
  <c r="H87" i="12"/>
  <c r="I86" i="12"/>
  <c r="H86" i="12"/>
  <c r="I85" i="12"/>
  <c r="H85" i="12"/>
  <c r="I84" i="12"/>
  <c r="H84" i="12"/>
  <c r="I83" i="12"/>
  <c r="H83" i="12"/>
  <c r="I82" i="12"/>
  <c r="H82" i="12"/>
  <c r="I81" i="12"/>
  <c r="H81" i="12"/>
  <c r="I80" i="12"/>
  <c r="H80" i="12"/>
  <c r="I79" i="12"/>
  <c r="H79" i="12"/>
  <c r="D77" i="12"/>
  <c r="C77" i="12"/>
  <c r="H76" i="12"/>
  <c r="D76" i="12"/>
  <c r="C76" i="12"/>
  <c r="H75" i="12"/>
  <c r="H74" i="12"/>
  <c r="H73" i="12"/>
  <c r="I72" i="12"/>
  <c r="H72" i="12"/>
  <c r="E72" i="12"/>
  <c r="E73" i="12" s="1"/>
  <c r="E74" i="12" s="1"/>
  <c r="I71" i="12"/>
  <c r="H71" i="12"/>
  <c r="E71" i="12"/>
  <c r="I70" i="12"/>
  <c r="H70" i="12"/>
  <c r="E70" i="12"/>
  <c r="I69" i="12"/>
  <c r="H69" i="12"/>
  <c r="E69" i="12"/>
  <c r="I68" i="12"/>
  <c r="H68" i="12"/>
  <c r="E68" i="12"/>
  <c r="I67" i="12"/>
  <c r="H67" i="12"/>
  <c r="E67" i="12"/>
  <c r="I66" i="12"/>
  <c r="H66" i="12"/>
  <c r="E66" i="12"/>
  <c r="I65" i="12"/>
  <c r="H65" i="12"/>
  <c r="E65" i="12"/>
  <c r="I64" i="12"/>
  <c r="H64" i="12"/>
  <c r="E64" i="12"/>
  <c r="E63" i="12"/>
  <c r="E62" i="12"/>
  <c r="D62" i="12"/>
  <c r="C62" i="12"/>
  <c r="H61" i="12"/>
  <c r="D61" i="12"/>
  <c r="C61" i="12"/>
  <c r="I60" i="12"/>
  <c r="H60" i="12"/>
  <c r="E60" i="12"/>
  <c r="I59" i="12"/>
  <c r="H59" i="12"/>
  <c r="E59" i="12"/>
  <c r="I58" i="12"/>
  <c r="H58" i="12"/>
  <c r="E58" i="12"/>
  <c r="I57" i="12"/>
  <c r="H57" i="12"/>
  <c r="E57" i="12"/>
  <c r="I56" i="12"/>
  <c r="H56" i="12"/>
  <c r="E56" i="12"/>
  <c r="I55" i="12"/>
  <c r="H55" i="12"/>
  <c r="E55" i="12"/>
  <c r="I54" i="12"/>
  <c r="H54" i="12"/>
  <c r="E54" i="12"/>
  <c r="I53" i="12"/>
  <c r="H53" i="12"/>
  <c r="E53" i="12"/>
  <c r="I52" i="12"/>
  <c r="H52" i="12"/>
  <c r="E52" i="12"/>
  <c r="I51" i="12"/>
  <c r="H51" i="12"/>
  <c r="E51" i="12"/>
  <c r="I50" i="12"/>
  <c r="H50" i="12"/>
  <c r="E50" i="12"/>
  <c r="I49" i="12"/>
  <c r="H49" i="12"/>
  <c r="E49" i="12"/>
  <c r="E48" i="12"/>
  <c r="E47" i="12"/>
  <c r="D47" i="12"/>
  <c r="C47" i="12"/>
  <c r="H46" i="12"/>
  <c r="D46" i="12"/>
  <c r="C46" i="12"/>
  <c r="I45" i="12"/>
  <c r="H45" i="12"/>
  <c r="E45" i="12"/>
  <c r="I44" i="12"/>
  <c r="H44" i="12"/>
  <c r="E44" i="12"/>
  <c r="I43" i="12"/>
  <c r="H43" i="12"/>
  <c r="E43" i="12"/>
  <c r="I42" i="12"/>
  <c r="H42" i="12"/>
  <c r="E42" i="12"/>
  <c r="I41" i="12"/>
  <c r="H41" i="12"/>
  <c r="E41" i="12"/>
  <c r="I40" i="12"/>
  <c r="H40" i="12"/>
  <c r="E40" i="12"/>
  <c r="I39" i="12"/>
  <c r="H39" i="12"/>
  <c r="E39" i="12"/>
  <c r="I38" i="12"/>
  <c r="H38" i="12"/>
  <c r="E38" i="12"/>
  <c r="I37" i="12"/>
  <c r="H37" i="12"/>
  <c r="E37" i="12"/>
  <c r="I36" i="12"/>
  <c r="H36" i="12"/>
  <c r="E36" i="12"/>
  <c r="I35" i="12"/>
  <c r="H35" i="12"/>
  <c r="E35" i="12"/>
  <c r="I34" i="12"/>
  <c r="H34" i="12"/>
  <c r="E34" i="12"/>
  <c r="E33" i="12"/>
  <c r="E32" i="12"/>
  <c r="D32" i="12"/>
  <c r="C32" i="12"/>
  <c r="H31" i="12"/>
  <c r="D31" i="12"/>
  <c r="C31" i="12"/>
  <c r="I30" i="12"/>
  <c r="H30" i="12"/>
  <c r="E30" i="12"/>
  <c r="I29" i="12"/>
  <c r="H29" i="12"/>
  <c r="E29" i="12"/>
  <c r="I28" i="12"/>
  <c r="H28" i="12"/>
  <c r="E28" i="12"/>
  <c r="I27" i="12"/>
  <c r="H27" i="12"/>
  <c r="E27" i="12"/>
  <c r="I26" i="12"/>
  <c r="H26" i="12"/>
  <c r="E26" i="12"/>
  <c r="I25" i="12"/>
  <c r="H25" i="12"/>
  <c r="E25" i="12"/>
  <c r="I24" i="12"/>
  <c r="H24" i="12"/>
  <c r="E24" i="12"/>
  <c r="I23" i="12"/>
  <c r="H23" i="12"/>
  <c r="E23" i="12"/>
  <c r="I22" i="12"/>
  <c r="H22" i="12"/>
  <c r="E22" i="12"/>
  <c r="I21" i="12"/>
  <c r="H21" i="12"/>
  <c r="E21" i="12"/>
  <c r="I20" i="12"/>
  <c r="H20" i="12"/>
  <c r="E20" i="12"/>
  <c r="I19" i="12"/>
  <c r="H19" i="12"/>
  <c r="E19" i="12"/>
  <c r="E18" i="12"/>
  <c r="E17" i="12"/>
  <c r="D17" i="12"/>
  <c r="C17" i="12"/>
  <c r="D16" i="12"/>
  <c r="C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92" i="11"/>
  <c r="D92" i="11"/>
  <c r="C92" i="11"/>
  <c r="H91" i="11"/>
  <c r="D91" i="11"/>
  <c r="C91" i="11"/>
  <c r="I90" i="11"/>
  <c r="H90" i="11"/>
  <c r="I89" i="11"/>
  <c r="H89" i="11"/>
  <c r="I88" i="11"/>
  <c r="H88" i="11"/>
  <c r="I87" i="11"/>
  <c r="H87" i="11"/>
  <c r="I86" i="11"/>
  <c r="H86" i="11"/>
  <c r="I85" i="11"/>
  <c r="H85" i="11"/>
  <c r="I84" i="11"/>
  <c r="H84" i="11"/>
  <c r="I83" i="11"/>
  <c r="H83" i="11"/>
  <c r="I82" i="11"/>
  <c r="H82" i="11"/>
  <c r="I81" i="11"/>
  <c r="H81" i="11"/>
  <c r="I80" i="11"/>
  <c r="H80" i="11"/>
  <c r="I79" i="11"/>
  <c r="H79" i="11"/>
  <c r="D77" i="11"/>
  <c r="C77" i="11"/>
  <c r="H76" i="11"/>
  <c r="D76" i="11"/>
  <c r="C76" i="11"/>
  <c r="H75" i="11"/>
  <c r="H74" i="11"/>
  <c r="H73" i="11"/>
  <c r="H72" i="11"/>
  <c r="E72" i="11"/>
  <c r="E73" i="11" s="1"/>
  <c r="E74" i="11" s="1"/>
  <c r="I71" i="11"/>
  <c r="H71" i="11"/>
  <c r="E71" i="11"/>
  <c r="I70" i="11"/>
  <c r="H70" i="11"/>
  <c r="E70" i="11"/>
  <c r="I69" i="11"/>
  <c r="H69" i="11"/>
  <c r="E69" i="11"/>
  <c r="I68" i="11"/>
  <c r="H68" i="11"/>
  <c r="E68" i="11"/>
  <c r="I67" i="11"/>
  <c r="H67" i="11"/>
  <c r="E67" i="11"/>
  <c r="I66" i="11"/>
  <c r="H66" i="11"/>
  <c r="E66" i="11"/>
  <c r="I65" i="11"/>
  <c r="H65" i="11"/>
  <c r="E65" i="11"/>
  <c r="I64" i="11"/>
  <c r="H64" i="11"/>
  <c r="E64" i="11"/>
  <c r="E63" i="11"/>
  <c r="E62" i="11"/>
  <c r="D62" i="11"/>
  <c r="C62" i="11"/>
  <c r="H61" i="11"/>
  <c r="D61" i="11"/>
  <c r="C61" i="11"/>
  <c r="I60" i="11"/>
  <c r="H60" i="11"/>
  <c r="E60" i="11"/>
  <c r="I59" i="11"/>
  <c r="H59" i="11"/>
  <c r="E59" i="11"/>
  <c r="I58" i="11"/>
  <c r="H58" i="11"/>
  <c r="E58" i="11"/>
  <c r="I57" i="11"/>
  <c r="H57" i="11"/>
  <c r="E57" i="11"/>
  <c r="I56" i="11"/>
  <c r="H56" i="11"/>
  <c r="E56" i="11"/>
  <c r="I55" i="11"/>
  <c r="H55" i="11"/>
  <c r="E55" i="11"/>
  <c r="I54" i="11"/>
  <c r="H54" i="11"/>
  <c r="E54" i="11"/>
  <c r="I53" i="11"/>
  <c r="H53" i="11"/>
  <c r="E53" i="11"/>
  <c r="I52" i="11"/>
  <c r="H52" i="11"/>
  <c r="E52" i="11"/>
  <c r="I51" i="11"/>
  <c r="H51" i="11"/>
  <c r="E51" i="11"/>
  <c r="I50" i="11"/>
  <c r="H50" i="11"/>
  <c r="E50" i="11"/>
  <c r="I49" i="11"/>
  <c r="H49" i="11"/>
  <c r="E49" i="11"/>
  <c r="E48" i="11"/>
  <c r="E47" i="11"/>
  <c r="D47" i="11"/>
  <c r="C47" i="11"/>
  <c r="H46" i="11"/>
  <c r="D46" i="11"/>
  <c r="C46" i="11"/>
  <c r="I45" i="11"/>
  <c r="H45" i="11"/>
  <c r="E45" i="11"/>
  <c r="I44" i="11"/>
  <c r="H44" i="11"/>
  <c r="E44" i="11"/>
  <c r="I43" i="11"/>
  <c r="H43" i="11"/>
  <c r="E43" i="11"/>
  <c r="I42" i="11"/>
  <c r="H42" i="11"/>
  <c r="E42" i="11"/>
  <c r="I41" i="11"/>
  <c r="H41" i="11"/>
  <c r="E41" i="11"/>
  <c r="I40" i="11"/>
  <c r="H40" i="11"/>
  <c r="E40" i="11"/>
  <c r="I39" i="11"/>
  <c r="H39" i="11"/>
  <c r="E39" i="11"/>
  <c r="I38" i="11"/>
  <c r="H38" i="11"/>
  <c r="E38" i="11"/>
  <c r="I37" i="11"/>
  <c r="H37" i="11"/>
  <c r="E37" i="11"/>
  <c r="I36" i="11"/>
  <c r="H36" i="11"/>
  <c r="E36" i="11"/>
  <c r="I35" i="11"/>
  <c r="H35" i="11"/>
  <c r="E35" i="11"/>
  <c r="I34" i="11"/>
  <c r="H34" i="11"/>
  <c r="E34" i="11"/>
  <c r="E33" i="11"/>
  <c r="E32" i="11"/>
  <c r="D32" i="11"/>
  <c r="C32" i="11"/>
  <c r="H31" i="11"/>
  <c r="D31" i="11"/>
  <c r="C31" i="11"/>
  <c r="I30" i="11"/>
  <c r="H30" i="11"/>
  <c r="E30" i="11"/>
  <c r="I29" i="11"/>
  <c r="H29" i="11"/>
  <c r="E29" i="11"/>
  <c r="I28" i="11"/>
  <c r="H28" i="11"/>
  <c r="E28" i="11"/>
  <c r="I27" i="11"/>
  <c r="H27" i="11"/>
  <c r="E27" i="11"/>
  <c r="I26" i="11"/>
  <c r="H26" i="11"/>
  <c r="E26" i="11"/>
  <c r="I25" i="11"/>
  <c r="H25" i="11"/>
  <c r="E25" i="11"/>
  <c r="I24" i="11"/>
  <c r="H24" i="11"/>
  <c r="E24" i="11"/>
  <c r="I23" i="11"/>
  <c r="H23" i="11"/>
  <c r="E23" i="11"/>
  <c r="I22" i="11"/>
  <c r="H22" i="11"/>
  <c r="E22" i="11"/>
  <c r="I21" i="11"/>
  <c r="H21" i="11"/>
  <c r="E21" i="11"/>
  <c r="I20" i="11"/>
  <c r="H20" i="11"/>
  <c r="E20" i="11"/>
  <c r="I19" i="11"/>
  <c r="H19" i="11"/>
  <c r="E19" i="11"/>
  <c r="E18" i="11"/>
  <c r="E17" i="11"/>
  <c r="D17" i="11"/>
  <c r="C17" i="11"/>
  <c r="D16" i="11"/>
  <c r="C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92" i="10"/>
  <c r="D92" i="10"/>
  <c r="C92" i="10"/>
  <c r="H91" i="10"/>
  <c r="D91" i="10"/>
  <c r="C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D77" i="10"/>
  <c r="C77" i="10"/>
  <c r="D76" i="10"/>
  <c r="C76" i="10"/>
  <c r="H75" i="10"/>
  <c r="H76" i="10" s="1"/>
  <c r="H74" i="10"/>
  <c r="H73" i="10"/>
  <c r="I72" i="10"/>
  <c r="H72" i="10"/>
  <c r="E72" i="10"/>
  <c r="E73" i="10" s="1"/>
  <c r="E74" i="10" s="1"/>
  <c r="I71" i="10"/>
  <c r="H71" i="10"/>
  <c r="E71" i="10"/>
  <c r="I70" i="10"/>
  <c r="H70" i="10"/>
  <c r="E70" i="10"/>
  <c r="I69" i="10"/>
  <c r="H69" i="10"/>
  <c r="E69" i="10"/>
  <c r="I68" i="10"/>
  <c r="H68" i="10"/>
  <c r="E68" i="10"/>
  <c r="I67" i="10"/>
  <c r="H67" i="10"/>
  <c r="E67" i="10"/>
  <c r="I66" i="10"/>
  <c r="H66" i="10"/>
  <c r="E66" i="10"/>
  <c r="I65" i="10"/>
  <c r="H65" i="10"/>
  <c r="E65" i="10"/>
  <c r="I64" i="10"/>
  <c r="H64" i="10"/>
  <c r="E64" i="10"/>
  <c r="E63" i="10"/>
  <c r="E62" i="10"/>
  <c r="D62" i="10"/>
  <c r="C62" i="10"/>
  <c r="H61" i="10"/>
  <c r="D61" i="10"/>
  <c r="C61" i="10"/>
  <c r="I60" i="10"/>
  <c r="H60" i="10"/>
  <c r="E60" i="10"/>
  <c r="I59" i="10"/>
  <c r="H59" i="10"/>
  <c r="E59" i="10"/>
  <c r="I58" i="10"/>
  <c r="H58" i="10"/>
  <c r="E58" i="10"/>
  <c r="I57" i="10"/>
  <c r="H57" i="10"/>
  <c r="E57" i="10"/>
  <c r="I56" i="10"/>
  <c r="H56" i="10"/>
  <c r="E56" i="10"/>
  <c r="I55" i="10"/>
  <c r="H55" i="10"/>
  <c r="E55" i="10"/>
  <c r="I54" i="10"/>
  <c r="H54" i="10"/>
  <c r="E54" i="10"/>
  <c r="I53" i="10"/>
  <c r="H53" i="10"/>
  <c r="E53" i="10"/>
  <c r="I52" i="10"/>
  <c r="H52" i="10"/>
  <c r="E52" i="10"/>
  <c r="I51" i="10"/>
  <c r="H51" i="10"/>
  <c r="E51" i="10"/>
  <c r="I50" i="10"/>
  <c r="H50" i="10"/>
  <c r="E50" i="10"/>
  <c r="I49" i="10"/>
  <c r="H49" i="10"/>
  <c r="E49" i="10"/>
  <c r="E48" i="10"/>
  <c r="E47" i="10"/>
  <c r="D47" i="10"/>
  <c r="C47" i="10"/>
  <c r="H46" i="10"/>
  <c r="D46" i="10"/>
  <c r="C46" i="10"/>
  <c r="I45" i="10"/>
  <c r="H45" i="10"/>
  <c r="E45" i="10"/>
  <c r="I44" i="10"/>
  <c r="H44" i="10"/>
  <c r="E44" i="10"/>
  <c r="I43" i="10"/>
  <c r="H43" i="10"/>
  <c r="E43" i="10"/>
  <c r="I42" i="10"/>
  <c r="H42" i="10"/>
  <c r="E42" i="10"/>
  <c r="I41" i="10"/>
  <c r="H41" i="10"/>
  <c r="E41" i="10"/>
  <c r="I40" i="10"/>
  <c r="H40" i="10"/>
  <c r="E40" i="10"/>
  <c r="I39" i="10"/>
  <c r="H39" i="10"/>
  <c r="E39" i="10"/>
  <c r="I38" i="10"/>
  <c r="H38" i="10"/>
  <c r="E38" i="10"/>
  <c r="I37" i="10"/>
  <c r="H37" i="10"/>
  <c r="E37" i="10"/>
  <c r="I36" i="10"/>
  <c r="H36" i="10"/>
  <c r="E36" i="10"/>
  <c r="I35" i="10"/>
  <c r="H35" i="10"/>
  <c r="E35" i="10"/>
  <c r="I34" i="10"/>
  <c r="H34" i="10"/>
  <c r="E34" i="10"/>
  <c r="E33" i="10"/>
  <c r="E32" i="10"/>
  <c r="D32" i="10"/>
  <c r="C32" i="10"/>
  <c r="H31" i="10"/>
  <c r="D31" i="10"/>
  <c r="C31" i="10"/>
  <c r="I30" i="10"/>
  <c r="H30" i="10"/>
  <c r="E30" i="10"/>
  <c r="I29" i="10"/>
  <c r="H29" i="10"/>
  <c r="E29" i="10"/>
  <c r="I28" i="10"/>
  <c r="H28" i="10"/>
  <c r="E28" i="10"/>
  <c r="I27" i="10"/>
  <c r="H27" i="10"/>
  <c r="E27" i="10"/>
  <c r="I26" i="10"/>
  <c r="H26" i="10"/>
  <c r="E26" i="10"/>
  <c r="I25" i="10"/>
  <c r="H25" i="10"/>
  <c r="E25" i="10"/>
  <c r="I24" i="10"/>
  <c r="H24" i="10"/>
  <c r="E24" i="10"/>
  <c r="I23" i="10"/>
  <c r="H23" i="10"/>
  <c r="E23" i="10"/>
  <c r="I22" i="10"/>
  <c r="H22" i="10"/>
  <c r="E22" i="10"/>
  <c r="I21" i="10"/>
  <c r="H21" i="10"/>
  <c r="E21" i="10"/>
  <c r="I20" i="10"/>
  <c r="H20" i="10"/>
  <c r="E20" i="10"/>
  <c r="I19" i="10"/>
  <c r="H19" i="10"/>
  <c r="E19" i="10"/>
  <c r="E18" i="10"/>
  <c r="E17" i="10"/>
  <c r="D17" i="10"/>
  <c r="C17" i="10"/>
  <c r="D16" i="10"/>
  <c r="C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92" i="9"/>
  <c r="D92" i="9"/>
  <c r="C92" i="9"/>
  <c r="H91" i="9"/>
  <c r="D91" i="9"/>
  <c r="C91" i="9"/>
  <c r="I90" i="9"/>
  <c r="H90" i="9"/>
  <c r="I89" i="9"/>
  <c r="H89" i="9"/>
  <c r="I88" i="9"/>
  <c r="H88" i="9"/>
  <c r="I87" i="9"/>
  <c r="H87" i="9"/>
  <c r="I86" i="9"/>
  <c r="H86" i="9"/>
  <c r="I85" i="9"/>
  <c r="H85" i="9"/>
  <c r="I84" i="9"/>
  <c r="H84" i="9"/>
  <c r="I83" i="9"/>
  <c r="H83" i="9"/>
  <c r="I82" i="9"/>
  <c r="H82" i="9"/>
  <c r="I81" i="9"/>
  <c r="H81" i="9"/>
  <c r="I80" i="9"/>
  <c r="H80" i="9"/>
  <c r="I79" i="9"/>
  <c r="H79" i="9"/>
  <c r="D77" i="9"/>
  <c r="C77" i="9"/>
  <c r="D76" i="9"/>
  <c r="C76" i="9"/>
  <c r="H75" i="9"/>
  <c r="H76" i="9" s="1"/>
  <c r="H74" i="9"/>
  <c r="H73" i="9"/>
  <c r="I72" i="9"/>
  <c r="H72" i="9"/>
  <c r="E72" i="9"/>
  <c r="E73" i="9" s="1"/>
  <c r="E74" i="9" s="1"/>
  <c r="I71" i="9"/>
  <c r="H71" i="9"/>
  <c r="E71" i="9"/>
  <c r="I70" i="9"/>
  <c r="H70" i="9"/>
  <c r="E70" i="9"/>
  <c r="I69" i="9"/>
  <c r="H69" i="9"/>
  <c r="E69" i="9"/>
  <c r="I68" i="9"/>
  <c r="H68" i="9"/>
  <c r="E68" i="9"/>
  <c r="I67" i="9"/>
  <c r="H67" i="9"/>
  <c r="E67" i="9"/>
  <c r="I66" i="9"/>
  <c r="H66" i="9"/>
  <c r="E66" i="9"/>
  <c r="I65" i="9"/>
  <c r="H65" i="9"/>
  <c r="E65" i="9"/>
  <c r="I64" i="9"/>
  <c r="H64" i="9"/>
  <c r="E64" i="9"/>
  <c r="E63" i="9"/>
  <c r="E62" i="9"/>
  <c r="D62" i="9"/>
  <c r="C62" i="9"/>
  <c r="H61" i="9"/>
  <c r="D61" i="9"/>
  <c r="C61" i="9"/>
  <c r="I60" i="9"/>
  <c r="H60" i="9"/>
  <c r="E60" i="9"/>
  <c r="I59" i="9"/>
  <c r="H59" i="9"/>
  <c r="E59" i="9"/>
  <c r="I58" i="9"/>
  <c r="H58" i="9"/>
  <c r="E58" i="9"/>
  <c r="I57" i="9"/>
  <c r="H57" i="9"/>
  <c r="E57" i="9"/>
  <c r="I56" i="9"/>
  <c r="H56" i="9"/>
  <c r="E56" i="9"/>
  <c r="I55" i="9"/>
  <c r="H55" i="9"/>
  <c r="E55" i="9"/>
  <c r="I54" i="9"/>
  <c r="H54" i="9"/>
  <c r="E54" i="9"/>
  <c r="I53" i="9"/>
  <c r="H53" i="9"/>
  <c r="E53" i="9"/>
  <c r="I52" i="9"/>
  <c r="H52" i="9"/>
  <c r="E52" i="9"/>
  <c r="I51" i="9"/>
  <c r="H51" i="9"/>
  <c r="E51" i="9"/>
  <c r="I50" i="9"/>
  <c r="H50" i="9"/>
  <c r="E50" i="9"/>
  <c r="I49" i="9"/>
  <c r="H49" i="9"/>
  <c r="E49" i="9"/>
  <c r="E48" i="9"/>
  <c r="E47" i="9"/>
  <c r="D47" i="9"/>
  <c r="C47" i="9"/>
  <c r="H46" i="9"/>
  <c r="D46" i="9"/>
  <c r="C46" i="9"/>
  <c r="I45" i="9"/>
  <c r="H45" i="9"/>
  <c r="E45" i="9"/>
  <c r="I44" i="9"/>
  <c r="H44" i="9"/>
  <c r="E44" i="9"/>
  <c r="I43" i="9"/>
  <c r="H43" i="9"/>
  <c r="E43" i="9"/>
  <c r="I42" i="9"/>
  <c r="H42" i="9"/>
  <c r="E42" i="9"/>
  <c r="I41" i="9"/>
  <c r="H41" i="9"/>
  <c r="E41" i="9"/>
  <c r="I40" i="9"/>
  <c r="H40" i="9"/>
  <c r="E40" i="9"/>
  <c r="I39" i="9"/>
  <c r="H39" i="9"/>
  <c r="E39" i="9"/>
  <c r="I38" i="9"/>
  <c r="H38" i="9"/>
  <c r="E38" i="9"/>
  <c r="I37" i="9"/>
  <c r="H37" i="9"/>
  <c r="E37" i="9"/>
  <c r="I36" i="9"/>
  <c r="H36" i="9"/>
  <c r="E36" i="9"/>
  <c r="I35" i="9"/>
  <c r="H35" i="9"/>
  <c r="E35" i="9"/>
  <c r="I34" i="9"/>
  <c r="H34" i="9"/>
  <c r="E34" i="9"/>
  <c r="E33" i="9"/>
  <c r="E32" i="9"/>
  <c r="D32" i="9"/>
  <c r="C32" i="9"/>
  <c r="H31" i="9"/>
  <c r="D31" i="9"/>
  <c r="C31" i="9"/>
  <c r="I30" i="9"/>
  <c r="H30" i="9"/>
  <c r="E30" i="9"/>
  <c r="I29" i="9"/>
  <c r="H29" i="9"/>
  <c r="E29" i="9"/>
  <c r="I28" i="9"/>
  <c r="H28" i="9"/>
  <c r="E28" i="9"/>
  <c r="I27" i="9"/>
  <c r="H27" i="9"/>
  <c r="E27" i="9"/>
  <c r="I26" i="9"/>
  <c r="H26" i="9"/>
  <c r="E26" i="9"/>
  <c r="I25" i="9"/>
  <c r="H25" i="9"/>
  <c r="E25" i="9"/>
  <c r="I24" i="9"/>
  <c r="H24" i="9"/>
  <c r="E24" i="9"/>
  <c r="I23" i="9"/>
  <c r="H23" i="9"/>
  <c r="E23" i="9"/>
  <c r="I22" i="9"/>
  <c r="H22" i="9"/>
  <c r="E22" i="9"/>
  <c r="I21" i="9"/>
  <c r="H21" i="9"/>
  <c r="E21" i="9"/>
  <c r="I20" i="9"/>
  <c r="H20" i="9"/>
  <c r="E20" i="9"/>
  <c r="I19" i="9"/>
  <c r="H19" i="9"/>
  <c r="E19" i="9"/>
  <c r="E18" i="9"/>
  <c r="E17" i="9"/>
  <c r="D17" i="9"/>
  <c r="C17" i="9"/>
  <c r="D16" i="9"/>
  <c r="C16" i="9"/>
  <c r="E15" i="9"/>
  <c r="E14" i="9"/>
  <c r="E13" i="9"/>
  <c r="E12" i="9"/>
  <c r="E11" i="9"/>
  <c r="E10" i="9"/>
  <c r="E9" i="9"/>
  <c r="E8" i="9"/>
  <c r="E7" i="9"/>
  <c r="E6" i="9"/>
  <c r="E5" i="9"/>
  <c r="E4" i="9"/>
  <c r="E92" i="8"/>
  <c r="D92" i="8"/>
  <c r="C92" i="8"/>
  <c r="H91" i="8"/>
  <c r="D91" i="8"/>
  <c r="C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D77" i="8"/>
  <c r="C77" i="8"/>
  <c r="D76" i="8"/>
  <c r="C76" i="8"/>
  <c r="H75" i="8"/>
  <c r="H76" i="8" s="1"/>
  <c r="H74" i="8"/>
  <c r="H73" i="8"/>
  <c r="I72" i="8"/>
  <c r="H72" i="8"/>
  <c r="E72" i="8"/>
  <c r="E73" i="8" s="1"/>
  <c r="E74" i="8" s="1"/>
  <c r="I71" i="8"/>
  <c r="H71" i="8"/>
  <c r="E71" i="8"/>
  <c r="I70" i="8"/>
  <c r="H70" i="8"/>
  <c r="E70" i="8"/>
  <c r="I69" i="8"/>
  <c r="H69" i="8"/>
  <c r="E69" i="8"/>
  <c r="I68" i="8"/>
  <c r="H68" i="8"/>
  <c r="E68" i="8"/>
  <c r="I67" i="8"/>
  <c r="H67" i="8"/>
  <c r="E67" i="8"/>
  <c r="I66" i="8"/>
  <c r="H66" i="8"/>
  <c r="E66" i="8"/>
  <c r="I65" i="8"/>
  <c r="H65" i="8"/>
  <c r="E65" i="8"/>
  <c r="I64" i="8"/>
  <c r="H64" i="8"/>
  <c r="E64" i="8"/>
  <c r="E63" i="8"/>
  <c r="E62" i="8"/>
  <c r="D62" i="8"/>
  <c r="C62" i="8"/>
  <c r="H61" i="8"/>
  <c r="D61" i="8"/>
  <c r="C61" i="8"/>
  <c r="I60" i="8"/>
  <c r="H60" i="8"/>
  <c r="E60" i="8"/>
  <c r="I59" i="8"/>
  <c r="H59" i="8"/>
  <c r="E59" i="8"/>
  <c r="I58" i="8"/>
  <c r="H58" i="8"/>
  <c r="E58" i="8"/>
  <c r="I57" i="8"/>
  <c r="H57" i="8"/>
  <c r="E57" i="8"/>
  <c r="I56" i="8"/>
  <c r="H56" i="8"/>
  <c r="E56" i="8"/>
  <c r="I55" i="8"/>
  <c r="H55" i="8"/>
  <c r="E55" i="8"/>
  <c r="I54" i="8"/>
  <c r="H54" i="8"/>
  <c r="E54" i="8"/>
  <c r="I53" i="8"/>
  <c r="H53" i="8"/>
  <c r="E53" i="8"/>
  <c r="I52" i="8"/>
  <c r="H52" i="8"/>
  <c r="E52" i="8"/>
  <c r="I51" i="8"/>
  <c r="H51" i="8"/>
  <c r="E51" i="8"/>
  <c r="I50" i="8"/>
  <c r="H50" i="8"/>
  <c r="E50" i="8"/>
  <c r="I49" i="8"/>
  <c r="H49" i="8"/>
  <c r="E49" i="8"/>
  <c r="E48" i="8"/>
  <c r="E47" i="8"/>
  <c r="D47" i="8"/>
  <c r="C47" i="8"/>
  <c r="H46" i="8"/>
  <c r="D46" i="8"/>
  <c r="C46" i="8"/>
  <c r="I45" i="8"/>
  <c r="H45" i="8"/>
  <c r="E45" i="8"/>
  <c r="I44" i="8"/>
  <c r="H44" i="8"/>
  <c r="E44" i="8"/>
  <c r="I43" i="8"/>
  <c r="H43" i="8"/>
  <c r="E43" i="8"/>
  <c r="I42" i="8"/>
  <c r="H42" i="8"/>
  <c r="E42" i="8"/>
  <c r="I41" i="8"/>
  <c r="H41" i="8"/>
  <c r="E41" i="8"/>
  <c r="I40" i="8"/>
  <c r="H40" i="8"/>
  <c r="E40" i="8"/>
  <c r="I39" i="8"/>
  <c r="H39" i="8"/>
  <c r="E39" i="8"/>
  <c r="I38" i="8"/>
  <c r="H38" i="8"/>
  <c r="E38" i="8"/>
  <c r="I37" i="8"/>
  <c r="H37" i="8"/>
  <c r="E37" i="8"/>
  <c r="I36" i="8"/>
  <c r="H36" i="8"/>
  <c r="E36" i="8"/>
  <c r="I35" i="8"/>
  <c r="H35" i="8"/>
  <c r="E35" i="8"/>
  <c r="I34" i="8"/>
  <c r="H34" i="8"/>
  <c r="E34" i="8"/>
  <c r="E33" i="8"/>
  <c r="E32" i="8"/>
  <c r="D32" i="8"/>
  <c r="C32" i="8"/>
  <c r="H31" i="8"/>
  <c r="D31" i="8"/>
  <c r="C31" i="8"/>
  <c r="I30" i="8"/>
  <c r="H30" i="8"/>
  <c r="E30" i="8"/>
  <c r="I29" i="8"/>
  <c r="H29" i="8"/>
  <c r="E29" i="8"/>
  <c r="I28" i="8"/>
  <c r="H28" i="8"/>
  <c r="E28" i="8"/>
  <c r="I27" i="8"/>
  <c r="H27" i="8"/>
  <c r="E27" i="8"/>
  <c r="I26" i="8"/>
  <c r="H26" i="8"/>
  <c r="E26" i="8"/>
  <c r="I25" i="8"/>
  <c r="H25" i="8"/>
  <c r="E25" i="8"/>
  <c r="I24" i="8"/>
  <c r="H24" i="8"/>
  <c r="E24" i="8"/>
  <c r="I23" i="8"/>
  <c r="H23" i="8"/>
  <c r="E23" i="8"/>
  <c r="I22" i="8"/>
  <c r="H22" i="8"/>
  <c r="E22" i="8"/>
  <c r="I21" i="8"/>
  <c r="H21" i="8"/>
  <c r="E21" i="8"/>
  <c r="I20" i="8"/>
  <c r="H20" i="8"/>
  <c r="E20" i="8"/>
  <c r="I19" i="8"/>
  <c r="H19" i="8"/>
  <c r="E19" i="8"/>
  <c r="E18" i="8"/>
  <c r="E17" i="8"/>
  <c r="D17" i="8"/>
  <c r="C17" i="8"/>
  <c r="D16" i="8"/>
  <c r="C16" i="8"/>
  <c r="E15" i="8"/>
  <c r="E14" i="8"/>
  <c r="E13" i="8"/>
  <c r="E12" i="8"/>
  <c r="E11" i="8"/>
  <c r="E10" i="8"/>
  <c r="E9" i="8"/>
  <c r="E8" i="8"/>
  <c r="E7" i="8"/>
  <c r="E6" i="8"/>
  <c r="E5" i="8"/>
  <c r="E4" i="8"/>
  <c r="E92" i="7"/>
  <c r="D92" i="7"/>
  <c r="C92" i="7"/>
  <c r="H91" i="7"/>
  <c r="D91" i="7"/>
  <c r="C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D77" i="7"/>
  <c r="C77" i="7"/>
  <c r="D76" i="7"/>
  <c r="C76" i="7"/>
  <c r="H75" i="7"/>
  <c r="H76" i="7" s="1"/>
  <c r="H74" i="7"/>
  <c r="H73" i="7"/>
  <c r="I72" i="7"/>
  <c r="H72" i="7"/>
  <c r="E72" i="7"/>
  <c r="E73" i="7" s="1"/>
  <c r="E74" i="7" s="1"/>
  <c r="I71" i="7"/>
  <c r="H71" i="7"/>
  <c r="E71" i="7"/>
  <c r="I70" i="7"/>
  <c r="H70" i="7"/>
  <c r="E70" i="7"/>
  <c r="I69" i="7"/>
  <c r="H69" i="7"/>
  <c r="E69" i="7"/>
  <c r="I68" i="7"/>
  <c r="H68" i="7"/>
  <c r="E68" i="7"/>
  <c r="I67" i="7"/>
  <c r="H67" i="7"/>
  <c r="E67" i="7"/>
  <c r="I66" i="7"/>
  <c r="H66" i="7"/>
  <c r="E66" i="7"/>
  <c r="I65" i="7"/>
  <c r="H65" i="7"/>
  <c r="E65" i="7"/>
  <c r="I64" i="7"/>
  <c r="H64" i="7"/>
  <c r="E64" i="7"/>
  <c r="E63" i="7"/>
  <c r="E62" i="7"/>
  <c r="D62" i="7"/>
  <c r="C62" i="7"/>
  <c r="H61" i="7"/>
  <c r="D61" i="7"/>
  <c r="C61" i="7"/>
  <c r="I60" i="7"/>
  <c r="H60" i="7"/>
  <c r="E60" i="7"/>
  <c r="I59" i="7"/>
  <c r="H59" i="7"/>
  <c r="E59" i="7"/>
  <c r="I58" i="7"/>
  <c r="H58" i="7"/>
  <c r="E58" i="7"/>
  <c r="I57" i="7"/>
  <c r="H57" i="7"/>
  <c r="E57" i="7"/>
  <c r="I56" i="7"/>
  <c r="H56" i="7"/>
  <c r="E56" i="7"/>
  <c r="I55" i="7"/>
  <c r="H55" i="7"/>
  <c r="E55" i="7"/>
  <c r="I54" i="7"/>
  <c r="H54" i="7"/>
  <c r="E54" i="7"/>
  <c r="I53" i="7"/>
  <c r="H53" i="7"/>
  <c r="E53" i="7"/>
  <c r="I52" i="7"/>
  <c r="H52" i="7"/>
  <c r="E52" i="7"/>
  <c r="I51" i="7"/>
  <c r="H51" i="7"/>
  <c r="E51" i="7"/>
  <c r="I50" i="7"/>
  <c r="H50" i="7"/>
  <c r="E50" i="7"/>
  <c r="I49" i="7"/>
  <c r="H49" i="7"/>
  <c r="E49" i="7"/>
  <c r="E48" i="7"/>
  <c r="E47" i="7"/>
  <c r="D47" i="7"/>
  <c r="C47" i="7"/>
  <c r="H46" i="7"/>
  <c r="D46" i="7"/>
  <c r="C46" i="7"/>
  <c r="I45" i="7"/>
  <c r="H45" i="7"/>
  <c r="E45" i="7"/>
  <c r="I44" i="7"/>
  <c r="H44" i="7"/>
  <c r="E44" i="7"/>
  <c r="I43" i="7"/>
  <c r="H43" i="7"/>
  <c r="E43" i="7"/>
  <c r="I42" i="7"/>
  <c r="H42" i="7"/>
  <c r="E42" i="7"/>
  <c r="I41" i="7"/>
  <c r="H41" i="7"/>
  <c r="E41" i="7"/>
  <c r="I40" i="7"/>
  <c r="H40" i="7"/>
  <c r="E40" i="7"/>
  <c r="I39" i="7"/>
  <c r="H39" i="7"/>
  <c r="E39" i="7"/>
  <c r="I38" i="7"/>
  <c r="H38" i="7"/>
  <c r="E38" i="7"/>
  <c r="I37" i="7"/>
  <c r="H37" i="7"/>
  <c r="E37" i="7"/>
  <c r="I36" i="7"/>
  <c r="H36" i="7"/>
  <c r="E36" i="7"/>
  <c r="I35" i="7"/>
  <c r="H35" i="7"/>
  <c r="E35" i="7"/>
  <c r="I34" i="7"/>
  <c r="H34" i="7"/>
  <c r="E34" i="7"/>
  <c r="E33" i="7"/>
  <c r="E32" i="7"/>
  <c r="D32" i="7"/>
  <c r="C32" i="7"/>
  <c r="H31" i="7"/>
  <c r="D31" i="7"/>
  <c r="C31" i="7"/>
  <c r="I30" i="7"/>
  <c r="H30" i="7"/>
  <c r="E30" i="7"/>
  <c r="I29" i="7"/>
  <c r="H29" i="7"/>
  <c r="E29" i="7"/>
  <c r="I28" i="7"/>
  <c r="H28" i="7"/>
  <c r="E28" i="7"/>
  <c r="I27" i="7"/>
  <c r="H27" i="7"/>
  <c r="E27" i="7"/>
  <c r="I26" i="7"/>
  <c r="H26" i="7"/>
  <c r="E26" i="7"/>
  <c r="I25" i="7"/>
  <c r="H25" i="7"/>
  <c r="E25" i="7"/>
  <c r="I24" i="7"/>
  <c r="H24" i="7"/>
  <c r="E24" i="7"/>
  <c r="I23" i="7"/>
  <c r="H23" i="7"/>
  <c r="E23" i="7"/>
  <c r="I22" i="7"/>
  <c r="H22" i="7"/>
  <c r="E22" i="7"/>
  <c r="I21" i="7"/>
  <c r="H21" i="7"/>
  <c r="E21" i="7"/>
  <c r="I20" i="7"/>
  <c r="H20" i="7"/>
  <c r="E20" i="7"/>
  <c r="I19" i="7"/>
  <c r="H19" i="7"/>
  <c r="E19" i="7"/>
  <c r="E18" i="7"/>
  <c r="E17" i="7"/>
  <c r="D17" i="7"/>
  <c r="C17" i="7"/>
  <c r="D16" i="7"/>
  <c r="C16" i="7"/>
  <c r="E15" i="7"/>
  <c r="E14" i="7"/>
  <c r="E13" i="7"/>
  <c r="E12" i="7"/>
  <c r="E11" i="7"/>
  <c r="E10" i="7"/>
  <c r="E9" i="7"/>
  <c r="E8" i="7"/>
  <c r="E7" i="7"/>
  <c r="E6" i="7"/>
  <c r="E5" i="7"/>
  <c r="E4" i="7"/>
  <c r="E92" i="6"/>
  <c r="D92" i="6"/>
  <c r="C92" i="6"/>
  <c r="H91" i="6"/>
  <c r="D91" i="6"/>
  <c r="C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D77" i="6"/>
  <c r="C77" i="6"/>
  <c r="D76" i="6"/>
  <c r="C76" i="6"/>
  <c r="H75" i="6"/>
  <c r="H76" i="6" s="1"/>
  <c r="H74" i="6"/>
  <c r="H73" i="6"/>
  <c r="H72" i="6"/>
  <c r="E72" i="6"/>
  <c r="E73" i="6" s="1"/>
  <c r="E74" i="6" s="1"/>
  <c r="I71" i="6"/>
  <c r="H71" i="6"/>
  <c r="E71" i="6"/>
  <c r="I70" i="6"/>
  <c r="H70" i="6"/>
  <c r="E70" i="6"/>
  <c r="I69" i="6"/>
  <c r="H69" i="6"/>
  <c r="E69" i="6"/>
  <c r="I68" i="6"/>
  <c r="H68" i="6"/>
  <c r="E68" i="6"/>
  <c r="I67" i="6"/>
  <c r="H67" i="6"/>
  <c r="E67" i="6"/>
  <c r="I66" i="6"/>
  <c r="H66" i="6"/>
  <c r="E66" i="6"/>
  <c r="I65" i="6"/>
  <c r="H65" i="6"/>
  <c r="E65" i="6"/>
  <c r="I64" i="6"/>
  <c r="H64" i="6"/>
  <c r="E64" i="6"/>
  <c r="E63" i="6"/>
  <c r="E62" i="6"/>
  <c r="D62" i="6"/>
  <c r="C62" i="6"/>
  <c r="H61" i="6"/>
  <c r="D61" i="6"/>
  <c r="C61" i="6"/>
  <c r="I60" i="6"/>
  <c r="H60" i="6"/>
  <c r="E60" i="6"/>
  <c r="I59" i="6"/>
  <c r="H59" i="6"/>
  <c r="E59" i="6"/>
  <c r="I58" i="6"/>
  <c r="H58" i="6"/>
  <c r="E58" i="6"/>
  <c r="I57" i="6"/>
  <c r="H57" i="6"/>
  <c r="E57" i="6"/>
  <c r="I56" i="6"/>
  <c r="H56" i="6"/>
  <c r="E56" i="6"/>
  <c r="I55" i="6"/>
  <c r="H55" i="6"/>
  <c r="E55" i="6"/>
  <c r="I54" i="6"/>
  <c r="H54" i="6"/>
  <c r="E54" i="6"/>
  <c r="I53" i="6"/>
  <c r="H53" i="6"/>
  <c r="E53" i="6"/>
  <c r="I52" i="6"/>
  <c r="H52" i="6"/>
  <c r="E52" i="6"/>
  <c r="I51" i="6"/>
  <c r="H51" i="6"/>
  <c r="E51" i="6"/>
  <c r="I50" i="6"/>
  <c r="H50" i="6"/>
  <c r="E50" i="6"/>
  <c r="I49" i="6"/>
  <c r="H49" i="6"/>
  <c r="E49" i="6"/>
  <c r="E48" i="6"/>
  <c r="E47" i="6"/>
  <c r="D47" i="6"/>
  <c r="C47" i="6"/>
  <c r="H46" i="6"/>
  <c r="D46" i="6"/>
  <c r="C46" i="6"/>
  <c r="I45" i="6"/>
  <c r="H45" i="6"/>
  <c r="E45" i="6"/>
  <c r="I44" i="6"/>
  <c r="H44" i="6"/>
  <c r="E44" i="6"/>
  <c r="I43" i="6"/>
  <c r="H43" i="6"/>
  <c r="E43" i="6"/>
  <c r="I42" i="6"/>
  <c r="H42" i="6"/>
  <c r="E42" i="6"/>
  <c r="I41" i="6"/>
  <c r="H41" i="6"/>
  <c r="E41" i="6"/>
  <c r="I40" i="6"/>
  <c r="H40" i="6"/>
  <c r="E40" i="6"/>
  <c r="I39" i="6"/>
  <c r="H39" i="6"/>
  <c r="E39" i="6"/>
  <c r="I38" i="6"/>
  <c r="H38" i="6"/>
  <c r="E38" i="6"/>
  <c r="I37" i="6"/>
  <c r="H37" i="6"/>
  <c r="E37" i="6"/>
  <c r="I36" i="6"/>
  <c r="H36" i="6"/>
  <c r="E36" i="6"/>
  <c r="I35" i="6"/>
  <c r="H35" i="6"/>
  <c r="E35" i="6"/>
  <c r="I34" i="6"/>
  <c r="H34" i="6"/>
  <c r="E34" i="6"/>
  <c r="E33" i="6"/>
  <c r="E32" i="6"/>
  <c r="D32" i="6"/>
  <c r="C32" i="6"/>
  <c r="H31" i="6"/>
  <c r="D31" i="6"/>
  <c r="C31" i="6"/>
  <c r="I30" i="6"/>
  <c r="H30" i="6"/>
  <c r="E30" i="6"/>
  <c r="I29" i="6"/>
  <c r="H29" i="6"/>
  <c r="E29" i="6"/>
  <c r="I28" i="6"/>
  <c r="H28" i="6"/>
  <c r="E28" i="6"/>
  <c r="I27" i="6"/>
  <c r="H27" i="6"/>
  <c r="E27" i="6"/>
  <c r="I26" i="6"/>
  <c r="H26" i="6"/>
  <c r="E26" i="6"/>
  <c r="I25" i="6"/>
  <c r="H25" i="6"/>
  <c r="E25" i="6"/>
  <c r="I24" i="6"/>
  <c r="H24" i="6"/>
  <c r="E24" i="6"/>
  <c r="I23" i="6"/>
  <c r="H23" i="6"/>
  <c r="E23" i="6"/>
  <c r="I22" i="6"/>
  <c r="H22" i="6"/>
  <c r="E22" i="6"/>
  <c r="I21" i="6"/>
  <c r="H21" i="6"/>
  <c r="E21" i="6"/>
  <c r="I20" i="6"/>
  <c r="H20" i="6"/>
  <c r="E20" i="6"/>
  <c r="I19" i="6"/>
  <c r="H19" i="6"/>
  <c r="E19" i="6"/>
  <c r="E18" i="6"/>
  <c r="E17" i="6"/>
  <c r="D17" i="6"/>
  <c r="C17" i="6"/>
  <c r="D16" i="6"/>
  <c r="C16" i="6"/>
  <c r="E15" i="6"/>
  <c r="E14" i="6"/>
  <c r="E13" i="6"/>
  <c r="E12" i="6"/>
  <c r="E11" i="6"/>
  <c r="E10" i="6"/>
  <c r="E9" i="6"/>
  <c r="E8" i="6"/>
  <c r="E7" i="6"/>
  <c r="E6" i="6"/>
  <c r="E5" i="6"/>
  <c r="E4" i="6"/>
  <c r="E92" i="5"/>
  <c r="D92" i="5"/>
  <c r="C92" i="5"/>
  <c r="H91" i="5"/>
  <c r="D91" i="5"/>
  <c r="C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D77" i="5"/>
  <c r="C77" i="5"/>
  <c r="H76" i="5"/>
  <c r="D76" i="5"/>
  <c r="C76" i="5"/>
  <c r="H75" i="5"/>
  <c r="H74" i="5"/>
  <c r="H73" i="5"/>
  <c r="I72" i="5"/>
  <c r="H72" i="5"/>
  <c r="E72" i="5"/>
  <c r="E73" i="5" s="1"/>
  <c r="E74" i="5" s="1"/>
  <c r="I71" i="5"/>
  <c r="H71" i="5"/>
  <c r="E71" i="5"/>
  <c r="I70" i="5"/>
  <c r="H70" i="5"/>
  <c r="E70" i="5"/>
  <c r="I69" i="5"/>
  <c r="H69" i="5"/>
  <c r="E69" i="5"/>
  <c r="I68" i="5"/>
  <c r="H68" i="5"/>
  <c r="E68" i="5"/>
  <c r="I67" i="5"/>
  <c r="H67" i="5"/>
  <c r="E67" i="5"/>
  <c r="I66" i="5"/>
  <c r="H66" i="5"/>
  <c r="E66" i="5"/>
  <c r="I65" i="5"/>
  <c r="H65" i="5"/>
  <c r="E65" i="5"/>
  <c r="I64" i="5"/>
  <c r="H64" i="5"/>
  <c r="E64" i="5"/>
  <c r="E63" i="5"/>
  <c r="E62" i="5"/>
  <c r="D62" i="5"/>
  <c r="C62" i="5"/>
  <c r="H61" i="5"/>
  <c r="D61" i="5"/>
  <c r="C61" i="5"/>
  <c r="I60" i="5"/>
  <c r="H60" i="5"/>
  <c r="E60" i="5"/>
  <c r="I59" i="5"/>
  <c r="H59" i="5"/>
  <c r="E59" i="5"/>
  <c r="I58" i="5"/>
  <c r="H58" i="5"/>
  <c r="E58" i="5"/>
  <c r="I57" i="5"/>
  <c r="H57" i="5"/>
  <c r="E57" i="5"/>
  <c r="I56" i="5"/>
  <c r="H56" i="5"/>
  <c r="E56" i="5"/>
  <c r="I55" i="5"/>
  <c r="H55" i="5"/>
  <c r="E55" i="5"/>
  <c r="I54" i="5"/>
  <c r="H54" i="5"/>
  <c r="E54" i="5"/>
  <c r="I53" i="5"/>
  <c r="H53" i="5"/>
  <c r="E53" i="5"/>
  <c r="I52" i="5"/>
  <c r="H52" i="5"/>
  <c r="E52" i="5"/>
  <c r="I51" i="5"/>
  <c r="H51" i="5"/>
  <c r="E51" i="5"/>
  <c r="I50" i="5"/>
  <c r="H50" i="5"/>
  <c r="E50" i="5"/>
  <c r="I49" i="5"/>
  <c r="H49" i="5"/>
  <c r="E49" i="5"/>
  <c r="E48" i="5"/>
  <c r="E47" i="5"/>
  <c r="D47" i="5"/>
  <c r="C47" i="5"/>
  <c r="H46" i="5"/>
  <c r="D46" i="5"/>
  <c r="C46" i="5"/>
  <c r="I45" i="5"/>
  <c r="H45" i="5"/>
  <c r="E45" i="5"/>
  <c r="I44" i="5"/>
  <c r="H44" i="5"/>
  <c r="E44" i="5"/>
  <c r="I43" i="5"/>
  <c r="H43" i="5"/>
  <c r="E43" i="5"/>
  <c r="I42" i="5"/>
  <c r="H42" i="5"/>
  <c r="E42" i="5"/>
  <c r="I41" i="5"/>
  <c r="H41" i="5"/>
  <c r="E41" i="5"/>
  <c r="I40" i="5"/>
  <c r="H40" i="5"/>
  <c r="E40" i="5"/>
  <c r="I39" i="5"/>
  <c r="H39" i="5"/>
  <c r="E39" i="5"/>
  <c r="I38" i="5"/>
  <c r="H38" i="5"/>
  <c r="E38" i="5"/>
  <c r="I37" i="5"/>
  <c r="H37" i="5"/>
  <c r="E37" i="5"/>
  <c r="I36" i="5"/>
  <c r="H36" i="5"/>
  <c r="E36" i="5"/>
  <c r="I35" i="5"/>
  <c r="H35" i="5"/>
  <c r="E35" i="5"/>
  <c r="I34" i="5"/>
  <c r="H34" i="5"/>
  <c r="E34" i="5"/>
  <c r="E33" i="5"/>
  <c r="E32" i="5"/>
  <c r="D32" i="5"/>
  <c r="C32" i="5"/>
  <c r="H31" i="5"/>
  <c r="D31" i="5"/>
  <c r="C31" i="5"/>
  <c r="I30" i="5"/>
  <c r="H30" i="5"/>
  <c r="E30" i="5"/>
  <c r="I29" i="5"/>
  <c r="H29" i="5"/>
  <c r="E29" i="5"/>
  <c r="I28" i="5"/>
  <c r="H28" i="5"/>
  <c r="E28" i="5"/>
  <c r="I27" i="5"/>
  <c r="H27" i="5"/>
  <c r="E27" i="5"/>
  <c r="I26" i="5"/>
  <c r="H26" i="5"/>
  <c r="E26" i="5"/>
  <c r="I25" i="5"/>
  <c r="H25" i="5"/>
  <c r="E25" i="5"/>
  <c r="I24" i="5"/>
  <c r="H24" i="5"/>
  <c r="E24" i="5"/>
  <c r="I23" i="5"/>
  <c r="H23" i="5"/>
  <c r="E23" i="5"/>
  <c r="I22" i="5"/>
  <c r="H22" i="5"/>
  <c r="E22" i="5"/>
  <c r="I21" i="5"/>
  <c r="H21" i="5"/>
  <c r="E21" i="5"/>
  <c r="I20" i="5"/>
  <c r="H20" i="5"/>
  <c r="E20" i="5"/>
  <c r="I19" i="5"/>
  <c r="H19" i="5"/>
  <c r="E19" i="5"/>
  <c r="E18" i="5"/>
  <c r="E17" i="5"/>
  <c r="D17" i="5"/>
  <c r="C17" i="5"/>
  <c r="D16" i="5"/>
  <c r="C16" i="5"/>
  <c r="E15" i="5"/>
  <c r="E14" i="5"/>
  <c r="E13" i="5"/>
  <c r="E12" i="5"/>
  <c r="E11" i="5"/>
  <c r="E10" i="5"/>
  <c r="E9" i="5"/>
  <c r="E8" i="5"/>
  <c r="E7" i="5"/>
  <c r="E6" i="5"/>
  <c r="E5" i="5"/>
  <c r="E4" i="5"/>
  <c r="E92" i="4"/>
  <c r="D92" i="4"/>
  <c r="C92" i="4"/>
  <c r="H91" i="4"/>
  <c r="D91" i="4"/>
  <c r="C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D77" i="4"/>
  <c r="C77" i="4"/>
  <c r="D76" i="4"/>
  <c r="C76" i="4"/>
  <c r="H75" i="4"/>
  <c r="H76" i="4" s="1"/>
  <c r="H74" i="4"/>
  <c r="H73" i="4"/>
  <c r="H72" i="4"/>
  <c r="E72" i="4"/>
  <c r="E73" i="4" s="1"/>
  <c r="E74" i="4" s="1"/>
  <c r="I71" i="4"/>
  <c r="H71" i="4"/>
  <c r="E71" i="4"/>
  <c r="I70" i="4"/>
  <c r="H70" i="4"/>
  <c r="E70" i="4"/>
  <c r="I69" i="4"/>
  <c r="H69" i="4"/>
  <c r="E69" i="4"/>
  <c r="I68" i="4"/>
  <c r="H68" i="4"/>
  <c r="E68" i="4"/>
  <c r="I67" i="4"/>
  <c r="H67" i="4"/>
  <c r="E67" i="4"/>
  <c r="I66" i="4"/>
  <c r="H66" i="4"/>
  <c r="E66" i="4"/>
  <c r="I65" i="4"/>
  <c r="H65" i="4"/>
  <c r="E65" i="4"/>
  <c r="I64" i="4"/>
  <c r="H64" i="4"/>
  <c r="E64" i="4"/>
  <c r="E63" i="4"/>
  <c r="E62" i="4"/>
  <c r="D62" i="4"/>
  <c r="C62" i="4"/>
  <c r="H61" i="4"/>
  <c r="D61" i="4"/>
  <c r="C61" i="4"/>
  <c r="I60" i="4"/>
  <c r="H60" i="4"/>
  <c r="E60" i="4"/>
  <c r="I59" i="4"/>
  <c r="H59" i="4"/>
  <c r="E59" i="4"/>
  <c r="I58" i="4"/>
  <c r="H58" i="4"/>
  <c r="E58" i="4"/>
  <c r="I57" i="4"/>
  <c r="H57" i="4"/>
  <c r="E57" i="4"/>
  <c r="I56" i="4"/>
  <c r="H56" i="4"/>
  <c r="E56" i="4"/>
  <c r="I55" i="4"/>
  <c r="H55" i="4"/>
  <c r="E55" i="4"/>
  <c r="I54" i="4"/>
  <c r="H54" i="4"/>
  <c r="E54" i="4"/>
  <c r="I53" i="4"/>
  <c r="H53" i="4"/>
  <c r="E53" i="4"/>
  <c r="I52" i="4"/>
  <c r="H52" i="4"/>
  <c r="E52" i="4"/>
  <c r="I51" i="4"/>
  <c r="H51" i="4"/>
  <c r="E51" i="4"/>
  <c r="I50" i="4"/>
  <c r="H50" i="4"/>
  <c r="E50" i="4"/>
  <c r="I49" i="4"/>
  <c r="H49" i="4"/>
  <c r="E49" i="4"/>
  <c r="E48" i="4"/>
  <c r="E47" i="4"/>
  <c r="D47" i="4"/>
  <c r="C47" i="4"/>
  <c r="H46" i="4"/>
  <c r="D46" i="4"/>
  <c r="C46" i="4"/>
  <c r="I45" i="4"/>
  <c r="H45" i="4"/>
  <c r="E45" i="4"/>
  <c r="I44" i="4"/>
  <c r="H44" i="4"/>
  <c r="E44" i="4"/>
  <c r="I43" i="4"/>
  <c r="H43" i="4"/>
  <c r="E43" i="4"/>
  <c r="I42" i="4"/>
  <c r="H42" i="4"/>
  <c r="E42" i="4"/>
  <c r="I41" i="4"/>
  <c r="H41" i="4"/>
  <c r="E41" i="4"/>
  <c r="I40" i="4"/>
  <c r="H40" i="4"/>
  <c r="E40" i="4"/>
  <c r="I39" i="4"/>
  <c r="H39" i="4"/>
  <c r="E39" i="4"/>
  <c r="I38" i="4"/>
  <c r="H38" i="4"/>
  <c r="E38" i="4"/>
  <c r="I37" i="4"/>
  <c r="H37" i="4"/>
  <c r="E37" i="4"/>
  <c r="I36" i="4"/>
  <c r="H36" i="4"/>
  <c r="E36" i="4"/>
  <c r="I35" i="4"/>
  <c r="H35" i="4"/>
  <c r="E35" i="4"/>
  <c r="I34" i="4"/>
  <c r="H34" i="4"/>
  <c r="E34" i="4"/>
  <c r="E33" i="4"/>
  <c r="E32" i="4"/>
  <c r="D32" i="4"/>
  <c r="C32" i="4"/>
  <c r="H31" i="4"/>
  <c r="D31" i="4"/>
  <c r="C31" i="4"/>
  <c r="I30" i="4"/>
  <c r="H30" i="4"/>
  <c r="E30" i="4"/>
  <c r="I29" i="4"/>
  <c r="H29" i="4"/>
  <c r="E29" i="4"/>
  <c r="I28" i="4"/>
  <c r="H28" i="4"/>
  <c r="E28" i="4"/>
  <c r="I27" i="4"/>
  <c r="H27" i="4"/>
  <c r="E27" i="4"/>
  <c r="I26" i="4"/>
  <c r="H26" i="4"/>
  <c r="E26" i="4"/>
  <c r="I25" i="4"/>
  <c r="H25" i="4"/>
  <c r="E25" i="4"/>
  <c r="I24" i="4"/>
  <c r="H24" i="4"/>
  <c r="E24" i="4"/>
  <c r="I23" i="4"/>
  <c r="H23" i="4"/>
  <c r="E23" i="4"/>
  <c r="I22" i="4"/>
  <c r="H22" i="4"/>
  <c r="E22" i="4"/>
  <c r="I21" i="4"/>
  <c r="H21" i="4"/>
  <c r="E21" i="4"/>
  <c r="I20" i="4"/>
  <c r="H20" i="4"/>
  <c r="E20" i="4"/>
  <c r="I19" i="4"/>
  <c r="H19" i="4"/>
  <c r="E19" i="4"/>
  <c r="E18" i="4"/>
  <c r="E17" i="4"/>
  <c r="D17" i="4"/>
  <c r="C17" i="4"/>
  <c r="D16" i="4"/>
  <c r="C16" i="4"/>
  <c r="E15" i="4"/>
  <c r="E14" i="4"/>
  <c r="E13" i="4"/>
  <c r="E12" i="4"/>
  <c r="E11" i="4"/>
  <c r="E10" i="4"/>
  <c r="E9" i="4"/>
  <c r="E8" i="4"/>
  <c r="E7" i="4"/>
  <c r="E6" i="4"/>
  <c r="E5" i="4"/>
  <c r="E4" i="4"/>
  <c r="E92" i="3"/>
  <c r="D92" i="3"/>
  <c r="C92" i="3"/>
  <c r="H91" i="3"/>
  <c r="D91" i="3"/>
  <c r="C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I83" i="3"/>
  <c r="H83" i="3"/>
  <c r="I82" i="3"/>
  <c r="H82" i="3"/>
  <c r="I81" i="3"/>
  <c r="H81" i="3"/>
  <c r="I80" i="3"/>
  <c r="H80" i="3"/>
  <c r="I79" i="3"/>
  <c r="H79" i="3"/>
  <c r="D77" i="3"/>
  <c r="C77" i="3"/>
  <c r="H76" i="3"/>
  <c r="D76" i="3"/>
  <c r="C76" i="3"/>
  <c r="H75" i="3"/>
  <c r="H74" i="3"/>
  <c r="H73" i="3"/>
  <c r="I72" i="3"/>
  <c r="H72" i="3"/>
  <c r="E72" i="3"/>
  <c r="E73" i="3" s="1"/>
  <c r="E74" i="3" s="1"/>
  <c r="I71" i="3"/>
  <c r="H71" i="3"/>
  <c r="E71" i="3"/>
  <c r="I70" i="3"/>
  <c r="H70" i="3"/>
  <c r="E70" i="3"/>
  <c r="I69" i="3"/>
  <c r="H69" i="3"/>
  <c r="E69" i="3"/>
  <c r="I68" i="3"/>
  <c r="H68" i="3"/>
  <c r="E68" i="3"/>
  <c r="I67" i="3"/>
  <c r="H67" i="3"/>
  <c r="E67" i="3"/>
  <c r="I66" i="3"/>
  <c r="H66" i="3"/>
  <c r="E66" i="3"/>
  <c r="I65" i="3"/>
  <c r="H65" i="3"/>
  <c r="E65" i="3"/>
  <c r="I64" i="3"/>
  <c r="H64" i="3"/>
  <c r="E64" i="3"/>
  <c r="E63" i="3"/>
  <c r="E62" i="3"/>
  <c r="D62" i="3"/>
  <c r="C62" i="3"/>
  <c r="H61" i="3"/>
  <c r="D61" i="3"/>
  <c r="C61" i="3"/>
  <c r="I60" i="3"/>
  <c r="H60" i="3"/>
  <c r="E60" i="3"/>
  <c r="I59" i="3"/>
  <c r="H59" i="3"/>
  <c r="E59" i="3"/>
  <c r="I58" i="3"/>
  <c r="H58" i="3"/>
  <c r="E58" i="3"/>
  <c r="I57" i="3"/>
  <c r="H57" i="3"/>
  <c r="E57" i="3"/>
  <c r="I56" i="3"/>
  <c r="H56" i="3"/>
  <c r="E56" i="3"/>
  <c r="I55" i="3"/>
  <c r="H55" i="3"/>
  <c r="E55" i="3"/>
  <c r="I54" i="3"/>
  <c r="H54" i="3"/>
  <c r="E54" i="3"/>
  <c r="I53" i="3"/>
  <c r="H53" i="3"/>
  <c r="E53" i="3"/>
  <c r="I52" i="3"/>
  <c r="H52" i="3"/>
  <c r="E52" i="3"/>
  <c r="I51" i="3"/>
  <c r="H51" i="3"/>
  <c r="E51" i="3"/>
  <c r="I50" i="3"/>
  <c r="H50" i="3"/>
  <c r="E50" i="3"/>
  <c r="I49" i="3"/>
  <c r="H49" i="3"/>
  <c r="E49" i="3"/>
  <c r="E48" i="3"/>
  <c r="E47" i="3"/>
  <c r="D47" i="3"/>
  <c r="C47" i="3"/>
  <c r="H46" i="3"/>
  <c r="D46" i="3"/>
  <c r="C46" i="3"/>
  <c r="I45" i="3"/>
  <c r="H45" i="3"/>
  <c r="E45" i="3"/>
  <c r="I44" i="3"/>
  <c r="H44" i="3"/>
  <c r="E44" i="3"/>
  <c r="I43" i="3"/>
  <c r="H43" i="3"/>
  <c r="E43" i="3"/>
  <c r="I42" i="3"/>
  <c r="H42" i="3"/>
  <c r="E42" i="3"/>
  <c r="I41" i="3"/>
  <c r="H41" i="3"/>
  <c r="E41" i="3"/>
  <c r="I40" i="3"/>
  <c r="H40" i="3"/>
  <c r="E40" i="3"/>
  <c r="I39" i="3"/>
  <c r="H39" i="3"/>
  <c r="E39" i="3"/>
  <c r="I38" i="3"/>
  <c r="H38" i="3"/>
  <c r="E38" i="3"/>
  <c r="I37" i="3"/>
  <c r="H37" i="3"/>
  <c r="E37" i="3"/>
  <c r="I36" i="3"/>
  <c r="H36" i="3"/>
  <c r="E36" i="3"/>
  <c r="I35" i="3"/>
  <c r="H35" i="3"/>
  <c r="E35" i="3"/>
  <c r="I34" i="3"/>
  <c r="H34" i="3"/>
  <c r="E34" i="3"/>
  <c r="E33" i="3"/>
  <c r="E32" i="3"/>
  <c r="D32" i="3"/>
  <c r="C32" i="3"/>
  <c r="H31" i="3"/>
  <c r="D31" i="3"/>
  <c r="C31" i="3"/>
  <c r="I30" i="3"/>
  <c r="H30" i="3"/>
  <c r="E30" i="3"/>
  <c r="I29" i="3"/>
  <c r="H29" i="3"/>
  <c r="E29" i="3"/>
  <c r="I28" i="3"/>
  <c r="H28" i="3"/>
  <c r="E28" i="3"/>
  <c r="I27" i="3"/>
  <c r="H27" i="3"/>
  <c r="E27" i="3"/>
  <c r="I26" i="3"/>
  <c r="H26" i="3"/>
  <c r="E26" i="3"/>
  <c r="I25" i="3"/>
  <c r="H25" i="3"/>
  <c r="E25" i="3"/>
  <c r="I24" i="3"/>
  <c r="H24" i="3"/>
  <c r="E24" i="3"/>
  <c r="I23" i="3"/>
  <c r="H23" i="3"/>
  <c r="E23" i="3"/>
  <c r="I22" i="3"/>
  <c r="H22" i="3"/>
  <c r="E22" i="3"/>
  <c r="I21" i="3"/>
  <c r="H21" i="3"/>
  <c r="E21" i="3"/>
  <c r="I20" i="3"/>
  <c r="H20" i="3"/>
  <c r="E20" i="3"/>
  <c r="I19" i="3"/>
  <c r="H19" i="3"/>
  <c r="E19" i="3"/>
  <c r="E18" i="3"/>
  <c r="E17" i="3"/>
  <c r="D17" i="3"/>
  <c r="C17" i="3"/>
  <c r="D16" i="3"/>
  <c r="C16" i="3"/>
  <c r="E15" i="3"/>
  <c r="E14" i="3"/>
  <c r="E13" i="3"/>
  <c r="E12" i="3"/>
  <c r="E11" i="3"/>
  <c r="E10" i="3"/>
  <c r="E9" i="3"/>
  <c r="E8" i="3"/>
  <c r="E7" i="3"/>
  <c r="E6" i="3"/>
  <c r="E5" i="3"/>
  <c r="E4" i="3"/>
  <c r="E92" i="2"/>
  <c r="D92" i="2"/>
  <c r="C92" i="2"/>
  <c r="H91" i="2"/>
  <c r="D91" i="2"/>
  <c r="C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D77" i="2"/>
  <c r="C77" i="2"/>
  <c r="H76" i="2"/>
  <c r="D76" i="2"/>
  <c r="C76" i="2"/>
  <c r="H75" i="2"/>
  <c r="H74" i="2"/>
  <c r="H73" i="2"/>
  <c r="H72" i="2"/>
  <c r="E72" i="2"/>
  <c r="E73" i="2" s="1"/>
  <c r="I71" i="2"/>
  <c r="H71" i="2"/>
  <c r="E71" i="2"/>
  <c r="I70" i="2"/>
  <c r="H70" i="2"/>
  <c r="E70" i="2"/>
  <c r="I69" i="2"/>
  <c r="H69" i="2"/>
  <c r="E69" i="2"/>
  <c r="I68" i="2"/>
  <c r="H68" i="2"/>
  <c r="E68" i="2"/>
  <c r="I67" i="2"/>
  <c r="H67" i="2"/>
  <c r="E67" i="2"/>
  <c r="I66" i="2"/>
  <c r="H66" i="2"/>
  <c r="E66" i="2"/>
  <c r="I65" i="2"/>
  <c r="H65" i="2"/>
  <c r="E65" i="2"/>
  <c r="I64" i="2"/>
  <c r="H64" i="2"/>
  <c r="E64" i="2"/>
  <c r="E63" i="2"/>
  <c r="E62" i="2"/>
  <c r="D62" i="2"/>
  <c r="C62" i="2"/>
  <c r="H61" i="2"/>
  <c r="D61" i="2"/>
  <c r="C61" i="2"/>
  <c r="I60" i="2"/>
  <c r="H60" i="2"/>
  <c r="E60" i="2"/>
  <c r="I59" i="2"/>
  <c r="H59" i="2"/>
  <c r="E59" i="2"/>
  <c r="I58" i="2"/>
  <c r="H58" i="2"/>
  <c r="E58" i="2"/>
  <c r="I57" i="2"/>
  <c r="H57" i="2"/>
  <c r="E57" i="2"/>
  <c r="I56" i="2"/>
  <c r="H56" i="2"/>
  <c r="E56" i="2"/>
  <c r="I55" i="2"/>
  <c r="H55" i="2"/>
  <c r="E55" i="2"/>
  <c r="I54" i="2"/>
  <c r="H54" i="2"/>
  <c r="E54" i="2"/>
  <c r="I53" i="2"/>
  <c r="H53" i="2"/>
  <c r="E53" i="2"/>
  <c r="I52" i="2"/>
  <c r="H52" i="2"/>
  <c r="E52" i="2"/>
  <c r="I51" i="2"/>
  <c r="H51" i="2"/>
  <c r="E51" i="2"/>
  <c r="I50" i="2"/>
  <c r="H50" i="2"/>
  <c r="E50" i="2"/>
  <c r="I49" i="2"/>
  <c r="H49" i="2"/>
  <c r="E49" i="2"/>
  <c r="E48" i="2"/>
  <c r="E47" i="2"/>
  <c r="D47" i="2"/>
  <c r="C47" i="2"/>
  <c r="H46" i="2"/>
  <c r="D46" i="2"/>
  <c r="C46" i="2"/>
  <c r="I45" i="2"/>
  <c r="H45" i="2"/>
  <c r="E45" i="2"/>
  <c r="I44" i="2"/>
  <c r="H44" i="2"/>
  <c r="E44" i="2"/>
  <c r="I43" i="2"/>
  <c r="H43" i="2"/>
  <c r="E43" i="2"/>
  <c r="I42" i="2"/>
  <c r="H42" i="2"/>
  <c r="E42" i="2"/>
  <c r="I41" i="2"/>
  <c r="H41" i="2"/>
  <c r="E41" i="2"/>
  <c r="I40" i="2"/>
  <c r="H40" i="2"/>
  <c r="E40" i="2"/>
  <c r="I39" i="2"/>
  <c r="H39" i="2"/>
  <c r="E39" i="2"/>
  <c r="I38" i="2"/>
  <c r="H38" i="2"/>
  <c r="E38" i="2"/>
  <c r="I37" i="2"/>
  <c r="H37" i="2"/>
  <c r="E37" i="2"/>
  <c r="I36" i="2"/>
  <c r="H36" i="2"/>
  <c r="E36" i="2"/>
  <c r="I35" i="2"/>
  <c r="H35" i="2"/>
  <c r="E35" i="2"/>
  <c r="I34" i="2"/>
  <c r="H34" i="2"/>
  <c r="E34" i="2"/>
  <c r="E33" i="2"/>
  <c r="E32" i="2"/>
  <c r="D32" i="2"/>
  <c r="C32" i="2"/>
  <c r="H31" i="2"/>
  <c r="D31" i="2"/>
  <c r="C31" i="2"/>
  <c r="I30" i="2"/>
  <c r="H30" i="2"/>
  <c r="E30" i="2"/>
  <c r="I29" i="2"/>
  <c r="H29" i="2"/>
  <c r="E29" i="2"/>
  <c r="I28" i="2"/>
  <c r="H28" i="2"/>
  <c r="E28" i="2"/>
  <c r="I27" i="2"/>
  <c r="H27" i="2"/>
  <c r="E27" i="2"/>
  <c r="I26" i="2"/>
  <c r="H26" i="2"/>
  <c r="E26" i="2"/>
  <c r="I25" i="2"/>
  <c r="H25" i="2"/>
  <c r="E25" i="2"/>
  <c r="I24" i="2"/>
  <c r="H24" i="2"/>
  <c r="E24" i="2"/>
  <c r="I23" i="2"/>
  <c r="H23" i="2"/>
  <c r="E23" i="2"/>
  <c r="I22" i="2"/>
  <c r="H22" i="2"/>
  <c r="E22" i="2"/>
  <c r="I21" i="2"/>
  <c r="H21" i="2"/>
  <c r="E21" i="2"/>
  <c r="I20" i="2"/>
  <c r="H20" i="2"/>
  <c r="E20" i="2"/>
  <c r="I19" i="2"/>
  <c r="H19" i="2"/>
  <c r="E19" i="2"/>
  <c r="E18" i="2"/>
  <c r="E17" i="2"/>
  <c r="D17" i="2"/>
  <c r="C17" i="2"/>
  <c r="D16" i="2"/>
  <c r="C16" i="2"/>
  <c r="E15" i="2"/>
  <c r="E14" i="2"/>
  <c r="E13" i="2"/>
  <c r="E12" i="2"/>
  <c r="E11" i="2"/>
  <c r="E10" i="2"/>
  <c r="E9" i="2"/>
  <c r="E8" i="2"/>
  <c r="E7" i="2"/>
  <c r="E6" i="2"/>
  <c r="E5" i="2"/>
  <c r="E4" i="2"/>
  <c r="E77" i="231" l="1"/>
  <c r="E75" i="231"/>
  <c r="I74" i="231"/>
  <c r="I73" i="231"/>
  <c r="E77" i="189"/>
  <c r="E75" i="189"/>
  <c r="I74" i="189"/>
  <c r="I73" i="189"/>
  <c r="E77" i="22"/>
  <c r="E75" i="22"/>
  <c r="I74" i="22"/>
  <c r="I73" i="22"/>
  <c r="E77" i="21"/>
  <c r="E75" i="21"/>
  <c r="I74" i="21"/>
  <c r="I73" i="21"/>
  <c r="E77" i="20"/>
  <c r="I72" i="20"/>
  <c r="E75" i="20"/>
  <c r="I74" i="20"/>
  <c r="I73" i="20"/>
  <c r="E77" i="19"/>
  <c r="E74" i="19"/>
  <c r="E75" i="19" s="1"/>
  <c r="I73" i="19"/>
  <c r="I72" i="19"/>
  <c r="E77" i="18"/>
  <c r="E75" i="18"/>
  <c r="I74" i="18"/>
  <c r="I73" i="18"/>
  <c r="E77" i="17"/>
  <c r="E75" i="17"/>
  <c r="I74" i="17"/>
  <c r="I73" i="17"/>
  <c r="E77" i="16"/>
  <c r="I72" i="16"/>
  <c r="E75" i="16"/>
  <c r="I74" i="16"/>
  <c r="I73" i="16"/>
  <c r="E77" i="15"/>
  <c r="E75" i="15"/>
  <c r="I74" i="15"/>
  <c r="I73" i="15"/>
  <c r="E77" i="14"/>
  <c r="E75" i="14"/>
  <c r="I74" i="14"/>
  <c r="I73" i="14"/>
  <c r="E77" i="13"/>
  <c r="E75" i="13"/>
  <c r="I74" i="13"/>
  <c r="I73" i="13"/>
  <c r="E77" i="12"/>
  <c r="E75" i="12"/>
  <c r="I74" i="12"/>
  <c r="I73" i="12"/>
  <c r="E77" i="11"/>
  <c r="I72" i="11"/>
  <c r="E75" i="11"/>
  <c r="I74" i="11"/>
  <c r="I73" i="11"/>
  <c r="E77" i="10"/>
  <c r="E75" i="10"/>
  <c r="I74" i="10"/>
  <c r="I73" i="10"/>
  <c r="E77" i="9"/>
  <c r="E75" i="9"/>
  <c r="I74" i="9"/>
  <c r="I73" i="9"/>
  <c r="E77" i="8"/>
  <c r="E75" i="8"/>
  <c r="I74" i="8"/>
  <c r="I73" i="8"/>
  <c r="E77" i="7"/>
  <c r="E75" i="7"/>
  <c r="I74" i="7"/>
  <c r="I73" i="7"/>
  <c r="E77" i="6"/>
  <c r="I72" i="6"/>
  <c r="E75" i="6"/>
  <c r="I74" i="6"/>
  <c r="I73" i="6"/>
  <c r="E77" i="5"/>
  <c r="E75" i="5"/>
  <c r="I74" i="5"/>
  <c r="I73" i="5"/>
  <c r="E77" i="4"/>
  <c r="I72" i="4"/>
  <c r="E75" i="4"/>
  <c r="I74" i="4"/>
  <c r="I73" i="4"/>
  <c r="E77" i="3"/>
  <c r="E75" i="3"/>
  <c r="I74" i="3"/>
  <c r="I73" i="3"/>
  <c r="E74" i="2"/>
  <c r="E75" i="2" s="1"/>
  <c r="I73" i="2"/>
  <c r="E77" i="2"/>
  <c r="I72" i="2"/>
  <c r="I75" i="231" l="1"/>
  <c r="E78" i="231"/>
  <c r="E79" i="231" s="1"/>
  <c r="E80" i="231" s="1"/>
  <c r="E81" i="231" s="1"/>
  <c r="E82" i="231" s="1"/>
  <c r="E83" i="231" s="1"/>
  <c r="E84" i="231" s="1"/>
  <c r="E85" i="231" s="1"/>
  <c r="E86" i="231" s="1"/>
  <c r="E87" i="231" s="1"/>
  <c r="E88" i="231" s="1"/>
  <c r="E89" i="231" s="1"/>
  <c r="E90" i="231" s="1"/>
  <c r="I75" i="189"/>
  <c r="E78" i="189"/>
  <c r="E79" i="189" s="1"/>
  <c r="E80" i="189" s="1"/>
  <c r="E81" i="189" s="1"/>
  <c r="E82" i="189" s="1"/>
  <c r="E83" i="189" s="1"/>
  <c r="E84" i="189" s="1"/>
  <c r="E85" i="189" s="1"/>
  <c r="E86" i="189" s="1"/>
  <c r="E87" i="189" s="1"/>
  <c r="E88" i="189" s="1"/>
  <c r="E89" i="189" s="1"/>
  <c r="E90" i="189" s="1"/>
  <c r="I75" i="22"/>
  <c r="E78" i="22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I75" i="21"/>
  <c r="E78" i="21"/>
  <c r="E79" i="21" s="1"/>
  <c r="E80" i="21" s="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I75" i="20"/>
  <c r="E78" i="20"/>
  <c r="E79" i="20" s="1"/>
  <c r="E80" i="20" s="1"/>
  <c r="E81" i="20" s="1"/>
  <c r="E82" i="20" s="1"/>
  <c r="E83" i="20" s="1"/>
  <c r="E84" i="20" s="1"/>
  <c r="E85" i="20" s="1"/>
  <c r="E86" i="20" s="1"/>
  <c r="E87" i="20" s="1"/>
  <c r="E88" i="20" s="1"/>
  <c r="E89" i="20" s="1"/>
  <c r="E90" i="20" s="1"/>
  <c r="I74" i="19"/>
  <c r="I75" i="19"/>
  <c r="E78" i="19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I75" i="18"/>
  <c r="E78" i="18"/>
  <c r="E79" i="18" s="1"/>
  <c r="E80" i="18" s="1"/>
  <c r="E81" i="18" s="1"/>
  <c r="E82" i="18" s="1"/>
  <c r="E83" i="18" s="1"/>
  <c r="E84" i="18" s="1"/>
  <c r="E85" i="18" s="1"/>
  <c r="E86" i="18" s="1"/>
  <c r="E87" i="18" s="1"/>
  <c r="E88" i="18" s="1"/>
  <c r="E89" i="18" s="1"/>
  <c r="E90" i="18" s="1"/>
  <c r="I75" i="17"/>
  <c r="E78" i="17"/>
  <c r="E79" i="17" s="1"/>
  <c r="E80" i="17" s="1"/>
  <c r="E81" i="17" s="1"/>
  <c r="E82" i="17" s="1"/>
  <c r="E83" i="17" s="1"/>
  <c r="E84" i="17" s="1"/>
  <c r="E85" i="17" s="1"/>
  <c r="E86" i="17" s="1"/>
  <c r="E87" i="17" s="1"/>
  <c r="E88" i="17" s="1"/>
  <c r="E89" i="17" s="1"/>
  <c r="E90" i="17" s="1"/>
  <c r="I75" i="16"/>
  <c r="E78" i="16"/>
  <c r="E79" i="16" s="1"/>
  <c r="E80" i="16" s="1"/>
  <c r="E81" i="16" s="1"/>
  <c r="E82" i="16" s="1"/>
  <c r="E83" i="16" s="1"/>
  <c r="E84" i="16" s="1"/>
  <c r="E85" i="16" s="1"/>
  <c r="E86" i="16" s="1"/>
  <c r="E87" i="16" s="1"/>
  <c r="E88" i="16" s="1"/>
  <c r="E89" i="16" s="1"/>
  <c r="E90" i="16" s="1"/>
  <c r="I75" i="15"/>
  <c r="E78" i="15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I75" i="14"/>
  <c r="E78" i="14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I75" i="13"/>
  <c r="E78" i="13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I75" i="12"/>
  <c r="E78" i="12"/>
  <c r="E79" i="12" s="1"/>
  <c r="E80" i="12" s="1"/>
  <c r="E81" i="12" s="1"/>
  <c r="E82" i="12" s="1"/>
  <c r="E83" i="12" s="1"/>
  <c r="E84" i="12" s="1"/>
  <c r="E85" i="12" s="1"/>
  <c r="E86" i="12" s="1"/>
  <c r="E87" i="12" s="1"/>
  <c r="E88" i="12" s="1"/>
  <c r="E89" i="12" s="1"/>
  <c r="E90" i="12" s="1"/>
  <c r="I75" i="11"/>
  <c r="E78" i="1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I75" i="10"/>
  <c r="E78" i="10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I75" i="9"/>
  <c r="E78" i="9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I75" i="8"/>
  <c r="E78" i="8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I75" i="7"/>
  <c r="E78" i="7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I75" i="6"/>
  <c r="E78" i="6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I75" i="5"/>
  <c r="E78" i="5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I75" i="4"/>
  <c r="E78" i="4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I75" i="3"/>
  <c r="E78" i="3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I74" i="2"/>
  <c r="I75" i="2"/>
  <c r="E78" i="2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</calcChain>
</file>

<file path=xl/sharedStrings.xml><?xml version="1.0" encoding="utf-8"?>
<sst xmlns="http://schemas.openxmlformats.org/spreadsheetml/2006/main" count="7091" uniqueCount="50">
  <si>
    <t>An</t>
  </si>
  <si>
    <t>Luna</t>
  </si>
  <si>
    <t>INTRARI</t>
  </si>
  <si>
    <t>IESIRI</t>
  </si>
  <si>
    <t>SOLD</t>
  </si>
  <si>
    <t>DIF VANZ AN
PRECEDENT</t>
  </si>
  <si>
    <t>DIF STOC AN
PRECEDENT</t>
  </si>
  <si>
    <t>IAN</t>
  </si>
  <si>
    <t>FEB</t>
  </si>
  <si>
    <t>MAR</t>
  </si>
  <si>
    <t>APR</t>
  </si>
  <si>
    <t>MAI</t>
  </si>
  <si>
    <t>JUN</t>
  </si>
  <si>
    <t>JUL</t>
  </si>
  <si>
    <t>AUG</t>
  </si>
  <si>
    <t>SEP</t>
  </si>
  <si>
    <t>OCT</t>
  </si>
  <si>
    <t>NOV</t>
  </si>
  <si>
    <t>DEC</t>
  </si>
  <si>
    <t>TOTAL</t>
  </si>
  <si>
    <t>MEDIE</t>
  </si>
  <si>
    <t>ELMAX</t>
  </si>
  <si>
    <t>ICME</t>
  </si>
  <si>
    <t>GEWISS ROM</t>
  </si>
  <si>
    <t xml:space="preserve">SCHNEIDER </t>
  </si>
  <si>
    <t>EATON ELEC</t>
  </si>
  <si>
    <t>LEGRAND RO</t>
  </si>
  <si>
    <t>NOARK ELEC</t>
  </si>
  <si>
    <t>BTICINO SP</t>
  </si>
  <si>
    <t>SIGNIFY RO</t>
  </si>
  <si>
    <t>METALICO M</t>
  </si>
  <si>
    <t>DABLEROM S</t>
  </si>
  <si>
    <t>LEDVANCE D</t>
  </si>
  <si>
    <t>BETAK S.A.</t>
  </si>
  <si>
    <t>OBO BETTER</t>
  </si>
  <si>
    <t>KANLUX LIG</t>
  </si>
  <si>
    <t>WAGO KONTA</t>
  </si>
  <si>
    <t>ASSMANN EL</t>
  </si>
  <si>
    <t xml:space="preserve">ABB POWER </t>
  </si>
  <si>
    <t>COURBI ROM</t>
  </si>
  <si>
    <t>SPOT VISIO</t>
  </si>
  <si>
    <t>SCAME RO S</t>
  </si>
  <si>
    <t>Producator</t>
  </si>
  <si>
    <t>Anul</t>
  </si>
  <si>
    <t>Intrari</t>
  </si>
  <si>
    <t>Iesiri</t>
  </si>
  <si>
    <t>Sold</t>
  </si>
  <si>
    <t>Timeline</t>
  </si>
  <si>
    <t>LONGI (NET</t>
  </si>
  <si>
    <t>Cepas Galv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</si>
</sst>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164" fontId="2" fillId="0" borderId="0" xfId="0" applyNumberFormat="1" applyFont="1"/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0" fontId="0" fillId="2" borderId="0" xfId="0" applyFill="1"/>
    <xf numFmtId="164" fontId="2" fillId="2" borderId="0" xfId="0" applyNumberFormat="1" applyFont="1" applyFill="1"/>
    <xf numFmtId="164" fontId="3" fillId="2" borderId="0" xfId="0" applyNumberFormat="1" applyFont="1" applyFill="1"/>
    <xf numFmtId="164" fontId="1" fillId="2" borderId="0" xfId="0" applyNumberFormat="1" applyFont="1" applyFill="1"/>
    <xf numFmtId="164" fontId="0" fillId="2" borderId="0" xfId="0" applyNumberFormat="1" applyFill="1"/>
    <xf numFmtId="0" fontId="0" fillId="2" borderId="1" xfId="0" applyFill="1" applyBorder="1"/>
    <xf numFmtId="164" fontId="2" fillId="2" borderId="1" xfId="0" applyNumberFormat="1" applyFont="1" applyFill="1" applyBorder="1"/>
    <xf numFmtId="164" fontId="3" fillId="2" borderId="1" xfId="0" applyNumberFormat="1" applyFont="1" applyFill="1" applyBorder="1"/>
    <xf numFmtId="164" fontId="1" fillId="2" borderId="1" xfId="0" applyNumberFormat="1" applyFont="1" applyFill="1" applyBorder="1"/>
    <xf numFmtId="164" fontId="0" fillId="2" borderId="1" xfId="0" applyNumberFormat="1" applyFill="1" applyBorder="1"/>
    <xf numFmtId="0" fontId="1" fillId="2" borderId="0" xfId="0" applyFont="1" applyFill="1"/>
    <xf numFmtId="164" fontId="4" fillId="2" borderId="0" xfId="0" applyNumberFormat="1" applyFont="1" applyFill="1"/>
    <xf numFmtId="164" fontId="5" fillId="2" borderId="0" xfId="0" applyNumberFormat="1" applyFont="1" applyFill="1"/>
    <xf numFmtId="10" fontId="6" fillId="2" borderId="0" xfId="0" applyNumberFormat="1" applyFont="1" applyFill="1"/>
    <xf numFmtId="0" fontId="0" fillId="3" borderId="0" xfId="0" applyFill="1"/>
    <xf numFmtId="164" fontId="2" fillId="3" borderId="0" xfId="0" applyNumberFormat="1" applyFont="1" applyFill="1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0" fontId="0" fillId="3" borderId="1" xfId="0" applyFill="1" applyBorder="1"/>
    <xf numFmtId="164" fontId="2" fillId="3" borderId="1" xfId="0" applyNumberFormat="1" applyFont="1" applyFill="1" applyBorder="1"/>
    <xf numFmtId="164" fontId="3" fillId="3" borderId="1" xfId="0" applyNumberFormat="1" applyFont="1" applyFill="1" applyBorder="1"/>
    <xf numFmtId="164" fontId="1" fillId="3" borderId="1" xfId="0" applyNumberFormat="1" applyFont="1" applyFill="1" applyBorder="1"/>
    <xf numFmtId="164" fontId="0" fillId="3" borderId="1" xfId="0" applyNumberFormat="1" applyFill="1" applyBorder="1"/>
    <xf numFmtId="0" fontId="1" fillId="3" borderId="0" xfId="0" applyFont="1" applyFill="1"/>
    <xf numFmtId="164" fontId="4" fillId="3" borderId="0" xfId="0" applyNumberFormat="1" applyFont="1" applyFill="1"/>
    <xf numFmtId="164" fontId="5" fillId="3" borderId="0" xfId="0" applyNumberFormat="1" applyFont="1" applyFill="1"/>
    <xf numFmtId="10" fontId="6" fillId="3" borderId="0" xfId="0" applyNumberFormat="1" applyFont="1" applyFill="1"/>
    <xf numFmtId="14" fontId="0" fillId="0" borderId="0" xfId="0" applyNumberForma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L$3" lockText="1" noThreeD="1"/>
</file>

<file path=xl/ctrlProps/ctrlProp2.xml><?xml version="1.0" encoding="utf-8"?>
<formControlPr xmlns="http://schemas.microsoft.com/office/spreadsheetml/2009/9/main" objectType="CheckBox" fmlaLink="$L$4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ctrlProps/ctrlProp4.xml><?xml version="1.0" encoding="utf-8"?>
<formControlPr xmlns="http://schemas.microsoft.com/office/spreadsheetml/2009/9/main" objectType="CheckBox" fmlaLink="$L$6" lockText="1" noThreeD="1"/>
</file>

<file path=xl/ctrlProps/ctrlProp5.xml><?xml version="1.0" encoding="utf-8"?>
<formControlPr xmlns="http://schemas.microsoft.com/office/spreadsheetml/2009/9/main" objectType="CheckBox" fmlaLink="$N$3" lockText="1" noThreeD="1"/>
</file>

<file path=xl/ctrlProps/ctrlProp6.xml><?xml version="1.0" encoding="utf-8"?>
<formControlPr xmlns="http://schemas.microsoft.com/office/spreadsheetml/2009/9/main" objectType="CheckBox" fmlaLink="$N$4" lockText="1" noThreeD="1"/>
</file>

<file path=xl/ctrlProps/ctrlProp7.xml><?xml version="1.0" encoding="utf-8"?>
<formControlPr xmlns="http://schemas.microsoft.com/office/spreadsheetml/2009/9/main" objectType="CheckBox" fmlaLink="$N$5" lockText="1" noThreeD="1"/>
</file>

<file path=xl/ctrlProps/ctrlProp8.xml><?xml version="1.0" encoding="utf-8"?>
<formControlPr xmlns="http://schemas.microsoft.com/office/spreadsheetml/2009/9/main" objectType="CheckBox" fmlaLink="$N$6" lockText="1" noThreeD="1"/>
</file>

<file path=xl/ctrlProps/ctrlProp9.xml><?xml version="1.0" encoding="utf-8"?>
<formControlPr xmlns="http://schemas.microsoft.com/office/spreadsheetml/2009/9/main" objectType="CheckBox" fmlaLink="$L$3" lockText="1" noThreeD="1"/>
</file>

<file path=xl/ctrlProps/ctrlProp10.xml><?xml version="1.0" encoding="utf-8"?>
<formControlPr xmlns="http://schemas.microsoft.com/office/spreadsheetml/2009/9/main" objectType="CheckBox" fmlaLink="$L$4" lockText="1" noThreeD="1"/>
</file>

<file path=xl/ctrlProps/ctrlProp11.xml><?xml version="1.0" encoding="utf-8"?>
<formControlPr xmlns="http://schemas.microsoft.com/office/spreadsheetml/2009/9/main" objectType="CheckBox" fmlaLink="$L$5" lockText="1" noThreeD="1"/>
</file>

<file path=xl/ctrlProps/ctrlProp12.xml><?xml version="1.0" encoding="utf-8"?>
<formControlPr xmlns="http://schemas.microsoft.com/office/spreadsheetml/2009/9/main" objectType="CheckBox" fmlaLink="$L$6" lockText="1" noThreeD="1"/>
</file>

<file path=xl/ctrlProps/ctrlProp13.xml><?xml version="1.0" encoding="utf-8"?>
<formControlPr xmlns="http://schemas.microsoft.com/office/spreadsheetml/2009/9/main" objectType="CheckBox" fmlaLink="$N$3" lockText="1" noThreeD="1"/>
</file>

<file path=xl/ctrlProps/ctrlProp14.xml><?xml version="1.0" encoding="utf-8"?>
<formControlPr xmlns="http://schemas.microsoft.com/office/spreadsheetml/2009/9/main" objectType="CheckBox" fmlaLink="$N$4" lockText="1" noThreeD="1"/>
</file>

<file path=xl/ctrlProps/ctrlProp15.xml><?xml version="1.0" encoding="utf-8"?>
<formControlPr xmlns="http://schemas.microsoft.com/office/spreadsheetml/2009/9/main" objectType="CheckBox" fmlaLink="$N$5" lockText="1" noThreeD="1"/>
</file>

<file path=xl/ctrlProps/ctrlProp16.xml><?xml version="1.0" encoding="utf-8"?>
<formControlPr xmlns="http://schemas.microsoft.com/office/spreadsheetml/2009/9/main" objectType="CheckBox" fmlaLink="$N$6" lockText="1" noThreeD="1"/>
</file>

<file path=xl/ctrlProps/ctrlProp17.xml><?xml version="1.0" encoding="utf-8"?>
<formControlPr xmlns="http://schemas.microsoft.com/office/spreadsheetml/2009/9/main" objectType="CheckBox" fmlaLink="$L$3" lockText="1" noThreeD="1"/>
</file>

<file path=xl/ctrlProps/ctrlProp18.xml><?xml version="1.0" encoding="utf-8"?>
<formControlPr xmlns="http://schemas.microsoft.com/office/spreadsheetml/2009/9/main" objectType="CheckBox" fmlaLink="$L$4" lockText="1" noThreeD="1"/>
</file>

<file path=xl/ctrlProps/ctrlProp19.xml><?xml version="1.0" encoding="utf-8"?>
<formControlPr xmlns="http://schemas.microsoft.com/office/spreadsheetml/2009/9/main" objectType="CheckBox" fmlaLink="$L$5" lockText="1" noThreeD="1"/>
</file>

<file path=xl/ctrlProps/ctrlProp20.xml><?xml version="1.0" encoding="utf-8"?>
<formControlPr xmlns="http://schemas.microsoft.com/office/spreadsheetml/2009/9/main" objectType="CheckBox" fmlaLink="$L$6" lockText="1" noThreeD="1"/>
</file>

<file path=xl/ctrlProps/ctrlProp21.xml><?xml version="1.0" encoding="utf-8"?>
<formControlPr xmlns="http://schemas.microsoft.com/office/spreadsheetml/2009/9/main" objectType="CheckBox" fmlaLink="$N$3" lockText="1" noThreeD="1"/>
</file>

<file path=xl/ctrlProps/ctrlProp22.xml><?xml version="1.0" encoding="utf-8"?>
<formControlPr xmlns="http://schemas.microsoft.com/office/spreadsheetml/2009/9/main" objectType="CheckBox" fmlaLink="$N$4" lockText="1" noThreeD="1"/>
</file>

<file path=xl/ctrlProps/ctrlProp23.xml><?xml version="1.0" encoding="utf-8"?>
<formControlPr xmlns="http://schemas.microsoft.com/office/spreadsheetml/2009/9/main" objectType="CheckBox" fmlaLink="$N$5" lockText="1" noThreeD="1"/>
</file>

<file path=xl/ctrlProps/ctrlProp24.xml><?xml version="1.0" encoding="utf-8"?>
<formControlPr xmlns="http://schemas.microsoft.com/office/spreadsheetml/2009/9/main" objectType="CheckBox" fmlaLink="$N$6" lockText="1" noThreeD="1"/>
</file>

<file path=xl/ctrlProps/ctrlProp25.xml><?xml version="1.0" encoding="utf-8"?>
<formControlPr xmlns="http://schemas.microsoft.com/office/spreadsheetml/2009/9/main" objectType="CheckBox" fmlaLink="$L$3" lockText="1" noThreeD="1"/>
</file>

<file path=xl/ctrlProps/ctrlProp26.xml><?xml version="1.0" encoding="utf-8"?>
<formControlPr xmlns="http://schemas.microsoft.com/office/spreadsheetml/2009/9/main" objectType="CheckBox" fmlaLink="$L$4" lockText="1" noThreeD="1"/>
</file>

<file path=xl/ctrlProps/ctrlProp27.xml><?xml version="1.0" encoding="utf-8"?>
<formControlPr xmlns="http://schemas.microsoft.com/office/spreadsheetml/2009/9/main" objectType="CheckBox" fmlaLink="$L$5" lockText="1" noThreeD="1"/>
</file>

<file path=xl/ctrlProps/ctrlProp28.xml><?xml version="1.0" encoding="utf-8"?>
<formControlPr xmlns="http://schemas.microsoft.com/office/spreadsheetml/2009/9/main" objectType="CheckBox" fmlaLink="$L$6" lockText="1" noThreeD="1"/>
</file>

<file path=xl/ctrlProps/ctrlProp29.xml><?xml version="1.0" encoding="utf-8"?>
<formControlPr xmlns="http://schemas.microsoft.com/office/spreadsheetml/2009/9/main" objectType="CheckBox" fmlaLink="$N$3" lockText="1" noThreeD="1"/>
</file>

<file path=xl/ctrlProps/ctrlProp30.xml><?xml version="1.0" encoding="utf-8"?>
<formControlPr xmlns="http://schemas.microsoft.com/office/spreadsheetml/2009/9/main" objectType="CheckBox" fmlaLink="$N$4" lockText="1" noThreeD="1"/>
</file>

<file path=xl/ctrlProps/ctrlProp31.xml><?xml version="1.0" encoding="utf-8"?>
<formControlPr xmlns="http://schemas.microsoft.com/office/spreadsheetml/2009/9/main" objectType="CheckBox" fmlaLink="$N$5" lockText="1" noThreeD="1"/>
</file>

<file path=xl/ctrlProps/ctrlProp32.xml><?xml version="1.0" encoding="utf-8"?>
<formControlPr xmlns="http://schemas.microsoft.com/office/spreadsheetml/2009/9/main" objectType="CheckBox" fmlaLink="$N$6" lockText="1" noThreeD="1"/>
</file>

<file path=xl/ctrlProps/ctrlProp33.xml><?xml version="1.0" encoding="utf-8"?>
<formControlPr xmlns="http://schemas.microsoft.com/office/spreadsheetml/2009/9/main" objectType="CheckBox" fmlaLink="$L$3" lockText="1" noThreeD="1"/>
</file>

<file path=xl/ctrlProps/ctrlProp34.xml><?xml version="1.0" encoding="utf-8"?>
<formControlPr xmlns="http://schemas.microsoft.com/office/spreadsheetml/2009/9/main" objectType="CheckBox" fmlaLink="$L$4" lockText="1" noThreeD="1"/>
</file>

<file path=xl/ctrlProps/ctrlProp35.xml><?xml version="1.0" encoding="utf-8"?>
<formControlPr xmlns="http://schemas.microsoft.com/office/spreadsheetml/2009/9/main" objectType="CheckBox" fmlaLink="$L$5" lockText="1" noThreeD="1"/>
</file>

<file path=xl/ctrlProps/ctrlProp36.xml><?xml version="1.0" encoding="utf-8"?>
<formControlPr xmlns="http://schemas.microsoft.com/office/spreadsheetml/2009/9/main" objectType="CheckBox" fmlaLink="$L$6" lockText="1" noThreeD="1"/>
</file>

<file path=xl/ctrlProps/ctrlProp37.xml><?xml version="1.0" encoding="utf-8"?>
<formControlPr xmlns="http://schemas.microsoft.com/office/spreadsheetml/2009/9/main" objectType="CheckBox" fmlaLink="$N$3" lockText="1" noThreeD="1"/>
</file>

<file path=xl/ctrlProps/ctrlProp38.xml><?xml version="1.0" encoding="utf-8"?>
<formControlPr xmlns="http://schemas.microsoft.com/office/spreadsheetml/2009/9/main" objectType="CheckBox" fmlaLink="$N$4" lockText="1" noThreeD="1"/>
</file>

<file path=xl/ctrlProps/ctrlProp39.xml><?xml version="1.0" encoding="utf-8"?>
<formControlPr xmlns="http://schemas.microsoft.com/office/spreadsheetml/2009/9/main" objectType="CheckBox" fmlaLink="$N$5" lockText="1" noThreeD="1"/>
</file>

<file path=xl/ctrlProps/ctrlProp40.xml><?xml version="1.0" encoding="utf-8"?>
<formControlPr xmlns="http://schemas.microsoft.com/office/spreadsheetml/2009/9/main" objectType="CheckBox" fmlaLink="$N$6" lockText="1" noThreeD="1"/>
</file>

<file path=xl/ctrlProps/ctrlProp41.xml><?xml version="1.0" encoding="utf-8"?>
<formControlPr xmlns="http://schemas.microsoft.com/office/spreadsheetml/2009/9/main" objectType="CheckBox" fmlaLink="$L$3" lockText="1" noThreeD="1"/>
</file>

<file path=xl/ctrlProps/ctrlProp42.xml><?xml version="1.0" encoding="utf-8"?>
<formControlPr xmlns="http://schemas.microsoft.com/office/spreadsheetml/2009/9/main" objectType="CheckBox" fmlaLink="$L$4" lockText="1" noThreeD="1"/>
</file>

<file path=xl/ctrlProps/ctrlProp43.xml><?xml version="1.0" encoding="utf-8"?>
<formControlPr xmlns="http://schemas.microsoft.com/office/spreadsheetml/2009/9/main" objectType="CheckBox" fmlaLink="$L$5" lockText="1" noThreeD="1"/>
</file>

<file path=xl/ctrlProps/ctrlProp44.xml><?xml version="1.0" encoding="utf-8"?>
<formControlPr xmlns="http://schemas.microsoft.com/office/spreadsheetml/2009/9/main" objectType="CheckBox" fmlaLink="$L$6" lockText="1" noThreeD="1"/>
</file>

<file path=xl/ctrlProps/ctrlProp45.xml><?xml version="1.0" encoding="utf-8"?>
<formControlPr xmlns="http://schemas.microsoft.com/office/spreadsheetml/2009/9/main" objectType="CheckBox" fmlaLink="$N$3" lockText="1" noThreeD="1"/>
</file>

<file path=xl/ctrlProps/ctrlProp46.xml><?xml version="1.0" encoding="utf-8"?>
<formControlPr xmlns="http://schemas.microsoft.com/office/spreadsheetml/2009/9/main" objectType="CheckBox" fmlaLink="$N$4" lockText="1" noThreeD="1"/>
</file>

<file path=xl/ctrlProps/ctrlProp47.xml><?xml version="1.0" encoding="utf-8"?>
<formControlPr xmlns="http://schemas.microsoft.com/office/spreadsheetml/2009/9/main" objectType="CheckBox" fmlaLink="$N$5" lockText="1" noThreeD="1"/>
</file>

<file path=xl/ctrlProps/ctrlProp48.xml><?xml version="1.0" encoding="utf-8"?>
<formControlPr xmlns="http://schemas.microsoft.com/office/spreadsheetml/2009/9/main" objectType="CheckBox" fmlaLink="$N$6" lockText="1" noThreeD="1"/>
</file>

<file path=xl/ctrlProps/ctrlProp49.xml><?xml version="1.0" encoding="utf-8"?>
<formControlPr xmlns="http://schemas.microsoft.com/office/spreadsheetml/2009/9/main" objectType="CheckBox" fmlaLink="$L$3" lockText="1" noThreeD="1"/>
</file>

<file path=xl/ctrlProps/ctrlProp50.xml><?xml version="1.0" encoding="utf-8"?>
<formControlPr xmlns="http://schemas.microsoft.com/office/spreadsheetml/2009/9/main" objectType="CheckBox" fmlaLink="$L$4" lockText="1" noThreeD="1"/>
</file>

<file path=xl/ctrlProps/ctrlProp51.xml><?xml version="1.0" encoding="utf-8"?>
<formControlPr xmlns="http://schemas.microsoft.com/office/spreadsheetml/2009/9/main" objectType="CheckBox" fmlaLink="$L$5" lockText="1" noThreeD="1"/>
</file>

<file path=xl/ctrlProps/ctrlProp52.xml><?xml version="1.0" encoding="utf-8"?>
<formControlPr xmlns="http://schemas.microsoft.com/office/spreadsheetml/2009/9/main" objectType="CheckBox" fmlaLink="$L$6" lockText="1" noThreeD="1"/>
</file>

<file path=xl/ctrlProps/ctrlProp53.xml><?xml version="1.0" encoding="utf-8"?>
<formControlPr xmlns="http://schemas.microsoft.com/office/spreadsheetml/2009/9/main" objectType="CheckBox" fmlaLink="$N$3" lockText="1" noThreeD="1"/>
</file>

<file path=xl/ctrlProps/ctrlProp54.xml><?xml version="1.0" encoding="utf-8"?>
<formControlPr xmlns="http://schemas.microsoft.com/office/spreadsheetml/2009/9/main" objectType="CheckBox" fmlaLink="$N$4" lockText="1" noThreeD="1"/>
</file>

<file path=xl/ctrlProps/ctrlProp55.xml><?xml version="1.0" encoding="utf-8"?>
<formControlPr xmlns="http://schemas.microsoft.com/office/spreadsheetml/2009/9/main" objectType="CheckBox" fmlaLink="$N$5" lockText="1" noThreeD="1"/>
</file>

<file path=xl/ctrlProps/ctrlProp56.xml><?xml version="1.0" encoding="utf-8"?>
<formControlPr xmlns="http://schemas.microsoft.com/office/spreadsheetml/2009/9/main" objectType="CheckBox" fmlaLink="$N$6" lockText="1" noThreeD="1"/>
</file>

<file path=xl/ctrlProps/ctrlProp57.xml><?xml version="1.0" encoding="utf-8"?>
<formControlPr xmlns="http://schemas.microsoft.com/office/spreadsheetml/2009/9/main" objectType="CheckBox" fmlaLink="$L$3" lockText="1" noThreeD="1"/>
</file>

<file path=xl/ctrlProps/ctrlProp58.xml><?xml version="1.0" encoding="utf-8"?>
<formControlPr xmlns="http://schemas.microsoft.com/office/spreadsheetml/2009/9/main" objectType="CheckBox" fmlaLink="$L$4" lockText="1" noThreeD="1"/>
</file>

<file path=xl/ctrlProps/ctrlProp59.xml><?xml version="1.0" encoding="utf-8"?>
<formControlPr xmlns="http://schemas.microsoft.com/office/spreadsheetml/2009/9/main" objectType="CheckBox" fmlaLink="$L$5" lockText="1" noThreeD="1"/>
</file>

<file path=xl/ctrlProps/ctrlProp60.xml><?xml version="1.0" encoding="utf-8"?>
<formControlPr xmlns="http://schemas.microsoft.com/office/spreadsheetml/2009/9/main" objectType="CheckBox" fmlaLink="$L$6" lockText="1" noThreeD="1"/>
</file>

<file path=xl/ctrlProps/ctrlProp61.xml><?xml version="1.0" encoding="utf-8"?>
<formControlPr xmlns="http://schemas.microsoft.com/office/spreadsheetml/2009/9/main" objectType="CheckBox" fmlaLink="$N$3" lockText="1" noThreeD="1"/>
</file>

<file path=xl/ctrlProps/ctrlProp62.xml><?xml version="1.0" encoding="utf-8"?>
<formControlPr xmlns="http://schemas.microsoft.com/office/spreadsheetml/2009/9/main" objectType="CheckBox" fmlaLink="$N$4" lockText="1" noThreeD="1"/>
</file>

<file path=xl/ctrlProps/ctrlProp63.xml><?xml version="1.0" encoding="utf-8"?>
<formControlPr xmlns="http://schemas.microsoft.com/office/spreadsheetml/2009/9/main" objectType="CheckBox" fmlaLink="$N$5" lockText="1" noThreeD="1"/>
</file>

<file path=xl/ctrlProps/ctrlProp64.xml><?xml version="1.0" encoding="utf-8"?>
<formControlPr xmlns="http://schemas.microsoft.com/office/spreadsheetml/2009/9/main" objectType="CheckBox" fmlaLink="$N$6" lockText="1" noThreeD="1"/>
</file>

<file path=xl/ctrlProps/ctrlProp65.xml><?xml version="1.0" encoding="utf-8"?>
<formControlPr xmlns="http://schemas.microsoft.com/office/spreadsheetml/2009/9/main" objectType="CheckBox" fmlaLink="$L$3" lockText="1" noThreeD="1"/>
</file>

<file path=xl/ctrlProps/ctrlProp66.xml><?xml version="1.0" encoding="utf-8"?>
<formControlPr xmlns="http://schemas.microsoft.com/office/spreadsheetml/2009/9/main" objectType="CheckBox" fmlaLink="$L$4" lockText="1" noThreeD="1"/>
</file>

<file path=xl/ctrlProps/ctrlProp67.xml><?xml version="1.0" encoding="utf-8"?>
<formControlPr xmlns="http://schemas.microsoft.com/office/spreadsheetml/2009/9/main" objectType="CheckBox" fmlaLink="$L$5" lockText="1" noThreeD="1"/>
</file>

<file path=xl/ctrlProps/ctrlProp68.xml><?xml version="1.0" encoding="utf-8"?>
<formControlPr xmlns="http://schemas.microsoft.com/office/spreadsheetml/2009/9/main" objectType="CheckBox" fmlaLink="$L$6" lockText="1" noThreeD="1"/>
</file>

<file path=xl/ctrlProps/ctrlProp69.xml><?xml version="1.0" encoding="utf-8"?>
<formControlPr xmlns="http://schemas.microsoft.com/office/spreadsheetml/2009/9/main" objectType="CheckBox" fmlaLink="$N$3" lockText="1" noThreeD="1"/>
</file>

<file path=xl/ctrlProps/ctrlProp70.xml><?xml version="1.0" encoding="utf-8"?>
<formControlPr xmlns="http://schemas.microsoft.com/office/spreadsheetml/2009/9/main" objectType="CheckBox" fmlaLink="$N$4" lockText="1" noThreeD="1"/>
</file>

<file path=xl/ctrlProps/ctrlProp71.xml><?xml version="1.0" encoding="utf-8"?>
<formControlPr xmlns="http://schemas.microsoft.com/office/spreadsheetml/2009/9/main" objectType="CheckBox" fmlaLink="$N$5" lockText="1" noThreeD="1"/>
</file>

<file path=xl/ctrlProps/ctrlProp72.xml><?xml version="1.0" encoding="utf-8"?>
<formControlPr xmlns="http://schemas.microsoft.com/office/spreadsheetml/2009/9/main" objectType="CheckBox" fmlaLink="$N$6" lockText="1" noThreeD="1"/>
</file>

<file path=xl/ctrlProps/ctrlProp73.xml><?xml version="1.0" encoding="utf-8"?>
<formControlPr xmlns="http://schemas.microsoft.com/office/spreadsheetml/2009/9/main" objectType="CheckBox" fmlaLink="$L$3" lockText="1" noThreeD="1"/>
</file>

<file path=xl/ctrlProps/ctrlProp74.xml><?xml version="1.0" encoding="utf-8"?>
<formControlPr xmlns="http://schemas.microsoft.com/office/spreadsheetml/2009/9/main" objectType="CheckBox" fmlaLink="$L$4" lockText="1" noThreeD="1"/>
</file>

<file path=xl/ctrlProps/ctrlProp75.xml><?xml version="1.0" encoding="utf-8"?>
<formControlPr xmlns="http://schemas.microsoft.com/office/spreadsheetml/2009/9/main" objectType="CheckBox" fmlaLink="$L$5" lockText="1" noThreeD="1"/>
</file>

<file path=xl/ctrlProps/ctrlProp76.xml><?xml version="1.0" encoding="utf-8"?>
<formControlPr xmlns="http://schemas.microsoft.com/office/spreadsheetml/2009/9/main" objectType="CheckBox" fmlaLink="$L$6" lockText="1" noThreeD="1"/>
</file>

<file path=xl/ctrlProps/ctrlProp77.xml><?xml version="1.0" encoding="utf-8"?>
<formControlPr xmlns="http://schemas.microsoft.com/office/spreadsheetml/2009/9/main" objectType="CheckBox" fmlaLink="$N$3" lockText="1" noThreeD="1"/>
</file>

<file path=xl/ctrlProps/ctrlProp78.xml><?xml version="1.0" encoding="utf-8"?>
<formControlPr xmlns="http://schemas.microsoft.com/office/spreadsheetml/2009/9/main" objectType="CheckBox" fmlaLink="$N$4" lockText="1" noThreeD="1"/>
</file>

<file path=xl/ctrlProps/ctrlProp79.xml><?xml version="1.0" encoding="utf-8"?>
<formControlPr xmlns="http://schemas.microsoft.com/office/spreadsheetml/2009/9/main" objectType="CheckBox" fmlaLink="$N$5" lockText="1" noThreeD="1"/>
</file>

<file path=xl/ctrlProps/ctrlProp80.xml><?xml version="1.0" encoding="utf-8"?>
<formControlPr xmlns="http://schemas.microsoft.com/office/spreadsheetml/2009/9/main" objectType="CheckBox" fmlaLink="$N$6" lockText="1" noThreeD="1"/>
</file>

<file path=xl/ctrlProps/ctrlProp81.xml><?xml version="1.0" encoding="utf-8"?>
<formControlPr xmlns="http://schemas.microsoft.com/office/spreadsheetml/2009/9/main" objectType="CheckBox" fmlaLink="$L$3" lockText="1" noThreeD="1"/>
</file>

<file path=xl/ctrlProps/ctrlProp82.xml><?xml version="1.0" encoding="utf-8"?>
<formControlPr xmlns="http://schemas.microsoft.com/office/spreadsheetml/2009/9/main" objectType="CheckBox" fmlaLink="$L$4" lockText="1" noThreeD="1"/>
</file>

<file path=xl/ctrlProps/ctrlProp83.xml><?xml version="1.0" encoding="utf-8"?>
<formControlPr xmlns="http://schemas.microsoft.com/office/spreadsheetml/2009/9/main" objectType="CheckBox" fmlaLink="$L$5" lockText="1" noThreeD="1"/>
</file>

<file path=xl/ctrlProps/ctrlProp84.xml><?xml version="1.0" encoding="utf-8"?>
<formControlPr xmlns="http://schemas.microsoft.com/office/spreadsheetml/2009/9/main" objectType="CheckBox" fmlaLink="$L$6" lockText="1" noThreeD="1"/>
</file>

<file path=xl/ctrlProps/ctrlProp85.xml><?xml version="1.0" encoding="utf-8"?>
<formControlPr xmlns="http://schemas.microsoft.com/office/spreadsheetml/2009/9/main" objectType="CheckBox" fmlaLink="$N$3" lockText="1" noThreeD="1"/>
</file>

<file path=xl/ctrlProps/ctrlProp86.xml><?xml version="1.0" encoding="utf-8"?>
<formControlPr xmlns="http://schemas.microsoft.com/office/spreadsheetml/2009/9/main" objectType="CheckBox" fmlaLink="$N$4" lockText="1" noThreeD="1"/>
</file>

<file path=xl/ctrlProps/ctrlProp87.xml><?xml version="1.0" encoding="utf-8"?>
<formControlPr xmlns="http://schemas.microsoft.com/office/spreadsheetml/2009/9/main" objectType="CheckBox" fmlaLink="$N$5" lockText="1" noThreeD="1"/>
</file>

<file path=xl/ctrlProps/ctrlProp88.xml><?xml version="1.0" encoding="utf-8"?>
<formControlPr xmlns="http://schemas.microsoft.com/office/spreadsheetml/2009/9/main" objectType="CheckBox" fmlaLink="$N$6" lockText="1" noThreeD="1"/>
</file>

<file path=xl/ctrlProps/ctrlProp89.xml><?xml version="1.0" encoding="utf-8"?>
<formControlPr xmlns="http://schemas.microsoft.com/office/spreadsheetml/2009/9/main" objectType="CheckBox" fmlaLink="$L$3" lockText="1" noThreeD="1"/>
</file>

<file path=xl/ctrlProps/ctrlProp90.xml><?xml version="1.0" encoding="utf-8"?>
<formControlPr xmlns="http://schemas.microsoft.com/office/spreadsheetml/2009/9/main" objectType="CheckBox" fmlaLink="$L$4" lockText="1" noThreeD="1"/>
</file>

<file path=xl/ctrlProps/ctrlProp91.xml><?xml version="1.0" encoding="utf-8"?>
<formControlPr xmlns="http://schemas.microsoft.com/office/spreadsheetml/2009/9/main" objectType="CheckBox" fmlaLink="$L$5" lockText="1" noThreeD="1"/>
</file>

<file path=xl/ctrlProps/ctrlProp92.xml><?xml version="1.0" encoding="utf-8"?>
<formControlPr xmlns="http://schemas.microsoft.com/office/spreadsheetml/2009/9/main" objectType="CheckBox" fmlaLink="$L$6" lockText="1" noThreeD="1"/>
</file>

<file path=xl/ctrlProps/ctrlProp93.xml><?xml version="1.0" encoding="utf-8"?>
<formControlPr xmlns="http://schemas.microsoft.com/office/spreadsheetml/2009/9/main" objectType="CheckBox" fmlaLink="$N$3" lockText="1" noThreeD="1"/>
</file>

<file path=xl/ctrlProps/ctrlProp94.xml><?xml version="1.0" encoding="utf-8"?>
<formControlPr xmlns="http://schemas.microsoft.com/office/spreadsheetml/2009/9/main" objectType="CheckBox" fmlaLink="$N$4" lockText="1" noThreeD="1"/>
</file>

<file path=xl/ctrlProps/ctrlProp95.xml><?xml version="1.0" encoding="utf-8"?>
<formControlPr xmlns="http://schemas.microsoft.com/office/spreadsheetml/2009/9/main" objectType="CheckBox" fmlaLink="$N$5" lockText="1" noThreeD="1"/>
</file>

<file path=xl/ctrlProps/ctrlProp96.xml><?xml version="1.0" encoding="utf-8"?>
<formControlPr xmlns="http://schemas.microsoft.com/office/spreadsheetml/2009/9/main" objectType="CheckBox" fmlaLink="$N$6" lockText="1" noThreeD="1"/>
</file>

<file path=xl/ctrlProps/ctrlProp97.xml><?xml version="1.0" encoding="utf-8"?>
<formControlPr xmlns="http://schemas.microsoft.com/office/spreadsheetml/2009/9/main" objectType="CheckBox" fmlaLink="$L$3" lockText="1" noThreeD="1"/>
</file>

<file path=xl/ctrlProps/ctrlProp98.xml><?xml version="1.0" encoding="utf-8"?>
<formControlPr xmlns="http://schemas.microsoft.com/office/spreadsheetml/2009/9/main" objectType="CheckBox" fmlaLink="$L$4" lockText="1" noThreeD="1"/>
</file>

<file path=xl/ctrlProps/ctrlProp99.xml><?xml version="1.0" encoding="utf-8"?>
<formControlPr xmlns="http://schemas.microsoft.com/office/spreadsheetml/2009/9/main" objectType="CheckBox" fmlaLink="$L$5" lockText="1" noThreeD="1"/>
</file>

<file path=xl/ctrlProps/ctrlProp100.xml><?xml version="1.0" encoding="utf-8"?>
<formControlPr xmlns="http://schemas.microsoft.com/office/spreadsheetml/2009/9/main" objectType="CheckBox" fmlaLink="$L$6" lockText="1" noThreeD="1"/>
</file>

<file path=xl/ctrlProps/ctrlProp101.xml><?xml version="1.0" encoding="utf-8"?>
<formControlPr xmlns="http://schemas.microsoft.com/office/spreadsheetml/2009/9/main" objectType="CheckBox" fmlaLink="$N$3" lockText="1" noThreeD="1"/>
</file>

<file path=xl/ctrlProps/ctrlProp102.xml><?xml version="1.0" encoding="utf-8"?>
<formControlPr xmlns="http://schemas.microsoft.com/office/spreadsheetml/2009/9/main" objectType="CheckBox" fmlaLink="$N$4" lockText="1" noThreeD="1"/>
</file>

<file path=xl/ctrlProps/ctrlProp103.xml><?xml version="1.0" encoding="utf-8"?>
<formControlPr xmlns="http://schemas.microsoft.com/office/spreadsheetml/2009/9/main" objectType="CheckBox" fmlaLink="$N$5" lockText="1" noThreeD="1"/>
</file>

<file path=xl/ctrlProps/ctrlProp104.xml><?xml version="1.0" encoding="utf-8"?>
<formControlPr xmlns="http://schemas.microsoft.com/office/spreadsheetml/2009/9/main" objectType="CheckBox" fmlaLink="$N$6" lockText="1" noThreeD="1"/>
</file>

<file path=xl/ctrlProps/ctrlProp105.xml><?xml version="1.0" encoding="utf-8"?>
<formControlPr xmlns="http://schemas.microsoft.com/office/spreadsheetml/2009/9/main" objectType="CheckBox" fmlaLink="$L$3" lockText="1" noThreeD="1"/>
</file>

<file path=xl/ctrlProps/ctrlProp106.xml><?xml version="1.0" encoding="utf-8"?>
<formControlPr xmlns="http://schemas.microsoft.com/office/spreadsheetml/2009/9/main" objectType="CheckBox" fmlaLink="$L$4" lockText="1" noThreeD="1"/>
</file>

<file path=xl/ctrlProps/ctrlProp107.xml><?xml version="1.0" encoding="utf-8"?>
<formControlPr xmlns="http://schemas.microsoft.com/office/spreadsheetml/2009/9/main" objectType="CheckBox" fmlaLink="$L$5" lockText="1" noThreeD="1"/>
</file>

<file path=xl/ctrlProps/ctrlProp108.xml><?xml version="1.0" encoding="utf-8"?>
<formControlPr xmlns="http://schemas.microsoft.com/office/spreadsheetml/2009/9/main" objectType="CheckBox" fmlaLink="$L$6" lockText="1" noThreeD="1"/>
</file>

<file path=xl/ctrlProps/ctrlProp109.xml><?xml version="1.0" encoding="utf-8"?>
<formControlPr xmlns="http://schemas.microsoft.com/office/spreadsheetml/2009/9/main" objectType="CheckBox" fmlaLink="$N$3" lockText="1" noThreeD="1"/>
</file>

<file path=xl/ctrlProps/ctrlProp110.xml><?xml version="1.0" encoding="utf-8"?>
<formControlPr xmlns="http://schemas.microsoft.com/office/spreadsheetml/2009/9/main" objectType="CheckBox" fmlaLink="$N$4" lockText="1" noThreeD="1"/>
</file>

<file path=xl/ctrlProps/ctrlProp111.xml><?xml version="1.0" encoding="utf-8"?>
<formControlPr xmlns="http://schemas.microsoft.com/office/spreadsheetml/2009/9/main" objectType="CheckBox" fmlaLink="$N$5" lockText="1" noThreeD="1"/>
</file>

<file path=xl/ctrlProps/ctrlProp112.xml><?xml version="1.0" encoding="utf-8"?>
<formControlPr xmlns="http://schemas.microsoft.com/office/spreadsheetml/2009/9/main" objectType="CheckBox" fmlaLink="$N$6" lockText="1" noThreeD="1"/>
</file>

<file path=xl/ctrlProps/ctrlProp113.xml><?xml version="1.0" encoding="utf-8"?>
<formControlPr xmlns="http://schemas.microsoft.com/office/spreadsheetml/2009/9/main" objectType="CheckBox" fmlaLink="$L$3" lockText="1" noThreeD="1"/>
</file>

<file path=xl/ctrlProps/ctrlProp114.xml><?xml version="1.0" encoding="utf-8"?>
<formControlPr xmlns="http://schemas.microsoft.com/office/spreadsheetml/2009/9/main" objectType="CheckBox" fmlaLink="$L$4" lockText="1" noThreeD="1"/>
</file>

<file path=xl/ctrlProps/ctrlProp115.xml><?xml version="1.0" encoding="utf-8"?>
<formControlPr xmlns="http://schemas.microsoft.com/office/spreadsheetml/2009/9/main" objectType="CheckBox" fmlaLink="$L$5" lockText="1" noThreeD="1"/>
</file>

<file path=xl/ctrlProps/ctrlProp116.xml><?xml version="1.0" encoding="utf-8"?>
<formControlPr xmlns="http://schemas.microsoft.com/office/spreadsheetml/2009/9/main" objectType="CheckBox" fmlaLink="$L$6" lockText="1" noThreeD="1"/>
</file>

<file path=xl/ctrlProps/ctrlProp117.xml><?xml version="1.0" encoding="utf-8"?>
<formControlPr xmlns="http://schemas.microsoft.com/office/spreadsheetml/2009/9/main" objectType="CheckBox" fmlaLink="$N$3" lockText="1" noThreeD="1"/>
</file>

<file path=xl/ctrlProps/ctrlProp118.xml><?xml version="1.0" encoding="utf-8"?>
<formControlPr xmlns="http://schemas.microsoft.com/office/spreadsheetml/2009/9/main" objectType="CheckBox" fmlaLink="$N$4" lockText="1" noThreeD="1"/>
</file>

<file path=xl/ctrlProps/ctrlProp119.xml><?xml version="1.0" encoding="utf-8"?>
<formControlPr xmlns="http://schemas.microsoft.com/office/spreadsheetml/2009/9/main" objectType="CheckBox" fmlaLink="$N$5" lockText="1" noThreeD="1"/>
</file>

<file path=xl/ctrlProps/ctrlProp120.xml><?xml version="1.0" encoding="utf-8"?>
<formControlPr xmlns="http://schemas.microsoft.com/office/spreadsheetml/2009/9/main" objectType="CheckBox" fmlaLink="$N$6" lockText="1" noThreeD="1"/>
</file>

<file path=xl/ctrlProps/ctrlProp121.xml><?xml version="1.0" encoding="utf-8"?>
<formControlPr xmlns="http://schemas.microsoft.com/office/spreadsheetml/2009/9/main" objectType="CheckBox" fmlaLink="$L$3" lockText="1" noThreeD="1"/>
</file>

<file path=xl/ctrlProps/ctrlProp122.xml><?xml version="1.0" encoding="utf-8"?>
<formControlPr xmlns="http://schemas.microsoft.com/office/spreadsheetml/2009/9/main" objectType="CheckBox" fmlaLink="$L$4" lockText="1" noThreeD="1"/>
</file>

<file path=xl/ctrlProps/ctrlProp123.xml><?xml version="1.0" encoding="utf-8"?>
<formControlPr xmlns="http://schemas.microsoft.com/office/spreadsheetml/2009/9/main" objectType="CheckBox" fmlaLink="$L$5" lockText="1" noThreeD="1"/>
</file>

<file path=xl/ctrlProps/ctrlProp124.xml><?xml version="1.0" encoding="utf-8"?>
<formControlPr xmlns="http://schemas.microsoft.com/office/spreadsheetml/2009/9/main" objectType="CheckBox" fmlaLink="$L$6" lockText="1" noThreeD="1"/>
</file>

<file path=xl/ctrlProps/ctrlProp125.xml><?xml version="1.0" encoding="utf-8"?>
<formControlPr xmlns="http://schemas.microsoft.com/office/spreadsheetml/2009/9/main" objectType="CheckBox" fmlaLink="$N$3" lockText="1" noThreeD="1"/>
</file>

<file path=xl/ctrlProps/ctrlProp126.xml><?xml version="1.0" encoding="utf-8"?>
<formControlPr xmlns="http://schemas.microsoft.com/office/spreadsheetml/2009/9/main" objectType="CheckBox" fmlaLink="$N$4" lockText="1" noThreeD="1"/>
</file>

<file path=xl/ctrlProps/ctrlProp127.xml><?xml version="1.0" encoding="utf-8"?>
<formControlPr xmlns="http://schemas.microsoft.com/office/spreadsheetml/2009/9/main" objectType="CheckBox" fmlaLink="$N$5" lockText="1" noThreeD="1"/>
</file>

<file path=xl/ctrlProps/ctrlProp128.xml><?xml version="1.0" encoding="utf-8"?>
<formControlPr xmlns="http://schemas.microsoft.com/office/spreadsheetml/2009/9/main" objectType="CheckBox" fmlaLink="$N$6" lockText="1" noThreeD="1"/>
</file>

<file path=xl/ctrlProps/ctrlProp129.xml><?xml version="1.0" encoding="utf-8"?>
<formControlPr xmlns="http://schemas.microsoft.com/office/spreadsheetml/2009/9/main" objectType="CheckBox" fmlaLink="$L$3" lockText="1" noThreeD="1"/>
</file>

<file path=xl/ctrlProps/ctrlProp130.xml><?xml version="1.0" encoding="utf-8"?>
<formControlPr xmlns="http://schemas.microsoft.com/office/spreadsheetml/2009/9/main" objectType="CheckBox" fmlaLink="$L$4" lockText="1" noThreeD="1"/>
</file>

<file path=xl/ctrlProps/ctrlProp131.xml><?xml version="1.0" encoding="utf-8"?>
<formControlPr xmlns="http://schemas.microsoft.com/office/spreadsheetml/2009/9/main" objectType="CheckBox" fmlaLink="$L$5" lockText="1" noThreeD="1"/>
</file>

<file path=xl/ctrlProps/ctrlProp132.xml><?xml version="1.0" encoding="utf-8"?>
<formControlPr xmlns="http://schemas.microsoft.com/office/spreadsheetml/2009/9/main" objectType="CheckBox" fmlaLink="$L$6" lockText="1" noThreeD="1"/>
</file>

<file path=xl/ctrlProps/ctrlProp133.xml><?xml version="1.0" encoding="utf-8"?>
<formControlPr xmlns="http://schemas.microsoft.com/office/spreadsheetml/2009/9/main" objectType="CheckBox" fmlaLink="$N$3" lockText="1" noThreeD="1"/>
</file>

<file path=xl/ctrlProps/ctrlProp134.xml><?xml version="1.0" encoding="utf-8"?>
<formControlPr xmlns="http://schemas.microsoft.com/office/spreadsheetml/2009/9/main" objectType="CheckBox" fmlaLink="$N$4" lockText="1" noThreeD="1"/>
</file>

<file path=xl/ctrlProps/ctrlProp135.xml><?xml version="1.0" encoding="utf-8"?>
<formControlPr xmlns="http://schemas.microsoft.com/office/spreadsheetml/2009/9/main" objectType="CheckBox" fmlaLink="$N$5" lockText="1" noThreeD="1"/>
</file>

<file path=xl/ctrlProps/ctrlProp136.xml><?xml version="1.0" encoding="utf-8"?>
<formControlPr xmlns="http://schemas.microsoft.com/office/spreadsheetml/2009/9/main" objectType="CheckBox" fmlaLink="$N$6" lockText="1" noThreeD="1"/>
</file>

<file path=xl/ctrlProps/ctrlProp137.xml><?xml version="1.0" encoding="utf-8"?>
<formControlPr xmlns="http://schemas.microsoft.com/office/spreadsheetml/2009/9/main" objectType="CheckBox" fmlaLink="$L$3" lockText="1" noThreeD="1"/>
</file>

<file path=xl/ctrlProps/ctrlProp138.xml><?xml version="1.0" encoding="utf-8"?>
<formControlPr xmlns="http://schemas.microsoft.com/office/spreadsheetml/2009/9/main" objectType="CheckBox" fmlaLink="$L$4" lockText="1" noThreeD="1"/>
</file>

<file path=xl/ctrlProps/ctrlProp139.xml><?xml version="1.0" encoding="utf-8"?>
<formControlPr xmlns="http://schemas.microsoft.com/office/spreadsheetml/2009/9/main" objectType="CheckBox" fmlaLink="$L$5" lockText="1" noThreeD="1"/>
</file>

<file path=xl/ctrlProps/ctrlProp140.xml><?xml version="1.0" encoding="utf-8"?>
<formControlPr xmlns="http://schemas.microsoft.com/office/spreadsheetml/2009/9/main" objectType="CheckBox" fmlaLink="$L$6" lockText="1" noThreeD="1"/>
</file>

<file path=xl/ctrlProps/ctrlProp141.xml><?xml version="1.0" encoding="utf-8"?>
<formControlPr xmlns="http://schemas.microsoft.com/office/spreadsheetml/2009/9/main" objectType="CheckBox" fmlaLink="$N$3" lockText="1" noThreeD="1"/>
</file>

<file path=xl/ctrlProps/ctrlProp142.xml><?xml version="1.0" encoding="utf-8"?>
<formControlPr xmlns="http://schemas.microsoft.com/office/spreadsheetml/2009/9/main" objectType="CheckBox" fmlaLink="$N$4" lockText="1" noThreeD="1"/>
</file>

<file path=xl/ctrlProps/ctrlProp143.xml><?xml version="1.0" encoding="utf-8"?>
<formControlPr xmlns="http://schemas.microsoft.com/office/spreadsheetml/2009/9/main" objectType="CheckBox" fmlaLink="$N$5" lockText="1" noThreeD="1"/>
</file>

<file path=xl/ctrlProps/ctrlProp144.xml><?xml version="1.0" encoding="utf-8"?>
<formControlPr xmlns="http://schemas.microsoft.com/office/spreadsheetml/2009/9/main" objectType="CheckBox" fmlaLink="$N$6" lockText="1" noThreeD="1"/>
</file>

<file path=xl/ctrlProps/ctrlProp145.xml><?xml version="1.0" encoding="utf-8"?>
<formControlPr xmlns="http://schemas.microsoft.com/office/spreadsheetml/2009/9/main" objectType="CheckBox" fmlaLink="$L$3" lockText="1" noThreeD="1"/>
</file>

<file path=xl/ctrlProps/ctrlProp146.xml><?xml version="1.0" encoding="utf-8"?>
<formControlPr xmlns="http://schemas.microsoft.com/office/spreadsheetml/2009/9/main" objectType="CheckBox" fmlaLink="$L$4" lockText="1" noThreeD="1"/>
</file>

<file path=xl/ctrlProps/ctrlProp147.xml><?xml version="1.0" encoding="utf-8"?>
<formControlPr xmlns="http://schemas.microsoft.com/office/spreadsheetml/2009/9/main" objectType="CheckBox" fmlaLink="$L$5" lockText="1" noThreeD="1"/>
</file>

<file path=xl/ctrlProps/ctrlProp148.xml><?xml version="1.0" encoding="utf-8"?>
<formControlPr xmlns="http://schemas.microsoft.com/office/spreadsheetml/2009/9/main" objectType="CheckBox" fmlaLink="$L$6" lockText="1" noThreeD="1"/>
</file>

<file path=xl/ctrlProps/ctrlProp149.xml><?xml version="1.0" encoding="utf-8"?>
<formControlPr xmlns="http://schemas.microsoft.com/office/spreadsheetml/2009/9/main" objectType="CheckBox" fmlaLink="$N$3" lockText="1" noThreeD="1"/>
</file>

<file path=xl/ctrlProps/ctrlProp150.xml><?xml version="1.0" encoding="utf-8"?>
<formControlPr xmlns="http://schemas.microsoft.com/office/spreadsheetml/2009/9/main" objectType="CheckBox" fmlaLink="$N$4" lockText="1" noThreeD="1"/>
</file>

<file path=xl/ctrlProps/ctrlProp151.xml><?xml version="1.0" encoding="utf-8"?>
<formControlPr xmlns="http://schemas.microsoft.com/office/spreadsheetml/2009/9/main" objectType="CheckBox" fmlaLink="$N$5" lockText="1" noThreeD="1"/>
</file>

<file path=xl/ctrlProps/ctrlProp152.xml><?xml version="1.0" encoding="utf-8"?>
<formControlPr xmlns="http://schemas.microsoft.com/office/spreadsheetml/2009/9/main" objectType="CheckBox" fmlaLink="$N$6" lockText="1" noThreeD="1"/>
</file>

<file path=xl/ctrlProps/ctrlProp153.xml><?xml version="1.0" encoding="utf-8"?>
<formControlPr xmlns="http://schemas.microsoft.com/office/spreadsheetml/2009/9/main" objectType="CheckBox" fmlaLink="$L$3" lockText="1" noThreeD="1"/>
</file>

<file path=xl/ctrlProps/ctrlProp154.xml><?xml version="1.0" encoding="utf-8"?>
<formControlPr xmlns="http://schemas.microsoft.com/office/spreadsheetml/2009/9/main" objectType="CheckBox" fmlaLink="$L$4" lockText="1" noThreeD="1"/>
</file>

<file path=xl/ctrlProps/ctrlProp155.xml><?xml version="1.0" encoding="utf-8"?>
<formControlPr xmlns="http://schemas.microsoft.com/office/spreadsheetml/2009/9/main" objectType="CheckBox" fmlaLink="$L$5" lockText="1" noThreeD="1"/>
</file>

<file path=xl/ctrlProps/ctrlProp156.xml><?xml version="1.0" encoding="utf-8"?>
<formControlPr xmlns="http://schemas.microsoft.com/office/spreadsheetml/2009/9/main" objectType="CheckBox" fmlaLink="$L$6" lockText="1" noThreeD="1"/>
</file>

<file path=xl/ctrlProps/ctrlProp157.xml><?xml version="1.0" encoding="utf-8"?>
<formControlPr xmlns="http://schemas.microsoft.com/office/spreadsheetml/2009/9/main" objectType="CheckBox" fmlaLink="$N$3" lockText="1" noThreeD="1"/>
</file>

<file path=xl/ctrlProps/ctrlProp158.xml><?xml version="1.0" encoding="utf-8"?>
<formControlPr xmlns="http://schemas.microsoft.com/office/spreadsheetml/2009/9/main" objectType="CheckBox" fmlaLink="$N$4" lockText="1" noThreeD="1"/>
</file>

<file path=xl/ctrlProps/ctrlProp159.xml><?xml version="1.0" encoding="utf-8"?>
<formControlPr xmlns="http://schemas.microsoft.com/office/spreadsheetml/2009/9/main" objectType="CheckBox" fmlaLink="$N$5" lockText="1" noThreeD="1"/>
</file>

<file path=xl/ctrlProps/ctrlProp160.xml><?xml version="1.0" encoding="utf-8"?>
<formControlPr xmlns="http://schemas.microsoft.com/office/spreadsheetml/2009/9/main" objectType="CheckBox" fmlaLink="$N$6" lockText="1" noThreeD="1"/>
</file>

<file path=xl/ctrlProps/ctrlProp161.xml><?xml version="1.0" encoding="utf-8"?>
<formControlPr xmlns="http://schemas.microsoft.com/office/spreadsheetml/2009/9/main" objectType="CheckBox" fmlaLink="$L$3" lockText="1" noThreeD="1"/>
</file>

<file path=xl/ctrlProps/ctrlProp162.xml><?xml version="1.0" encoding="utf-8"?>
<formControlPr xmlns="http://schemas.microsoft.com/office/spreadsheetml/2009/9/main" objectType="CheckBox" fmlaLink="$L$4" lockText="1" noThreeD="1"/>
</file>

<file path=xl/ctrlProps/ctrlProp163.xml><?xml version="1.0" encoding="utf-8"?>
<formControlPr xmlns="http://schemas.microsoft.com/office/spreadsheetml/2009/9/main" objectType="CheckBox" fmlaLink="$L$5" lockText="1" noThreeD="1"/>
</file>

<file path=xl/ctrlProps/ctrlProp164.xml><?xml version="1.0" encoding="utf-8"?>
<formControlPr xmlns="http://schemas.microsoft.com/office/spreadsheetml/2009/9/main" objectType="CheckBox" fmlaLink="$L$6" lockText="1" noThreeD="1"/>
</file>

<file path=xl/ctrlProps/ctrlProp165.xml><?xml version="1.0" encoding="utf-8"?>
<formControlPr xmlns="http://schemas.microsoft.com/office/spreadsheetml/2009/9/main" objectType="CheckBox" fmlaLink="$N$3" lockText="1" noThreeD="1"/>
</file>

<file path=xl/ctrlProps/ctrlProp166.xml><?xml version="1.0" encoding="utf-8"?>
<formControlPr xmlns="http://schemas.microsoft.com/office/spreadsheetml/2009/9/main" objectType="CheckBox" fmlaLink="$N$4" lockText="1" noThreeD="1"/>
</file>

<file path=xl/ctrlProps/ctrlProp167.xml><?xml version="1.0" encoding="utf-8"?>
<formControlPr xmlns="http://schemas.microsoft.com/office/spreadsheetml/2009/9/main" objectType="CheckBox" fmlaLink="$N$5" lockText="1" noThreeD="1"/>
</file>

<file path=xl/ctrlProps/ctrlProp168.xml><?xml version="1.0" encoding="utf-8"?>
<formControlPr xmlns="http://schemas.microsoft.com/office/spreadsheetml/2009/9/main" objectType="CheckBox" fmlaLink="$N$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8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9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A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1271" name="Check Box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A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A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B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B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B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B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C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C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C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C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D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D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D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D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D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E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E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E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E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E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F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F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F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F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F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1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11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11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11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1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1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1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1505" name="Check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1506" name="Check Box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1507" name="Check Box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1508" name="Check Box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1509" name="Check Box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1510" name="Check Box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1511" name="Check Box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1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14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2529" name="Check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5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2533" name="Check Box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15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2534" name="Check Box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5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15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15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371475</xdr:rowOff>
        </xdr:from>
        <xdr:to>
          <xdr:col>10</xdr:col>
          <xdr:colOff>1143000</xdr:colOff>
          <xdr:row>3</xdr:row>
          <xdr:rowOff>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180975</xdr:rowOff>
        </xdr:from>
        <xdr:to>
          <xdr:col>10</xdr:col>
          <xdr:colOff>1143000</xdr:colOff>
          <xdr:row>4</xdr:row>
          <xdr:rowOff>19050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161925</xdr:rowOff>
        </xdr:from>
        <xdr:to>
          <xdr:col>10</xdr:col>
          <xdr:colOff>1143000</xdr:colOff>
          <xdr:row>5</xdr:row>
          <xdr:rowOff>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152400</xdr:rowOff>
        </xdr:from>
        <xdr:to>
          <xdr:col>10</xdr:col>
          <xdr:colOff>1143000</xdr:colOff>
          <xdr:row>5</xdr:row>
          <xdr:rowOff>180975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Intrari 2022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342900</xdr:rowOff>
        </xdr:from>
        <xdr:to>
          <xdr:col>12</xdr:col>
          <xdr:colOff>1162050</xdr:colOff>
          <xdr:row>2</xdr:row>
          <xdr:rowOff>180975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161925</xdr:rowOff>
        </xdr:from>
        <xdr:to>
          <xdr:col>12</xdr:col>
          <xdr:colOff>1162050</xdr:colOff>
          <xdr:row>4</xdr:row>
          <xdr:rowOff>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161925</xdr:rowOff>
        </xdr:from>
        <xdr:to>
          <xdr:col>12</xdr:col>
          <xdr:colOff>1162050</xdr:colOff>
          <xdr:row>5</xdr:row>
          <xdr:rowOff>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4</xdr:row>
          <xdr:rowOff>161925</xdr:rowOff>
        </xdr:from>
        <xdr:to>
          <xdr:col>12</xdr:col>
          <xdr:colOff>1162050</xdr:colOff>
          <xdr:row>6</xdr:row>
          <xdr:rowOff>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Iesiri 2022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ctrlProp" Target="../ctrlProps/ctrlProp65.xml"/><Relationship Id="rId7" Type="http://schemas.openxmlformats.org/officeDocument/2006/relationships/ctrlProp" Target="../ctrlProps/ctrlProp6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ctrlProp" Target="../ctrlProps/ctrlProp89.xml"/><Relationship Id="rId7" Type="http://schemas.openxmlformats.org/officeDocument/2006/relationships/ctrlProp" Target="../ctrlProps/ctrlProp9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ctrlProp" Target="../ctrlProps/ctrlProp97.xml"/><Relationship Id="rId7" Type="http://schemas.openxmlformats.org/officeDocument/2006/relationships/ctrlProp" Target="../ctrlProps/ctrlProp10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00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ctrlProp" Target="../ctrlProps/ctrlProp105.xml"/><Relationship Id="rId7" Type="http://schemas.openxmlformats.org/officeDocument/2006/relationships/ctrlProp" Target="../ctrlProps/ctrlProp10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ctrlProp" Target="../ctrlProps/ctrlProp113.xml"/><Relationship Id="rId7" Type="http://schemas.openxmlformats.org/officeDocument/2006/relationships/ctrlProp" Target="../ctrlProps/ctrlProp11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ctrlProp" Target="../ctrlProps/ctrlProp121.xml"/><Relationship Id="rId7" Type="http://schemas.openxmlformats.org/officeDocument/2006/relationships/ctrlProp" Target="../ctrlProps/ctrlProp1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24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ctrlProp" Target="../ctrlProps/ctrlProp129.xml"/><Relationship Id="rId7" Type="http://schemas.openxmlformats.org/officeDocument/2006/relationships/ctrlProp" Target="../ctrlProps/ctrlProp1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32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ctrlProp" Target="../ctrlProps/ctrlProp137.xml"/><Relationship Id="rId7" Type="http://schemas.openxmlformats.org/officeDocument/2006/relationships/ctrlProp" Target="../ctrlProps/ctrlProp14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40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ctrlProp" Target="../ctrlProps/ctrlProp145.xml"/><Relationship Id="rId7" Type="http://schemas.openxmlformats.org/officeDocument/2006/relationships/ctrlProp" Target="../ctrlProps/ctrlProp1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48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ctrlProp" Target="../ctrlProps/ctrlProp153.xml"/><Relationship Id="rId7" Type="http://schemas.openxmlformats.org/officeDocument/2006/relationships/ctrlProp" Target="../ctrlProps/ctrlProp15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56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ctrlProp" Target="../ctrlProps/ctrlProp161.xml"/><Relationship Id="rId7" Type="http://schemas.openxmlformats.org/officeDocument/2006/relationships/ctrlProp" Target="../ctrlProps/ctrlProp16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64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2AE58-4E1F-4B34-8136-BFD657CC9966}">
  <sheetPr codeName="Sheet1"/>
  <dimension ref="A1:A23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31</v>
      </c>
    </row>
    <row r="12" spans="1:1" x14ac:dyDescent="0.25">
      <c r="A12" t="s">
        <v>32</v>
      </c>
    </row>
    <row r="13" spans="1:1" x14ac:dyDescent="0.25">
      <c r="A13" t="s">
        <v>33</v>
      </c>
    </row>
    <row r="14" spans="1:1" x14ac:dyDescent="0.25">
      <c r="A14" t="s">
        <v>34</v>
      </c>
    </row>
    <row r="15" spans="1:1" x14ac:dyDescent="0.25">
      <c r="A15" t="s">
        <v>35</v>
      </c>
    </row>
    <row r="16" spans="1:1" x14ac:dyDescent="0.25">
      <c r="A16" t="s">
        <v>36</v>
      </c>
    </row>
    <row r="17" spans="1:1" x14ac:dyDescent="0.25">
      <c r="A17" t="s">
        <v>37</v>
      </c>
    </row>
    <row r="18" spans="1:1" x14ac:dyDescent="0.25">
      <c r="A18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2" spans="1:1" x14ac:dyDescent="0.25">
      <c r="A22" t="s">
        <v>48</v>
      </c>
    </row>
    <row r="23" spans="1:1" x14ac:dyDescent="0.25">
      <c r="A23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396E-D1C1-4517-95F1-C98774E48302}">
  <dimension ref="A1:G1658"/>
  <sheetViews>
    <sheetView tabSelected="1" workbookViewId="0"/>
  </sheetViews>
  <sheetFormatPr defaultRowHeight="15" x14ac:dyDescent="0.25"/>
  <sheetData>
    <row r="1" spans="1:7" x14ac:dyDescent="0.25">
      <c r="A1" t="s">
        <v>42</v>
      </c>
      <c r="B1" t="s">
        <v>43</v>
      </c>
      <c r="C1" t="s">
        <v>1</v>
      </c>
      <c r="D1" t="s">
        <v>44</v>
      </c>
      <c r="E1" t="s">
        <v>45</v>
      </c>
      <c r="F1" t="s">
        <v>46</v>
      </c>
      <c r="G1" t="s">
        <v>47</v>
      </c>
    </row>
    <row r="2" spans="1:7" x14ac:dyDescent="0.25">
      <c r="A2" t="s">
        <v>21</v>
      </c>
      <c r="B2">
        <v>2019</v>
      </c>
      <c r="C2" t="s">
        <v>7</v>
      </c>
      <c r="D2">
        <v>31000.94</v>
      </c>
      <c r="E2">
        <v>30214.679660000002</v>
      </c>
      <c r="F2">
        <v>144683.660806</v>
      </c>
      <c r="G2" s="39">
        <v>43466</v>
      </c>
    </row>
    <row r="3" spans="1:7" x14ac:dyDescent="0.25">
      <c r="A3" t="s">
        <v>21</v>
      </c>
      <c r="B3">
        <v>2019</v>
      </c>
      <c r="C3" t="s">
        <v>8</v>
      </c>
      <c r="D3">
        <v>124806.03428000001</v>
      </c>
      <c r="E3">
        <v>40235.456005</v>
      </c>
      <c r="F3">
        <v>229254.23908100004</v>
      </c>
      <c r="G3" s="39">
        <v>43497</v>
      </c>
    </row>
    <row r="4" spans="1:7" x14ac:dyDescent="0.25">
      <c r="A4" t="s">
        <v>21</v>
      </c>
      <c r="B4">
        <v>2019</v>
      </c>
      <c r="C4" t="s">
        <v>9</v>
      </c>
      <c r="D4">
        <v>129570.479998</v>
      </c>
      <c r="E4">
        <v>56430.359065999997</v>
      </c>
      <c r="F4">
        <v>302394.36001300009</v>
      </c>
      <c r="G4" s="39">
        <v>43525</v>
      </c>
    </row>
    <row r="5" spans="1:7" x14ac:dyDescent="0.25">
      <c r="A5" t="s">
        <v>21</v>
      </c>
      <c r="B5">
        <v>2019</v>
      </c>
      <c r="C5" t="s">
        <v>10</v>
      </c>
      <c r="D5">
        <v>212578.864955</v>
      </c>
      <c r="E5">
        <v>66505.296749999994</v>
      </c>
      <c r="F5">
        <v>448467.9282180001</v>
      </c>
      <c r="G5" s="39">
        <v>43556</v>
      </c>
    </row>
    <row r="6" spans="1:7" x14ac:dyDescent="0.25">
      <c r="A6" t="s">
        <v>21</v>
      </c>
      <c r="B6">
        <v>2019</v>
      </c>
      <c r="C6" t="s">
        <v>11</v>
      </c>
      <c r="D6">
        <v>69742.159998000003</v>
      </c>
      <c r="E6">
        <v>123262.72442099999</v>
      </c>
      <c r="F6">
        <v>394947.36379500013</v>
      </c>
      <c r="G6" s="39">
        <v>43586</v>
      </c>
    </row>
    <row r="7" spans="1:7" x14ac:dyDescent="0.25">
      <c r="A7" t="s">
        <v>21</v>
      </c>
      <c r="B7">
        <v>2019</v>
      </c>
      <c r="C7" t="s">
        <v>12</v>
      </c>
      <c r="D7">
        <v>258120.83525999999</v>
      </c>
      <c r="E7">
        <v>151792.26027900001</v>
      </c>
      <c r="F7">
        <v>501275.93877600005</v>
      </c>
      <c r="G7" s="39">
        <v>43617</v>
      </c>
    </row>
    <row r="8" spans="1:7" x14ac:dyDescent="0.25">
      <c r="A8" t="s">
        <v>21</v>
      </c>
      <c r="B8">
        <v>2019</v>
      </c>
      <c r="C8" t="s">
        <v>13</v>
      </c>
      <c r="D8">
        <v>238821.37553200001</v>
      </c>
      <c r="E8">
        <v>190768.29277899998</v>
      </c>
      <c r="F8">
        <v>549329.02152900002</v>
      </c>
      <c r="G8" s="39">
        <v>43647</v>
      </c>
    </row>
    <row r="9" spans="1:7" x14ac:dyDescent="0.25">
      <c r="A9" t="s">
        <v>21</v>
      </c>
      <c r="B9">
        <v>2019</v>
      </c>
      <c r="C9" t="s">
        <v>14</v>
      </c>
      <c r="D9">
        <v>322027.93732199998</v>
      </c>
      <c r="E9">
        <v>192491.55415899999</v>
      </c>
      <c r="F9">
        <v>678865.40469200001</v>
      </c>
      <c r="G9" s="39">
        <v>43678</v>
      </c>
    </row>
    <row r="10" spans="1:7" x14ac:dyDescent="0.25">
      <c r="A10" t="s">
        <v>21</v>
      </c>
      <c r="B10">
        <v>2019</v>
      </c>
      <c r="C10" t="s">
        <v>15</v>
      </c>
      <c r="D10">
        <v>153573.51</v>
      </c>
      <c r="E10">
        <v>198934.60237300003</v>
      </c>
      <c r="F10">
        <v>633504.31231900002</v>
      </c>
      <c r="G10" s="39">
        <v>43709</v>
      </c>
    </row>
    <row r="11" spans="1:7" x14ac:dyDescent="0.25">
      <c r="A11" t="s">
        <v>21</v>
      </c>
      <c r="B11">
        <v>2019</v>
      </c>
      <c r="C11" t="s">
        <v>16</v>
      </c>
      <c r="D11">
        <v>311711.72906199994</v>
      </c>
      <c r="E11">
        <v>269363.39895399997</v>
      </c>
      <c r="F11">
        <v>675852.64242699998</v>
      </c>
      <c r="G11" s="39">
        <v>43739</v>
      </c>
    </row>
    <row r="12" spans="1:7" x14ac:dyDescent="0.25">
      <c r="A12" t="s">
        <v>21</v>
      </c>
      <c r="B12">
        <v>2019</v>
      </c>
      <c r="C12" t="s">
        <v>17</v>
      </c>
      <c r="D12">
        <v>276509.67949900002</v>
      </c>
      <c r="E12">
        <v>271023.60680200002</v>
      </c>
      <c r="F12">
        <v>681338.7151240001</v>
      </c>
      <c r="G12" s="39">
        <v>43770</v>
      </c>
    </row>
    <row r="13" spans="1:7" x14ac:dyDescent="0.25">
      <c r="A13" t="s">
        <v>21</v>
      </c>
      <c r="B13">
        <v>2019</v>
      </c>
      <c r="C13" t="s">
        <v>18</v>
      </c>
      <c r="D13">
        <v>137116.02795799999</v>
      </c>
      <c r="E13">
        <v>165803.10760799996</v>
      </c>
      <c r="F13">
        <v>652651.63547400013</v>
      </c>
      <c r="G13" s="39">
        <v>43800</v>
      </c>
    </row>
    <row r="14" spans="1:7" x14ac:dyDescent="0.25">
      <c r="A14" t="s">
        <v>21</v>
      </c>
      <c r="B14">
        <v>2020</v>
      </c>
      <c r="C14" t="s">
        <v>7</v>
      </c>
      <c r="D14">
        <v>124350.52466499999</v>
      </c>
      <c r="E14">
        <v>170376.933907</v>
      </c>
      <c r="F14">
        <v>606625.22623200016</v>
      </c>
      <c r="G14" s="39">
        <v>43831</v>
      </c>
    </row>
    <row r="15" spans="1:7" x14ac:dyDescent="0.25">
      <c r="A15" t="s">
        <v>21</v>
      </c>
      <c r="B15">
        <v>2020</v>
      </c>
      <c r="C15" t="s">
        <v>8</v>
      </c>
      <c r="D15">
        <v>304976.75881999999</v>
      </c>
      <c r="E15">
        <v>242346.93078899998</v>
      </c>
      <c r="F15">
        <v>669255.05426300014</v>
      </c>
      <c r="G15" s="39">
        <v>43862</v>
      </c>
    </row>
    <row r="16" spans="1:7" x14ac:dyDescent="0.25">
      <c r="A16" t="s">
        <v>21</v>
      </c>
      <c r="B16">
        <v>2020</v>
      </c>
      <c r="C16" t="s">
        <v>9</v>
      </c>
      <c r="D16">
        <v>701848.98586699995</v>
      </c>
      <c r="E16">
        <v>253131.09002800001</v>
      </c>
      <c r="F16">
        <v>1117972.950102</v>
      </c>
      <c r="G16" s="39">
        <v>43891</v>
      </c>
    </row>
    <row r="17" spans="1:7" x14ac:dyDescent="0.25">
      <c r="A17" t="s">
        <v>21</v>
      </c>
      <c r="B17">
        <v>2020</v>
      </c>
      <c r="C17" t="s">
        <v>10</v>
      </c>
      <c r="D17">
        <v>16840.630815</v>
      </c>
      <c r="E17">
        <v>192171.235453</v>
      </c>
      <c r="F17">
        <v>942642.34546400001</v>
      </c>
      <c r="G17" s="39">
        <v>43922</v>
      </c>
    </row>
    <row r="18" spans="1:7" x14ac:dyDescent="0.25">
      <c r="A18" t="s">
        <v>21</v>
      </c>
      <c r="B18">
        <v>2020</v>
      </c>
      <c r="C18" t="s">
        <v>11</v>
      </c>
      <c r="D18">
        <v>137969.81264300001</v>
      </c>
      <c r="E18">
        <v>323773.86048100004</v>
      </c>
      <c r="F18">
        <v>756838.2976259999</v>
      </c>
      <c r="G18" s="39">
        <v>43952</v>
      </c>
    </row>
    <row r="19" spans="1:7" x14ac:dyDescent="0.25">
      <c r="A19" t="s">
        <v>21</v>
      </c>
      <c r="B19">
        <v>2020</v>
      </c>
      <c r="C19" t="s">
        <v>12</v>
      </c>
      <c r="D19">
        <v>276390.15261700004</v>
      </c>
      <c r="E19">
        <v>267911.59980099997</v>
      </c>
      <c r="F19">
        <v>765316.85044199997</v>
      </c>
      <c r="G19" s="39">
        <v>43983</v>
      </c>
    </row>
    <row r="20" spans="1:7" x14ac:dyDescent="0.25">
      <c r="A20" t="s">
        <v>21</v>
      </c>
      <c r="B20">
        <v>2020</v>
      </c>
      <c r="C20" t="s">
        <v>13</v>
      </c>
      <c r="D20">
        <v>434201.90070499998</v>
      </c>
      <c r="E20">
        <v>355587.23432100005</v>
      </c>
      <c r="F20">
        <v>843931.51682599983</v>
      </c>
      <c r="G20" s="39">
        <v>44013</v>
      </c>
    </row>
    <row r="21" spans="1:7" x14ac:dyDescent="0.25">
      <c r="A21" t="s">
        <v>21</v>
      </c>
      <c r="B21">
        <v>2020</v>
      </c>
      <c r="C21" t="s">
        <v>14</v>
      </c>
      <c r="D21">
        <v>541418.875871</v>
      </c>
      <c r="E21">
        <v>367655.99641799997</v>
      </c>
      <c r="F21">
        <v>1017694.396279</v>
      </c>
      <c r="G21" s="39">
        <v>44044</v>
      </c>
    </row>
    <row r="22" spans="1:7" x14ac:dyDescent="0.25">
      <c r="A22" t="s">
        <v>21</v>
      </c>
      <c r="B22">
        <v>2020</v>
      </c>
      <c r="C22" t="s">
        <v>15</v>
      </c>
      <c r="D22">
        <v>486550.279545</v>
      </c>
      <c r="E22">
        <v>368361.25896800001</v>
      </c>
      <c r="F22">
        <v>1135883.416856</v>
      </c>
      <c r="G22" s="39">
        <v>44075</v>
      </c>
    </row>
    <row r="23" spans="1:7" x14ac:dyDescent="0.25">
      <c r="A23" t="s">
        <v>21</v>
      </c>
      <c r="B23">
        <v>2020</v>
      </c>
      <c r="C23" t="s">
        <v>16</v>
      </c>
      <c r="D23">
        <v>429319.04099999997</v>
      </c>
      <c r="E23">
        <v>437381.08394300006</v>
      </c>
      <c r="F23">
        <v>1127821.3739129999</v>
      </c>
      <c r="G23" s="39">
        <v>44105</v>
      </c>
    </row>
    <row r="24" spans="1:7" x14ac:dyDescent="0.25">
      <c r="A24" t="s">
        <v>21</v>
      </c>
      <c r="B24">
        <v>2020</v>
      </c>
      <c r="C24" t="s">
        <v>17</v>
      </c>
      <c r="D24">
        <v>591807.73712900002</v>
      </c>
      <c r="E24">
        <v>366524.91648899997</v>
      </c>
      <c r="F24">
        <v>1353104.1945529999</v>
      </c>
      <c r="G24" s="39">
        <v>44136</v>
      </c>
    </row>
    <row r="25" spans="1:7" x14ac:dyDescent="0.25">
      <c r="A25" t="s">
        <v>21</v>
      </c>
      <c r="B25">
        <v>2020</v>
      </c>
      <c r="C25" t="s">
        <v>18</v>
      </c>
      <c r="D25">
        <v>214970.90125699999</v>
      </c>
      <c r="E25">
        <v>318523.54706000001</v>
      </c>
      <c r="F25">
        <v>1249551.5487499998</v>
      </c>
      <c r="G25" s="39">
        <v>44166</v>
      </c>
    </row>
    <row r="26" spans="1:7" x14ac:dyDescent="0.25">
      <c r="A26" t="s">
        <v>21</v>
      </c>
      <c r="B26">
        <v>2021</v>
      </c>
      <c r="C26" t="s">
        <v>7</v>
      </c>
      <c r="D26">
        <v>384476.031433</v>
      </c>
      <c r="E26">
        <v>314199.586412</v>
      </c>
      <c r="F26">
        <v>1319827.9937709998</v>
      </c>
      <c r="G26" s="39">
        <v>44197</v>
      </c>
    </row>
    <row r="27" spans="1:7" x14ac:dyDescent="0.25">
      <c r="A27" t="s">
        <v>21</v>
      </c>
      <c r="B27">
        <v>2021</v>
      </c>
      <c r="C27" t="s">
        <v>8</v>
      </c>
      <c r="D27">
        <v>614051.82440600009</v>
      </c>
      <c r="E27">
        <v>515083.49489500007</v>
      </c>
      <c r="F27">
        <v>1418796.3232819999</v>
      </c>
      <c r="G27" s="39">
        <v>44228</v>
      </c>
    </row>
    <row r="28" spans="1:7" x14ac:dyDescent="0.25">
      <c r="A28" t="s">
        <v>21</v>
      </c>
      <c r="B28">
        <v>2021</v>
      </c>
      <c r="C28" t="s">
        <v>9</v>
      </c>
      <c r="D28">
        <v>999192.20959900005</v>
      </c>
      <c r="E28">
        <v>548255.95034799993</v>
      </c>
      <c r="F28">
        <v>1869732.582533</v>
      </c>
      <c r="G28" s="39">
        <v>44256</v>
      </c>
    </row>
    <row r="29" spans="1:7" x14ac:dyDescent="0.25">
      <c r="A29" t="s">
        <v>21</v>
      </c>
      <c r="B29">
        <v>2021</v>
      </c>
      <c r="C29" t="s">
        <v>10</v>
      </c>
      <c r="D29">
        <v>948489.28980000003</v>
      </c>
      <c r="E29">
        <v>540308.80611699994</v>
      </c>
      <c r="F29">
        <v>2277913.0662159999</v>
      </c>
      <c r="G29" s="39">
        <v>44287</v>
      </c>
    </row>
    <row r="30" spans="1:7" x14ac:dyDescent="0.25">
      <c r="A30" t="s">
        <v>21</v>
      </c>
      <c r="B30">
        <v>2021</v>
      </c>
      <c r="C30" t="s">
        <v>11</v>
      </c>
      <c r="D30">
        <v>321873.04395000008</v>
      </c>
      <c r="E30">
        <v>498308.79107999994</v>
      </c>
      <c r="F30">
        <v>2101477.3190860003</v>
      </c>
      <c r="G30" s="39">
        <v>44317</v>
      </c>
    </row>
    <row r="31" spans="1:7" x14ac:dyDescent="0.25">
      <c r="A31" t="s">
        <v>21</v>
      </c>
      <c r="B31">
        <v>2021</v>
      </c>
      <c r="C31" t="s">
        <v>12</v>
      </c>
      <c r="D31">
        <v>725750.11503800005</v>
      </c>
      <c r="E31">
        <v>571330.28898399998</v>
      </c>
      <c r="F31">
        <v>2255897.1451400006</v>
      </c>
      <c r="G31" s="39">
        <v>44348</v>
      </c>
    </row>
    <row r="32" spans="1:7" x14ac:dyDescent="0.25">
      <c r="A32" t="s">
        <v>21</v>
      </c>
      <c r="B32">
        <v>2021</v>
      </c>
      <c r="C32" t="s">
        <v>13</v>
      </c>
      <c r="D32">
        <v>764043.54241200001</v>
      </c>
      <c r="E32">
        <v>549870.33468899992</v>
      </c>
      <c r="F32">
        <v>2470070.3528630007</v>
      </c>
      <c r="G32" s="39">
        <v>44378</v>
      </c>
    </row>
    <row r="33" spans="1:7" x14ac:dyDescent="0.25">
      <c r="A33" t="s">
        <v>21</v>
      </c>
      <c r="B33">
        <v>2021</v>
      </c>
      <c r="C33" t="s">
        <v>14</v>
      </c>
      <c r="D33">
        <v>441161.98456900002</v>
      </c>
      <c r="E33">
        <v>723144.99782600009</v>
      </c>
      <c r="F33">
        <v>2188087.3396060006</v>
      </c>
      <c r="G33" s="39">
        <v>44409</v>
      </c>
    </row>
    <row r="34" spans="1:7" x14ac:dyDescent="0.25">
      <c r="A34" t="s">
        <v>21</v>
      </c>
      <c r="B34">
        <v>2021</v>
      </c>
      <c r="C34" t="s">
        <v>15</v>
      </c>
      <c r="D34">
        <v>644604.49093500001</v>
      </c>
      <c r="E34">
        <v>632265.61389200005</v>
      </c>
      <c r="F34">
        <v>2200426.2166490005</v>
      </c>
      <c r="G34" s="39">
        <v>44440</v>
      </c>
    </row>
    <row r="35" spans="1:7" x14ac:dyDescent="0.25">
      <c r="A35" t="s">
        <v>21</v>
      </c>
      <c r="B35">
        <v>2021</v>
      </c>
      <c r="C35" t="s">
        <v>16</v>
      </c>
      <c r="D35">
        <v>433189.67737400002</v>
      </c>
      <c r="E35">
        <v>517745.07293700002</v>
      </c>
      <c r="F35">
        <v>2115870.8210860007</v>
      </c>
      <c r="G35" s="39">
        <v>44470</v>
      </c>
    </row>
    <row r="36" spans="1:7" x14ac:dyDescent="0.25">
      <c r="A36" t="s">
        <v>21</v>
      </c>
      <c r="B36">
        <v>2021</v>
      </c>
      <c r="C36" t="s">
        <v>17</v>
      </c>
      <c r="D36">
        <v>763207.63570299989</v>
      </c>
      <c r="E36">
        <v>662579.53922400007</v>
      </c>
      <c r="F36">
        <v>2216498.9175650002</v>
      </c>
      <c r="G36" s="39">
        <v>44501</v>
      </c>
    </row>
    <row r="37" spans="1:7" x14ac:dyDescent="0.25">
      <c r="A37" t="s">
        <v>21</v>
      </c>
      <c r="B37">
        <v>2021</v>
      </c>
      <c r="C37" t="s">
        <v>18</v>
      </c>
      <c r="D37">
        <v>495249.09054</v>
      </c>
      <c r="E37">
        <v>597700.99319900014</v>
      </c>
      <c r="F37">
        <v>2114047.0149060003</v>
      </c>
      <c r="G37" s="39">
        <v>44531</v>
      </c>
    </row>
    <row r="38" spans="1:7" x14ac:dyDescent="0.25">
      <c r="A38" t="s">
        <v>21</v>
      </c>
      <c r="B38">
        <v>2022</v>
      </c>
      <c r="C38" t="s">
        <v>7</v>
      </c>
      <c r="D38">
        <v>1099148.8379840001</v>
      </c>
      <c r="E38">
        <v>458448.31827299995</v>
      </c>
      <c r="F38">
        <v>2754747.5346170007</v>
      </c>
      <c r="G38" s="39">
        <v>44562</v>
      </c>
    </row>
    <row r="39" spans="1:7" x14ac:dyDescent="0.25">
      <c r="A39" t="s">
        <v>21</v>
      </c>
      <c r="B39">
        <v>2022</v>
      </c>
      <c r="C39" t="s">
        <v>8</v>
      </c>
      <c r="D39">
        <v>974072.48199899995</v>
      </c>
      <c r="E39">
        <v>808917.65694000002</v>
      </c>
      <c r="F39">
        <v>2919902.3596760007</v>
      </c>
      <c r="G39" s="39">
        <v>44593</v>
      </c>
    </row>
    <row r="40" spans="1:7" x14ac:dyDescent="0.25">
      <c r="A40" t="s">
        <v>21</v>
      </c>
      <c r="B40">
        <v>2022</v>
      </c>
      <c r="C40" t="s">
        <v>9</v>
      </c>
      <c r="D40">
        <v>864268.53999900003</v>
      </c>
      <c r="E40">
        <v>830036.9156200001</v>
      </c>
      <c r="F40">
        <v>2954133.9840550004</v>
      </c>
      <c r="G40" s="39">
        <v>44621</v>
      </c>
    </row>
    <row r="41" spans="1:7" x14ac:dyDescent="0.25">
      <c r="A41" t="s">
        <v>21</v>
      </c>
      <c r="B41">
        <v>2022</v>
      </c>
      <c r="C41" t="s">
        <v>10</v>
      </c>
      <c r="D41">
        <v>817523.28800000006</v>
      </c>
      <c r="E41">
        <v>739328.26422999997</v>
      </c>
      <c r="F41">
        <v>3032329.0078250007</v>
      </c>
      <c r="G41" s="39">
        <v>44652</v>
      </c>
    </row>
    <row r="42" spans="1:7" x14ac:dyDescent="0.25">
      <c r="A42" t="s">
        <v>21</v>
      </c>
      <c r="B42">
        <v>2022</v>
      </c>
      <c r="C42" t="s">
        <v>11</v>
      </c>
      <c r="D42">
        <v>891891.84823300014</v>
      </c>
      <c r="E42">
        <v>973728.75811399997</v>
      </c>
      <c r="F42">
        <v>2950492.0979440007</v>
      </c>
      <c r="G42" s="39">
        <v>44682</v>
      </c>
    </row>
    <row r="43" spans="1:7" x14ac:dyDescent="0.25">
      <c r="A43" t="s">
        <v>21</v>
      </c>
      <c r="B43">
        <v>2022</v>
      </c>
      <c r="C43" t="s">
        <v>12</v>
      </c>
      <c r="D43">
        <v>1073993.3599979999</v>
      </c>
      <c r="E43">
        <v>1010576.272384</v>
      </c>
      <c r="F43">
        <v>3013909.1855580006</v>
      </c>
      <c r="G43" s="39">
        <v>44713</v>
      </c>
    </row>
    <row r="44" spans="1:7" x14ac:dyDescent="0.25">
      <c r="A44" t="s">
        <v>21</v>
      </c>
      <c r="B44">
        <v>2022</v>
      </c>
      <c r="C44" t="s">
        <v>13</v>
      </c>
      <c r="D44">
        <v>697817.83999899996</v>
      </c>
      <c r="E44">
        <v>1089208.1553819999</v>
      </c>
      <c r="F44">
        <v>2622518.8701750007</v>
      </c>
      <c r="G44" s="39">
        <v>44743</v>
      </c>
    </row>
    <row r="45" spans="1:7" x14ac:dyDescent="0.25">
      <c r="A45" t="s">
        <v>21</v>
      </c>
      <c r="B45">
        <v>2022</v>
      </c>
      <c r="C45" t="s">
        <v>14</v>
      </c>
      <c r="D45">
        <v>841614.33000000007</v>
      </c>
      <c r="E45">
        <v>1059501.4958919999</v>
      </c>
      <c r="F45">
        <v>2404631.7042830009</v>
      </c>
      <c r="G45" s="39">
        <v>44774</v>
      </c>
    </row>
    <row r="46" spans="1:7" x14ac:dyDescent="0.25">
      <c r="A46" t="s">
        <v>21</v>
      </c>
      <c r="B46">
        <v>2022</v>
      </c>
      <c r="C46" t="s">
        <v>15</v>
      </c>
      <c r="D46">
        <v>782221.97999799997</v>
      </c>
      <c r="E46">
        <v>983713.49456899986</v>
      </c>
      <c r="F46">
        <v>2203140.189712001</v>
      </c>
      <c r="G46" s="39">
        <v>44805</v>
      </c>
    </row>
    <row r="47" spans="1:7" x14ac:dyDescent="0.25">
      <c r="A47" t="s">
        <v>21</v>
      </c>
      <c r="B47">
        <v>2022</v>
      </c>
      <c r="C47" t="s">
        <v>16</v>
      </c>
      <c r="D47">
        <v>1102719.1399989999</v>
      </c>
      <c r="E47">
        <v>993077.39791699999</v>
      </c>
      <c r="F47">
        <v>2312781.9317940008</v>
      </c>
      <c r="G47" s="39">
        <v>44835</v>
      </c>
    </row>
    <row r="48" spans="1:7" x14ac:dyDescent="0.25">
      <c r="A48" t="s">
        <v>21</v>
      </c>
      <c r="B48">
        <v>2022</v>
      </c>
      <c r="C48" t="s">
        <v>17</v>
      </c>
      <c r="D48">
        <v>852705.27</v>
      </c>
      <c r="E48">
        <v>1017151.705327</v>
      </c>
      <c r="F48">
        <v>2148335.4964670008</v>
      </c>
      <c r="G48" s="39">
        <v>44866</v>
      </c>
    </row>
    <row r="49" spans="1:7" x14ac:dyDescent="0.25">
      <c r="A49" t="s">
        <v>21</v>
      </c>
      <c r="B49">
        <v>2022</v>
      </c>
      <c r="C49" t="s">
        <v>18</v>
      </c>
      <c r="D49">
        <v>282220.54859999998</v>
      </c>
      <c r="E49">
        <v>664830.10561199998</v>
      </c>
      <c r="F49">
        <v>1765725.9394550007</v>
      </c>
      <c r="G49" s="39">
        <v>44896</v>
      </c>
    </row>
    <row r="50" spans="1:7" x14ac:dyDescent="0.25">
      <c r="A50" t="s">
        <v>21</v>
      </c>
      <c r="B50">
        <v>2023</v>
      </c>
      <c r="C50" t="s">
        <v>7</v>
      </c>
      <c r="D50">
        <v>790097.82999900007</v>
      </c>
      <c r="E50">
        <v>469701.997837</v>
      </c>
      <c r="F50">
        <v>2086121.7716170005</v>
      </c>
      <c r="G50" s="39">
        <v>44927</v>
      </c>
    </row>
    <row r="51" spans="1:7" x14ac:dyDescent="0.25">
      <c r="A51" t="s">
        <v>21</v>
      </c>
      <c r="B51">
        <v>2023</v>
      </c>
      <c r="C51" t="s">
        <v>8</v>
      </c>
      <c r="D51">
        <v>936638.45999699994</v>
      </c>
      <c r="E51">
        <v>747604.66110199993</v>
      </c>
      <c r="F51">
        <v>2275155.5705120005</v>
      </c>
      <c r="G51" s="39">
        <v>44958</v>
      </c>
    </row>
    <row r="52" spans="1:7" x14ac:dyDescent="0.25">
      <c r="A52" t="s">
        <v>21</v>
      </c>
      <c r="B52">
        <v>2023</v>
      </c>
      <c r="C52" t="s">
        <v>9</v>
      </c>
      <c r="D52">
        <v>978320.13000000012</v>
      </c>
      <c r="E52">
        <v>858428.86329899984</v>
      </c>
      <c r="F52">
        <v>2395046.8372130003</v>
      </c>
      <c r="G52" s="39">
        <v>44986</v>
      </c>
    </row>
    <row r="53" spans="1:7" x14ac:dyDescent="0.25">
      <c r="A53" t="s">
        <v>21</v>
      </c>
      <c r="B53">
        <v>2023</v>
      </c>
      <c r="C53" t="s">
        <v>10</v>
      </c>
      <c r="D53">
        <v>575685.81999999995</v>
      </c>
      <c r="E53">
        <v>838032.40867499996</v>
      </c>
      <c r="F53">
        <v>2132700.248538</v>
      </c>
      <c r="G53" s="39">
        <v>45017</v>
      </c>
    </row>
    <row r="54" spans="1:7" x14ac:dyDescent="0.25">
      <c r="A54" t="s">
        <v>21</v>
      </c>
      <c r="B54">
        <v>2023</v>
      </c>
      <c r="C54" t="s">
        <v>11</v>
      </c>
      <c r="D54">
        <v>1109543.0850000002</v>
      </c>
      <c r="E54">
        <v>926814.48548400006</v>
      </c>
      <c r="F54">
        <v>2315428.8480540002</v>
      </c>
      <c r="G54" s="39">
        <v>45047</v>
      </c>
    </row>
    <row r="55" spans="1:7" x14ac:dyDescent="0.25">
      <c r="A55" t="s">
        <v>21</v>
      </c>
      <c r="B55">
        <v>2023</v>
      </c>
      <c r="C55" t="s">
        <v>12</v>
      </c>
      <c r="D55">
        <v>902160.44999899995</v>
      </c>
      <c r="E55">
        <v>1066465.8342779998</v>
      </c>
      <c r="F55">
        <v>2151123.4637750005</v>
      </c>
      <c r="G55" s="39">
        <v>45078</v>
      </c>
    </row>
    <row r="56" spans="1:7" x14ac:dyDescent="0.25">
      <c r="A56" t="s">
        <v>21</v>
      </c>
      <c r="B56">
        <v>2023</v>
      </c>
      <c r="C56" t="s">
        <v>13</v>
      </c>
      <c r="D56">
        <v>1238670.6599940001</v>
      </c>
      <c r="E56">
        <v>987378.54319999996</v>
      </c>
      <c r="F56">
        <v>2402415.5805690009</v>
      </c>
      <c r="G56" s="39">
        <v>45108</v>
      </c>
    </row>
    <row r="57" spans="1:7" x14ac:dyDescent="0.25">
      <c r="A57" t="s">
        <v>21</v>
      </c>
      <c r="B57">
        <v>2023</v>
      </c>
      <c r="C57" t="s">
        <v>14</v>
      </c>
      <c r="D57">
        <v>1043963.6714000001</v>
      </c>
      <c r="E57">
        <v>1118687.024796</v>
      </c>
      <c r="F57">
        <v>2327692.2271730015</v>
      </c>
      <c r="G57" s="39">
        <v>45139</v>
      </c>
    </row>
    <row r="58" spans="1:7" x14ac:dyDescent="0.25">
      <c r="A58" t="s">
        <v>21</v>
      </c>
      <c r="B58">
        <v>2023</v>
      </c>
      <c r="C58" t="s">
        <v>15</v>
      </c>
      <c r="D58">
        <v>1935258.5799970001</v>
      </c>
      <c r="E58">
        <v>1507564.7990050002</v>
      </c>
      <c r="F58">
        <v>2755386.0081650019</v>
      </c>
      <c r="G58" s="39">
        <v>45170</v>
      </c>
    </row>
    <row r="59" spans="1:7" x14ac:dyDescent="0.25">
      <c r="A59" t="s">
        <v>21</v>
      </c>
      <c r="B59">
        <v>2023</v>
      </c>
      <c r="C59" t="s">
        <v>16</v>
      </c>
      <c r="D59">
        <v>1289395.3899999999</v>
      </c>
      <c r="E59">
        <v>1476337.218999</v>
      </c>
      <c r="F59">
        <v>2568444.1791660013</v>
      </c>
      <c r="G59" s="39">
        <v>45200</v>
      </c>
    </row>
    <row r="60" spans="1:7" x14ac:dyDescent="0.25">
      <c r="A60" t="s">
        <v>21</v>
      </c>
      <c r="B60">
        <v>2023</v>
      </c>
      <c r="C60" t="s">
        <v>17</v>
      </c>
      <c r="D60">
        <v>1005730.2548000001</v>
      </c>
      <c r="E60">
        <v>1056790.995531</v>
      </c>
      <c r="F60">
        <v>2517383.4384350013</v>
      </c>
      <c r="G60" s="39">
        <v>45231</v>
      </c>
    </row>
    <row r="61" spans="1:7" x14ac:dyDescent="0.25">
      <c r="A61" t="s">
        <v>21</v>
      </c>
      <c r="B61">
        <v>2023</v>
      </c>
      <c r="C61" t="s">
        <v>18</v>
      </c>
      <c r="D61">
        <v>634687.82999900007</v>
      </c>
      <c r="E61">
        <v>802186.66156799998</v>
      </c>
      <c r="F61">
        <v>2349884.6068660012</v>
      </c>
      <c r="G61" s="39">
        <v>45261</v>
      </c>
    </row>
    <row r="62" spans="1:7" x14ac:dyDescent="0.25">
      <c r="A62" t="s">
        <v>21</v>
      </c>
      <c r="B62">
        <v>2024</v>
      </c>
      <c r="C62" t="s">
        <v>7</v>
      </c>
      <c r="F62">
        <v>2349884.6068660012</v>
      </c>
      <c r="G62" s="39">
        <v>45292</v>
      </c>
    </row>
    <row r="63" spans="1:7" x14ac:dyDescent="0.25">
      <c r="A63" t="s">
        <v>21</v>
      </c>
      <c r="B63">
        <v>2024</v>
      </c>
      <c r="C63" t="s">
        <v>8</v>
      </c>
      <c r="F63">
        <v>2349884.6068660012</v>
      </c>
      <c r="G63" s="39">
        <v>45323</v>
      </c>
    </row>
    <row r="64" spans="1:7" x14ac:dyDescent="0.25">
      <c r="A64" t="s">
        <v>21</v>
      </c>
      <c r="B64">
        <v>2024</v>
      </c>
      <c r="C64" t="s">
        <v>9</v>
      </c>
      <c r="F64">
        <v>2349884.6068660012</v>
      </c>
      <c r="G64" s="39">
        <v>45352</v>
      </c>
    </row>
    <row r="65" spans="1:7" x14ac:dyDescent="0.25">
      <c r="A65" t="s">
        <v>21</v>
      </c>
      <c r="B65">
        <v>2024</v>
      </c>
      <c r="C65" t="s">
        <v>10</v>
      </c>
      <c r="F65">
        <v>2349884.6068660012</v>
      </c>
      <c r="G65" s="39">
        <v>45383</v>
      </c>
    </row>
    <row r="66" spans="1:7" x14ac:dyDescent="0.25">
      <c r="A66" t="s">
        <v>21</v>
      </c>
      <c r="B66">
        <v>2024</v>
      </c>
      <c r="C66" t="s">
        <v>11</v>
      </c>
      <c r="F66">
        <v>2349884.6068660012</v>
      </c>
      <c r="G66" s="39">
        <v>45413</v>
      </c>
    </row>
    <row r="67" spans="1:7" x14ac:dyDescent="0.25">
      <c r="A67" t="s">
        <v>21</v>
      </c>
      <c r="B67">
        <v>2024</v>
      </c>
      <c r="C67" t="s">
        <v>12</v>
      </c>
      <c r="F67">
        <v>2349884.6068660012</v>
      </c>
      <c r="G67" s="39">
        <v>45444</v>
      </c>
    </row>
    <row r="68" spans="1:7" x14ac:dyDescent="0.25">
      <c r="A68" t="s">
        <v>21</v>
      </c>
      <c r="B68">
        <v>2024</v>
      </c>
      <c r="C68" t="s">
        <v>13</v>
      </c>
      <c r="F68">
        <v>2349884.6068660012</v>
      </c>
      <c r="G68" s="39">
        <v>45474</v>
      </c>
    </row>
    <row r="69" spans="1:7" x14ac:dyDescent="0.25">
      <c r="A69" t="s">
        <v>21</v>
      </c>
      <c r="B69">
        <v>2024</v>
      </c>
      <c r="C69" t="s">
        <v>14</v>
      </c>
      <c r="F69">
        <v>2349884.6068660012</v>
      </c>
      <c r="G69" s="39">
        <v>45505</v>
      </c>
    </row>
    <row r="70" spans="1:7" x14ac:dyDescent="0.25">
      <c r="A70" t="s">
        <v>21</v>
      </c>
      <c r="B70">
        <v>2024</v>
      </c>
      <c r="C70" t="s">
        <v>15</v>
      </c>
      <c r="F70">
        <v>2349884.6068660012</v>
      </c>
      <c r="G70" s="39">
        <v>45536</v>
      </c>
    </row>
    <row r="71" spans="1:7" x14ac:dyDescent="0.25">
      <c r="A71" t="s">
        <v>21</v>
      </c>
      <c r="B71">
        <v>2024</v>
      </c>
      <c r="C71" t="s">
        <v>16</v>
      </c>
      <c r="F71">
        <v>2349884.6068660012</v>
      </c>
      <c r="G71" s="39">
        <v>45566</v>
      </c>
    </row>
    <row r="72" spans="1:7" x14ac:dyDescent="0.25">
      <c r="A72" t="s">
        <v>21</v>
      </c>
      <c r="B72">
        <v>2024</v>
      </c>
      <c r="C72" t="s">
        <v>17</v>
      </c>
      <c r="F72">
        <v>2349884.6068660012</v>
      </c>
      <c r="G72" s="39">
        <v>45597</v>
      </c>
    </row>
    <row r="73" spans="1:7" x14ac:dyDescent="0.25">
      <c r="A73" t="s">
        <v>21</v>
      </c>
      <c r="B73">
        <v>2024</v>
      </c>
      <c r="C73" t="s">
        <v>18</v>
      </c>
      <c r="F73">
        <v>2349884.6068660012</v>
      </c>
      <c r="G73" s="39">
        <v>45627</v>
      </c>
    </row>
    <row r="74" spans="1:7" x14ac:dyDescent="0.25">
      <c r="A74" t="s">
        <v>22</v>
      </c>
      <c r="B74">
        <v>2019</v>
      </c>
      <c r="C74" t="s">
        <v>7</v>
      </c>
      <c r="D74">
        <v>3751711.9649979998</v>
      </c>
      <c r="E74">
        <v>2501010.003889</v>
      </c>
      <c r="F74">
        <v>5221786.7991239997</v>
      </c>
      <c r="G74" s="39">
        <v>43466</v>
      </c>
    </row>
    <row r="75" spans="1:7" x14ac:dyDescent="0.25">
      <c r="A75" t="s">
        <v>22</v>
      </c>
      <c r="B75">
        <v>2019</v>
      </c>
      <c r="C75" t="s">
        <v>8</v>
      </c>
      <c r="D75">
        <v>4223304.05</v>
      </c>
      <c r="E75">
        <v>4236505.6979400003</v>
      </c>
      <c r="F75">
        <v>5208585.1511839991</v>
      </c>
      <c r="G75" s="39">
        <v>43497</v>
      </c>
    </row>
    <row r="76" spans="1:7" x14ac:dyDescent="0.25">
      <c r="A76" t="s">
        <v>22</v>
      </c>
      <c r="B76">
        <v>2019</v>
      </c>
      <c r="C76" t="s">
        <v>9</v>
      </c>
      <c r="D76">
        <v>4262935.5899820002</v>
      </c>
      <c r="E76">
        <v>4155328.3259950001</v>
      </c>
      <c r="F76">
        <v>5316192.4151709992</v>
      </c>
      <c r="G76" s="39">
        <v>43525</v>
      </c>
    </row>
    <row r="77" spans="1:7" x14ac:dyDescent="0.25">
      <c r="A77" t="s">
        <v>22</v>
      </c>
      <c r="B77">
        <v>2019</v>
      </c>
      <c r="C77" t="s">
        <v>10</v>
      </c>
      <c r="D77">
        <v>4323009.2599940002</v>
      </c>
      <c r="E77">
        <v>4342638.7515089996</v>
      </c>
      <c r="F77">
        <v>5296562.9236559998</v>
      </c>
      <c r="G77" s="39">
        <v>43556</v>
      </c>
    </row>
    <row r="78" spans="1:7" x14ac:dyDescent="0.25">
      <c r="A78" t="s">
        <v>22</v>
      </c>
      <c r="B78">
        <v>2019</v>
      </c>
      <c r="C78" t="s">
        <v>11</v>
      </c>
      <c r="D78">
        <v>5280186.5606540004</v>
      </c>
      <c r="E78">
        <v>4889465.5199870002</v>
      </c>
      <c r="F78">
        <v>5687283.964323001</v>
      </c>
      <c r="G78" s="39">
        <v>43586</v>
      </c>
    </row>
    <row r="79" spans="1:7" x14ac:dyDescent="0.25">
      <c r="A79" t="s">
        <v>22</v>
      </c>
      <c r="B79">
        <v>2019</v>
      </c>
      <c r="C79" t="s">
        <v>12</v>
      </c>
      <c r="D79">
        <v>3914501.1899469998</v>
      </c>
      <c r="E79">
        <v>4169664.8104690001</v>
      </c>
      <c r="F79">
        <v>5432120.3438010011</v>
      </c>
      <c r="G79" s="39">
        <v>43617</v>
      </c>
    </row>
    <row r="80" spans="1:7" x14ac:dyDescent="0.25">
      <c r="A80" t="s">
        <v>22</v>
      </c>
      <c r="B80">
        <v>2019</v>
      </c>
      <c r="C80" t="s">
        <v>13</v>
      </c>
      <c r="D80">
        <v>4630828.2739509996</v>
      </c>
      <c r="E80">
        <v>4566543.9610230001</v>
      </c>
      <c r="F80">
        <v>5496404.6567290006</v>
      </c>
      <c r="G80" s="39">
        <v>43647</v>
      </c>
    </row>
    <row r="81" spans="1:7" x14ac:dyDescent="0.25">
      <c r="A81" t="s">
        <v>22</v>
      </c>
      <c r="B81">
        <v>2019</v>
      </c>
      <c r="C81" t="s">
        <v>14</v>
      </c>
      <c r="D81">
        <v>4146104.1253550001</v>
      </c>
      <c r="E81">
        <v>4092500.5590039999</v>
      </c>
      <c r="F81">
        <v>5550008.2230800018</v>
      </c>
      <c r="G81" s="39">
        <v>43678</v>
      </c>
    </row>
    <row r="82" spans="1:7" x14ac:dyDescent="0.25">
      <c r="A82" t="s">
        <v>22</v>
      </c>
      <c r="B82">
        <v>2019</v>
      </c>
      <c r="C82" t="s">
        <v>15</v>
      </c>
      <c r="D82">
        <v>5528729.6871389998</v>
      </c>
      <c r="E82">
        <v>5284546.9404149996</v>
      </c>
      <c r="F82">
        <v>5794190.9698040029</v>
      </c>
      <c r="G82" s="39">
        <v>43709</v>
      </c>
    </row>
    <row r="83" spans="1:7" x14ac:dyDescent="0.25">
      <c r="A83" t="s">
        <v>22</v>
      </c>
      <c r="B83">
        <v>2019</v>
      </c>
      <c r="C83" t="s">
        <v>16</v>
      </c>
      <c r="D83">
        <v>5861553.5824379995</v>
      </c>
      <c r="E83">
        <v>6004390.025231</v>
      </c>
      <c r="F83">
        <v>5651354.5270110033</v>
      </c>
      <c r="G83" s="39">
        <v>43739</v>
      </c>
    </row>
    <row r="84" spans="1:7" x14ac:dyDescent="0.25">
      <c r="A84" t="s">
        <v>22</v>
      </c>
      <c r="B84">
        <v>2019</v>
      </c>
      <c r="C84" t="s">
        <v>17</v>
      </c>
      <c r="D84">
        <v>5835029.4499970004</v>
      </c>
      <c r="E84">
        <v>5695295.2891039997</v>
      </c>
      <c r="F84">
        <v>5791088.687904004</v>
      </c>
      <c r="G84" s="39">
        <v>43770</v>
      </c>
    </row>
    <row r="85" spans="1:7" x14ac:dyDescent="0.25">
      <c r="A85" t="s">
        <v>22</v>
      </c>
      <c r="B85">
        <v>2019</v>
      </c>
      <c r="C85" t="s">
        <v>18</v>
      </c>
      <c r="D85">
        <v>1991396.346843</v>
      </c>
      <c r="E85">
        <v>3713498.6882679998</v>
      </c>
      <c r="F85">
        <v>4068986.3464790047</v>
      </c>
      <c r="G85" s="39">
        <v>43800</v>
      </c>
    </row>
    <row r="86" spans="1:7" x14ac:dyDescent="0.25">
      <c r="A86" t="s">
        <v>22</v>
      </c>
      <c r="B86">
        <v>2020</v>
      </c>
      <c r="C86" t="s">
        <v>7</v>
      </c>
      <c r="D86">
        <v>3543286.5356640001</v>
      </c>
      <c r="E86">
        <v>3119793.3005980002</v>
      </c>
      <c r="F86">
        <v>4492479.5815450046</v>
      </c>
      <c r="G86" s="39">
        <v>43831</v>
      </c>
    </row>
    <row r="87" spans="1:7" x14ac:dyDescent="0.25">
      <c r="A87" t="s">
        <v>22</v>
      </c>
      <c r="B87">
        <v>2020</v>
      </c>
      <c r="C87" t="s">
        <v>8</v>
      </c>
      <c r="D87">
        <v>5747523.3499990003</v>
      </c>
      <c r="E87">
        <v>4819844.27269</v>
      </c>
      <c r="F87">
        <v>5420158.6588540059</v>
      </c>
      <c r="G87" s="39">
        <v>43862</v>
      </c>
    </row>
    <row r="88" spans="1:7" x14ac:dyDescent="0.25">
      <c r="A88" t="s">
        <v>22</v>
      </c>
      <c r="B88">
        <v>2020</v>
      </c>
      <c r="C88" t="s">
        <v>9</v>
      </c>
      <c r="D88">
        <v>6034553.2232280001</v>
      </c>
      <c r="E88">
        <v>5899908.5502359997</v>
      </c>
      <c r="F88">
        <v>5554803.3318460062</v>
      </c>
      <c r="G88" s="39">
        <v>43891</v>
      </c>
    </row>
    <row r="89" spans="1:7" x14ac:dyDescent="0.25">
      <c r="A89" t="s">
        <v>22</v>
      </c>
      <c r="B89">
        <v>2020</v>
      </c>
      <c r="C89" t="s">
        <v>10</v>
      </c>
      <c r="D89">
        <v>1480967.11</v>
      </c>
      <c r="E89">
        <v>3321280.5337629998</v>
      </c>
      <c r="F89">
        <v>3714489.9080830067</v>
      </c>
      <c r="G89" s="39">
        <v>43922</v>
      </c>
    </row>
    <row r="90" spans="1:7" x14ac:dyDescent="0.25">
      <c r="A90" t="s">
        <v>22</v>
      </c>
      <c r="B90">
        <v>2020</v>
      </c>
      <c r="C90" t="s">
        <v>11</v>
      </c>
      <c r="D90">
        <v>4959437.1021069996</v>
      </c>
      <c r="E90">
        <v>4785417.0077010002</v>
      </c>
      <c r="F90">
        <v>3888510.0024890061</v>
      </c>
      <c r="G90" s="39">
        <v>43952</v>
      </c>
    </row>
    <row r="91" spans="1:7" x14ac:dyDescent="0.25">
      <c r="A91" t="s">
        <v>22</v>
      </c>
      <c r="B91">
        <v>2020</v>
      </c>
      <c r="C91" t="s">
        <v>12</v>
      </c>
      <c r="D91">
        <v>6034315.5799939996</v>
      </c>
      <c r="E91">
        <v>5615920.2530760001</v>
      </c>
      <c r="F91">
        <v>4306905.3294070046</v>
      </c>
      <c r="G91" s="39">
        <v>43983</v>
      </c>
    </row>
    <row r="92" spans="1:7" x14ac:dyDescent="0.25">
      <c r="A92" t="s">
        <v>22</v>
      </c>
      <c r="B92">
        <v>2020</v>
      </c>
      <c r="C92" t="s">
        <v>13</v>
      </c>
      <c r="D92">
        <v>6789679.960825</v>
      </c>
      <c r="E92">
        <v>6111601.7598740002</v>
      </c>
      <c r="F92">
        <v>4984983.5303580044</v>
      </c>
      <c r="G92" s="39">
        <v>44013</v>
      </c>
    </row>
    <row r="93" spans="1:7" x14ac:dyDescent="0.25">
      <c r="A93" t="s">
        <v>22</v>
      </c>
      <c r="B93">
        <v>2020</v>
      </c>
      <c r="C93" t="s">
        <v>14</v>
      </c>
      <c r="D93">
        <v>5696430.6594519997</v>
      </c>
      <c r="E93">
        <v>5088614.8441350004</v>
      </c>
      <c r="F93">
        <v>5592799.3456750037</v>
      </c>
      <c r="G93" s="39">
        <v>44044</v>
      </c>
    </row>
    <row r="94" spans="1:7" x14ac:dyDescent="0.25">
      <c r="A94" t="s">
        <v>22</v>
      </c>
      <c r="B94">
        <v>2020</v>
      </c>
      <c r="C94" t="s">
        <v>15</v>
      </c>
      <c r="D94">
        <v>5863284.5966450004</v>
      </c>
      <c r="E94">
        <v>6322707.8481599996</v>
      </c>
      <c r="F94">
        <v>5133376.0941600045</v>
      </c>
      <c r="G94" s="39">
        <v>44075</v>
      </c>
    </row>
    <row r="95" spans="1:7" x14ac:dyDescent="0.25">
      <c r="A95" t="s">
        <v>22</v>
      </c>
      <c r="B95">
        <v>2020</v>
      </c>
      <c r="C95" t="s">
        <v>16</v>
      </c>
      <c r="D95">
        <v>7276081.4250569995</v>
      </c>
      <c r="E95">
        <v>6633275.775599</v>
      </c>
      <c r="F95">
        <v>5776181.7436180031</v>
      </c>
      <c r="G95" s="39">
        <v>44105</v>
      </c>
    </row>
    <row r="96" spans="1:7" x14ac:dyDescent="0.25">
      <c r="A96" t="s">
        <v>22</v>
      </c>
      <c r="B96">
        <v>2020</v>
      </c>
      <c r="C96" t="s">
        <v>17</v>
      </c>
      <c r="D96">
        <v>7051367.7699870002</v>
      </c>
      <c r="E96">
        <v>6868759.3640670003</v>
      </c>
      <c r="F96">
        <v>5958790.149538002</v>
      </c>
      <c r="G96" s="39">
        <v>44136</v>
      </c>
    </row>
    <row r="97" spans="1:7" x14ac:dyDescent="0.25">
      <c r="A97" t="s">
        <v>22</v>
      </c>
      <c r="B97">
        <v>2020</v>
      </c>
      <c r="C97" t="s">
        <v>18</v>
      </c>
      <c r="D97">
        <v>3064834.1055959999</v>
      </c>
      <c r="E97">
        <v>4874205.1598920003</v>
      </c>
      <c r="F97">
        <v>4149419.0952420011</v>
      </c>
      <c r="G97" s="39">
        <v>44166</v>
      </c>
    </row>
    <row r="98" spans="1:7" x14ac:dyDescent="0.25">
      <c r="A98" t="s">
        <v>22</v>
      </c>
      <c r="B98">
        <v>2021</v>
      </c>
      <c r="C98" t="s">
        <v>7</v>
      </c>
      <c r="D98">
        <v>6120153.7719409997</v>
      </c>
      <c r="E98">
        <v>4435765.2141650002</v>
      </c>
      <c r="F98">
        <v>5833807.6530179996</v>
      </c>
      <c r="G98" s="39">
        <v>44197</v>
      </c>
    </row>
    <row r="99" spans="1:7" x14ac:dyDescent="0.25">
      <c r="A99" t="s">
        <v>22</v>
      </c>
      <c r="B99">
        <v>2021</v>
      </c>
      <c r="C99" t="s">
        <v>8</v>
      </c>
      <c r="D99">
        <v>7553601.7909829998</v>
      </c>
      <c r="E99">
        <v>7304855.8084869999</v>
      </c>
      <c r="F99">
        <v>6082553.6355140004</v>
      </c>
      <c r="G99" s="39">
        <v>44228</v>
      </c>
    </row>
    <row r="100" spans="1:7" x14ac:dyDescent="0.25">
      <c r="A100" t="s">
        <v>22</v>
      </c>
      <c r="B100">
        <v>2021</v>
      </c>
      <c r="C100" t="s">
        <v>9</v>
      </c>
      <c r="D100">
        <v>9833661.2693169992</v>
      </c>
      <c r="E100">
        <v>7930542.7487159995</v>
      </c>
      <c r="F100">
        <v>7985672.1561150001</v>
      </c>
      <c r="G100" s="39">
        <v>44256</v>
      </c>
    </row>
    <row r="101" spans="1:7" x14ac:dyDescent="0.25">
      <c r="A101" t="s">
        <v>22</v>
      </c>
      <c r="B101">
        <v>2021</v>
      </c>
      <c r="C101" t="s">
        <v>10</v>
      </c>
      <c r="D101">
        <v>9384547.4090139996</v>
      </c>
      <c r="E101">
        <v>8793159.2670510001</v>
      </c>
      <c r="F101">
        <v>8577060.2980780005</v>
      </c>
      <c r="G101" s="39">
        <v>44287</v>
      </c>
    </row>
    <row r="102" spans="1:7" x14ac:dyDescent="0.25">
      <c r="A102" t="s">
        <v>22</v>
      </c>
      <c r="B102">
        <v>2021</v>
      </c>
      <c r="C102" t="s">
        <v>11</v>
      </c>
      <c r="D102">
        <v>9031107.062965</v>
      </c>
      <c r="E102">
        <v>9204113.0773370005</v>
      </c>
      <c r="F102">
        <v>8404054.2837059982</v>
      </c>
      <c r="G102" s="39">
        <v>44317</v>
      </c>
    </row>
    <row r="103" spans="1:7" x14ac:dyDescent="0.25">
      <c r="A103" t="s">
        <v>22</v>
      </c>
      <c r="B103">
        <v>2021</v>
      </c>
      <c r="C103" t="s">
        <v>12</v>
      </c>
      <c r="D103">
        <v>9705943.6199600007</v>
      </c>
      <c r="E103">
        <v>7712565.8447780004</v>
      </c>
      <c r="F103">
        <v>10397432.058887996</v>
      </c>
      <c r="G103" s="39">
        <v>44348</v>
      </c>
    </row>
    <row r="104" spans="1:7" x14ac:dyDescent="0.25">
      <c r="A104" t="s">
        <v>22</v>
      </c>
      <c r="B104">
        <v>2021</v>
      </c>
      <c r="C104" t="s">
        <v>13</v>
      </c>
      <c r="D104">
        <v>8722438.8476589993</v>
      </c>
      <c r="E104">
        <v>8799273.209663</v>
      </c>
      <c r="F104">
        <v>10320597.696883995</v>
      </c>
      <c r="G104" s="39">
        <v>44378</v>
      </c>
    </row>
    <row r="105" spans="1:7" x14ac:dyDescent="0.25">
      <c r="A105" t="s">
        <v>22</v>
      </c>
      <c r="B105">
        <v>2021</v>
      </c>
      <c r="C105" t="s">
        <v>14</v>
      </c>
      <c r="D105">
        <v>9397420.8757349998</v>
      </c>
      <c r="E105">
        <v>9490763.0879529994</v>
      </c>
      <c r="F105">
        <v>10227255.484665995</v>
      </c>
      <c r="G105" s="39">
        <v>44409</v>
      </c>
    </row>
    <row r="106" spans="1:7" x14ac:dyDescent="0.25">
      <c r="A106" t="s">
        <v>22</v>
      </c>
      <c r="B106">
        <v>2021</v>
      </c>
      <c r="C106" t="s">
        <v>15</v>
      </c>
      <c r="D106">
        <v>8996626.4899579994</v>
      </c>
      <c r="E106">
        <v>8650529.7924169991</v>
      </c>
      <c r="F106">
        <v>10573352.182206994</v>
      </c>
      <c r="G106" s="39">
        <v>44440</v>
      </c>
    </row>
    <row r="107" spans="1:7" x14ac:dyDescent="0.25">
      <c r="A107" t="s">
        <v>22</v>
      </c>
      <c r="B107">
        <v>2021</v>
      </c>
      <c r="C107" t="s">
        <v>16</v>
      </c>
      <c r="D107">
        <v>11616718.286996</v>
      </c>
      <c r="E107">
        <v>10424430.94918</v>
      </c>
      <c r="F107">
        <v>11765639.520022996</v>
      </c>
      <c r="G107" s="39">
        <v>44470</v>
      </c>
    </row>
    <row r="108" spans="1:7" x14ac:dyDescent="0.25">
      <c r="A108" t="s">
        <v>22</v>
      </c>
      <c r="B108">
        <v>2021</v>
      </c>
      <c r="C108" t="s">
        <v>17</v>
      </c>
      <c r="D108">
        <v>10916735.793287</v>
      </c>
      <c r="E108">
        <v>9891064.0345649999</v>
      </c>
      <c r="F108">
        <v>12791311.278744997</v>
      </c>
      <c r="G108" s="39">
        <v>44501</v>
      </c>
    </row>
    <row r="109" spans="1:7" x14ac:dyDescent="0.25">
      <c r="A109" t="s">
        <v>22</v>
      </c>
      <c r="B109">
        <v>2021</v>
      </c>
      <c r="C109" t="s">
        <v>18</v>
      </c>
      <c r="D109">
        <v>4602205.7914840002</v>
      </c>
      <c r="E109">
        <v>7044454.6213039998</v>
      </c>
      <c r="F109">
        <v>10349062.448924998</v>
      </c>
      <c r="G109" s="39">
        <v>44531</v>
      </c>
    </row>
    <row r="110" spans="1:7" x14ac:dyDescent="0.25">
      <c r="A110" t="s">
        <v>22</v>
      </c>
      <c r="B110">
        <v>2022</v>
      </c>
      <c r="C110" t="s">
        <v>7</v>
      </c>
      <c r="D110">
        <v>10667080.220527001</v>
      </c>
      <c r="E110">
        <v>7844485.7066169996</v>
      </c>
      <c r="F110">
        <v>13171656.962834997</v>
      </c>
      <c r="G110" s="39">
        <v>44562</v>
      </c>
    </row>
    <row r="111" spans="1:7" x14ac:dyDescent="0.25">
      <c r="A111" t="s">
        <v>22</v>
      </c>
      <c r="B111">
        <v>2022</v>
      </c>
      <c r="C111" t="s">
        <v>8</v>
      </c>
      <c r="D111">
        <v>12171876.959523</v>
      </c>
      <c r="E111">
        <v>10508286.465544</v>
      </c>
      <c r="F111">
        <v>14835247.456813999</v>
      </c>
      <c r="G111" s="39">
        <v>44593</v>
      </c>
    </row>
    <row r="112" spans="1:7" x14ac:dyDescent="0.25">
      <c r="A112" t="s">
        <v>22</v>
      </c>
      <c r="B112">
        <v>2022</v>
      </c>
      <c r="C112" t="s">
        <v>9</v>
      </c>
      <c r="D112">
        <v>13955216.163315</v>
      </c>
      <c r="E112">
        <v>13725868.732075</v>
      </c>
      <c r="F112">
        <v>15064594.888053996</v>
      </c>
      <c r="G112" s="39">
        <v>44621</v>
      </c>
    </row>
    <row r="113" spans="1:7" x14ac:dyDescent="0.25">
      <c r="A113" t="s">
        <v>22</v>
      </c>
      <c r="B113">
        <v>2022</v>
      </c>
      <c r="C113" t="s">
        <v>10</v>
      </c>
      <c r="D113">
        <v>10527031.819977</v>
      </c>
      <c r="E113">
        <v>8942112.8218869995</v>
      </c>
      <c r="F113">
        <v>16649513.886143999</v>
      </c>
      <c r="G113" s="39">
        <v>44652</v>
      </c>
    </row>
    <row r="114" spans="1:7" x14ac:dyDescent="0.25">
      <c r="A114" t="s">
        <v>22</v>
      </c>
      <c r="B114">
        <v>2022</v>
      </c>
      <c r="C114" t="s">
        <v>11</v>
      </c>
      <c r="D114">
        <v>10703007.337916</v>
      </c>
      <c r="E114">
        <v>10391701.261731001</v>
      </c>
      <c r="F114">
        <v>16960819.962329</v>
      </c>
      <c r="G114" s="39">
        <v>44682</v>
      </c>
    </row>
    <row r="115" spans="1:7" x14ac:dyDescent="0.25">
      <c r="A115" t="s">
        <v>22</v>
      </c>
      <c r="B115">
        <v>2022</v>
      </c>
      <c r="C115" t="s">
        <v>12</v>
      </c>
      <c r="D115">
        <v>5037093.395912</v>
      </c>
      <c r="E115">
        <v>7498646.4082429996</v>
      </c>
      <c r="F115">
        <v>14499266.949997999</v>
      </c>
      <c r="G115" s="39">
        <v>44713</v>
      </c>
    </row>
    <row r="116" spans="1:7" x14ac:dyDescent="0.25">
      <c r="A116" t="s">
        <v>22</v>
      </c>
      <c r="B116">
        <v>2022</v>
      </c>
      <c r="C116" t="s">
        <v>13</v>
      </c>
      <c r="D116">
        <v>6915795.6556879999</v>
      </c>
      <c r="E116">
        <v>8984662.586375</v>
      </c>
      <c r="F116">
        <v>12430400.019310998</v>
      </c>
      <c r="G116" s="39">
        <v>44743</v>
      </c>
    </row>
    <row r="117" spans="1:7" x14ac:dyDescent="0.25">
      <c r="A117" t="s">
        <v>22</v>
      </c>
      <c r="B117">
        <v>2022</v>
      </c>
      <c r="C117" t="s">
        <v>14</v>
      </c>
      <c r="D117">
        <v>7404041.155913</v>
      </c>
      <c r="E117">
        <v>8679655.0553120002</v>
      </c>
      <c r="F117">
        <v>11154786.119911999</v>
      </c>
      <c r="G117" s="39">
        <v>44774</v>
      </c>
    </row>
    <row r="118" spans="1:7" x14ac:dyDescent="0.25">
      <c r="A118" t="s">
        <v>22</v>
      </c>
      <c r="B118">
        <v>2022</v>
      </c>
      <c r="C118" t="s">
        <v>15</v>
      </c>
      <c r="D118">
        <v>7872289.899987</v>
      </c>
      <c r="E118">
        <v>9616252.3501019999</v>
      </c>
      <c r="F118">
        <v>9410823.6697969995</v>
      </c>
      <c r="G118" s="39">
        <v>44805</v>
      </c>
    </row>
    <row r="119" spans="1:7" x14ac:dyDescent="0.25">
      <c r="A119" t="s">
        <v>22</v>
      </c>
      <c r="B119">
        <v>2022</v>
      </c>
      <c r="C119" t="s">
        <v>16</v>
      </c>
      <c r="D119">
        <v>8684340.909976</v>
      </c>
      <c r="E119">
        <v>9627003.9558160007</v>
      </c>
      <c r="F119">
        <v>8468160.6239570007</v>
      </c>
      <c r="G119" s="39">
        <v>44835</v>
      </c>
    </row>
    <row r="120" spans="1:7" x14ac:dyDescent="0.25">
      <c r="A120" t="s">
        <v>22</v>
      </c>
      <c r="B120">
        <v>2022</v>
      </c>
      <c r="C120" t="s">
        <v>17</v>
      </c>
      <c r="D120">
        <v>8100503.1699919999</v>
      </c>
      <c r="E120">
        <v>9296354.4966509994</v>
      </c>
      <c r="F120">
        <v>7272309.2972980011</v>
      </c>
      <c r="G120" s="39">
        <v>44866</v>
      </c>
    </row>
    <row r="121" spans="1:7" x14ac:dyDescent="0.25">
      <c r="A121" t="s">
        <v>22</v>
      </c>
      <c r="B121">
        <v>2022</v>
      </c>
      <c r="C121" t="s">
        <v>18</v>
      </c>
      <c r="D121">
        <v>4746658.1504729996</v>
      </c>
      <c r="E121">
        <v>5665172.2447419995</v>
      </c>
      <c r="F121">
        <v>6353795.2030290021</v>
      </c>
      <c r="G121" s="39">
        <v>44896</v>
      </c>
    </row>
    <row r="122" spans="1:7" x14ac:dyDescent="0.25">
      <c r="A122" t="s">
        <v>22</v>
      </c>
      <c r="B122">
        <v>2023</v>
      </c>
      <c r="C122" t="s">
        <v>7</v>
      </c>
      <c r="D122">
        <v>6969774.6472929996</v>
      </c>
      <c r="E122">
        <v>4453739.0603649998</v>
      </c>
      <c r="F122">
        <v>8869830.7899570018</v>
      </c>
      <c r="G122" s="39">
        <v>44927</v>
      </c>
    </row>
    <row r="123" spans="1:7" x14ac:dyDescent="0.25">
      <c r="A123" t="s">
        <v>22</v>
      </c>
      <c r="B123">
        <v>2023</v>
      </c>
      <c r="C123" t="s">
        <v>8</v>
      </c>
      <c r="D123">
        <v>6926789.109987</v>
      </c>
      <c r="E123">
        <v>7383132.3134890003</v>
      </c>
      <c r="F123">
        <v>8413487.5864550024</v>
      </c>
      <c r="G123" s="39">
        <v>44958</v>
      </c>
    </row>
    <row r="124" spans="1:7" x14ac:dyDescent="0.25">
      <c r="A124" t="s">
        <v>22</v>
      </c>
      <c r="B124">
        <v>2023</v>
      </c>
      <c r="C124" t="s">
        <v>9</v>
      </c>
      <c r="D124">
        <v>8600036.4699939992</v>
      </c>
      <c r="E124">
        <v>7519585.3439389998</v>
      </c>
      <c r="F124">
        <v>9493938.7125100046</v>
      </c>
      <c r="G124" s="39">
        <v>44986</v>
      </c>
    </row>
    <row r="125" spans="1:7" x14ac:dyDescent="0.25">
      <c r="A125" t="s">
        <v>22</v>
      </c>
      <c r="B125">
        <v>2023</v>
      </c>
      <c r="C125" t="s">
        <v>10</v>
      </c>
      <c r="D125">
        <v>5780243.8499609996</v>
      </c>
      <c r="E125">
        <v>5938744.5697379997</v>
      </c>
      <c r="F125">
        <v>9335437.9927330054</v>
      </c>
      <c r="G125" s="39">
        <v>45017</v>
      </c>
    </row>
    <row r="126" spans="1:7" x14ac:dyDescent="0.25">
      <c r="A126" t="s">
        <v>22</v>
      </c>
      <c r="B126">
        <v>2023</v>
      </c>
      <c r="C126" t="s">
        <v>11</v>
      </c>
      <c r="D126">
        <v>8811594.5262160003</v>
      </c>
      <c r="E126">
        <v>8807402.6092179995</v>
      </c>
      <c r="F126">
        <v>9339629.9097310062</v>
      </c>
      <c r="G126" s="39">
        <v>45047</v>
      </c>
    </row>
    <row r="127" spans="1:7" x14ac:dyDescent="0.25">
      <c r="A127" t="s">
        <v>22</v>
      </c>
      <c r="B127">
        <v>2023</v>
      </c>
      <c r="C127" t="s">
        <v>12</v>
      </c>
      <c r="D127">
        <v>7338449.2147040004</v>
      </c>
      <c r="E127">
        <v>7254968.0544819999</v>
      </c>
      <c r="F127">
        <v>9423111.0699530076</v>
      </c>
      <c r="G127" s="39">
        <v>45078</v>
      </c>
    </row>
    <row r="128" spans="1:7" x14ac:dyDescent="0.25">
      <c r="A128" t="s">
        <v>22</v>
      </c>
      <c r="B128">
        <v>2023</v>
      </c>
      <c r="C128" t="s">
        <v>13</v>
      </c>
      <c r="D128">
        <v>6672981.7399899997</v>
      </c>
      <c r="E128">
        <v>6519521.4798870003</v>
      </c>
      <c r="F128">
        <v>9576571.330056008</v>
      </c>
      <c r="G128" s="39">
        <v>45108</v>
      </c>
    </row>
    <row r="129" spans="1:7" x14ac:dyDescent="0.25">
      <c r="A129" t="s">
        <v>22</v>
      </c>
      <c r="B129">
        <v>2023</v>
      </c>
      <c r="C129" t="s">
        <v>14</v>
      </c>
      <c r="D129">
        <v>10226310.932941999</v>
      </c>
      <c r="E129">
        <v>10161431.491062</v>
      </c>
      <c r="F129">
        <v>9641450.7719360068</v>
      </c>
      <c r="G129" s="39">
        <v>45139</v>
      </c>
    </row>
    <row r="130" spans="1:7" x14ac:dyDescent="0.25">
      <c r="A130" t="s">
        <v>22</v>
      </c>
      <c r="B130">
        <v>2023</v>
      </c>
      <c r="C130" t="s">
        <v>15</v>
      </c>
      <c r="D130">
        <v>8368927.7261199998</v>
      </c>
      <c r="E130">
        <v>8692489.4134969991</v>
      </c>
      <c r="F130">
        <v>9317889.0845590066</v>
      </c>
      <c r="G130" s="39">
        <v>45170</v>
      </c>
    </row>
    <row r="131" spans="1:7" x14ac:dyDescent="0.25">
      <c r="A131" t="s">
        <v>22</v>
      </c>
      <c r="B131">
        <v>2023</v>
      </c>
      <c r="C131" t="s">
        <v>16</v>
      </c>
      <c r="D131">
        <v>10380820.421824999</v>
      </c>
      <c r="E131">
        <v>9759736.1772119999</v>
      </c>
      <c r="F131">
        <v>9938973.3291720077</v>
      </c>
      <c r="G131" s="39">
        <v>45200</v>
      </c>
    </row>
    <row r="132" spans="1:7" x14ac:dyDescent="0.25">
      <c r="A132" t="s">
        <v>22</v>
      </c>
      <c r="B132">
        <v>2023</v>
      </c>
      <c r="C132" t="s">
        <v>17</v>
      </c>
      <c r="D132">
        <v>8888126.8299889993</v>
      </c>
      <c r="E132">
        <v>8708290.1002610009</v>
      </c>
      <c r="F132">
        <v>10118810.058900008</v>
      </c>
      <c r="G132" s="39">
        <v>45231</v>
      </c>
    </row>
    <row r="133" spans="1:7" x14ac:dyDescent="0.25">
      <c r="A133" t="s">
        <v>22</v>
      </c>
      <c r="B133">
        <v>2023</v>
      </c>
      <c r="C133" t="s">
        <v>18</v>
      </c>
      <c r="D133">
        <v>4198089.7124969997</v>
      </c>
      <c r="E133">
        <v>5796796.852465</v>
      </c>
      <c r="F133">
        <v>8520102.9189320076</v>
      </c>
      <c r="G133" s="39">
        <v>45261</v>
      </c>
    </row>
    <row r="134" spans="1:7" x14ac:dyDescent="0.25">
      <c r="A134" t="s">
        <v>22</v>
      </c>
      <c r="B134">
        <v>2024</v>
      </c>
      <c r="C134" t="s">
        <v>7</v>
      </c>
      <c r="F134">
        <v>8520102.9189320076</v>
      </c>
      <c r="G134" s="39">
        <v>45292</v>
      </c>
    </row>
    <row r="135" spans="1:7" x14ac:dyDescent="0.25">
      <c r="A135" t="s">
        <v>22</v>
      </c>
      <c r="B135">
        <v>2024</v>
      </c>
      <c r="C135" t="s">
        <v>8</v>
      </c>
      <c r="F135">
        <v>8520102.9189320076</v>
      </c>
      <c r="G135" s="39">
        <v>45323</v>
      </c>
    </row>
    <row r="136" spans="1:7" x14ac:dyDescent="0.25">
      <c r="A136" t="s">
        <v>22</v>
      </c>
      <c r="B136">
        <v>2024</v>
      </c>
      <c r="C136" t="s">
        <v>9</v>
      </c>
      <c r="F136">
        <v>8520102.9189320076</v>
      </c>
      <c r="G136" s="39">
        <v>45352</v>
      </c>
    </row>
    <row r="137" spans="1:7" x14ac:dyDescent="0.25">
      <c r="A137" t="s">
        <v>22</v>
      </c>
      <c r="B137">
        <v>2024</v>
      </c>
      <c r="C137" t="s">
        <v>10</v>
      </c>
      <c r="F137">
        <v>8520102.9189320076</v>
      </c>
      <c r="G137" s="39">
        <v>45383</v>
      </c>
    </row>
    <row r="138" spans="1:7" x14ac:dyDescent="0.25">
      <c r="A138" t="s">
        <v>22</v>
      </c>
      <c r="B138">
        <v>2024</v>
      </c>
      <c r="C138" t="s">
        <v>11</v>
      </c>
      <c r="F138">
        <v>8520102.9189320076</v>
      </c>
      <c r="G138" s="39">
        <v>45413</v>
      </c>
    </row>
    <row r="139" spans="1:7" x14ac:dyDescent="0.25">
      <c r="A139" t="s">
        <v>22</v>
      </c>
      <c r="B139">
        <v>2024</v>
      </c>
      <c r="C139" t="s">
        <v>12</v>
      </c>
      <c r="F139">
        <v>8520102.9189320076</v>
      </c>
      <c r="G139" s="39">
        <v>45444</v>
      </c>
    </row>
    <row r="140" spans="1:7" x14ac:dyDescent="0.25">
      <c r="A140" t="s">
        <v>22</v>
      </c>
      <c r="B140">
        <v>2024</v>
      </c>
      <c r="C140" t="s">
        <v>13</v>
      </c>
      <c r="F140">
        <v>8520102.9189320076</v>
      </c>
      <c r="G140" s="39">
        <v>45474</v>
      </c>
    </row>
    <row r="141" spans="1:7" x14ac:dyDescent="0.25">
      <c r="A141" t="s">
        <v>22</v>
      </c>
      <c r="B141">
        <v>2024</v>
      </c>
      <c r="C141" t="s">
        <v>14</v>
      </c>
      <c r="F141">
        <v>8520102.9189320076</v>
      </c>
      <c r="G141" s="39">
        <v>45505</v>
      </c>
    </row>
    <row r="142" spans="1:7" x14ac:dyDescent="0.25">
      <c r="A142" t="s">
        <v>22</v>
      </c>
      <c r="B142">
        <v>2024</v>
      </c>
      <c r="C142" t="s">
        <v>15</v>
      </c>
      <c r="F142">
        <v>8520102.9189320076</v>
      </c>
      <c r="G142" s="39">
        <v>45536</v>
      </c>
    </row>
    <row r="143" spans="1:7" x14ac:dyDescent="0.25">
      <c r="A143" t="s">
        <v>22</v>
      </c>
      <c r="B143">
        <v>2024</v>
      </c>
      <c r="C143" t="s">
        <v>16</v>
      </c>
      <c r="F143">
        <v>8520102.9189320076</v>
      </c>
      <c r="G143" s="39">
        <v>45566</v>
      </c>
    </row>
    <row r="144" spans="1:7" x14ac:dyDescent="0.25">
      <c r="A144" t="s">
        <v>22</v>
      </c>
      <c r="B144">
        <v>2024</v>
      </c>
      <c r="C144" t="s">
        <v>17</v>
      </c>
      <c r="F144">
        <v>8520102.9189320076</v>
      </c>
      <c r="G144" s="39">
        <v>45597</v>
      </c>
    </row>
    <row r="145" spans="1:7" x14ac:dyDescent="0.25">
      <c r="A145" t="s">
        <v>22</v>
      </c>
      <c r="B145">
        <v>2024</v>
      </c>
      <c r="C145" t="s">
        <v>18</v>
      </c>
      <c r="F145">
        <v>8520102.9189320076</v>
      </c>
      <c r="G145" s="39">
        <v>45627</v>
      </c>
    </row>
    <row r="146" spans="1:7" x14ac:dyDescent="0.25">
      <c r="A146" t="s">
        <v>23</v>
      </c>
      <c r="B146">
        <v>2019</v>
      </c>
      <c r="C146" t="s">
        <v>7</v>
      </c>
      <c r="D146">
        <v>1001655.82</v>
      </c>
      <c r="E146">
        <v>498441.90149800002</v>
      </c>
      <c r="F146">
        <v>1583411.0426769997</v>
      </c>
      <c r="G146" s="39">
        <v>43466</v>
      </c>
    </row>
    <row r="147" spans="1:7" x14ac:dyDescent="0.25">
      <c r="A147" t="s">
        <v>23</v>
      </c>
      <c r="B147">
        <v>2019</v>
      </c>
      <c r="C147" t="s">
        <v>8</v>
      </c>
      <c r="D147">
        <v>702275.93999900005</v>
      </c>
      <c r="E147">
        <v>859249.824548</v>
      </c>
      <c r="F147">
        <v>1426437.1581279999</v>
      </c>
      <c r="G147" s="39">
        <v>43497</v>
      </c>
    </row>
    <row r="148" spans="1:7" x14ac:dyDescent="0.25">
      <c r="A148" t="s">
        <v>23</v>
      </c>
      <c r="B148">
        <v>2019</v>
      </c>
      <c r="C148" t="s">
        <v>9</v>
      </c>
      <c r="D148">
        <v>762922.07683300006</v>
      </c>
      <c r="E148">
        <v>782903.960617</v>
      </c>
      <c r="F148">
        <v>1406455.2743439998</v>
      </c>
      <c r="G148" s="39">
        <v>43525</v>
      </c>
    </row>
    <row r="149" spans="1:7" x14ac:dyDescent="0.25">
      <c r="A149" t="s">
        <v>23</v>
      </c>
      <c r="B149">
        <v>2019</v>
      </c>
      <c r="C149" t="s">
        <v>10</v>
      </c>
      <c r="D149">
        <v>989667.54</v>
      </c>
      <c r="E149">
        <v>801157.49641699996</v>
      </c>
      <c r="F149">
        <v>1594965.3179270001</v>
      </c>
      <c r="G149" s="39">
        <v>43556</v>
      </c>
    </row>
    <row r="150" spans="1:7" x14ac:dyDescent="0.25">
      <c r="A150" t="s">
        <v>23</v>
      </c>
      <c r="B150">
        <v>2019</v>
      </c>
      <c r="C150" t="s">
        <v>11</v>
      </c>
      <c r="D150">
        <v>795191.59</v>
      </c>
      <c r="E150">
        <v>968095.03161299997</v>
      </c>
      <c r="F150">
        <v>1422061.876314</v>
      </c>
      <c r="G150" s="39">
        <v>43586</v>
      </c>
    </row>
    <row r="151" spans="1:7" x14ac:dyDescent="0.25">
      <c r="A151" t="s">
        <v>23</v>
      </c>
      <c r="B151">
        <v>2019</v>
      </c>
      <c r="C151" t="s">
        <v>12</v>
      </c>
      <c r="D151">
        <v>622381.34</v>
      </c>
      <c r="E151">
        <v>843025.93795399996</v>
      </c>
      <c r="F151">
        <v>1201417.2783600001</v>
      </c>
      <c r="G151" s="39">
        <v>43617</v>
      </c>
    </row>
    <row r="152" spans="1:7" x14ac:dyDescent="0.25">
      <c r="A152" t="s">
        <v>23</v>
      </c>
      <c r="B152">
        <v>2019</v>
      </c>
      <c r="C152" t="s">
        <v>13</v>
      </c>
      <c r="D152">
        <v>1625293.4499989999</v>
      </c>
      <c r="E152">
        <v>947674.28939699999</v>
      </c>
      <c r="F152">
        <v>1879036.438962</v>
      </c>
      <c r="G152" s="39">
        <v>43647</v>
      </c>
    </row>
    <row r="153" spans="1:7" x14ac:dyDescent="0.25">
      <c r="A153" t="s">
        <v>23</v>
      </c>
      <c r="B153">
        <v>2019</v>
      </c>
      <c r="C153" t="s">
        <v>14</v>
      </c>
      <c r="D153">
        <v>413779.60964500002</v>
      </c>
      <c r="E153">
        <v>873124.63841400004</v>
      </c>
      <c r="F153">
        <v>1419691.410193</v>
      </c>
      <c r="G153" s="39">
        <v>43678</v>
      </c>
    </row>
    <row r="154" spans="1:7" x14ac:dyDescent="0.25">
      <c r="A154" t="s">
        <v>23</v>
      </c>
      <c r="B154">
        <v>2019</v>
      </c>
      <c r="C154" t="s">
        <v>15</v>
      </c>
      <c r="D154">
        <v>760352.93</v>
      </c>
      <c r="E154">
        <v>935227.20083999995</v>
      </c>
      <c r="F154">
        <v>1244817.1393530001</v>
      </c>
      <c r="G154" s="39">
        <v>43709</v>
      </c>
    </row>
    <row r="155" spans="1:7" x14ac:dyDescent="0.25">
      <c r="A155" t="s">
        <v>23</v>
      </c>
      <c r="B155">
        <v>2019</v>
      </c>
      <c r="C155" t="s">
        <v>16</v>
      </c>
      <c r="D155">
        <v>1296225.72</v>
      </c>
      <c r="E155">
        <v>1143213.2210919999</v>
      </c>
      <c r="F155">
        <v>1397829.6382610004</v>
      </c>
      <c r="G155" s="39">
        <v>43739</v>
      </c>
    </row>
    <row r="156" spans="1:7" x14ac:dyDescent="0.25">
      <c r="A156" t="s">
        <v>23</v>
      </c>
      <c r="B156">
        <v>2019</v>
      </c>
      <c r="C156" t="s">
        <v>17</v>
      </c>
      <c r="D156">
        <v>1359560.448939</v>
      </c>
      <c r="E156">
        <v>985310.123792</v>
      </c>
      <c r="F156">
        <v>1772079.9634080003</v>
      </c>
      <c r="G156" s="39">
        <v>43770</v>
      </c>
    </row>
    <row r="157" spans="1:7" x14ac:dyDescent="0.25">
      <c r="A157" t="s">
        <v>23</v>
      </c>
      <c r="B157">
        <v>2019</v>
      </c>
      <c r="C157" t="s">
        <v>18</v>
      </c>
      <c r="D157">
        <v>465904.84309400001</v>
      </c>
      <c r="E157">
        <v>681626.95004400006</v>
      </c>
      <c r="F157">
        <v>1556357.8564580004</v>
      </c>
      <c r="G157" s="39">
        <v>43800</v>
      </c>
    </row>
    <row r="158" spans="1:7" x14ac:dyDescent="0.25">
      <c r="A158" t="s">
        <v>23</v>
      </c>
      <c r="B158">
        <v>2020</v>
      </c>
      <c r="C158" t="s">
        <v>7</v>
      </c>
      <c r="D158">
        <v>906559.89</v>
      </c>
      <c r="E158">
        <v>647078.93279600004</v>
      </c>
      <c r="F158">
        <v>1815838.8136620005</v>
      </c>
      <c r="G158" s="39">
        <v>43831</v>
      </c>
    </row>
    <row r="159" spans="1:7" x14ac:dyDescent="0.25">
      <c r="A159" t="s">
        <v>23</v>
      </c>
      <c r="B159">
        <v>2020</v>
      </c>
      <c r="C159" t="s">
        <v>8</v>
      </c>
      <c r="D159">
        <v>685192.26038999995</v>
      </c>
      <c r="E159">
        <v>909687.17082</v>
      </c>
      <c r="F159">
        <v>1591343.9032320003</v>
      </c>
      <c r="G159" s="39">
        <v>43862</v>
      </c>
    </row>
    <row r="160" spans="1:7" x14ac:dyDescent="0.25">
      <c r="A160" t="s">
        <v>23</v>
      </c>
      <c r="B160">
        <v>2020</v>
      </c>
      <c r="C160" t="s">
        <v>9</v>
      </c>
      <c r="D160">
        <v>1474578.639989</v>
      </c>
      <c r="E160">
        <v>1102053.4070979999</v>
      </c>
      <c r="F160">
        <v>1963869.1361230006</v>
      </c>
      <c r="G160" s="39">
        <v>43891</v>
      </c>
    </row>
    <row r="161" spans="1:7" x14ac:dyDescent="0.25">
      <c r="A161" t="s">
        <v>23</v>
      </c>
      <c r="B161">
        <v>2020</v>
      </c>
      <c r="C161" t="s">
        <v>10</v>
      </c>
      <c r="D161">
        <v>467114.909988</v>
      </c>
      <c r="E161">
        <v>590599.20203199994</v>
      </c>
      <c r="F161">
        <v>1840384.8440790009</v>
      </c>
      <c r="G161" s="39">
        <v>43922</v>
      </c>
    </row>
    <row r="162" spans="1:7" x14ac:dyDescent="0.25">
      <c r="A162" t="s">
        <v>23</v>
      </c>
      <c r="B162">
        <v>2020</v>
      </c>
      <c r="C162" t="s">
        <v>11</v>
      </c>
      <c r="D162">
        <v>769238.65731399995</v>
      </c>
      <c r="E162">
        <v>811391.243044</v>
      </c>
      <c r="F162">
        <v>1798232.2583490005</v>
      </c>
      <c r="G162" s="39">
        <v>43952</v>
      </c>
    </row>
    <row r="163" spans="1:7" x14ac:dyDescent="0.25">
      <c r="A163" t="s">
        <v>23</v>
      </c>
      <c r="B163">
        <v>2020</v>
      </c>
      <c r="C163" t="s">
        <v>12</v>
      </c>
      <c r="D163">
        <v>1190417.839992</v>
      </c>
      <c r="E163">
        <v>1203463.0599690001</v>
      </c>
      <c r="F163">
        <v>1785187.0383720002</v>
      </c>
      <c r="G163" s="39">
        <v>43983</v>
      </c>
    </row>
    <row r="164" spans="1:7" x14ac:dyDescent="0.25">
      <c r="A164" t="s">
        <v>23</v>
      </c>
      <c r="B164">
        <v>2020</v>
      </c>
      <c r="C164" t="s">
        <v>13</v>
      </c>
      <c r="D164">
        <v>1974033.099991</v>
      </c>
      <c r="E164">
        <v>1209663.183978</v>
      </c>
      <c r="F164">
        <v>2549556.9543850003</v>
      </c>
      <c r="G164" s="39">
        <v>44013</v>
      </c>
    </row>
    <row r="165" spans="1:7" x14ac:dyDescent="0.25">
      <c r="A165" t="s">
        <v>23</v>
      </c>
      <c r="B165">
        <v>2020</v>
      </c>
      <c r="C165" t="s">
        <v>14</v>
      </c>
      <c r="D165">
        <v>1593278.07999</v>
      </c>
      <c r="E165">
        <v>1130680.216267</v>
      </c>
      <c r="F165">
        <v>3012154.8181080003</v>
      </c>
      <c r="G165" s="39">
        <v>44044</v>
      </c>
    </row>
    <row r="166" spans="1:7" x14ac:dyDescent="0.25">
      <c r="A166" t="s">
        <v>23</v>
      </c>
      <c r="B166">
        <v>2020</v>
      </c>
      <c r="C166" t="s">
        <v>15</v>
      </c>
      <c r="D166">
        <v>531355.50399700005</v>
      </c>
      <c r="E166">
        <v>1315622.7046409999</v>
      </c>
      <c r="F166">
        <v>2227887.6174640004</v>
      </c>
      <c r="G166" s="39">
        <v>44075</v>
      </c>
    </row>
    <row r="167" spans="1:7" x14ac:dyDescent="0.25">
      <c r="A167" t="s">
        <v>23</v>
      </c>
      <c r="B167">
        <v>2020</v>
      </c>
      <c r="C167" t="s">
        <v>16</v>
      </c>
      <c r="D167">
        <v>727326.71998599998</v>
      </c>
      <c r="E167">
        <v>1232126.992046</v>
      </c>
      <c r="F167">
        <v>1723087.3454040005</v>
      </c>
      <c r="G167" s="39">
        <v>44105</v>
      </c>
    </row>
    <row r="168" spans="1:7" x14ac:dyDescent="0.25">
      <c r="A168" t="s">
        <v>23</v>
      </c>
      <c r="B168">
        <v>2020</v>
      </c>
      <c r="C168" t="s">
        <v>17</v>
      </c>
      <c r="D168">
        <v>1397906.0699799999</v>
      </c>
      <c r="E168">
        <v>1091671.7290980001</v>
      </c>
      <c r="F168">
        <v>2029321.6862860001</v>
      </c>
      <c r="G168" s="39">
        <v>44136</v>
      </c>
    </row>
    <row r="169" spans="1:7" x14ac:dyDescent="0.25">
      <c r="A169" t="s">
        <v>23</v>
      </c>
      <c r="B169">
        <v>2020</v>
      </c>
      <c r="C169" t="s">
        <v>18</v>
      </c>
      <c r="D169">
        <v>1289009.684998</v>
      </c>
      <c r="E169">
        <v>979073.20265999995</v>
      </c>
      <c r="F169">
        <v>2339258.1686240002</v>
      </c>
      <c r="G169" s="39">
        <v>44166</v>
      </c>
    </row>
    <row r="170" spans="1:7" x14ac:dyDescent="0.25">
      <c r="A170" t="s">
        <v>23</v>
      </c>
      <c r="B170">
        <v>2021</v>
      </c>
      <c r="C170" t="s">
        <v>7</v>
      </c>
      <c r="D170">
        <v>706116.20952000003</v>
      </c>
      <c r="E170">
        <v>889664.14823000005</v>
      </c>
      <c r="F170">
        <v>2155710.2299140003</v>
      </c>
      <c r="G170" s="39">
        <v>44197</v>
      </c>
    </row>
    <row r="171" spans="1:7" x14ac:dyDescent="0.25">
      <c r="A171" t="s">
        <v>23</v>
      </c>
      <c r="B171">
        <v>2021</v>
      </c>
      <c r="C171" t="s">
        <v>8</v>
      </c>
      <c r="D171">
        <v>3160186.9499789998</v>
      </c>
      <c r="E171">
        <v>1450213.0623069999</v>
      </c>
      <c r="F171">
        <v>3865684.1175859999</v>
      </c>
      <c r="G171" s="39">
        <v>44228</v>
      </c>
    </row>
    <row r="172" spans="1:7" x14ac:dyDescent="0.25">
      <c r="A172" t="s">
        <v>23</v>
      </c>
      <c r="B172">
        <v>2021</v>
      </c>
      <c r="C172" t="s">
        <v>9</v>
      </c>
      <c r="D172">
        <v>782953.61999899999</v>
      </c>
      <c r="E172">
        <v>1816320.2545970001</v>
      </c>
      <c r="F172">
        <v>2832317.4829879999</v>
      </c>
      <c r="G172" s="39">
        <v>44256</v>
      </c>
    </row>
    <row r="173" spans="1:7" x14ac:dyDescent="0.25">
      <c r="A173" t="s">
        <v>23</v>
      </c>
      <c r="B173">
        <v>2021</v>
      </c>
      <c r="C173" t="s">
        <v>10</v>
      </c>
      <c r="D173">
        <v>1458509.2033239999</v>
      </c>
      <c r="E173">
        <v>1528284.9373979999</v>
      </c>
      <c r="F173">
        <v>2762541.7489139996</v>
      </c>
      <c r="G173" s="39">
        <v>44287</v>
      </c>
    </row>
    <row r="174" spans="1:7" x14ac:dyDescent="0.25">
      <c r="A174" t="s">
        <v>23</v>
      </c>
      <c r="B174">
        <v>2021</v>
      </c>
      <c r="C174" t="s">
        <v>11</v>
      </c>
      <c r="D174">
        <v>1788978.6349899999</v>
      </c>
      <c r="E174">
        <v>1707142.45414</v>
      </c>
      <c r="F174">
        <v>2844377.9297639998</v>
      </c>
      <c r="G174" s="39">
        <v>44317</v>
      </c>
    </row>
    <row r="175" spans="1:7" x14ac:dyDescent="0.25">
      <c r="A175" t="s">
        <v>23</v>
      </c>
      <c r="B175">
        <v>2021</v>
      </c>
      <c r="C175" t="s">
        <v>12</v>
      </c>
      <c r="D175">
        <v>1300096.189983</v>
      </c>
      <c r="E175">
        <v>1449345.4210349999</v>
      </c>
      <c r="F175">
        <v>2695128.6987119997</v>
      </c>
      <c r="G175" s="39">
        <v>44348</v>
      </c>
    </row>
    <row r="176" spans="1:7" x14ac:dyDescent="0.25">
      <c r="A176" t="s">
        <v>23</v>
      </c>
      <c r="B176">
        <v>2021</v>
      </c>
      <c r="C176" t="s">
        <v>13</v>
      </c>
      <c r="D176">
        <v>2881889.600968</v>
      </c>
      <c r="E176">
        <v>1516472.263909</v>
      </c>
      <c r="F176">
        <v>4060546.0357710002</v>
      </c>
      <c r="G176" s="39">
        <v>44378</v>
      </c>
    </row>
    <row r="177" spans="1:7" x14ac:dyDescent="0.25">
      <c r="A177" t="s">
        <v>23</v>
      </c>
      <c r="B177">
        <v>2021</v>
      </c>
      <c r="C177" t="s">
        <v>14</v>
      </c>
      <c r="D177">
        <v>1544232.7299929999</v>
      </c>
      <c r="E177">
        <v>1301764.715846</v>
      </c>
      <c r="F177">
        <v>4303014.0499179997</v>
      </c>
      <c r="G177" s="39">
        <v>44409</v>
      </c>
    </row>
    <row r="178" spans="1:7" x14ac:dyDescent="0.25">
      <c r="A178" t="s">
        <v>23</v>
      </c>
      <c r="B178">
        <v>2021</v>
      </c>
      <c r="C178" t="s">
        <v>15</v>
      </c>
      <c r="D178">
        <v>932334.86825099995</v>
      </c>
      <c r="E178">
        <v>1684228.577701</v>
      </c>
      <c r="F178">
        <v>3551120.3404679992</v>
      </c>
      <c r="G178" s="39">
        <v>44440</v>
      </c>
    </row>
    <row r="179" spans="1:7" x14ac:dyDescent="0.25">
      <c r="A179" t="s">
        <v>23</v>
      </c>
      <c r="B179">
        <v>2021</v>
      </c>
      <c r="C179" t="s">
        <v>16</v>
      </c>
      <c r="D179">
        <v>1301826.179977</v>
      </c>
      <c r="E179">
        <v>1361427.161633</v>
      </c>
      <c r="F179">
        <v>3491519.3588119997</v>
      </c>
      <c r="G179" s="39">
        <v>44470</v>
      </c>
    </row>
    <row r="180" spans="1:7" x14ac:dyDescent="0.25">
      <c r="A180" t="s">
        <v>23</v>
      </c>
      <c r="B180">
        <v>2021</v>
      </c>
      <c r="C180" t="s">
        <v>17</v>
      </c>
      <c r="D180">
        <v>1822797.629978</v>
      </c>
      <c r="E180">
        <v>1553318.8971839999</v>
      </c>
      <c r="F180">
        <v>3760998.091606</v>
      </c>
      <c r="G180" s="39">
        <v>44501</v>
      </c>
    </row>
    <row r="181" spans="1:7" x14ac:dyDescent="0.25">
      <c r="A181" t="s">
        <v>23</v>
      </c>
      <c r="B181">
        <v>2021</v>
      </c>
      <c r="C181" t="s">
        <v>18</v>
      </c>
      <c r="D181">
        <v>127132.489999</v>
      </c>
      <c r="E181">
        <v>1806682.9834090001</v>
      </c>
      <c r="F181">
        <v>2081447.5981959999</v>
      </c>
      <c r="G181" s="39">
        <v>44531</v>
      </c>
    </row>
    <row r="182" spans="1:7" x14ac:dyDescent="0.25">
      <c r="A182" t="s">
        <v>23</v>
      </c>
      <c r="B182">
        <v>2022</v>
      </c>
      <c r="C182" t="s">
        <v>7</v>
      </c>
      <c r="D182">
        <v>2883519.3799769999</v>
      </c>
      <c r="E182">
        <v>1196351.6010070001</v>
      </c>
      <c r="F182">
        <v>3768615.3771659997</v>
      </c>
      <c r="G182" s="39">
        <v>44562</v>
      </c>
    </row>
    <row r="183" spans="1:7" x14ac:dyDescent="0.25">
      <c r="A183" t="s">
        <v>23</v>
      </c>
      <c r="B183">
        <v>2022</v>
      </c>
      <c r="C183" t="s">
        <v>8</v>
      </c>
      <c r="D183">
        <v>2501319.589962</v>
      </c>
      <c r="E183">
        <v>1910077.0233779999</v>
      </c>
      <c r="F183">
        <v>4359857.9437499996</v>
      </c>
      <c r="G183" s="39">
        <v>44593</v>
      </c>
    </row>
    <row r="184" spans="1:7" x14ac:dyDescent="0.25">
      <c r="A184" t="s">
        <v>23</v>
      </c>
      <c r="B184">
        <v>2022</v>
      </c>
      <c r="C184" t="s">
        <v>9</v>
      </c>
      <c r="D184">
        <v>2179468.5999889998</v>
      </c>
      <c r="E184">
        <v>1791237.2655780001</v>
      </c>
      <c r="F184">
        <v>4748089.2781609995</v>
      </c>
      <c r="G184" s="39">
        <v>44621</v>
      </c>
    </row>
    <row r="185" spans="1:7" x14ac:dyDescent="0.25">
      <c r="A185" t="s">
        <v>23</v>
      </c>
      <c r="B185">
        <v>2022</v>
      </c>
      <c r="C185" t="s">
        <v>10</v>
      </c>
      <c r="D185">
        <v>2914961.6499839998</v>
      </c>
      <c r="E185">
        <v>1770687.2256980001</v>
      </c>
      <c r="F185">
        <v>5892363.702446999</v>
      </c>
      <c r="G185" s="39">
        <v>44652</v>
      </c>
    </row>
    <row r="186" spans="1:7" x14ac:dyDescent="0.25">
      <c r="A186" t="s">
        <v>23</v>
      </c>
      <c r="B186">
        <v>2022</v>
      </c>
      <c r="C186" t="s">
        <v>11</v>
      </c>
      <c r="D186">
        <v>1986704.933337</v>
      </c>
      <c r="E186">
        <v>2000448.967897</v>
      </c>
      <c r="F186">
        <v>5878619.6678869994</v>
      </c>
      <c r="G186" s="39">
        <v>44682</v>
      </c>
    </row>
    <row r="187" spans="1:7" x14ac:dyDescent="0.25">
      <c r="A187" t="s">
        <v>23</v>
      </c>
      <c r="B187">
        <v>2022</v>
      </c>
      <c r="C187" t="s">
        <v>12</v>
      </c>
      <c r="D187">
        <v>1010793.378476</v>
      </c>
      <c r="E187">
        <v>1683783.0506130001</v>
      </c>
      <c r="F187">
        <v>5205629.9957499998</v>
      </c>
      <c r="G187" s="39">
        <v>44713</v>
      </c>
    </row>
    <row r="188" spans="1:7" x14ac:dyDescent="0.25">
      <c r="A188" t="s">
        <v>23</v>
      </c>
      <c r="B188">
        <v>2022</v>
      </c>
      <c r="C188" t="s">
        <v>13</v>
      </c>
      <c r="D188">
        <v>2666490.2307159998</v>
      </c>
      <c r="E188">
        <v>2529814.8954340001</v>
      </c>
      <c r="F188">
        <v>5342305.3310320005</v>
      </c>
      <c r="G188" s="39">
        <v>44743</v>
      </c>
    </row>
    <row r="189" spans="1:7" x14ac:dyDescent="0.25">
      <c r="A189" t="s">
        <v>23</v>
      </c>
      <c r="B189">
        <v>2022</v>
      </c>
      <c r="C189" t="s">
        <v>14</v>
      </c>
      <c r="D189">
        <v>1557138.9299860001</v>
      </c>
      <c r="E189">
        <v>1905268.2845060001</v>
      </c>
      <c r="F189">
        <v>4994175.976512</v>
      </c>
      <c r="G189" s="39">
        <v>44774</v>
      </c>
    </row>
    <row r="190" spans="1:7" x14ac:dyDescent="0.25">
      <c r="A190" t="s">
        <v>23</v>
      </c>
      <c r="B190">
        <v>2022</v>
      </c>
      <c r="C190" t="s">
        <v>15</v>
      </c>
      <c r="D190">
        <v>1796148.8813199999</v>
      </c>
      <c r="E190">
        <v>1731877.504155</v>
      </c>
      <c r="F190">
        <v>5058447.3536769999</v>
      </c>
      <c r="G190" s="39">
        <v>44805</v>
      </c>
    </row>
    <row r="191" spans="1:7" x14ac:dyDescent="0.25">
      <c r="A191" t="s">
        <v>23</v>
      </c>
      <c r="B191">
        <v>2022</v>
      </c>
      <c r="C191" t="s">
        <v>16</v>
      </c>
      <c r="D191">
        <v>3054149.9858599999</v>
      </c>
      <c r="E191">
        <v>1623079.0036510001</v>
      </c>
      <c r="F191">
        <v>6489518.3358859997</v>
      </c>
      <c r="G191" s="39">
        <v>44835</v>
      </c>
    </row>
    <row r="192" spans="1:7" x14ac:dyDescent="0.25">
      <c r="A192" t="s">
        <v>23</v>
      </c>
      <c r="B192">
        <v>2022</v>
      </c>
      <c r="C192" t="s">
        <v>17</v>
      </c>
      <c r="D192">
        <v>550640.53999600001</v>
      </c>
      <c r="E192">
        <v>1547521.071458</v>
      </c>
      <c r="F192">
        <v>5492637.804424</v>
      </c>
      <c r="G192" s="39">
        <v>44866</v>
      </c>
    </row>
    <row r="193" spans="1:7" x14ac:dyDescent="0.25">
      <c r="A193" t="s">
        <v>23</v>
      </c>
      <c r="B193">
        <v>2022</v>
      </c>
      <c r="C193" t="s">
        <v>18</v>
      </c>
      <c r="D193">
        <v>1096870.4999840001</v>
      </c>
      <c r="E193">
        <v>1222357.078273</v>
      </c>
      <c r="F193">
        <v>5367151.2261349997</v>
      </c>
      <c r="G193" s="39">
        <v>44896</v>
      </c>
    </row>
    <row r="194" spans="1:7" x14ac:dyDescent="0.25">
      <c r="A194" t="s">
        <v>23</v>
      </c>
      <c r="B194">
        <v>2023</v>
      </c>
      <c r="C194" t="s">
        <v>7</v>
      </c>
      <c r="D194">
        <v>728509.84999300004</v>
      </c>
      <c r="E194">
        <v>1226170.3585580001</v>
      </c>
      <c r="F194">
        <v>4869490.7175699994</v>
      </c>
      <c r="G194" s="39">
        <v>44927</v>
      </c>
    </row>
    <row r="195" spans="1:7" x14ac:dyDescent="0.25">
      <c r="A195" t="s">
        <v>23</v>
      </c>
      <c r="B195">
        <v>2023</v>
      </c>
      <c r="C195" t="s">
        <v>8</v>
      </c>
      <c r="D195">
        <v>1082971.4262679999</v>
      </c>
      <c r="E195">
        <v>1478677.36577</v>
      </c>
      <c r="F195">
        <v>4473784.7780679995</v>
      </c>
      <c r="G195" s="39">
        <v>44958</v>
      </c>
    </row>
    <row r="196" spans="1:7" x14ac:dyDescent="0.25">
      <c r="A196" t="s">
        <v>23</v>
      </c>
      <c r="B196">
        <v>2023</v>
      </c>
      <c r="C196" t="s">
        <v>9</v>
      </c>
      <c r="D196">
        <v>2720682.5899880002</v>
      </c>
      <c r="E196">
        <v>1592910.572188</v>
      </c>
      <c r="F196">
        <v>5601556.7958679991</v>
      </c>
      <c r="G196" s="39">
        <v>44986</v>
      </c>
    </row>
    <row r="197" spans="1:7" x14ac:dyDescent="0.25">
      <c r="A197" t="s">
        <v>23</v>
      </c>
      <c r="B197">
        <v>2023</v>
      </c>
      <c r="C197" t="s">
        <v>10</v>
      </c>
      <c r="D197">
        <v>204035.42</v>
      </c>
      <c r="E197">
        <v>1139772.629195</v>
      </c>
      <c r="F197">
        <v>4665819.586672999</v>
      </c>
      <c r="G197" s="39">
        <v>45017</v>
      </c>
    </row>
    <row r="198" spans="1:7" x14ac:dyDescent="0.25">
      <c r="A198" t="s">
        <v>23</v>
      </c>
      <c r="B198">
        <v>2023</v>
      </c>
      <c r="C198" t="s">
        <v>11</v>
      </c>
      <c r="D198">
        <v>2417971.2422110001</v>
      </c>
      <c r="E198">
        <v>1283847.4923960001</v>
      </c>
      <c r="F198">
        <v>5799943.3364879992</v>
      </c>
      <c r="G198" s="39">
        <v>45047</v>
      </c>
    </row>
    <row r="199" spans="1:7" x14ac:dyDescent="0.25">
      <c r="A199" t="s">
        <v>23</v>
      </c>
      <c r="B199">
        <v>2023</v>
      </c>
      <c r="C199" t="s">
        <v>12</v>
      </c>
      <c r="D199">
        <v>3354277.5599750001</v>
      </c>
      <c r="E199">
        <v>1170093.1762010001</v>
      </c>
      <c r="F199">
        <v>7984127.7202619994</v>
      </c>
      <c r="G199" s="39">
        <v>45078</v>
      </c>
    </row>
    <row r="200" spans="1:7" x14ac:dyDescent="0.25">
      <c r="A200" t="s">
        <v>23</v>
      </c>
      <c r="B200">
        <v>2023</v>
      </c>
      <c r="C200" t="s">
        <v>13</v>
      </c>
      <c r="D200">
        <v>289961.52</v>
      </c>
      <c r="E200">
        <v>1222297.6104069999</v>
      </c>
      <c r="F200">
        <v>7051791.6298549995</v>
      </c>
      <c r="G200" s="39">
        <v>45108</v>
      </c>
    </row>
    <row r="201" spans="1:7" x14ac:dyDescent="0.25">
      <c r="A201" t="s">
        <v>23</v>
      </c>
      <c r="B201">
        <v>2023</v>
      </c>
      <c r="C201" t="s">
        <v>14</v>
      </c>
      <c r="D201">
        <v>236331.15</v>
      </c>
      <c r="E201">
        <v>1199102.5217180001</v>
      </c>
      <c r="F201">
        <v>6089020.2581369998</v>
      </c>
      <c r="G201" s="39">
        <v>45139</v>
      </c>
    </row>
    <row r="202" spans="1:7" x14ac:dyDescent="0.25">
      <c r="A202" t="s">
        <v>23</v>
      </c>
      <c r="B202">
        <v>2023</v>
      </c>
      <c r="C202" t="s">
        <v>15</v>
      </c>
      <c r="D202">
        <v>627906.159996</v>
      </c>
      <c r="E202">
        <v>1070832.780543</v>
      </c>
      <c r="F202">
        <v>5646093.6375900004</v>
      </c>
      <c r="G202" s="39">
        <v>45170</v>
      </c>
    </row>
    <row r="203" spans="1:7" x14ac:dyDescent="0.25">
      <c r="A203" t="s">
        <v>23</v>
      </c>
      <c r="B203">
        <v>2023</v>
      </c>
      <c r="C203" t="s">
        <v>16</v>
      </c>
      <c r="D203">
        <v>432518.86667600001</v>
      </c>
      <c r="E203">
        <v>1254140.9438809999</v>
      </c>
      <c r="F203">
        <v>4824471.560385</v>
      </c>
      <c r="G203" s="39">
        <v>45200</v>
      </c>
    </row>
    <row r="204" spans="1:7" x14ac:dyDescent="0.25">
      <c r="A204" t="s">
        <v>23</v>
      </c>
      <c r="B204">
        <v>2023</v>
      </c>
      <c r="C204" t="s">
        <v>17</v>
      </c>
      <c r="D204">
        <v>92551.75</v>
      </c>
      <c r="E204">
        <v>1202355.4756440001</v>
      </c>
      <c r="F204">
        <v>3714667.8347410001</v>
      </c>
      <c r="G204" s="39">
        <v>45231</v>
      </c>
    </row>
    <row r="205" spans="1:7" x14ac:dyDescent="0.25">
      <c r="A205" t="s">
        <v>23</v>
      </c>
      <c r="B205">
        <v>2023</v>
      </c>
      <c r="C205" t="s">
        <v>18</v>
      </c>
      <c r="D205">
        <v>522765.6</v>
      </c>
      <c r="E205">
        <v>892415.09629200003</v>
      </c>
      <c r="F205">
        <v>3345018.3384489994</v>
      </c>
      <c r="G205" s="39">
        <v>45261</v>
      </c>
    </row>
    <row r="206" spans="1:7" x14ac:dyDescent="0.25">
      <c r="A206" t="s">
        <v>23</v>
      </c>
      <c r="B206">
        <v>2024</v>
      </c>
      <c r="C206" t="s">
        <v>7</v>
      </c>
      <c r="F206">
        <v>3345018.3384489994</v>
      </c>
      <c r="G206" s="39">
        <v>45292</v>
      </c>
    </row>
    <row r="207" spans="1:7" x14ac:dyDescent="0.25">
      <c r="A207" t="s">
        <v>23</v>
      </c>
      <c r="B207">
        <v>2024</v>
      </c>
      <c r="C207" t="s">
        <v>8</v>
      </c>
      <c r="F207">
        <v>3345018.3384489994</v>
      </c>
      <c r="G207" s="39">
        <v>45323</v>
      </c>
    </row>
    <row r="208" spans="1:7" x14ac:dyDescent="0.25">
      <c r="A208" t="s">
        <v>23</v>
      </c>
      <c r="B208">
        <v>2024</v>
      </c>
      <c r="C208" t="s">
        <v>9</v>
      </c>
      <c r="F208">
        <v>3345018.3384489994</v>
      </c>
      <c r="G208" s="39">
        <v>45352</v>
      </c>
    </row>
    <row r="209" spans="1:7" x14ac:dyDescent="0.25">
      <c r="A209" t="s">
        <v>23</v>
      </c>
      <c r="B209">
        <v>2024</v>
      </c>
      <c r="C209" t="s">
        <v>10</v>
      </c>
      <c r="F209">
        <v>3345018.3384489994</v>
      </c>
      <c r="G209" s="39">
        <v>45383</v>
      </c>
    </row>
    <row r="210" spans="1:7" x14ac:dyDescent="0.25">
      <c r="A210" t="s">
        <v>23</v>
      </c>
      <c r="B210">
        <v>2024</v>
      </c>
      <c r="C210" t="s">
        <v>11</v>
      </c>
      <c r="F210">
        <v>3345018.3384489994</v>
      </c>
      <c r="G210" s="39">
        <v>45413</v>
      </c>
    </row>
    <row r="211" spans="1:7" x14ac:dyDescent="0.25">
      <c r="A211" t="s">
        <v>23</v>
      </c>
      <c r="B211">
        <v>2024</v>
      </c>
      <c r="C211" t="s">
        <v>12</v>
      </c>
      <c r="F211">
        <v>3345018.3384489994</v>
      </c>
      <c r="G211" s="39">
        <v>45444</v>
      </c>
    </row>
    <row r="212" spans="1:7" x14ac:dyDescent="0.25">
      <c r="A212" t="s">
        <v>23</v>
      </c>
      <c r="B212">
        <v>2024</v>
      </c>
      <c r="C212" t="s">
        <v>13</v>
      </c>
      <c r="F212">
        <v>3345018.3384489994</v>
      </c>
      <c r="G212" s="39">
        <v>45474</v>
      </c>
    </row>
    <row r="213" spans="1:7" x14ac:dyDescent="0.25">
      <c r="A213" t="s">
        <v>23</v>
      </c>
      <c r="B213">
        <v>2024</v>
      </c>
      <c r="C213" t="s">
        <v>14</v>
      </c>
      <c r="F213">
        <v>3345018.3384489994</v>
      </c>
      <c r="G213" s="39">
        <v>45505</v>
      </c>
    </row>
    <row r="214" spans="1:7" x14ac:dyDescent="0.25">
      <c r="A214" t="s">
        <v>23</v>
      </c>
      <c r="B214">
        <v>2024</v>
      </c>
      <c r="C214" t="s">
        <v>15</v>
      </c>
      <c r="F214">
        <v>3345018.3384489994</v>
      </c>
      <c r="G214" s="39">
        <v>45536</v>
      </c>
    </row>
    <row r="215" spans="1:7" x14ac:dyDescent="0.25">
      <c r="A215" t="s">
        <v>23</v>
      </c>
      <c r="B215">
        <v>2024</v>
      </c>
      <c r="C215" t="s">
        <v>16</v>
      </c>
      <c r="F215">
        <v>3345018.3384489994</v>
      </c>
      <c r="G215" s="39">
        <v>45566</v>
      </c>
    </row>
    <row r="216" spans="1:7" x14ac:dyDescent="0.25">
      <c r="A216" t="s">
        <v>23</v>
      </c>
      <c r="B216">
        <v>2024</v>
      </c>
      <c r="C216" t="s">
        <v>17</v>
      </c>
      <c r="F216">
        <v>3345018.3384489994</v>
      </c>
      <c r="G216" s="39">
        <v>45597</v>
      </c>
    </row>
    <row r="217" spans="1:7" x14ac:dyDescent="0.25">
      <c r="A217" t="s">
        <v>23</v>
      </c>
      <c r="B217">
        <v>2024</v>
      </c>
      <c r="C217" t="s">
        <v>18</v>
      </c>
      <c r="F217">
        <v>3345018.3384489994</v>
      </c>
      <c r="G217" s="39">
        <v>45627</v>
      </c>
    </row>
    <row r="218" spans="1:7" x14ac:dyDescent="0.25">
      <c r="A218" t="s">
        <v>24</v>
      </c>
      <c r="B218">
        <v>2019</v>
      </c>
      <c r="C218" t="s">
        <v>7</v>
      </c>
      <c r="D218">
        <v>1178439.57</v>
      </c>
      <c r="E218">
        <v>771373.25800699997</v>
      </c>
      <c r="F218">
        <v>2235018.8059550002</v>
      </c>
      <c r="G218" s="39">
        <v>43466</v>
      </c>
    </row>
    <row r="219" spans="1:7" x14ac:dyDescent="0.25">
      <c r="A219" t="s">
        <v>24</v>
      </c>
      <c r="B219">
        <v>2019</v>
      </c>
      <c r="C219" t="s">
        <v>8</v>
      </c>
      <c r="D219">
        <v>581977.22114000004</v>
      </c>
      <c r="E219">
        <v>900723.331565</v>
      </c>
      <c r="F219">
        <v>1916272.6955300001</v>
      </c>
      <c r="G219" s="39">
        <v>43497</v>
      </c>
    </row>
    <row r="220" spans="1:7" x14ac:dyDescent="0.25">
      <c r="A220" t="s">
        <v>24</v>
      </c>
      <c r="B220">
        <v>2019</v>
      </c>
      <c r="C220" t="s">
        <v>9</v>
      </c>
      <c r="D220">
        <v>1269071.202083</v>
      </c>
      <c r="E220">
        <v>1108121.604755</v>
      </c>
      <c r="F220">
        <v>2077222.2928580001</v>
      </c>
      <c r="G220" s="39">
        <v>43525</v>
      </c>
    </row>
    <row r="221" spans="1:7" x14ac:dyDescent="0.25">
      <c r="A221" t="s">
        <v>24</v>
      </c>
      <c r="B221">
        <v>2019</v>
      </c>
      <c r="C221" t="s">
        <v>10</v>
      </c>
      <c r="D221">
        <v>719126.05073799996</v>
      </c>
      <c r="E221">
        <v>992061.39698099997</v>
      </c>
      <c r="F221">
        <v>1804286.9466150003</v>
      </c>
      <c r="G221" s="39">
        <v>43556</v>
      </c>
    </row>
    <row r="222" spans="1:7" x14ac:dyDescent="0.25">
      <c r="A222" t="s">
        <v>24</v>
      </c>
      <c r="B222">
        <v>2019</v>
      </c>
      <c r="C222" t="s">
        <v>11</v>
      </c>
      <c r="D222">
        <v>859414.20263299998</v>
      </c>
      <c r="E222">
        <v>979113.74462600006</v>
      </c>
      <c r="F222">
        <v>1684587.4046220002</v>
      </c>
      <c r="G222" s="39">
        <v>43586</v>
      </c>
    </row>
    <row r="223" spans="1:7" x14ac:dyDescent="0.25">
      <c r="A223" t="s">
        <v>24</v>
      </c>
      <c r="B223">
        <v>2019</v>
      </c>
      <c r="C223" t="s">
        <v>12</v>
      </c>
      <c r="D223">
        <v>1734857.0589999999</v>
      </c>
      <c r="E223">
        <v>959716.52778899996</v>
      </c>
      <c r="F223">
        <v>2459727.9358330001</v>
      </c>
      <c r="G223" s="39">
        <v>43617</v>
      </c>
    </row>
    <row r="224" spans="1:7" x14ac:dyDescent="0.25">
      <c r="A224" t="s">
        <v>24</v>
      </c>
      <c r="B224">
        <v>2019</v>
      </c>
      <c r="C224" t="s">
        <v>13</v>
      </c>
      <c r="D224">
        <v>1115580.353537</v>
      </c>
      <c r="E224">
        <v>1701598.796666</v>
      </c>
      <c r="F224">
        <v>1873709.4927040003</v>
      </c>
      <c r="G224" s="39">
        <v>43647</v>
      </c>
    </row>
    <row r="225" spans="1:7" x14ac:dyDescent="0.25">
      <c r="A225" t="s">
        <v>24</v>
      </c>
      <c r="B225">
        <v>2019</v>
      </c>
      <c r="C225" t="s">
        <v>14</v>
      </c>
      <c r="D225">
        <v>1049496.1575</v>
      </c>
      <c r="E225">
        <v>1281959.4873019999</v>
      </c>
      <c r="F225">
        <v>1641246.1629020001</v>
      </c>
      <c r="G225" s="39">
        <v>43678</v>
      </c>
    </row>
    <row r="226" spans="1:7" x14ac:dyDescent="0.25">
      <c r="A226" t="s">
        <v>24</v>
      </c>
      <c r="B226">
        <v>2019</v>
      </c>
      <c r="C226" t="s">
        <v>15</v>
      </c>
      <c r="D226">
        <v>1273289.4481619999</v>
      </c>
      <c r="E226">
        <v>1321743.154111</v>
      </c>
      <c r="F226">
        <v>1592792.456953</v>
      </c>
      <c r="G226" s="39">
        <v>43709</v>
      </c>
    </row>
    <row r="227" spans="1:7" x14ac:dyDescent="0.25">
      <c r="A227" t="s">
        <v>24</v>
      </c>
      <c r="B227">
        <v>2019</v>
      </c>
      <c r="C227" t="s">
        <v>16</v>
      </c>
      <c r="D227">
        <v>1833868.680134</v>
      </c>
      <c r="E227">
        <v>1438847.0180309999</v>
      </c>
      <c r="F227">
        <v>1987814.1190560001</v>
      </c>
      <c r="G227" s="39">
        <v>43739</v>
      </c>
    </row>
    <row r="228" spans="1:7" x14ac:dyDescent="0.25">
      <c r="A228" t="s">
        <v>24</v>
      </c>
      <c r="B228">
        <v>2019</v>
      </c>
      <c r="C228" t="s">
        <v>17</v>
      </c>
      <c r="D228">
        <v>1442255.9212489999</v>
      </c>
      <c r="E228">
        <v>1447118.788799</v>
      </c>
      <c r="F228">
        <v>1982951.2515059998</v>
      </c>
      <c r="G228" s="39">
        <v>43770</v>
      </c>
    </row>
    <row r="229" spans="1:7" x14ac:dyDescent="0.25">
      <c r="A229" t="s">
        <v>24</v>
      </c>
      <c r="B229">
        <v>2019</v>
      </c>
      <c r="C229" t="s">
        <v>18</v>
      </c>
      <c r="D229">
        <v>800602.49008799996</v>
      </c>
      <c r="E229">
        <v>921171.89670499996</v>
      </c>
      <c r="F229">
        <v>1862381.8448889998</v>
      </c>
      <c r="G229" s="39">
        <v>43800</v>
      </c>
    </row>
    <row r="230" spans="1:7" x14ac:dyDescent="0.25">
      <c r="A230" t="s">
        <v>24</v>
      </c>
      <c r="B230">
        <v>2020</v>
      </c>
      <c r="C230" t="s">
        <v>7</v>
      </c>
      <c r="D230">
        <v>1131027.159617</v>
      </c>
      <c r="E230">
        <v>1016430.746565</v>
      </c>
      <c r="F230">
        <v>1976978.2579409997</v>
      </c>
      <c r="G230" s="39">
        <v>43831</v>
      </c>
    </row>
    <row r="231" spans="1:7" x14ac:dyDescent="0.25">
      <c r="A231" t="s">
        <v>24</v>
      </c>
      <c r="B231">
        <v>2020</v>
      </c>
      <c r="C231" t="s">
        <v>8</v>
      </c>
      <c r="D231">
        <v>1315489.291376</v>
      </c>
      <c r="E231">
        <v>1343551.7355539999</v>
      </c>
      <c r="F231">
        <v>1948915.8137629996</v>
      </c>
      <c r="G231" s="39">
        <v>43862</v>
      </c>
    </row>
    <row r="232" spans="1:7" x14ac:dyDescent="0.25">
      <c r="A232" t="s">
        <v>24</v>
      </c>
      <c r="B232">
        <v>2020</v>
      </c>
      <c r="C232" t="s">
        <v>9</v>
      </c>
      <c r="D232">
        <v>1320836.3809209999</v>
      </c>
      <c r="E232">
        <v>1131316.094358</v>
      </c>
      <c r="F232">
        <v>2138436.1003259998</v>
      </c>
      <c r="G232" s="39">
        <v>43891</v>
      </c>
    </row>
    <row r="233" spans="1:7" x14ac:dyDescent="0.25">
      <c r="A233" t="s">
        <v>24</v>
      </c>
      <c r="B233">
        <v>2020</v>
      </c>
      <c r="C233" t="s">
        <v>10</v>
      </c>
      <c r="D233">
        <v>630833.58892799995</v>
      </c>
      <c r="E233">
        <v>951233.69990699994</v>
      </c>
      <c r="F233">
        <v>1818035.9893469999</v>
      </c>
      <c r="G233" s="39">
        <v>43922</v>
      </c>
    </row>
    <row r="234" spans="1:7" x14ac:dyDescent="0.25">
      <c r="A234" t="s">
        <v>24</v>
      </c>
      <c r="B234">
        <v>2020</v>
      </c>
      <c r="C234" t="s">
        <v>11</v>
      </c>
      <c r="D234">
        <v>841493.27120299998</v>
      </c>
      <c r="E234">
        <v>971283.84527000005</v>
      </c>
      <c r="F234">
        <v>1688245.4152799998</v>
      </c>
      <c r="G234" s="39">
        <v>43952</v>
      </c>
    </row>
    <row r="235" spans="1:7" x14ac:dyDescent="0.25">
      <c r="A235" t="s">
        <v>24</v>
      </c>
      <c r="B235">
        <v>2020</v>
      </c>
      <c r="C235" t="s">
        <v>12</v>
      </c>
      <c r="D235">
        <v>1708193.76</v>
      </c>
      <c r="E235">
        <v>1067151.561976</v>
      </c>
      <c r="F235">
        <v>2329287.6133040003</v>
      </c>
      <c r="G235" s="39">
        <v>43983</v>
      </c>
    </row>
    <row r="236" spans="1:7" x14ac:dyDescent="0.25">
      <c r="A236" t="s">
        <v>24</v>
      </c>
      <c r="B236">
        <v>2020</v>
      </c>
      <c r="C236" t="s">
        <v>13</v>
      </c>
      <c r="D236">
        <v>1821888.8676479999</v>
      </c>
      <c r="E236">
        <v>1450277.1683400001</v>
      </c>
      <c r="F236">
        <v>2700899.3126119999</v>
      </c>
      <c r="G236" s="39">
        <v>44013</v>
      </c>
    </row>
    <row r="237" spans="1:7" x14ac:dyDescent="0.25">
      <c r="A237" t="s">
        <v>24</v>
      </c>
      <c r="B237">
        <v>2020</v>
      </c>
      <c r="C237" t="s">
        <v>14</v>
      </c>
      <c r="D237">
        <v>1645725.2123159999</v>
      </c>
      <c r="E237">
        <v>1763552.1646090001</v>
      </c>
      <c r="F237">
        <v>2583072.3603189997</v>
      </c>
      <c r="G237" s="39">
        <v>44044</v>
      </c>
    </row>
    <row r="238" spans="1:7" x14ac:dyDescent="0.25">
      <c r="A238" t="s">
        <v>24</v>
      </c>
      <c r="B238">
        <v>2020</v>
      </c>
      <c r="C238" t="s">
        <v>15</v>
      </c>
      <c r="D238">
        <v>1254589.0857929999</v>
      </c>
      <c r="E238">
        <v>1346566.340661</v>
      </c>
      <c r="F238">
        <v>2491095.1054509995</v>
      </c>
      <c r="G238" s="39">
        <v>44075</v>
      </c>
    </row>
    <row r="239" spans="1:7" x14ac:dyDescent="0.25">
      <c r="A239" t="s">
        <v>24</v>
      </c>
      <c r="B239">
        <v>2020</v>
      </c>
      <c r="C239" t="s">
        <v>16</v>
      </c>
      <c r="D239">
        <v>1229697.271861</v>
      </c>
      <c r="E239">
        <v>1501644.59292</v>
      </c>
      <c r="F239">
        <v>2219147.7843919992</v>
      </c>
      <c r="G239" s="39">
        <v>44105</v>
      </c>
    </row>
    <row r="240" spans="1:7" x14ac:dyDescent="0.25">
      <c r="A240" t="s">
        <v>24</v>
      </c>
      <c r="B240">
        <v>2020</v>
      </c>
      <c r="C240" t="s">
        <v>17</v>
      </c>
      <c r="D240">
        <v>1530769.816542</v>
      </c>
      <c r="E240">
        <v>1594954.9998339999</v>
      </c>
      <c r="F240">
        <v>2154962.6010999996</v>
      </c>
      <c r="G240" s="39">
        <v>44136</v>
      </c>
    </row>
    <row r="241" spans="1:7" x14ac:dyDescent="0.25">
      <c r="A241" t="s">
        <v>24</v>
      </c>
      <c r="B241">
        <v>2020</v>
      </c>
      <c r="C241" t="s">
        <v>18</v>
      </c>
      <c r="D241">
        <v>974830.79644399998</v>
      </c>
      <c r="E241">
        <v>1017922.102829</v>
      </c>
      <c r="F241">
        <v>2111871.2947149994</v>
      </c>
      <c r="G241" s="39">
        <v>44166</v>
      </c>
    </row>
    <row r="242" spans="1:7" x14ac:dyDescent="0.25">
      <c r="A242" t="s">
        <v>24</v>
      </c>
      <c r="B242">
        <v>2021</v>
      </c>
      <c r="C242" t="s">
        <v>7</v>
      </c>
      <c r="D242">
        <v>787891.95947400003</v>
      </c>
      <c r="E242">
        <v>790779.55755100003</v>
      </c>
      <c r="F242">
        <v>2108983.6966379993</v>
      </c>
      <c r="G242" s="39">
        <v>44197</v>
      </c>
    </row>
    <row r="243" spans="1:7" x14ac:dyDescent="0.25">
      <c r="A243" t="s">
        <v>24</v>
      </c>
      <c r="B243">
        <v>2021</v>
      </c>
      <c r="C243" t="s">
        <v>8</v>
      </c>
      <c r="D243">
        <v>1357349.9105120001</v>
      </c>
      <c r="E243">
        <v>1013594.742505</v>
      </c>
      <c r="F243">
        <v>2452738.8646449996</v>
      </c>
      <c r="G243" s="39">
        <v>44228</v>
      </c>
    </row>
    <row r="244" spans="1:7" x14ac:dyDescent="0.25">
      <c r="A244" t="s">
        <v>24</v>
      </c>
      <c r="B244">
        <v>2021</v>
      </c>
      <c r="C244" t="s">
        <v>9</v>
      </c>
      <c r="D244">
        <v>2169187.9560500002</v>
      </c>
      <c r="E244">
        <v>1708128.313354</v>
      </c>
      <c r="F244">
        <v>2913798.5073409998</v>
      </c>
      <c r="G244" s="39">
        <v>44256</v>
      </c>
    </row>
    <row r="245" spans="1:7" x14ac:dyDescent="0.25">
      <c r="A245" t="s">
        <v>24</v>
      </c>
      <c r="B245">
        <v>2021</v>
      </c>
      <c r="C245" t="s">
        <v>10</v>
      </c>
      <c r="D245">
        <v>1279462.2802889999</v>
      </c>
      <c r="E245">
        <v>1228645.4328610001</v>
      </c>
      <c r="F245">
        <v>2964615.3547689999</v>
      </c>
      <c r="G245" s="39">
        <v>44287</v>
      </c>
    </row>
    <row r="246" spans="1:7" x14ac:dyDescent="0.25">
      <c r="A246" t="s">
        <v>24</v>
      </c>
      <c r="B246">
        <v>2021</v>
      </c>
      <c r="C246" t="s">
        <v>11</v>
      </c>
      <c r="D246">
        <v>964461.50800000003</v>
      </c>
      <c r="E246">
        <v>1104576.3704339999</v>
      </c>
      <c r="F246">
        <v>2824500.4923350001</v>
      </c>
      <c r="G246" s="39">
        <v>44317</v>
      </c>
    </row>
    <row r="247" spans="1:7" x14ac:dyDescent="0.25">
      <c r="A247" t="s">
        <v>24</v>
      </c>
      <c r="B247">
        <v>2021</v>
      </c>
      <c r="C247" t="s">
        <v>12</v>
      </c>
      <c r="D247">
        <v>925810.91934699996</v>
      </c>
      <c r="E247">
        <v>1388085.7464449999</v>
      </c>
      <c r="F247">
        <v>2362225.6652370002</v>
      </c>
      <c r="G247" s="39">
        <v>44348</v>
      </c>
    </row>
    <row r="248" spans="1:7" x14ac:dyDescent="0.25">
      <c r="A248" t="s">
        <v>24</v>
      </c>
      <c r="B248">
        <v>2021</v>
      </c>
      <c r="C248" t="s">
        <v>13</v>
      </c>
      <c r="D248">
        <v>1534203.1722860001</v>
      </c>
      <c r="E248">
        <v>1364342.405306</v>
      </c>
      <c r="F248">
        <v>2532086.4322170001</v>
      </c>
      <c r="G248" s="39">
        <v>44378</v>
      </c>
    </row>
    <row r="249" spans="1:7" x14ac:dyDescent="0.25">
      <c r="A249" t="s">
        <v>24</v>
      </c>
      <c r="B249">
        <v>2021</v>
      </c>
      <c r="C249" t="s">
        <v>14</v>
      </c>
      <c r="D249">
        <v>1162321.0900000001</v>
      </c>
      <c r="E249">
        <v>1463514.2703420001</v>
      </c>
      <c r="F249">
        <v>2230893.2518750001</v>
      </c>
      <c r="G249" s="39">
        <v>44409</v>
      </c>
    </row>
    <row r="250" spans="1:7" x14ac:dyDescent="0.25">
      <c r="A250" t="s">
        <v>24</v>
      </c>
      <c r="B250">
        <v>2021</v>
      </c>
      <c r="C250" t="s">
        <v>15</v>
      </c>
      <c r="D250">
        <v>1226758.3899999999</v>
      </c>
      <c r="E250">
        <v>1108451.89497</v>
      </c>
      <c r="F250">
        <v>2349199.7469049999</v>
      </c>
      <c r="G250" s="39">
        <v>44440</v>
      </c>
    </row>
    <row r="251" spans="1:7" x14ac:dyDescent="0.25">
      <c r="A251" t="s">
        <v>24</v>
      </c>
      <c r="B251">
        <v>2021</v>
      </c>
      <c r="C251" t="s">
        <v>16</v>
      </c>
      <c r="D251">
        <v>1189866.175</v>
      </c>
      <c r="E251">
        <v>1275463.4965250001</v>
      </c>
      <c r="F251">
        <v>2263602.4253799999</v>
      </c>
      <c r="G251" s="39">
        <v>44470</v>
      </c>
    </row>
    <row r="252" spans="1:7" x14ac:dyDescent="0.25">
      <c r="A252" t="s">
        <v>24</v>
      </c>
      <c r="B252">
        <v>2021</v>
      </c>
      <c r="C252" t="s">
        <v>17</v>
      </c>
      <c r="D252">
        <v>1769957.51</v>
      </c>
      <c r="E252">
        <v>1328232.4221320001</v>
      </c>
      <c r="F252">
        <v>2705327.5132479994</v>
      </c>
      <c r="G252" s="39">
        <v>44501</v>
      </c>
    </row>
    <row r="253" spans="1:7" x14ac:dyDescent="0.25">
      <c r="A253" t="s">
        <v>24</v>
      </c>
      <c r="B253">
        <v>2021</v>
      </c>
      <c r="C253" t="s">
        <v>18</v>
      </c>
      <c r="D253">
        <v>1799017.695636</v>
      </c>
      <c r="E253">
        <v>915450.113687</v>
      </c>
      <c r="F253">
        <v>3588895.0951969987</v>
      </c>
      <c r="G253" s="39">
        <v>44531</v>
      </c>
    </row>
    <row r="254" spans="1:7" x14ac:dyDescent="0.25">
      <c r="A254" t="s">
        <v>24</v>
      </c>
      <c r="B254">
        <v>2022</v>
      </c>
      <c r="C254" t="s">
        <v>7</v>
      </c>
      <c r="D254">
        <v>997396.6</v>
      </c>
      <c r="E254">
        <v>1291892.536964</v>
      </c>
      <c r="F254">
        <v>3294399.1582329981</v>
      </c>
      <c r="G254" s="39">
        <v>44562</v>
      </c>
    </row>
    <row r="255" spans="1:7" x14ac:dyDescent="0.25">
      <c r="A255" t="s">
        <v>24</v>
      </c>
      <c r="B255">
        <v>2022</v>
      </c>
      <c r="C255" t="s">
        <v>8</v>
      </c>
      <c r="D255">
        <v>1122764.9313999999</v>
      </c>
      <c r="E255">
        <v>1409861.9890399999</v>
      </c>
      <c r="F255">
        <v>3007302.1005929983</v>
      </c>
      <c r="G255" s="39">
        <v>44593</v>
      </c>
    </row>
    <row r="256" spans="1:7" x14ac:dyDescent="0.25">
      <c r="A256" t="s">
        <v>24</v>
      </c>
      <c r="B256">
        <v>2022</v>
      </c>
      <c r="C256" t="s">
        <v>9</v>
      </c>
      <c r="D256">
        <v>2493462.723067</v>
      </c>
      <c r="E256">
        <v>1491413.0034419999</v>
      </c>
      <c r="F256">
        <v>4009351.8202179987</v>
      </c>
      <c r="G256" s="39">
        <v>44621</v>
      </c>
    </row>
    <row r="257" spans="1:7" x14ac:dyDescent="0.25">
      <c r="A257" t="s">
        <v>24</v>
      </c>
      <c r="B257">
        <v>2022</v>
      </c>
      <c r="C257" t="s">
        <v>10</v>
      </c>
      <c r="D257">
        <v>2049248</v>
      </c>
      <c r="E257">
        <v>1504995.059688</v>
      </c>
      <c r="F257">
        <v>4553604.7605299987</v>
      </c>
      <c r="G257" s="39">
        <v>44652</v>
      </c>
    </row>
    <row r="258" spans="1:7" x14ac:dyDescent="0.25">
      <c r="A258" t="s">
        <v>24</v>
      </c>
      <c r="B258">
        <v>2022</v>
      </c>
      <c r="C258" t="s">
        <v>11</v>
      </c>
      <c r="D258">
        <v>2047974.446801</v>
      </c>
      <c r="E258">
        <v>1866705.48933</v>
      </c>
      <c r="F258">
        <v>4734873.7180009987</v>
      </c>
      <c r="G258" s="39">
        <v>44682</v>
      </c>
    </row>
    <row r="259" spans="1:7" x14ac:dyDescent="0.25">
      <c r="A259" t="s">
        <v>24</v>
      </c>
      <c r="B259">
        <v>2022</v>
      </c>
      <c r="C259" t="s">
        <v>12</v>
      </c>
      <c r="D259">
        <v>1484396.929333</v>
      </c>
      <c r="E259">
        <v>1246941.9825869999</v>
      </c>
      <c r="F259">
        <v>4972328.6647469979</v>
      </c>
      <c r="G259" s="39">
        <v>44713</v>
      </c>
    </row>
    <row r="260" spans="1:7" x14ac:dyDescent="0.25">
      <c r="A260" t="s">
        <v>24</v>
      </c>
      <c r="B260">
        <v>2022</v>
      </c>
      <c r="C260" t="s">
        <v>13</v>
      </c>
      <c r="D260">
        <v>1584900.2176910001</v>
      </c>
      <c r="E260">
        <v>1286717.894692</v>
      </c>
      <c r="F260">
        <v>5270510.9877459984</v>
      </c>
      <c r="G260" s="39">
        <v>44743</v>
      </c>
    </row>
    <row r="261" spans="1:7" x14ac:dyDescent="0.25">
      <c r="A261" t="s">
        <v>24</v>
      </c>
      <c r="B261">
        <v>2022</v>
      </c>
      <c r="C261" t="s">
        <v>14</v>
      </c>
      <c r="D261">
        <v>1188100.98</v>
      </c>
      <c r="E261">
        <v>1394523.8782200001</v>
      </c>
      <c r="F261">
        <v>5064088.0895259986</v>
      </c>
      <c r="G261" s="39">
        <v>44774</v>
      </c>
    </row>
    <row r="262" spans="1:7" x14ac:dyDescent="0.25">
      <c r="A262" t="s">
        <v>24</v>
      </c>
      <c r="B262">
        <v>2022</v>
      </c>
      <c r="C262" t="s">
        <v>15</v>
      </c>
      <c r="D262">
        <v>1882406.73</v>
      </c>
      <c r="E262">
        <v>1927116.7641749999</v>
      </c>
      <c r="F262">
        <v>5019378.0553509984</v>
      </c>
      <c r="G262" s="39">
        <v>44805</v>
      </c>
    </row>
    <row r="263" spans="1:7" x14ac:dyDescent="0.25">
      <c r="A263" t="s">
        <v>24</v>
      </c>
      <c r="B263">
        <v>2022</v>
      </c>
      <c r="C263" t="s">
        <v>16</v>
      </c>
      <c r="D263">
        <v>1004858.9499989999</v>
      </c>
      <c r="E263">
        <v>1598226.444812</v>
      </c>
      <c r="F263">
        <v>4426010.5605379986</v>
      </c>
      <c r="G263" s="39">
        <v>44835</v>
      </c>
    </row>
    <row r="264" spans="1:7" x14ac:dyDescent="0.25">
      <c r="A264" t="s">
        <v>24</v>
      </c>
      <c r="B264">
        <v>2022</v>
      </c>
      <c r="C264" t="s">
        <v>17</v>
      </c>
      <c r="D264">
        <v>1124577.952452</v>
      </c>
      <c r="E264">
        <v>1628488.6638130001</v>
      </c>
      <c r="F264">
        <v>3922099.8491769987</v>
      </c>
      <c r="G264" s="39">
        <v>44866</v>
      </c>
    </row>
    <row r="265" spans="1:7" x14ac:dyDescent="0.25">
      <c r="A265" t="s">
        <v>24</v>
      </c>
      <c r="B265">
        <v>2022</v>
      </c>
      <c r="C265" t="s">
        <v>18</v>
      </c>
      <c r="D265">
        <v>1503242.58785</v>
      </c>
      <c r="E265">
        <v>1316665.9677190001</v>
      </c>
      <c r="F265">
        <v>4108676.4693079991</v>
      </c>
      <c r="G265" s="39">
        <v>44896</v>
      </c>
    </row>
    <row r="266" spans="1:7" x14ac:dyDescent="0.25">
      <c r="A266" t="s">
        <v>24</v>
      </c>
      <c r="B266">
        <v>2023</v>
      </c>
      <c r="C266" t="s">
        <v>7</v>
      </c>
      <c r="D266">
        <v>1364989.61</v>
      </c>
      <c r="E266">
        <v>1038037.621724</v>
      </c>
      <c r="F266">
        <v>4435628.4575839993</v>
      </c>
      <c r="G266" s="39">
        <v>44927</v>
      </c>
    </row>
    <row r="267" spans="1:7" x14ac:dyDescent="0.25">
      <c r="A267" t="s">
        <v>24</v>
      </c>
      <c r="B267">
        <v>2023</v>
      </c>
      <c r="C267" t="s">
        <v>8</v>
      </c>
      <c r="D267">
        <v>1650645.871333</v>
      </c>
      <c r="E267">
        <v>1880338.4170319999</v>
      </c>
      <c r="F267">
        <v>4205935.9118849998</v>
      </c>
      <c r="G267" s="39">
        <v>44958</v>
      </c>
    </row>
    <row r="268" spans="1:7" x14ac:dyDescent="0.25">
      <c r="A268" t="s">
        <v>24</v>
      </c>
      <c r="B268">
        <v>2023</v>
      </c>
      <c r="C268" t="s">
        <v>9</v>
      </c>
      <c r="D268">
        <v>2924725.2942110002</v>
      </c>
      <c r="E268">
        <v>2758349.2171060001</v>
      </c>
      <c r="F268">
        <v>4372311.9889899995</v>
      </c>
      <c r="G268" s="39">
        <v>44986</v>
      </c>
    </row>
    <row r="269" spans="1:7" x14ac:dyDescent="0.25">
      <c r="A269" t="s">
        <v>24</v>
      </c>
      <c r="B269">
        <v>2023</v>
      </c>
      <c r="C269" t="s">
        <v>10</v>
      </c>
      <c r="D269">
        <v>2206762.6070329999</v>
      </c>
      <c r="E269">
        <v>2742860.8649780001</v>
      </c>
      <c r="F269">
        <v>3836213.7310449989</v>
      </c>
      <c r="G269" s="39">
        <v>45017</v>
      </c>
    </row>
    <row r="270" spans="1:7" x14ac:dyDescent="0.25">
      <c r="A270" t="s">
        <v>24</v>
      </c>
      <c r="B270">
        <v>2023</v>
      </c>
      <c r="C270" t="s">
        <v>11</v>
      </c>
      <c r="D270">
        <v>2482048.9511759998</v>
      </c>
      <c r="E270">
        <v>2516059.0534950001</v>
      </c>
      <c r="F270">
        <v>3802203.628725999</v>
      </c>
      <c r="G270" s="39">
        <v>45047</v>
      </c>
    </row>
    <row r="271" spans="1:7" x14ac:dyDescent="0.25">
      <c r="A271" t="s">
        <v>24</v>
      </c>
      <c r="B271">
        <v>2023</v>
      </c>
      <c r="C271" t="s">
        <v>12</v>
      </c>
      <c r="D271">
        <v>3044932.5950469999</v>
      </c>
      <c r="E271">
        <v>2433590.6766659999</v>
      </c>
      <c r="F271">
        <v>4413545.547106999</v>
      </c>
      <c r="G271" s="39">
        <v>45078</v>
      </c>
    </row>
    <row r="272" spans="1:7" x14ac:dyDescent="0.25">
      <c r="A272" t="s">
        <v>24</v>
      </c>
      <c r="B272">
        <v>2023</v>
      </c>
      <c r="C272" t="s">
        <v>13</v>
      </c>
      <c r="D272">
        <v>1091080.26</v>
      </c>
      <c r="E272">
        <v>1650544.6214769999</v>
      </c>
      <c r="F272">
        <v>3854081.1856299988</v>
      </c>
      <c r="G272" s="39">
        <v>45108</v>
      </c>
    </row>
    <row r="273" spans="1:7" x14ac:dyDescent="0.25">
      <c r="A273" t="s">
        <v>24</v>
      </c>
      <c r="B273">
        <v>2023</v>
      </c>
      <c r="C273" t="s">
        <v>14</v>
      </c>
      <c r="D273">
        <v>1744873.1140699999</v>
      </c>
      <c r="E273">
        <v>2063580.4789750001</v>
      </c>
      <c r="F273">
        <v>3535373.8207249986</v>
      </c>
      <c r="G273" s="39">
        <v>45139</v>
      </c>
    </row>
    <row r="274" spans="1:7" x14ac:dyDescent="0.25">
      <c r="A274" t="s">
        <v>24</v>
      </c>
      <c r="B274">
        <v>2023</v>
      </c>
      <c r="C274" t="s">
        <v>15</v>
      </c>
      <c r="D274">
        <v>2370826.7599999998</v>
      </c>
      <c r="E274">
        <v>1718376.2226809999</v>
      </c>
      <c r="F274">
        <v>4187824.3580439985</v>
      </c>
      <c r="G274" s="39">
        <v>45170</v>
      </c>
    </row>
    <row r="275" spans="1:7" x14ac:dyDescent="0.25">
      <c r="A275" t="s">
        <v>24</v>
      </c>
      <c r="B275">
        <v>2023</v>
      </c>
      <c r="C275" t="s">
        <v>16</v>
      </c>
      <c r="D275">
        <v>2784931.1023690002</v>
      </c>
      <c r="E275">
        <v>2146129.066778</v>
      </c>
      <c r="F275">
        <v>4826626.3936349992</v>
      </c>
      <c r="G275" s="39">
        <v>45200</v>
      </c>
    </row>
    <row r="276" spans="1:7" x14ac:dyDescent="0.25">
      <c r="A276" t="s">
        <v>24</v>
      </c>
      <c r="B276">
        <v>2023</v>
      </c>
      <c r="C276" t="s">
        <v>17</v>
      </c>
      <c r="D276">
        <v>1356150.2690969999</v>
      </c>
      <c r="E276">
        <v>2103746.9738059998</v>
      </c>
      <c r="F276">
        <v>4079029.6889259997</v>
      </c>
      <c r="G276" s="39">
        <v>45231</v>
      </c>
    </row>
    <row r="277" spans="1:7" x14ac:dyDescent="0.25">
      <c r="A277" t="s">
        <v>24</v>
      </c>
      <c r="B277">
        <v>2023</v>
      </c>
      <c r="C277" t="s">
        <v>18</v>
      </c>
      <c r="D277">
        <v>609082.11234400002</v>
      </c>
      <c r="E277">
        <v>1230266.3010120001</v>
      </c>
      <c r="F277">
        <v>3457845.5002579996</v>
      </c>
      <c r="G277" s="39">
        <v>45261</v>
      </c>
    </row>
    <row r="278" spans="1:7" x14ac:dyDescent="0.25">
      <c r="A278" t="s">
        <v>24</v>
      </c>
      <c r="B278">
        <v>2024</v>
      </c>
      <c r="C278" t="s">
        <v>7</v>
      </c>
      <c r="F278">
        <v>3457845.5002579996</v>
      </c>
      <c r="G278" s="39">
        <v>45292</v>
      </c>
    </row>
    <row r="279" spans="1:7" x14ac:dyDescent="0.25">
      <c r="A279" t="s">
        <v>24</v>
      </c>
      <c r="B279">
        <v>2024</v>
      </c>
      <c r="C279" t="s">
        <v>8</v>
      </c>
      <c r="F279">
        <v>3457845.5002579996</v>
      </c>
      <c r="G279" s="39">
        <v>45323</v>
      </c>
    </row>
    <row r="280" spans="1:7" x14ac:dyDescent="0.25">
      <c r="A280" t="s">
        <v>24</v>
      </c>
      <c r="B280">
        <v>2024</v>
      </c>
      <c r="C280" t="s">
        <v>9</v>
      </c>
      <c r="F280">
        <v>3457845.5002579996</v>
      </c>
      <c r="G280" s="39">
        <v>45352</v>
      </c>
    </row>
    <row r="281" spans="1:7" x14ac:dyDescent="0.25">
      <c r="A281" t="s">
        <v>24</v>
      </c>
      <c r="B281">
        <v>2024</v>
      </c>
      <c r="C281" t="s">
        <v>10</v>
      </c>
      <c r="F281">
        <v>3457845.5002579996</v>
      </c>
      <c r="G281" s="39">
        <v>45383</v>
      </c>
    </row>
    <row r="282" spans="1:7" x14ac:dyDescent="0.25">
      <c r="A282" t="s">
        <v>24</v>
      </c>
      <c r="B282">
        <v>2024</v>
      </c>
      <c r="C282" t="s">
        <v>11</v>
      </c>
      <c r="F282">
        <v>3457845.5002579996</v>
      </c>
      <c r="G282" s="39">
        <v>45413</v>
      </c>
    </row>
    <row r="283" spans="1:7" x14ac:dyDescent="0.25">
      <c r="A283" t="s">
        <v>24</v>
      </c>
      <c r="B283">
        <v>2024</v>
      </c>
      <c r="C283" t="s">
        <v>12</v>
      </c>
      <c r="F283">
        <v>3457845.5002579996</v>
      </c>
      <c r="G283" s="39">
        <v>45444</v>
      </c>
    </row>
    <row r="284" spans="1:7" x14ac:dyDescent="0.25">
      <c r="A284" t="s">
        <v>24</v>
      </c>
      <c r="B284">
        <v>2024</v>
      </c>
      <c r="C284" t="s">
        <v>13</v>
      </c>
      <c r="F284">
        <v>3457845.5002579996</v>
      </c>
      <c r="G284" s="39">
        <v>45474</v>
      </c>
    </row>
    <row r="285" spans="1:7" x14ac:dyDescent="0.25">
      <c r="A285" t="s">
        <v>24</v>
      </c>
      <c r="B285">
        <v>2024</v>
      </c>
      <c r="C285" t="s">
        <v>14</v>
      </c>
      <c r="F285">
        <v>3457845.5002579996</v>
      </c>
      <c r="G285" s="39">
        <v>45505</v>
      </c>
    </row>
    <row r="286" spans="1:7" x14ac:dyDescent="0.25">
      <c r="A286" t="s">
        <v>24</v>
      </c>
      <c r="B286">
        <v>2024</v>
      </c>
      <c r="C286" t="s">
        <v>15</v>
      </c>
      <c r="F286">
        <v>3457845.5002579996</v>
      </c>
      <c r="G286" s="39">
        <v>45536</v>
      </c>
    </row>
    <row r="287" spans="1:7" x14ac:dyDescent="0.25">
      <c r="A287" t="s">
        <v>24</v>
      </c>
      <c r="B287">
        <v>2024</v>
      </c>
      <c r="C287" t="s">
        <v>16</v>
      </c>
      <c r="F287">
        <v>3457845.5002579996</v>
      </c>
      <c r="G287" s="39">
        <v>45566</v>
      </c>
    </row>
    <row r="288" spans="1:7" x14ac:dyDescent="0.25">
      <c r="A288" t="s">
        <v>24</v>
      </c>
      <c r="B288">
        <v>2024</v>
      </c>
      <c r="C288" t="s">
        <v>17</v>
      </c>
      <c r="F288">
        <v>3457845.5002579996</v>
      </c>
      <c r="G288" s="39">
        <v>45597</v>
      </c>
    </row>
    <row r="289" spans="1:7" x14ac:dyDescent="0.25">
      <c r="A289" t="s">
        <v>24</v>
      </c>
      <c r="B289">
        <v>2024</v>
      </c>
      <c r="C289" t="s">
        <v>18</v>
      </c>
      <c r="F289">
        <v>3457845.5002579996</v>
      </c>
      <c r="G289" s="39">
        <v>45627</v>
      </c>
    </row>
    <row r="290" spans="1:7" x14ac:dyDescent="0.25">
      <c r="A290" t="s">
        <v>25</v>
      </c>
      <c r="B290">
        <v>2019</v>
      </c>
      <c r="C290" t="s">
        <v>7</v>
      </c>
      <c r="D290">
        <v>281486.65999999997</v>
      </c>
      <c r="E290">
        <v>229232.56818599999</v>
      </c>
      <c r="F290">
        <v>607232.04034799989</v>
      </c>
      <c r="G290" s="39">
        <v>43466</v>
      </c>
    </row>
    <row r="291" spans="1:7" x14ac:dyDescent="0.25">
      <c r="A291" t="s">
        <v>25</v>
      </c>
      <c r="B291">
        <v>2019</v>
      </c>
      <c r="C291" t="s">
        <v>8</v>
      </c>
      <c r="D291">
        <v>662003.0895</v>
      </c>
      <c r="E291">
        <v>546430.19036799995</v>
      </c>
      <c r="F291">
        <v>722804.93947999994</v>
      </c>
      <c r="G291" s="39">
        <v>43497</v>
      </c>
    </row>
    <row r="292" spans="1:7" x14ac:dyDescent="0.25">
      <c r="A292" t="s">
        <v>25</v>
      </c>
      <c r="B292">
        <v>2019</v>
      </c>
      <c r="C292" t="s">
        <v>9</v>
      </c>
      <c r="D292">
        <v>327815.51449999999</v>
      </c>
      <c r="E292">
        <v>446365.53498499998</v>
      </c>
      <c r="F292">
        <v>604254.91899499996</v>
      </c>
      <c r="G292" s="39">
        <v>43525</v>
      </c>
    </row>
    <row r="293" spans="1:7" x14ac:dyDescent="0.25">
      <c r="A293" t="s">
        <v>25</v>
      </c>
      <c r="B293">
        <v>2019</v>
      </c>
      <c r="C293" t="s">
        <v>10</v>
      </c>
      <c r="D293">
        <v>457876.94118700002</v>
      </c>
      <c r="E293">
        <v>420327.08276299998</v>
      </c>
      <c r="F293">
        <v>641804.77741899993</v>
      </c>
      <c r="G293" s="39">
        <v>43556</v>
      </c>
    </row>
    <row r="294" spans="1:7" x14ac:dyDescent="0.25">
      <c r="A294" t="s">
        <v>25</v>
      </c>
      <c r="B294">
        <v>2019</v>
      </c>
      <c r="C294" t="s">
        <v>11</v>
      </c>
      <c r="D294">
        <v>602684.05666700006</v>
      </c>
      <c r="E294">
        <v>636937.377156</v>
      </c>
      <c r="F294">
        <v>607551.45692999999</v>
      </c>
      <c r="G294" s="39">
        <v>43586</v>
      </c>
    </row>
    <row r="295" spans="1:7" x14ac:dyDescent="0.25">
      <c r="A295" t="s">
        <v>25</v>
      </c>
      <c r="B295">
        <v>2019</v>
      </c>
      <c r="C295" t="s">
        <v>12</v>
      </c>
      <c r="D295">
        <v>596805.59</v>
      </c>
      <c r="E295">
        <v>600877.53620700003</v>
      </c>
      <c r="F295">
        <v>603479.51072299993</v>
      </c>
      <c r="G295" s="39">
        <v>43617</v>
      </c>
    </row>
    <row r="296" spans="1:7" x14ac:dyDescent="0.25">
      <c r="A296" t="s">
        <v>25</v>
      </c>
      <c r="B296">
        <v>2019</v>
      </c>
      <c r="C296" t="s">
        <v>13</v>
      </c>
      <c r="D296">
        <v>542075.73</v>
      </c>
      <c r="E296">
        <v>384594.35290100001</v>
      </c>
      <c r="F296">
        <v>760960.88782199984</v>
      </c>
      <c r="G296" s="39">
        <v>43647</v>
      </c>
    </row>
    <row r="297" spans="1:7" x14ac:dyDescent="0.25">
      <c r="A297" t="s">
        <v>25</v>
      </c>
      <c r="B297">
        <v>2019</v>
      </c>
      <c r="C297" t="s">
        <v>14</v>
      </c>
      <c r="D297">
        <v>419735.06</v>
      </c>
      <c r="E297">
        <v>636764.76602900005</v>
      </c>
      <c r="F297">
        <v>543931.18179299985</v>
      </c>
      <c r="G297" s="39">
        <v>43678</v>
      </c>
    </row>
    <row r="298" spans="1:7" x14ac:dyDescent="0.25">
      <c r="A298" t="s">
        <v>25</v>
      </c>
      <c r="B298">
        <v>2019</v>
      </c>
      <c r="C298" t="s">
        <v>15</v>
      </c>
      <c r="D298">
        <v>729833.82499999995</v>
      </c>
      <c r="E298">
        <v>627679.18443000002</v>
      </c>
      <c r="F298">
        <v>646085.82236299978</v>
      </c>
      <c r="G298" s="39">
        <v>43709</v>
      </c>
    </row>
    <row r="299" spans="1:7" x14ac:dyDescent="0.25">
      <c r="A299" t="s">
        <v>25</v>
      </c>
      <c r="B299">
        <v>2019</v>
      </c>
      <c r="C299" t="s">
        <v>16</v>
      </c>
      <c r="D299">
        <v>820811.65222299995</v>
      </c>
      <c r="E299">
        <v>768732.19551999995</v>
      </c>
      <c r="F299">
        <v>698165.27906599978</v>
      </c>
      <c r="G299" s="39">
        <v>43739</v>
      </c>
    </row>
    <row r="300" spans="1:7" x14ac:dyDescent="0.25">
      <c r="A300" t="s">
        <v>25</v>
      </c>
      <c r="B300">
        <v>2019</v>
      </c>
      <c r="C300" t="s">
        <v>17</v>
      </c>
      <c r="D300">
        <v>634846.83421</v>
      </c>
      <c r="E300">
        <v>654604.55332399998</v>
      </c>
      <c r="F300">
        <v>678407.55995199969</v>
      </c>
      <c r="G300" s="39">
        <v>43770</v>
      </c>
    </row>
    <row r="301" spans="1:7" x14ac:dyDescent="0.25">
      <c r="A301" t="s">
        <v>25</v>
      </c>
      <c r="B301">
        <v>2019</v>
      </c>
      <c r="C301" t="s">
        <v>18</v>
      </c>
      <c r="D301">
        <v>357884.35766699997</v>
      </c>
      <c r="E301">
        <v>423653.47519099998</v>
      </c>
      <c r="F301">
        <v>612638.44242799981</v>
      </c>
      <c r="G301" s="39">
        <v>43800</v>
      </c>
    </row>
    <row r="302" spans="1:7" x14ac:dyDescent="0.25">
      <c r="A302" t="s">
        <v>25</v>
      </c>
      <c r="B302">
        <v>2020</v>
      </c>
      <c r="C302" t="s">
        <v>7</v>
      </c>
      <c r="D302">
        <v>461030.32500000001</v>
      </c>
      <c r="E302">
        <v>460534.80972100003</v>
      </c>
      <c r="F302">
        <v>613133.95770699973</v>
      </c>
      <c r="G302" s="39">
        <v>43831</v>
      </c>
    </row>
    <row r="303" spans="1:7" x14ac:dyDescent="0.25">
      <c r="A303" t="s">
        <v>25</v>
      </c>
      <c r="B303">
        <v>2020</v>
      </c>
      <c r="C303" t="s">
        <v>8</v>
      </c>
      <c r="D303">
        <v>760512.42</v>
      </c>
      <c r="E303">
        <v>573709.71031999995</v>
      </c>
      <c r="F303">
        <v>799936.66738699994</v>
      </c>
      <c r="G303" s="39">
        <v>43862</v>
      </c>
    </row>
    <row r="304" spans="1:7" x14ac:dyDescent="0.25">
      <c r="A304" t="s">
        <v>25</v>
      </c>
      <c r="B304">
        <v>2020</v>
      </c>
      <c r="C304" t="s">
        <v>9</v>
      </c>
      <c r="D304">
        <v>846924.03891700006</v>
      </c>
      <c r="E304">
        <v>655082.88739499997</v>
      </c>
      <c r="F304">
        <v>991777.81890900002</v>
      </c>
      <c r="G304" s="39">
        <v>43891</v>
      </c>
    </row>
    <row r="305" spans="1:7" x14ac:dyDescent="0.25">
      <c r="A305" t="s">
        <v>25</v>
      </c>
      <c r="B305">
        <v>2020</v>
      </c>
      <c r="C305" t="s">
        <v>10</v>
      </c>
      <c r="D305">
        <v>233303.12</v>
      </c>
      <c r="E305">
        <v>520214.03603399999</v>
      </c>
      <c r="F305">
        <v>704866.90287500003</v>
      </c>
      <c r="G305" s="39">
        <v>43922</v>
      </c>
    </row>
    <row r="306" spans="1:7" x14ac:dyDescent="0.25">
      <c r="A306" t="s">
        <v>25</v>
      </c>
      <c r="B306">
        <v>2020</v>
      </c>
      <c r="C306" t="s">
        <v>11</v>
      </c>
      <c r="D306">
        <v>346357.84</v>
      </c>
      <c r="E306">
        <v>423859.760802</v>
      </c>
      <c r="F306">
        <v>627364.98207299993</v>
      </c>
      <c r="G306" s="39">
        <v>43952</v>
      </c>
    </row>
    <row r="307" spans="1:7" x14ac:dyDescent="0.25">
      <c r="A307" t="s">
        <v>25</v>
      </c>
      <c r="B307">
        <v>2020</v>
      </c>
      <c r="C307" t="s">
        <v>12</v>
      </c>
      <c r="D307">
        <v>593662.43000000005</v>
      </c>
      <c r="E307">
        <v>502828.824364</v>
      </c>
      <c r="F307">
        <v>718198.58770899987</v>
      </c>
      <c r="G307" s="39">
        <v>43983</v>
      </c>
    </row>
    <row r="308" spans="1:7" x14ac:dyDescent="0.25">
      <c r="A308" t="s">
        <v>25</v>
      </c>
      <c r="B308">
        <v>2020</v>
      </c>
      <c r="C308" t="s">
        <v>13</v>
      </c>
      <c r="D308">
        <v>562006.64249999996</v>
      </c>
      <c r="E308">
        <v>640986.03441099997</v>
      </c>
      <c r="F308">
        <v>639219.19579799997</v>
      </c>
      <c r="G308" s="39">
        <v>44013</v>
      </c>
    </row>
    <row r="309" spans="1:7" x14ac:dyDescent="0.25">
      <c r="A309" t="s">
        <v>25</v>
      </c>
      <c r="B309">
        <v>2020</v>
      </c>
      <c r="C309" t="s">
        <v>14</v>
      </c>
      <c r="D309">
        <v>709292.16</v>
      </c>
      <c r="E309">
        <v>518716.64073599997</v>
      </c>
      <c r="F309">
        <v>829794.71506200009</v>
      </c>
      <c r="G309" s="39">
        <v>44044</v>
      </c>
    </row>
    <row r="310" spans="1:7" x14ac:dyDescent="0.25">
      <c r="A310" t="s">
        <v>25</v>
      </c>
      <c r="B310">
        <v>2020</v>
      </c>
      <c r="C310" t="s">
        <v>15</v>
      </c>
      <c r="D310">
        <v>882580.35</v>
      </c>
      <c r="E310">
        <v>851641.60998299997</v>
      </c>
      <c r="F310">
        <v>860733.45507899998</v>
      </c>
      <c r="G310" s="39">
        <v>44075</v>
      </c>
    </row>
    <row r="311" spans="1:7" x14ac:dyDescent="0.25">
      <c r="A311" t="s">
        <v>25</v>
      </c>
      <c r="B311">
        <v>2020</v>
      </c>
      <c r="C311" t="s">
        <v>16</v>
      </c>
      <c r="D311">
        <v>737237.40918299998</v>
      </c>
      <c r="E311">
        <v>742476.22605399997</v>
      </c>
      <c r="F311">
        <v>855494.63820799999</v>
      </c>
      <c r="G311" s="39">
        <v>44105</v>
      </c>
    </row>
    <row r="312" spans="1:7" x14ac:dyDescent="0.25">
      <c r="A312" t="s">
        <v>25</v>
      </c>
      <c r="B312">
        <v>2020</v>
      </c>
      <c r="C312" t="s">
        <v>17</v>
      </c>
      <c r="D312">
        <v>535086.71</v>
      </c>
      <c r="E312">
        <v>615920.35233699996</v>
      </c>
      <c r="F312">
        <v>774660.99587099999</v>
      </c>
      <c r="G312" s="39">
        <v>44136</v>
      </c>
    </row>
    <row r="313" spans="1:7" x14ac:dyDescent="0.25">
      <c r="A313" t="s">
        <v>25</v>
      </c>
      <c r="B313">
        <v>2020</v>
      </c>
      <c r="C313" t="s">
        <v>18</v>
      </c>
      <c r="D313">
        <v>502900.81</v>
      </c>
      <c r="E313">
        <v>664879.07311799994</v>
      </c>
      <c r="F313">
        <v>612682.73275300011</v>
      </c>
      <c r="G313" s="39">
        <v>44166</v>
      </c>
    </row>
    <row r="314" spans="1:7" x14ac:dyDescent="0.25">
      <c r="A314" t="s">
        <v>25</v>
      </c>
      <c r="B314">
        <v>2021</v>
      </c>
      <c r="C314" t="s">
        <v>7</v>
      </c>
      <c r="D314">
        <v>455166.22045000002</v>
      </c>
      <c r="E314">
        <v>424896.46724500001</v>
      </c>
      <c r="F314">
        <v>642952.48595800018</v>
      </c>
      <c r="G314" s="39">
        <v>44197</v>
      </c>
    </row>
    <row r="315" spans="1:7" x14ac:dyDescent="0.25">
      <c r="A315" t="s">
        <v>25</v>
      </c>
      <c r="B315">
        <v>2021</v>
      </c>
      <c r="C315" t="s">
        <v>8</v>
      </c>
      <c r="D315">
        <v>975938.64</v>
      </c>
      <c r="E315">
        <v>707079.649584</v>
      </c>
      <c r="F315">
        <v>911811.47637400031</v>
      </c>
      <c r="G315" s="39">
        <v>44228</v>
      </c>
    </row>
    <row r="316" spans="1:7" x14ac:dyDescent="0.25">
      <c r="A316" t="s">
        <v>25</v>
      </c>
      <c r="B316">
        <v>2021</v>
      </c>
      <c r="C316" t="s">
        <v>9</v>
      </c>
      <c r="D316">
        <v>1045215.762833</v>
      </c>
      <c r="E316">
        <v>763609.06376399996</v>
      </c>
      <c r="F316">
        <v>1193418.1754430006</v>
      </c>
      <c r="G316" s="39">
        <v>44256</v>
      </c>
    </row>
    <row r="317" spans="1:7" x14ac:dyDescent="0.25">
      <c r="A317" t="s">
        <v>25</v>
      </c>
      <c r="B317">
        <v>2021</v>
      </c>
      <c r="C317" t="s">
        <v>10</v>
      </c>
      <c r="D317">
        <v>648222.62</v>
      </c>
      <c r="E317">
        <v>696575.92396699998</v>
      </c>
      <c r="F317">
        <v>1145064.8714760006</v>
      </c>
      <c r="G317" s="39">
        <v>44287</v>
      </c>
    </row>
    <row r="318" spans="1:7" x14ac:dyDescent="0.25">
      <c r="A318" t="s">
        <v>25</v>
      </c>
      <c r="B318">
        <v>2021</v>
      </c>
      <c r="C318" t="s">
        <v>11</v>
      </c>
      <c r="D318">
        <v>874962.66</v>
      </c>
      <c r="E318">
        <v>889972.98329999996</v>
      </c>
      <c r="F318">
        <v>1130054.5481760008</v>
      </c>
      <c r="G318" s="39">
        <v>44317</v>
      </c>
    </row>
    <row r="319" spans="1:7" x14ac:dyDescent="0.25">
      <c r="A319" t="s">
        <v>25</v>
      </c>
      <c r="B319">
        <v>2021</v>
      </c>
      <c r="C319" t="s">
        <v>12</v>
      </c>
      <c r="D319">
        <v>457360.51</v>
      </c>
      <c r="E319">
        <v>674454.91960599995</v>
      </c>
      <c r="F319">
        <v>912960.13857000088</v>
      </c>
      <c r="G319" s="39">
        <v>44348</v>
      </c>
    </row>
    <row r="320" spans="1:7" x14ac:dyDescent="0.25">
      <c r="A320" t="s">
        <v>25</v>
      </c>
      <c r="B320">
        <v>2021</v>
      </c>
      <c r="C320" t="s">
        <v>13</v>
      </c>
      <c r="D320">
        <v>720726.33</v>
      </c>
      <c r="E320">
        <v>669197.80434200005</v>
      </c>
      <c r="F320">
        <v>964488.66422800091</v>
      </c>
      <c r="G320" s="39">
        <v>44378</v>
      </c>
    </row>
    <row r="321" spans="1:7" x14ac:dyDescent="0.25">
      <c r="A321" t="s">
        <v>25</v>
      </c>
      <c r="B321">
        <v>2021</v>
      </c>
      <c r="C321" t="s">
        <v>14</v>
      </c>
      <c r="D321">
        <v>623646</v>
      </c>
      <c r="E321">
        <v>580132.90409099997</v>
      </c>
      <c r="F321">
        <v>1008001.7601370009</v>
      </c>
      <c r="G321" s="39">
        <v>44409</v>
      </c>
    </row>
    <row r="322" spans="1:7" x14ac:dyDescent="0.25">
      <c r="A322" t="s">
        <v>25</v>
      </c>
      <c r="B322">
        <v>2021</v>
      </c>
      <c r="C322" t="s">
        <v>15</v>
      </c>
      <c r="D322">
        <v>681204.40961500001</v>
      </c>
      <c r="E322">
        <v>713981.85191299999</v>
      </c>
      <c r="F322">
        <v>975224.31783900084</v>
      </c>
      <c r="G322" s="39">
        <v>44440</v>
      </c>
    </row>
    <row r="323" spans="1:7" x14ac:dyDescent="0.25">
      <c r="A323" t="s">
        <v>25</v>
      </c>
      <c r="B323">
        <v>2021</v>
      </c>
      <c r="C323" t="s">
        <v>16</v>
      </c>
      <c r="D323">
        <v>1168703.8799999999</v>
      </c>
      <c r="E323">
        <v>708994.40552599996</v>
      </c>
      <c r="F323">
        <v>1434933.7923130007</v>
      </c>
      <c r="G323" s="39">
        <v>44470</v>
      </c>
    </row>
    <row r="324" spans="1:7" x14ac:dyDescent="0.25">
      <c r="A324" t="s">
        <v>25</v>
      </c>
      <c r="B324">
        <v>2021</v>
      </c>
      <c r="C324" t="s">
        <v>17</v>
      </c>
      <c r="D324">
        <v>688801.73166699999</v>
      </c>
      <c r="E324">
        <v>808552.82819399994</v>
      </c>
      <c r="F324">
        <v>1315182.6957860007</v>
      </c>
      <c r="G324" s="39">
        <v>44501</v>
      </c>
    </row>
    <row r="325" spans="1:7" x14ac:dyDescent="0.25">
      <c r="A325" t="s">
        <v>25</v>
      </c>
      <c r="B325">
        <v>2021</v>
      </c>
      <c r="C325" t="s">
        <v>18</v>
      </c>
      <c r="D325">
        <v>671882.02</v>
      </c>
      <c r="E325">
        <v>858262.27926900005</v>
      </c>
      <c r="F325">
        <v>1128802.4365170007</v>
      </c>
      <c r="G325" s="39">
        <v>44531</v>
      </c>
    </row>
    <row r="326" spans="1:7" x14ac:dyDescent="0.25">
      <c r="A326" t="s">
        <v>25</v>
      </c>
      <c r="B326">
        <v>2022</v>
      </c>
      <c r="C326" t="s">
        <v>7</v>
      </c>
      <c r="D326">
        <v>984964.26</v>
      </c>
      <c r="E326">
        <v>452804.77447499998</v>
      </c>
      <c r="F326">
        <v>1660961.922042001</v>
      </c>
      <c r="G326" s="39">
        <v>44562</v>
      </c>
    </row>
    <row r="327" spans="1:7" x14ac:dyDescent="0.25">
      <c r="A327" t="s">
        <v>25</v>
      </c>
      <c r="B327">
        <v>2022</v>
      </c>
      <c r="C327" t="s">
        <v>8</v>
      </c>
      <c r="D327">
        <v>672846.23583300004</v>
      </c>
      <c r="E327">
        <v>1104590.0783200001</v>
      </c>
      <c r="F327">
        <v>1229218.0795550009</v>
      </c>
      <c r="G327" s="39">
        <v>44593</v>
      </c>
    </row>
    <row r="328" spans="1:7" x14ac:dyDescent="0.25">
      <c r="A328" t="s">
        <v>25</v>
      </c>
      <c r="B328">
        <v>2022</v>
      </c>
      <c r="C328" t="s">
        <v>9</v>
      </c>
      <c r="D328">
        <v>668175.21</v>
      </c>
      <c r="E328">
        <v>648603.25790700002</v>
      </c>
      <c r="F328">
        <v>1248790.0316480007</v>
      </c>
      <c r="G328" s="39">
        <v>44621</v>
      </c>
    </row>
    <row r="329" spans="1:7" x14ac:dyDescent="0.25">
      <c r="A329" t="s">
        <v>25</v>
      </c>
      <c r="B329">
        <v>2022</v>
      </c>
      <c r="C329" t="s">
        <v>10</v>
      </c>
      <c r="D329">
        <v>663650.31999999995</v>
      </c>
      <c r="E329">
        <v>635400.50645900005</v>
      </c>
      <c r="F329">
        <v>1277039.8451890005</v>
      </c>
      <c r="G329" s="39">
        <v>44652</v>
      </c>
    </row>
    <row r="330" spans="1:7" x14ac:dyDescent="0.25">
      <c r="A330" t="s">
        <v>25</v>
      </c>
      <c r="B330">
        <v>2022</v>
      </c>
      <c r="C330" t="s">
        <v>11</v>
      </c>
      <c r="D330">
        <v>684354.64</v>
      </c>
      <c r="E330">
        <v>494209.36571899999</v>
      </c>
      <c r="F330">
        <v>1467185.1194700007</v>
      </c>
      <c r="G330" s="39">
        <v>44682</v>
      </c>
    </row>
    <row r="331" spans="1:7" x14ac:dyDescent="0.25">
      <c r="A331" t="s">
        <v>25</v>
      </c>
      <c r="B331">
        <v>2022</v>
      </c>
      <c r="C331" t="s">
        <v>12</v>
      </c>
      <c r="D331">
        <v>1366997.46</v>
      </c>
      <c r="E331">
        <v>425023.45486699999</v>
      </c>
      <c r="F331">
        <v>2409159.1246030005</v>
      </c>
      <c r="G331" s="39">
        <v>44713</v>
      </c>
    </row>
    <row r="332" spans="1:7" x14ac:dyDescent="0.25">
      <c r="A332" t="s">
        <v>25</v>
      </c>
      <c r="B332">
        <v>2022</v>
      </c>
      <c r="C332" t="s">
        <v>13</v>
      </c>
      <c r="D332">
        <v>477270.927333</v>
      </c>
      <c r="E332">
        <v>859246.18750100001</v>
      </c>
      <c r="F332">
        <v>2027183.8644350006</v>
      </c>
      <c r="G332" s="39">
        <v>44743</v>
      </c>
    </row>
    <row r="333" spans="1:7" x14ac:dyDescent="0.25">
      <c r="A333" t="s">
        <v>25</v>
      </c>
      <c r="B333">
        <v>2022</v>
      </c>
      <c r="C333" t="s">
        <v>14</v>
      </c>
      <c r="D333">
        <v>728145.48800000001</v>
      </c>
      <c r="E333">
        <v>456180.20967100002</v>
      </c>
      <c r="F333">
        <v>2299149.1427640007</v>
      </c>
      <c r="G333" s="39">
        <v>44774</v>
      </c>
    </row>
    <row r="334" spans="1:7" x14ac:dyDescent="0.25">
      <c r="A334" t="s">
        <v>25</v>
      </c>
      <c r="B334">
        <v>2022</v>
      </c>
      <c r="C334" t="s">
        <v>15</v>
      </c>
      <c r="D334">
        <v>1035629.06</v>
      </c>
      <c r="E334">
        <v>877473.60017200001</v>
      </c>
      <c r="F334">
        <v>2457304.6025920007</v>
      </c>
      <c r="G334" s="39">
        <v>44805</v>
      </c>
    </row>
    <row r="335" spans="1:7" x14ac:dyDescent="0.25">
      <c r="A335" t="s">
        <v>25</v>
      </c>
      <c r="B335">
        <v>2022</v>
      </c>
      <c r="C335" t="s">
        <v>16</v>
      </c>
      <c r="D335">
        <v>521572.89</v>
      </c>
      <c r="E335">
        <v>464407.77253999998</v>
      </c>
      <c r="F335">
        <v>2514469.7200520011</v>
      </c>
      <c r="G335" s="39">
        <v>44835</v>
      </c>
    </row>
    <row r="336" spans="1:7" x14ac:dyDescent="0.25">
      <c r="A336" t="s">
        <v>25</v>
      </c>
      <c r="B336">
        <v>2022</v>
      </c>
      <c r="C336" t="s">
        <v>17</v>
      </c>
      <c r="D336">
        <v>435893.07</v>
      </c>
      <c r="E336">
        <v>566023.50846299995</v>
      </c>
      <c r="F336">
        <v>2384339.281589001</v>
      </c>
      <c r="G336" s="39">
        <v>44866</v>
      </c>
    </row>
    <row r="337" spans="1:7" x14ac:dyDescent="0.25">
      <c r="A337" t="s">
        <v>25</v>
      </c>
      <c r="B337">
        <v>2022</v>
      </c>
      <c r="C337" t="s">
        <v>18</v>
      </c>
      <c r="D337">
        <v>143317.12</v>
      </c>
      <c r="E337">
        <v>353740.98552799999</v>
      </c>
      <c r="F337">
        <v>2173915.4160610009</v>
      </c>
      <c r="G337" s="39">
        <v>44896</v>
      </c>
    </row>
    <row r="338" spans="1:7" x14ac:dyDescent="0.25">
      <c r="A338" t="s">
        <v>25</v>
      </c>
      <c r="B338">
        <v>2023</v>
      </c>
      <c r="C338" t="s">
        <v>7</v>
      </c>
      <c r="D338">
        <v>270240.42</v>
      </c>
      <c r="E338">
        <v>203115.40601899999</v>
      </c>
      <c r="F338">
        <v>2241040.430042001</v>
      </c>
      <c r="G338" s="39">
        <v>44927</v>
      </c>
    </row>
    <row r="339" spans="1:7" x14ac:dyDescent="0.25">
      <c r="A339" t="s">
        <v>25</v>
      </c>
      <c r="B339">
        <v>2023</v>
      </c>
      <c r="C339" t="s">
        <v>8</v>
      </c>
      <c r="D339">
        <v>515381.21</v>
      </c>
      <c r="E339">
        <v>439312.72592900001</v>
      </c>
      <c r="F339">
        <v>2317108.914113001</v>
      </c>
      <c r="G339" s="39">
        <v>44958</v>
      </c>
    </row>
    <row r="340" spans="1:7" x14ac:dyDescent="0.25">
      <c r="A340" t="s">
        <v>25</v>
      </c>
      <c r="B340">
        <v>2023</v>
      </c>
      <c r="C340" t="s">
        <v>9</v>
      </c>
      <c r="D340">
        <v>467677.78</v>
      </c>
      <c r="E340">
        <v>460357.68277999997</v>
      </c>
      <c r="F340">
        <v>2324429.0113330013</v>
      </c>
      <c r="G340" s="39">
        <v>44986</v>
      </c>
    </row>
    <row r="341" spans="1:7" x14ac:dyDescent="0.25">
      <c r="A341" t="s">
        <v>25</v>
      </c>
      <c r="B341">
        <v>2023</v>
      </c>
      <c r="C341" t="s">
        <v>10</v>
      </c>
      <c r="D341">
        <v>462651.72</v>
      </c>
      <c r="E341">
        <v>564049.21577100002</v>
      </c>
      <c r="F341">
        <v>2223031.5155620016</v>
      </c>
      <c r="G341" s="39">
        <v>45017</v>
      </c>
    </row>
    <row r="342" spans="1:7" x14ac:dyDescent="0.25">
      <c r="A342" t="s">
        <v>25</v>
      </c>
      <c r="B342">
        <v>2023</v>
      </c>
      <c r="C342" t="s">
        <v>11</v>
      </c>
      <c r="D342">
        <v>616628.12</v>
      </c>
      <c r="E342">
        <v>603162.23212599999</v>
      </c>
      <c r="F342">
        <v>2236497.4034360019</v>
      </c>
      <c r="G342" s="39">
        <v>45047</v>
      </c>
    </row>
    <row r="343" spans="1:7" x14ac:dyDescent="0.25">
      <c r="A343" t="s">
        <v>25</v>
      </c>
      <c r="B343">
        <v>2023</v>
      </c>
      <c r="C343" t="s">
        <v>12</v>
      </c>
      <c r="D343">
        <v>486762.33603200002</v>
      </c>
      <c r="E343">
        <v>682298.25928100001</v>
      </c>
      <c r="F343">
        <v>2040961.4801870016</v>
      </c>
      <c r="G343" s="39">
        <v>45078</v>
      </c>
    </row>
    <row r="344" spans="1:7" x14ac:dyDescent="0.25">
      <c r="A344" t="s">
        <v>25</v>
      </c>
      <c r="B344">
        <v>2023</v>
      </c>
      <c r="C344" t="s">
        <v>13</v>
      </c>
      <c r="D344">
        <v>491870.59999900003</v>
      </c>
      <c r="E344">
        <v>525482.094346</v>
      </c>
      <c r="F344">
        <v>2007349.9858400016</v>
      </c>
      <c r="G344" s="39">
        <v>45108</v>
      </c>
    </row>
    <row r="345" spans="1:7" x14ac:dyDescent="0.25">
      <c r="A345" t="s">
        <v>25</v>
      </c>
      <c r="B345">
        <v>2023</v>
      </c>
      <c r="C345" t="s">
        <v>14</v>
      </c>
      <c r="D345">
        <v>338770.46</v>
      </c>
      <c r="E345">
        <v>431395.935214</v>
      </c>
      <c r="F345">
        <v>1914724.5106260015</v>
      </c>
      <c r="G345" s="39">
        <v>45139</v>
      </c>
    </row>
    <row r="346" spans="1:7" x14ac:dyDescent="0.25">
      <c r="A346" t="s">
        <v>25</v>
      </c>
      <c r="B346">
        <v>2023</v>
      </c>
      <c r="C346" t="s">
        <v>15</v>
      </c>
      <c r="D346">
        <v>710388.42233299999</v>
      </c>
      <c r="E346">
        <v>553320.95113299997</v>
      </c>
      <c r="F346">
        <v>2071791.9818260015</v>
      </c>
      <c r="G346" s="39">
        <v>45170</v>
      </c>
    </row>
    <row r="347" spans="1:7" x14ac:dyDescent="0.25">
      <c r="A347" t="s">
        <v>25</v>
      </c>
      <c r="B347">
        <v>2023</v>
      </c>
      <c r="C347" t="s">
        <v>16</v>
      </c>
      <c r="D347">
        <v>890689.44</v>
      </c>
      <c r="E347">
        <v>638341.369374</v>
      </c>
      <c r="F347">
        <v>2324140.0524520013</v>
      </c>
      <c r="G347" s="39">
        <v>45200</v>
      </c>
    </row>
    <row r="348" spans="1:7" x14ac:dyDescent="0.25">
      <c r="A348" t="s">
        <v>25</v>
      </c>
      <c r="B348">
        <v>2023</v>
      </c>
      <c r="C348" t="s">
        <v>17</v>
      </c>
      <c r="D348">
        <v>2137828.824</v>
      </c>
      <c r="E348">
        <v>2729540.547022</v>
      </c>
      <c r="F348">
        <v>1732428.3294300009</v>
      </c>
      <c r="G348" s="39">
        <v>45231</v>
      </c>
    </row>
    <row r="349" spans="1:7" x14ac:dyDescent="0.25">
      <c r="A349" t="s">
        <v>25</v>
      </c>
      <c r="B349">
        <v>2023</v>
      </c>
      <c r="C349" t="s">
        <v>18</v>
      </c>
      <c r="D349">
        <v>2017248.69</v>
      </c>
      <c r="E349">
        <v>1752830.674561</v>
      </c>
      <c r="F349">
        <v>1996846.3448690008</v>
      </c>
      <c r="G349" s="39">
        <v>45261</v>
      </c>
    </row>
    <row r="350" spans="1:7" x14ac:dyDescent="0.25">
      <c r="A350" t="s">
        <v>25</v>
      </c>
      <c r="B350">
        <v>2024</v>
      </c>
      <c r="C350" t="s">
        <v>7</v>
      </c>
      <c r="F350">
        <v>1996846.3448690008</v>
      </c>
      <c r="G350" s="39">
        <v>45292</v>
      </c>
    </row>
    <row r="351" spans="1:7" x14ac:dyDescent="0.25">
      <c r="A351" t="s">
        <v>25</v>
      </c>
      <c r="B351">
        <v>2024</v>
      </c>
      <c r="C351" t="s">
        <v>8</v>
      </c>
      <c r="F351">
        <v>1996846.3448690008</v>
      </c>
      <c r="G351" s="39">
        <v>45323</v>
      </c>
    </row>
    <row r="352" spans="1:7" x14ac:dyDescent="0.25">
      <c r="A352" t="s">
        <v>25</v>
      </c>
      <c r="B352">
        <v>2024</v>
      </c>
      <c r="C352" t="s">
        <v>9</v>
      </c>
      <c r="F352">
        <v>1996846.3448690008</v>
      </c>
      <c r="G352" s="39">
        <v>45352</v>
      </c>
    </row>
    <row r="353" spans="1:7" x14ac:dyDescent="0.25">
      <c r="A353" t="s">
        <v>25</v>
      </c>
      <c r="B353">
        <v>2024</v>
      </c>
      <c r="C353" t="s">
        <v>10</v>
      </c>
      <c r="F353">
        <v>1996846.3448690008</v>
      </c>
      <c r="G353" s="39">
        <v>45383</v>
      </c>
    </row>
    <row r="354" spans="1:7" x14ac:dyDescent="0.25">
      <c r="A354" t="s">
        <v>25</v>
      </c>
      <c r="B354">
        <v>2024</v>
      </c>
      <c r="C354" t="s">
        <v>11</v>
      </c>
      <c r="F354">
        <v>1996846.3448690008</v>
      </c>
      <c r="G354" s="39">
        <v>45413</v>
      </c>
    </row>
    <row r="355" spans="1:7" x14ac:dyDescent="0.25">
      <c r="A355" t="s">
        <v>25</v>
      </c>
      <c r="B355">
        <v>2024</v>
      </c>
      <c r="C355" t="s">
        <v>12</v>
      </c>
      <c r="F355">
        <v>1996846.3448690008</v>
      </c>
      <c r="G355" s="39">
        <v>45444</v>
      </c>
    </row>
    <row r="356" spans="1:7" x14ac:dyDescent="0.25">
      <c r="A356" t="s">
        <v>25</v>
      </c>
      <c r="B356">
        <v>2024</v>
      </c>
      <c r="C356" t="s">
        <v>13</v>
      </c>
      <c r="F356">
        <v>1996846.3448690008</v>
      </c>
      <c r="G356" s="39">
        <v>45474</v>
      </c>
    </row>
    <row r="357" spans="1:7" x14ac:dyDescent="0.25">
      <c r="A357" t="s">
        <v>25</v>
      </c>
      <c r="B357">
        <v>2024</v>
      </c>
      <c r="C357" t="s">
        <v>14</v>
      </c>
      <c r="F357">
        <v>1996846.3448690008</v>
      </c>
      <c r="G357" s="39">
        <v>45505</v>
      </c>
    </row>
    <row r="358" spans="1:7" x14ac:dyDescent="0.25">
      <c r="A358" t="s">
        <v>25</v>
      </c>
      <c r="B358">
        <v>2024</v>
      </c>
      <c r="C358" t="s">
        <v>15</v>
      </c>
      <c r="F358">
        <v>1996846.3448690008</v>
      </c>
      <c r="G358" s="39">
        <v>45536</v>
      </c>
    </row>
    <row r="359" spans="1:7" x14ac:dyDescent="0.25">
      <c r="A359" t="s">
        <v>25</v>
      </c>
      <c r="B359">
        <v>2024</v>
      </c>
      <c r="C359" t="s">
        <v>16</v>
      </c>
      <c r="F359">
        <v>1996846.3448690008</v>
      </c>
      <c r="G359" s="39">
        <v>45566</v>
      </c>
    </row>
    <row r="360" spans="1:7" x14ac:dyDescent="0.25">
      <c r="A360" t="s">
        <v>25</v>
      </c>
      <c r="B360">
        <v>2024</v>
      </c>
      <c r="C360" t="s">
        <v>17</v>
      </c>
      <c r="F360">
        <v>1996846.3448690008</v>
      </c>
      <c r="G360" s="39">
        <v>45597</v>
      </c>
    </row>
    <row r="361" spans="1:7" x14ac:dyDescent="0.25">
      <c r="A361" t="s">
        <v>25</v>
      </c>
      <c r="B361">
        <v>2024</v>
      </c>
      <c r="C361" t="s">
        <v>18</v>
      </c>
      <c r="F361">
        <v>1996846.3448690008</v>
      </c>
      <c r="G361" s="39">
        <v>45627</v>
      </c>
    </row>
    <row r="362" spans="1:7" x14ac:dyDescent="0.25">
      <c r="A362" t="s">
        <v>26</v>
      </c>
      <c r="B362">
        <v>2019</v>
      </c>
      <c r="C362" t="s">
        <v>7</v>
      </c>
      <c r="D362">
        <v>996148.12505000003</v>
      </c>
      <c r="E362">
        <v>438479.186009</v>
      </c>
      <c r="F362">
        <v>1497251.1600790001</v>
      </c>
      <c r="G362" s="39">
        <v>43466</v>
      </c>
    </row>
    <row r="363" spans="1:7" x14ac:dyDescent="0.25">
      <c r="A363" t="s">
        <v>26</v>
      </c>
      <c r="B363">
        <v>2019</v>
      </c>
      <c r="C363" t="s">
        <v>8</v>
      </c>
      <c r="D363">
        <v>610041.48800000001</v>
      </c>
      <c r="E363">
        <v>599832.02228200005</v>
      </c>
      <c r="F363">
        <v>1507460.6257969998</v>
      </c>
      <c r="G363" s="39">
        <v>43497</v>
      </c>
    </row>
    <row r="364" spans="1:7" x14ac:dyDescent="0.25">
      <c r="A364" t="s">
        <v>26</v>
      </c>
      <c r="B364">
        <v>2019</v>
      </c>
      <c r="C364" t="s">
        <v>9</v>
      </c>
      <c r="D364">
        <v>957224.38766600005</v>
      </c>
      <c r="E364">
        <v>693018.32317800005</v>
      </c>
      <c r="F364">
        <v>1771666.6902849998</v>
      </c>
      <c r="G364" s="39">
        <v>43525</v>
      </c>
    </row>
    <row r="365" spans="1:7" x14ac:dyDescent="0.25">
      <c r="A365" t="s">
        <v>26</v>
      </c>
      <c r="B365">
        <v>2019</v>
      </c>
      <c r="C365" t="s">
        <v>10</v>
      </c>
      <c r="D365">
        <v>375652.5</v>
      </c>
      <c r="E365">
        <v>609821.57982300001</v>
      </c>
      <c r="F365">
        <v>1537497.6104620001</v>
      </c>
      <c r="G365" s="39">
        <v>43556</v>
      </c>
    </row>
    <row r="366" spans="1:7" x14ac:dyDescent="0.25">
      <c r="A366" t="s">
        <v>26</v>
      </c>
      <c r="B366">
        <v>2019</v>
      </c>
      <c r="C366" t="s">
        <v>11</v>
      </c>
      <c r="D366">
        <v>466532.80499999999</v>
      </c>
      <c r="E366">
        <v>644334.81735799997</v>
      </c>
      <c r="F366">
        <v>1359695.5981040001</v>
      </c>
      <c r="G366" s="39">
        <v>43586</v>
      </c>
    </row>
    <row r="367" spans="1:7" x14ac:dyDescent="0.25">
      <c r="A367" t="s">
        <v>26</v>
      </c>
      <c r="B367">
        <v>2019</v>
      </c>
      <c r="C367" t="s">
        <v>12</v>
      </c>
      <c r="D367">
        <v>739547.71972299996</v>
      </c>
      <c r="E367">
        <v>664508.34957199998</v>
      </c>
      <c r="F367">
        <v>1434734.9682550002</v>
      </c>
      <c r="G367" s="39">
        <v>43617</v>
      </c>
    </row>
    <row r="368" spans="1:7" x14ac:dyDescent="0.25">
      <c r="A368" t="s">
        <v>26</v>
      </c>
      <c r="B368">
        <v>2019</v>
      </c>
      <c r="C368" t="s">
        <v>13</v>
      </c>
      <c r="D368">
        <v>799499.84718200006</v>
      </c>
      <c r="E368">
        <v>904553.76661599998</v>
      </c>
      <c r="F368">
        <v>1329681.0488210004</v>
      </c>
      <c r="G368" s="39">
        <v>43647</v>
      </c>
    </row>
    <row r="369" spans="1:7" x14ac:dyDescent="0.25">
      <c r="A369" t="s">
        <v>26</v>
      </c>
      <c r="B369">
        <v>2019</v>
      </c>
      <c r="C369" t="s">
        <v>14</v>
      </c>
      <c r="D369">
        <v>909774.75733299996</v>
      </c>
      <c r="E369">
        <v>912246.00079199998</v>
      </c>
      <c r="F369">
        <v>1327209.8053620006</v>
      </c>
      <c r="G369" s="39">
        <v>43678</v>
      </c>
    </row>
    <row r="370" spans="1:7" x14ac:dyDescent="0.25">
      <c r="A370" t="s">
        <v>26</v>
      </c>
      <c r="B370">
        <v>2019</v>
      </c>
      <c r="C370" t="s">
        <v>15</v>
      </c>
      <c r="D370">
        <v>888174.56102100003</v>
      </c>
      <c r="E370">
        <v>740672.93213299999</v>
      </c>
      <c r="F370">
        <v>1474711.4342500009</v>
      </c>
      <c r="G370" s="39">
        <v>43709</v>
      </c>
    </row>
    <row r="371" spans="1:7" x14ac:dyDescent="0.25">
      <c r="A371" t="s">
        <v>26</v>
      </c>
      <c r="B371">
        <v>2019</v>
      </c>
      <c r="C371" t="s">
        <v>16</v>
      </c>
      <c r="D371">
        <v>1205950.5804930001</v>
      </c>
      <c r="E371">
        <v>1153948.3952800001</v>
      </c>
      <c r="F371">
        <v>1526713.6194630011</v>
      </c>
      <c r="G371" s="39">
        <v>43739</v>
      </c>
    </row>
    <row r="372" spans="1:7" x14ac:dyDescent="0.25">
      <c r="A372" t="s">
        <v>26</v>
      </c>
      <c r="B372">
        <v>2019</v>
      </c>
      <c r="C372" t="s">
        <v>17</v>
      </c>
      <c r="D372">
        <v>853013.99600299995</v>
      </c>
      <c r="E372">
        <v>1089969.0890019999</v>
      </c>
      <c r="F372">
        <v>1289758.526464001</v>
      </c>
      <c r="G372" s="39">
        <v>43770</v>
      </c>
    </row>
    <row r="373" spans="1:7" x14ac:dyDescent="0.25">
      <c r="A373" t="s">
        <v>26</v>
      </c>
      <c r="B373">
        <v>2019</v>
      </c>
      <c r="C373" t="s">
        <v>18</v>
      </c>
      <c r="D373">
        <v>962442.02532200003</v>
      </c>
      <c r="E373">
        <v>1156476.365434</v>
      </c>
      <c r="F373">
        <v>1095724.1863520008</v>
      </c>
      <c r="G373" s="39">
        <v>43800</v>
      </c>
    </row>
    <row r="374" spans="1:7" x14ac:dyDescent="0.25">
      <c r="A374" t="s">
        <v>26</v>
      </c>
      <c r="B374">
        <v>2020</v>
      </c>
      <c r="C374" t="s">
        <v>7</v>
      </c>
      <c r="D374">
        <v>862130.30099999998</v>
      </c>
      <c r="E374">
        <v>716229.36364400003</v>
      </c>
      <c r="F374">
        <v>1241625.1237080009</v>
      </c>
      <c r="G374" s="39">
        <v>43831</v>
      </c>
    </row>
    <row r="375" spans="1:7" x14ac:dyDescent="0.25">
      <c r="A375" t="s">
        <v>26</v>
      </c>
      <c r="B375">
        <v>2020</v>
      </c>
      <c r="C375" t="s">
        <v>8</v>
      </c>
      <c r="D375">
        <v>857588.98207699996</v>
      </c>
      <c r="E375">
        <v>897007.24924399995</v>
      </c>
      <c r="F375">
        <v>1202206.8565410012</v>
      </c>
      <c r="G375" s="39">
        <v>43862</v>
      </c>
    </row>
    <row r="376" spans="1:7" x14ac:dyDescent="0.25">
      <c r="A376" t="s">
        <v>26</v>
      </c>
      <c r="B376">
        <v>2020</v>
      </c>
      <c r="C376" t="s">
        <v>9</v>
      </c>
      <c r="D376">
        <v>1119583.2446669999</v>
      </c>
      <c r="E376">
        <v>791577.559519</v>
      </c>
      <c r="F376">
        <v>1530212.5416890015</v>
      </c>
      <c r="G376" s="39">
        <v>43891</v>
      </c>
    </row>
    <row r="377" spans="1:7" x14ac:dyDescent="0.25">
      <c r="A377" t="s">
        <v>26</v>
      </c>
      <c r="B377">
        <v>2020</v>
      </c>
      <c r="C377" t="s">
        <v>10</v>
      </c>
      <c r="D377">
        <v>323959.12317500002</v>
      </c>
      <c r="E377">
        <v>593658.922884</v>
      </c>
      <c r="F377">
        <v>1260512.7419800016</v>
      </c>
      <c r="G377" s="39">
        <v>43922</v>
      </c>
    </row>
    <row r="378" spans="1:7" x14ac:dyDescent="0.25">
      <c r="A378" t="s">
        <v>26</v>
      </c>
      <c r="B378">
        <v>2020</v>
      </c>
      <c r="C378" t="s">
        <v>11</v>
      </c>
      <c r="D378">
        <v>689825.38624400005</v>
      </c>
      <c r="E378">
        <v>792553.77495700005</v>
      </c>
      <c r="F378">
        <v>1157784.3532670017</v>
      </c>
      <c r="G378" s="39">
        <v>43952</v>
      </c>
    </row>
    <row r="379" spans="1:7" x14ac:dyDescent="0.25">
      <c r="A379" t="s">
        <v>26</v>
      </c>
      <c r="B379">
        <v>2020</v>
      </c>
      <c r="C379" t="s">
        <v>12</v>
      </c>
      <c r="D379">
        <v>882554.04</v>
      </c>
      <c r="E379">
        <v>698414.954791</v>
      </c>
      <c r="F379">
        <v>1341923.4384760018</v>
      </c>
      <c r="G379" s="39">
        <v>43983</v>
      </c>
    </row>
    <row r="380" spans="1:7" x14ac:dyDescent="0.25">
      <c r="A380" t="s">
        <v>26</v>
      </c>
      <c r="B380">
        <v>2020</v>
      </c>
      <c r="C380" t="s">
        <v>13</v>
      </c>
      <c r="D380">
        <v>827666.25329799997</v>
      </c>
      <c r="E380">
        <v>898591.15196499997</v>
      </c>
      <c r="F380">
        <v>1270998.5398090018</v>
      </c>
      <c r="G380" s="39">
        <v>44013</v>
      </c>
    </row>
    <row r="381" spans="1:7" x14ac:dyDescent="0.25">
      <c r="A381" t="s">
        <v>26</v>
      </c>
      <c r="B381">
        <v>2020</v>
      </c>
      <c r="C381" t="s">
        <v>14</v>
      </c>
      <c r="D381">
        <v>825554.26</v>
      </c>
      <c r="E381">
        <v>869303.425499</v>
      </c>
      <c r="F381">
        <v>1227249.3743100017</v>
      </c>
      <c r="G381" s="39">
        <v>44044</v>
      </c>
    </row>
    <row r="382" spans="1:7" x14ac:dyDescent="0.25">
      <c r="A382" t="s">
        <v>26</v>
      </c>
      <c r="B382">
        <v>2020</v>
      </c>
      <c r="C382" t="s">
        <v>15</v>
      </c>
      <c r="D382">
        <v>658115.35796299996</v>
      </c>
      <c r="E382">
        <v>705685.66212700005</v>
      </c>
      <c r="F382">
        <v>1179679.0701460016</v>
      </c>
      <c r="G382" s="39">
        <v>44075</v>
      </c>
    </row>
    <row r="383" spans="1:7" x14ac:dyDescent="0.25">
      <c r="A383" t="s">
        <v>26</v>
      </c>
      <c r="B383">
        <v>2020</v>
      </c>
      <c r="C383" t="s">
        <v>16</v>
      </c>
      <c r="D383">
        <v>675174.37</v>
      </c>
      <c r="E383">
        <v>639971.71237900003</v>
      </c>
      <c r="F383">
        <v>1214881.7277670014</v>
      </c>
      <c r="G383" s="39">
        <v>44105</v>
      </c>
    </row>
    <row r="384" spans="1:7" x14ac:dyDescent="0.25">
      <c r="A384" t="s">
        <v>26</v>
      </c>
      <c r="B384">
        <v>2020</v>
      </c>
      <c r="C384" t="s">
        <v>17</v>
      </c>
      <c r="D384">
        <v>720391.32426100003</v>
      </c>
      <c r="E384">
        <v>728178.32611000002</v>
      </c>
      <c r="F384">
        <v>1207094.7259180013</v>
      </c>
      <c r="G384" s="39">
        <v>44136</v>
      </c>
    </row>
    <row r="385" spans="1:7" x14ac:dyDescent="0.25">
      <c r="A385" t="s">
        <v>26</v>
      </c>
      <c r="B385">
        <v>2020</v>
      </c>
      <c r="C385" t="s">
        <v>18</v>
      </c>
      <c r="D385">
        <v>261707.67629199999</v>
      </c>
      <c r="E385">
        <v>526170.35508000001</v>
      </c>
      <c r="F385">
        <v>942632.04713000136</v>
      </c>
      <c r="G385" s="39">
        <v>44166</v>
      </c>
    </row>
    <row r="386" spans="1:7" x14ac:dyDescent="0.25">
      <c r="A386" t="s">
        <v>26</v>
      </c>
      <c r="B386">
        <v>2021</v>
      </c>
      <c r="C386" t="s">
        <v>7</v>
      </c>
      <c r="D386">
        <v>732209.14500000002</v>
      </c>
      <c r="E386">
        <v>448650.30277399998</v>
      </c>
      <c r="F386">
        <v>1226190.8893560013</v>
      </c>
      <c r="G386" s="39">
        <v>44197</v>
      </c>
    </row>
    <row r="387" spans="1:7" x14ac:dyDescent="0.25">
      <c r="A387" t="s">
        <v>26</v>
      </c>
      <c r="B387">
        <v>2021</v>
      </c>
      <c r="C387" t="s">
        <v>8</v>
      </c>
      <c r="D387">
        <v>763477.19105599995</v>
      </c>
      <c r="E387">
        <v>647918.33110399998</v>
      </c>
      <c r="F387">
        <v>1341749.7493080013</v>
      </c>
      <c r="G387" s="39">
        <v>44228</v>
      </c>
    </row>
    <row r="388" spans="1:7" x14ac:dyDescent="0.25">
      <c r="A388" t="s">
        <v>26</v>
      </c>
      <c r="B388">
        <v>2021</v>
      </c>
      <c r="C388" t="s">
        <v>9</v>
      </c>
      <c r="D388">
        <v>701310.59653400001</v>
      </c>
      <c r="E388">
        <v>810791.93757800001</v>
      </c>
      <c r="F388">
        <v>1232268.4082640014</v>
      </c>
      <c r="G388" s="39">
        <v>44256</v>
      </c>
    </row>
    <row r="389" spans="1:7" x14ac:dyDescent="0.25">
      <c r="A389" t="s">
        <v>26</v>
      </c>
      <c r="B389">
        <v>2021</v>
      </c>
      <c r="C389" t="s">
        <v>10</v>
      </c>
      <c r="D389">
        <v>778376.18799999997</v>
      </c>
      <c r="E389">
        <v>605539.18309399998</v>
      </c>
      <c r="F389">
        <v>1405105.4131700015</v>
      </c>
      <c r="G389" s="39">
        <v>44287</v>
      </c>
    </row>
    <row r="390" spans="1:7" x14ac:dyDescent="0.25">
      <c r="A390" t="s">
        <v>26</v>
      </c>
      <c r="B390">
        <v>2021</v>
      </c>
      <c r="C390" t="s">
        <v>11</v>
      </c>
      <c r="D390">
        <v>756576.65716599999</v>
      </c>
      <c r="E390">
        <v>720926.91853599995</v>
      </c>
      <c r="F390">
        <v>1440755.1518000015</v>
      </c>
      <c r="G390" s="39">
        <v>44317</v>
      </c>
    </row>
    <row r="391" spans="1:7" x14ac:dyDescent="0.25">
      <c r="A391" t="s">
        <v>26</v>
      </c>
      <c r="B391">
        <v>2021</v>
      </c>
      <c r="C391" t="s">
        <v>12</v>
      </c>
      <c r="D391">
        <v>758430.61300000001</v>
      </c>
      <c r="E391">
        <v>833076.24967799999</v>
      </c>
      <c r="F391">
        <v>1366109.5151220015</v>
      </c>
      <c r="G391" s="39">
        <v>44348</v>
      </c>
    </row>
    <row r="392" spans="1:7" x14ac:dyDescent="0.25">
      <c r="A392" t="s">
        <v>26</v>
      </c>
      <c r="B392">
        <v>2021</v>
      </c>
      <c r="C392" t="s">
        <v>13</v>
      </c>
      <c r="D392">
        <v>833936.49</v>
      </c>
      <c r="E392">
        <v>693118.21117200004</v>
      </c>
      <c r="F392">
        <v>1506927.7939500012</v>
      </c>
      <c r="G392" s="39">
        <v>44378</v>
      </c>
    </row>
    <row r="393" spans="1:7" x14ac:dyDescent="0.25">
      <c r="A393" t="s">
        <v>26</v>
      </c>
      <c r="B393">
        <v>2021</v>
      </c>
      <c r="C393" t="s">
        <v>14</v>
      </c>
      <c r="D393">
        <v>1058428.6614999999</v>
      </c>
      <c r="E393">
        <v>1232288.471661</v>
      </c>
      <c r="F393">
        <v>1333067.9837890011</v>
      </c>
      <c r="G393" s="39">
        <v>44409</v>
      </c>
    </row>
    <row r="394" spans="1:7" x14ac:dyDescent="0.25">
      <c r="A394" t="s">
        <v>26</v>
      </c>
      <c r="B394">
        <v>2021</v>
      </c>
      <c r="C394" t="s">
        <v>15</v>
      </c>
      <c r="D394">
        <v>676566.473</v>
      </c>
      <c r="E394">
        <v>745063.35337999999</v>
      </c>
      <c r="F394">
        <v>1264571.1034090011</v>
      </c>
      <c r="G394" s="39">
        <v>44440</v>
      </c>
    </row>
    <row r="395" spans="1:7" x14ac:dyDescent="0.25">
      <c r="A395" t="s">
        <v>26</v>
      </c>
      <c r="B395">
        <v>2021</v>
      </c>
      <c r="C395" t="s">
        <v>16</v>
      </c>
      <c r="D395">
        <v>790976.88616200001</v>
      </c>
      <c r="E395">
        <v>762709.957253</v>
      </c>
      <c r="F395">
        <v>1292838.0323180011</v>
      </c>
      <c r="G395" s="39">
        <v>44470</v>
      </c>
    </row>
    <row r="396" spans="1:7" x14ac:dyDescent="0.25">
      <c r="A396" t="s">
        <v>26</v>
      </c>
      <c r="B396">
        <v>2021</v>
      </c>
      <c r="C396" t="s">
        <v>17</v>
      </c>
      <c r="D396">
        <v>723454.70799999998</v>
      </c>
      <c r="E396">
        <v>750872.80770700006</v>
      </c>
      <c r="F396">
        <v>1265419.9326110012</v>
      </c>
      <c r="G396" s="39">
        <v>44501</v>
      </c>
    </row>
    <row r="397" spans="1:7" x14ac:dyDescent="0.25">
      <c r="A397" t="s">
        <v>26</v>
      </c>
      <c r="B397">
        <v>2021</v>
      </c>
      <c r="C397" t="s">
        <v>18</v>
      </c>
      <c r="D397">
        <v>334271.37</v>
      </c>
      <c r="E397">
        <v>607002.45887099998</v>
      </c>
      <c r="F397">
        <v>992688.84374000132</v>
      </c>
      <c r="G397" s="39">
        <v>44531</v>
      </c>
    </row>
    <row r="398" spans="1:7" x14ac:dyDescent="0.25">
      <c r="A398" t="s">
        <v>26</v>
      </c>
      <c r="B398">
        <v>2022</v>
      </c>
      <c r="C398" t="s">
        <v>7</v>
      </c>
      <c r="D398">
        <v>939080.03</v>
      </c>
      <c r="E398">
        <v>484644.36825699999</v>
      </c>
      <c r="F398">
        <v>1447124.5054830015</v>
      </c>
      <c r="G398" s="39">
        <v>44562</v>
      </c>
    </row>
    <row r="399" spans="1:7" x14ac:dyDescent="0.25">
      <c r="A399" t="s">
        <v>26</v>
      </c>
      <c r="B399">
        <v>2022</v>
      </c>
      <c r="C399" t="s">
        <v>8</v>
      </c>
      <c r="D399">
        <v>781560.08</v>
      </c>
      <c r="E399">
        <v>653726.75756900001</v>
      </c>
      <c r="F399">
        <v>1574957.8279140014</v>
      </c>
      <c r="G399" s="39">
        <v>44593</v>
      </c>
    </row>
    <row r="400" spans="1:7" x14ac:dyDescent="0.25">
      <c r="A400" t="s">
        <v>26</v>
      </c>
      <c r="B400">
        <v>2022</v>
      </c>
      <c r="C400" t="s">
        <v>9</v>
      </c>
      <c r="D400">
        <v>854489.84066700004</v>
      </c>
      <c r="E400">
        <v>696275.56656599999</v>
      </c>
      <c r="F400">
        <v>1733172.1020150015</v>
      </c>
      <c r="G400" s="39">
        <v>44621</v>
      </c>
    </row>
    <row r="401" spans="1:7" x14ac:dyDescent="0.25">
      <c r="A401" t="s">
        <v>26</v>
      </c>
      <c r="B401">
        <v>2022</v>
      </c>
      <c r="C401" t="s">
        <v>10</v>
      </c>
      <c r="D401">
        <v>940373.51</v>
      </c>
      <c r="E401">
        <v>842974.56957000005</v>
      </c>
      <c r="F401">
        <v>1830571.0424450014</v>
      </c>
      <c r="G401" s="39">
        <v>44652</v>
      </c>
    </row>
    <row r="402" spans="1:7" x14ac:dyDescent="0.25">
      <c r="A402" t="s">
        <v>26</v>
      </c>
      <c r="B402">
        <v>2022</v>
      </c>
      <c r="C402" t="s">
        <v>11</v>
      </c>
      <c r="D402">
        <v>957001.56</v>
      </c>
      <c r="E402">
        <v>840610.80790500005</v>
      </c>
      <c r="F402">
        <v>1946961.7945400015</v>
      </c>
      <c r="G402" s="39">
        <v>44682</v>
      </c>
    </row>
    <row r="403" spans="1:7" x14ac:dyDescent="0.25">
      <c r="A403" t="s">
        <v>26</v>
      </c>
      <c r="B403">
        <v>2022</v>
      </c>
      <c r="C403" t="s">
        <v>12</v>
      </c>
      <c r="D403">
        <v>662953.28178199998</v>
      </c>
      <c r="E403">
        <v>722463.96532800002</v>
      </c>
      <c r="F403">
        <v>1887451.1109940014</v>
      </c>
      <c r="G403" s="39">
        <v>44713</v>
      </c>
    </row>
    <row r="404" spans="1:7" x14ac:dyDescent="0.25">
      <c r="A404" t="s">
        <v>26</v>
      </c>
      <c r="B404">
        <v>2022</v>
      </c>
      <c r="C404" t="s">
        <v>13</v>
      </c>
      <c r="D404">
        <v>489890.74401199998</v>
      </c>
      <c r="E404">
        <v>646452.13897500001</v>
      </c>
      <c r="F404">
        <v>1730889.7160310014</v>
      </c>
      <c r="G404" s="39">
        <v>44743</v>
      </c>
    </row>
    <row r="405" spans="1:7" x14ac:dyDescent="0.25">
      <c r="A405" t="s">
        <v>26</v>
      </c>
      <c r="B405">
        <v>2022</v>
      </c>
      <c r="C405" t="s">
        <v>14</v>
      </c>
      <c r="D405">
        <v>753144.95</v>
      </c>
      <c r="E405">
        <v>848640.743502</v>
      </c>
      <c r="F405">
        <v>1635393.9225290013</v>
      </c>
      <c r="G405" s="39">
        <v>44774</v>
      </c>
    </row>
    <row r="406" spans="1:7" x14ac:dyDescent="0.25">
      <c r="A406" t="s">
        <v>26</v>
      </c>
      <c r="B406">
        <v>2022</v>
      </c>
      <c r="C406" t="s">
        <v>15</v>
      </c>
      <c r="D406">
        <v>440222.43402599997</v>
      </c>
      <c r="E406">
        <v>515865.925491</v>
      </c>
      <c r="F406">
        <v>1559750.4310640013</v>
      </c>
      <c r="G406" s="39">
        <v>44805</v>
      </c>
    </row>
    <row r="407" spans="1:7" x14ac:dyDescent="0.25">
      <c r="A407" t="s">
        <v>26</v>
      </c>
      <c r="B407">
        <v>2022</v>
      </c>
      <c r="C407" t="s">
        <v>16</v>
      </c>
      <c r="D407">
        <v>801910.37</v>
      </c>
      <c r="E407">
        <v>701828.15241600003</v>
      </c>
      <c r="F407">
        <v>1659832.6486480013</v>
      </c>
      <c r="G407" s="39">
        <v>44835</v>
      </c>
    </row>
    <row r="408" spans="1:7" x14ac:dyDescent="0.25">
      <c r="A408" t="s">
        <v>26</v>
      </c>
      <c r="B408">
        <v>2022</v>
      </c>
      <c r="C408" t="s">
        <v>17</v>
      </c>
      <c r="D408">
        <v>689419.03</v>
      </c>
      <c r="E408">
        <v>807119.94798599998</v>
      </c>
      <c r="F408">
        <v>1542131.7306620015</v>
      </c>
      <c r="G408" s="39">
        <v>44866</v>
      </c>
    </row>
    <row r="409" spans="1:7" x14ac:dyDescent="0.25">
      <c r="A409" t="s">
        <v>26</v>
      </c>
      <c r="B409">
        <v>2022</v>
      </c>
      <c r="C409" t="s">
        <v>18</v>
      </c>
      <c r="D409">
        <v>391719.19000200002</v>
      </c>
      <c r="E409">
        <v>595065.35355899995</v>
      </c>
      <c r="F409">
        <v>1338785.5671050015</v>
      </c>
      <c r="G409" s="39">
        <v>44896</v>
      </c>
    </row>
    <row r="410" spans="1:7" x14ac:dyDescent="0.25">
      <c r="A410" t="s">
        <v>26</v>
      </c>
      <c r="B410">
        <v>2023</v>
      </c>
      <c r="C410" t="s">
        <v>7</v>
      </c>
      <c r="D410">
        <v>610222.91</v>
      </c>
      <c r="E410">
        <v>371258.53535199998</v>
      </c>
      <c r="F410">
        <v>1577749.9417530014</v>
      </c>
      <c r="G410" s="39">
        <v>44927</v>
      </c>
    </row>
    <row r="411" spans="1:7" x14ac:dyDescent="0.25">
      <c r="A411" t="s">
        <v>26</v>
      </c>
      <c r="B411">
        <v>2023</v>
      </c>
      <c r="C411" t="s">
        <v>8</v>
      </c>
      <c r="D411">
        <v>591923.93999999994</v>
      </c>
      <c r="E411">
        <v>599885.00354800001</v>
      </c>
      <c r="F411">
        <v>1569788.8782050014</v>
      </c>
      <c r="G411" s="39">
        <v>44958</v>
      </c>
    </row>
    <row r="412" spans="1:7" x14ac:dyDescent="0.25">
      <c r="A412" t="s">
        <v>26</v>
      </c>
      <c r="B412">
        <v>2023</v>
      </c>
      <c r="C412" t="s">
        <v>9</v>
      </c>
      <c r="D412">
        <v>987754.94</v>
      </c>
      <c r="E412">
        <v>865099.51138599997</v>
      </c>
      <c r="F412">
        <v>1692444.3068190012</v>
      </c>
      <c r="G412" s="39">
        <v>44986</v>
      </c>
    </row>
    <row r="413" spans="1:7" x14ac:dyDescent="0.25">
      <c r="A413" t="s">
        <v>26</v>
      </c>
      <c r="B413">
        <v>2023</v>
      </c>
      <c r="C413" t="s">
        <v>10</v>
      </c>
      <c r="D413">
        <v>1202669.93</v>
      </c>
      <c r="E413">
        <v>623957.39041600004</v>
      </c>
      <c r="F413">
        <v>2271156.8464030009</v>
      </c>
      <c r="G413" s="39">
        <v>45017</v>
      </c>
    </row>
    <row r="414" spans="1:7" x14ac:dyDescent="0.25">
      <c r="A414" t="s">
        <v>26</v>
      </c>
      <c r="B414">
        <v>2023</v>
      </c>
      <c r="C414" t="s">
        <v>11</v>
      </c>
      <c r="D414">
        <v>375293</v>
      </c>
      <c r="E414">
        <v>798284.87901200005</v>
      </c>
      <c r="F414">
        <v>1848164.9673910008</v>
      </c>
      <c r="G414" s="39">
        <v>45047</v>
      </c>
    </row>
    <row r="415" spans="1:7" x14ac:dyDescent="0.25">
      <c r="A415" t="s">
        <v>26</v>
      </c>
      <c r="B415">
        <v>2023</v>
      </c>
      <c r="C415" t="s">
        <v>12</v>
      </c>
      <c r="D415">
        <v>508236.34390699997</v>
      </c>
      <c r="E415">
        <v>566825.65031599998</v>
      </c>
      <c r="F415">
        <v>1789575.6609820006</v>
      </c>
      <c r="G415" s="39">
        <v>45078</v>
      </c>
    </row>
    <row r="416" spans="1:7" x14ac:dyDescent="0.25">
      <c r="A416" t="s">
        <v>26</v>
      </c>
      <c r="B416">
        <v>2023</v>
      </c>
      <c r="C416" t="s">
        <v>13</v>
      </c>
      <c r="D416">
        <v>810805.4</v>
      </c>
      <c r="E416">
        <v>1004414.137891</v>
      </c>
      <c r="F416">
        <v>1595966.9230910004</v>
      </c>
      <c r="G416" s="39">
        <v>45108</v>
      </c>
    </row>
    <row r="417" spans="1:7" x14ac:dyDescent="0.25">
      <c r="A417" t="s">
        <v>26</v>
      </c>
      <c r="B417">
        <v>2023</v>
      </c>
      <c r="C417" t="s">
        <v>14</v>
      </c>
      <c r="D417">
        <v>682973.79</v>
      </c>
      <c r="E417">
        <v>630979.14045399998</v>
      </c>
      <c r="F417">
        <v>1647961.5726370006</v>
      </c>
      <c r="G417" s="39">
        <v>45139</v>
      </c>
    </row>
    <row r="418" spans="1:7" x14ac:dyDescent="0.25">
      <c r="A418" t="s">
        <v>26</v>
      </c>
      <c r="B418">
        <v>2023</v>
      </c>
      <c r="C418" t="s">
        <v>15</v>
      </c>
      <c r="D418">
        <v>922549.58</v>
      </c>
      <c r="E418">
        <v>625124.15372399997</v>
      </c>
      <c r="F418">
        <v>1945386.9989130008</v>
      </c>
      <c r="G418" s="39">
        <v>45170</v>
      </c>
    </row>
    <row r="419" spans="1:7" x14ac:dyDescent="0.25">
      <c r="A419" t="s">
        <v>26</v>
      </c>
      <c r="B419">
        <v>2023</v>
      </c>
      <c r="C419" t="s">
        <v>16</v>
      </c>
      <c r="D419">
        <v>1273748.1594980001</v>
      </c>
      <c r="E419">
        <v>759423.58233700006</v>
      </c>
      <c r="F419">
        <v>2459711.5760740009</v>
      </c>
      <c r="G419" s="39">
        <v>45200</v>
      </c>
    </row>
    <row r="420" spans="1:7" x14ac:dyDescent="0.25">
      <c r="A420" t="s">
        <v>26</v>
      </c>
      <c r="B420">
        <v>2023</v>
      </c>
      <c r="C420" t="s">
        <v>17</v>
      </c>
      <c r="D420">
        <v>685223.50000100001</v>
      </c>
      <c r="E420">
        <v>847623.34169100004</v>
      </c>
      <c r="F420">
        <v>2297311.7343840008</v>
      </c>
      <c r="G420" s="39">
        <v>45231</v>
      </c>
    </row>
    <row r="421" spans="1:7" x14ac:dyDescent="0.25">
      <c r="A421" t="s">
        <v>26</v>
      </c>
      <c r="B421">
        <v>2023</v>
      </c>
      <c r="C421" t="s">
        <v>18</v>
      </c>
      <c r="D421">
        <v>331751.56</v>
      </c>
      <c r="E421">
        <v>619153.14503599994</v>
      </c>
      <c r="F421">
        <v>2009910.149348001</v>
      </c>
      <c r="G421" s="39">
        <v>45261</v>
      </c>
    </row>
    <row r="422" spans="1:7" x14ac:dyDescent="0.25">
      <c r="A422" t="s">
        <v>26</v>
      </c>
      <c r="B422">
        <v>2024</v>
      </c>
      <c r="C422" t="s">
        <v>7</v>
      </c>
      <c r="F422">
        <v>2009910.149348001</v>
      </c>
      <c r="G422" s="39">
        <v>45292</v>
      </c>
    </row>
    <row r="423" spans="1:7" x14ac:dyDescent="0.25">
      <c r="A423" t="s">
        <v>26</v>
      </c>
      <c r="B423">
        <v>2024</v>
      </c>
      <c r="C423" t="s">
        <v>8</v>
      </c>
      <c r="F423">
        <v>2009910.149348001</v>
      </c>
      <c r="G423" s="39">
        <v>45323</v>
      </c>
    </row>
    <row r="424" spans="1:7" x14ac:dyDescent="0.25">
      <c r="A424" t="s">
        <v>26</v>
      </c>
      <c r="B424">
        <v>2024</v>
      </c>
      <c r="C424" t="s">
        <v>9</v>
      </c>
      <c r="F424">
        <v>2009910.149348001</v>
      </c>
      <c r="G424" s="39">
        <v>45352</v>
      </c>
    </row>
    <row r="425" spans="1:7" x14ac:dyDescent="0.25">
      <c r="A425" t="s">
        <v>26</v>
      </c>
      <c r="B425">
        <v>2024</v>
      </c>
      <c r="C425" t="s">
        <v>10</v>
      </c>
      <c r="F425">
        <v>2009910.149348001</v>
      </c>
      <c r="G425" s="39">
        <v>45383</v>
      </c>
    </row>
    <row r="426" spans="1:7" x14ac:dyDescent="0.25">
      <c r="A426" t="s">
        <v>26</v>
      </c>
      <c r="B426">
        <v>2024</v>
      </c>
      <c r="C426" t="s">
        <v>11</v>
      </c>
      <c r="F426">
        <v>2009910.149348001</v>
      </c>
      <c r="G426" s="39">
        <v>45413</v>
      </c>
    </row>
    <row r="427" spans="1:7" x14ac:dyDescent="0.25">
      <c r="A427" t="s">
        <v>26</v>
      </c>
      <c r="B427">
        <v>2024</v>
      </c>
      <c r="C427" t="s">
        <v>12</v>
      </c>
      <c r="F427">
        <v>2009910.149348001</v>
      </c>
      <c r="G427" s="39">
        <v>45444</v>
      </c>
    </row>
    <row r="428" spans="1:7" x14ac:dyDescent="0.25">
      <c r="A428" t="s">
        <v>26</v>
      </c>
      <c r="B428">
        <v>2024</v>
      </c>
      <c r="C428" t="s">
        <v>13</v>
      </c>
      <c r="F428">
        <v>2009910.149348001</v>
      </c>
      <c r="G428" s="39">
        <v>45474</v>
      </c>
    </row>
    <row r="429" spans="1:7" x14ac:dyDescent="0.25">
      <c r="A429" t="s">
        <v>26</v>
      </c>
      <c r="B429">
        <v>2024</v>
      </c>
      <c r="C429" t="s">
        <v>14</v>
      </c>
      <c r="F429">
        <v>2009910.149348001</v>
      </c>
      <c r="G429" s="39">
        <v>45505</v>
      </c>
    </row>
    <row r="430" spans="1:7" x14ac:dyDescent="0.25">
      <c r="A430" t="s">
        <v>26</v>
      </c>
      <c r="B430">
        <v>2024</v>
      </c>
      <c r="C430" t="s">
        <v>15</v>
      </c>
      <c r="F430">
        <v>2009910.149348001</v>
      </c>
      <c r="G430" s="39">
        <v>45536</v>
      </c>
    </row>
    <row r="431" spans="1:7" x14ac:dyDescent="0.25">
      <c r="A431" t="s">
        <v>26</v>
      </c>
      <c r="B431">
        <v>2024</v>
      </c>
      <c r="C431" t="s">
        <v>16</v>
      </c>
      <c r="F431">
        <v>2009910.149348001</v>
      </c>
      <c r="G431" s="39">
        <v>45566</v>
      </c>
    </row>
    <row r="432" spans="1:7" x14ac:dyDescent="0.25">
      <c r="A432" t="s">
        <v>26</v>
      </c>
      <c r="B432">
        <v>2024</v>
      </c>
      <c r="C432" t="s">
        <v>17</v>
      </c>
      <c r="F432">
        <v>2009910.149348001</v>
      </c>
      <c r="G432" s="39">
        <v>45597</v>
      </c>
    </row>
    <row r="433" spans="1:7" x14ac:dyDescent="0.25">
      <c r="A433" t="s">
        <v>26</v>
      </c>
      <c r="B433">
        <v>2024</v>
      </c>
      <c r="C433" t="s">
        <v>18</v>
      </c>
      <c r="F433">
        <v>2009910.149348001</v>
      </c>
      <c r="G433" s="39">
        <v>45627</v>
      </c>
    </row>
    <row r="434" spans="1:7" x14ac:dyDescent="0.25">
      <c r="A434" t="s">
        <v>27</v>
      </c>
      <c r="B434">
        <v>2019</v>
      </c>
      <c r="C434" t="s">
        <v>7</v>
      </c>
      <c r="D434">
        <v>115107.96</v>
      </c>
      <c r="E434">
        <v>135086.23001999999</v>
      </c>
      <c r="F434">
        <v>753714.08003399998</v>
      </c>
      <c r="G434" s="39">
        <v>43466</v>
      </c>
    </row>
    <row r="435" spans="1:7" x14ac:dyDescent="0.25">
      <c r="A435" t="s">
        <v>27</v>
      </c>
      <c r="B435">
        <v>2019</v>
      </c>
      <c r="C435" t="s">
        <v>8</v>
      </c>
      <c r="D435">
        <v>372214.17800800002</v>
      </c>
      <c r="E435">
        <v>289307.005909</v>
      </c>
      <c r="F435">
        <v>836621.25213299994</v>
      </c>
      <c r="G435" s="39">
        <v>43497</v>
      </c>
    </row>
    <row r="436" spans="1:7" x14ac:dyDescent="0.25">
      <c r="A436" t="s">
        <v>27</v>
      </c>
      <c r="B436">
        <v>2019</v>
      </c>
      <c r="C436" t="s">
        <v>9</v>
      </c>
      <c r="D436">
        <v>389913.828889</v>
      </c>
      <c r="E436">
        <v>355676.94508799998</v>
      </c>
      <c r="F436">
        <v>870858.1359339999</v>
      </c>
      <c r="G436" s="39">
        <v>43525</v>
      </c>
    </row>
    <row r="437" spans="1:7" x14ac:dyDescent="0.25">
      <c r="A437" t="s">
        <v>27</v>
      </c>
      <c r="B437">
        <v>2019</v>
      </c>
      <c r="C437" t="s">
        <v>10</v>
      </c>
      <c r="D437">
        <v>178723.412167</v>
      </c>
      <c r="E437">
        <v>212918.720844</v>
      </c>
      <c r="F437">
        <v>836662.82725700003</v>
      </c>
      <c r="G437" s="39">
        <v>43556</v>
      </c>
    </row>
    <row r="438" spans="1:7" x14ac:dyDescent="0.25">
      <c r="A438" t="s">
        <v>27</v>
      </c>
      <c r="B438">
        <v>2019</v>
      </c>
      <c r="C438" t="s">
        <v>11</v>
      </c>
      <c r="D438">
        <v>301129.15899999999</v>
      </c>
      <c r="E438">
        <v>346663.96648300003</v>
      </c>
      <c r="F438">
        <v>791128.01977399993</v>
      </c>
      <c r="G438" s="39">
        <v>43586</v>
      </c>
    </row>
    <row r="439" spans="1:7" x14ac:dyDescent="0.25">
      <c r="A439" t="s">
        <v>27</v>
      </c>
      <c r="B439">
        <v>2019</v>
      </c>
      <c r="C439" t="s">
        <v>12</v>
      </c>
      <c r="D439">
        <v>441243.88833300001</v>
      </c>
      <c r="E439">
        <v>281954.73460999998</v>
      </c>
      <c r="F439">
        <v>950417.17349700001</v>
      </c>
      <c r="G439" s="39">
        <v>43617</v>
      </c>
    </row>
    <row r="440" spans="1:7" x14ac:dyDescent="0.25">
      <c r="A440" t="s">
        <v>27</v>
      </c>
      <c r="B440">
        <v>2019</v>
      </c>
      <c r="C440" t="s">
        <v>13</v>
      </c>
      <c r="D440">
        <v>251825.00847299999</v>
      </c>
      <c r="E440">
        <v>337952.379242</v>
      </c>
      <c r="F440">
        <v>864289.8027280001</v>
      </c>
      <c r="G440" s="39">
        <v>43647</v>
      </c>
    </row>
    <row r="441" spans="1:7" x14ac:dyDescent="0.25">
      <c r="A441" t="s">
        <v>27</v>
      </c>
      <c r="B441">
        <v>2019</v>
      </c>
      <c r="C441" t="s">
        <v>14</v>
      </c>
      <c r="D441">
        <v>359829.52333300002</v>
      </c>
      <c r="E441">
        <v>264599.45758699998</v>
      </c>
      <c r="F441">
        <v>959519.86847400013</v>
      </c>
      <c r="G441" s="39">
        <v>43678</v>
      </c>
    </row>
    <row r="442" spans="1:7" x14ac:dyDescent="0.25">
      <c r="A442" t="s">
        <v>27</v>
      </c>
      <c r="B442">
        <v>2019</v>
      </c>
      <c r="C442" t="s">
        <v>15</v>
      </c>
      <c r="D442">
        <v>399307.23330000002</v>
      </c>
      <c r="E442">
        <v>263968.677188</v>
      </c>
      <c r="F442">
        <v>1094858.4245860002</v>
      </c>
      <c r="G442" s="39">
        <v>43709</v>
      </c>
    </row>
    <row r="443" spans="1:7" x14ac:dyDescent="0.25">
      <c r="A443" t="s">
        <v>27</v>
      </c>
      <c r="B443">
        <v>2019</v>
      </c>
      <c r="C443" t="s">
        <v>16</v>
      </c>
      <c r="D443">
        <v>338196.882736</v>
      </c>
      <c r="E443">
        <v>500002.02938600001</v>
      </c>
      <c r="F443">
        <v>933053.27793600014</v>
      </c>
      <c r="G443" s="39">
        <v>43739</v>
      </c>
    </row>
    <row r="444" spans="1:7" x14ac:dyDescent="0.25">
      <c r="A444" t="s">
        <v>27</v>
      </c>
      <c r="B444">
        <v>2019</v>
      </c>
      <c r="C444" t="s">
        <v>17</v>
      </c>
      <c r="D444">
        <v>380261.21228600002</v>
      </c>
      <c r="E444">
        <v>437779.09919500002</v>
      </c>
      <c r="F444">
        <v>875535.39102700003</v>
      </c>
      <c r="G444" s="39">
        <v>43770</v>
      </c>
    </row>
    <row r="445" spans="1:7" x14ac:dyDescent="0.25">
      <c r="A445" t="s">
        <v>27</v>
      </c>
      <c r="B445">
        <v>2019</v>
      </c>
      <c r="C445" t="s">
        <v>18</v>
      </c>
      <c r="D445">
        <v>728622.74873500003</v>
      </c>
      <c r="E445">
        <v>401516.44413000002</v>
      </c>
      <c r="F445">
        <v>1202641.6956320002</v>
      </c>
      <c r="G445" s="39">
        <v>43800</v>
      </c>
    </row>
    <row r="446" spans="1:7" x14ac:dyDescent="0.25">
      <c r="A446" t="s">
        <v>27</v>
      </c>
      <c r="B446">
        <v>2020</v>
      </c>
      <c r="C446" t="s">
        <v>7</v>
      </c>
      <c r="D446">
        <v>264160.23700000002</v>
      </c>
      <c r="E446">
        <v>287324.68091400003</v>
      </c>
      <c r="F446">
        <v>1179477.251718</v>
      </c>
      <c r="G446" s="39">
        <v>43831</v>
      </c>
    </row>
    <row r="447" spans="1:7" x14ac:dyDescent="0.25">
      <c r="A447" t="s">
        <v>27</v>
      </c>
      <c r="B447">
        <v>2020</v>
      </c>
      <c r="C447" t="s">
        <v>8</v>
      </c>
      <c r="D447">
        <v>186993.18299999999</v>
      </c>
      <c r="E447">
        <v>333128.50870399998</v>
      </c>
      <c r="F447">
        <v>1033341.9260140001</v>
      </c>
      <c r="G447" s="39">
        <v>43862</v>
      </c>
    </row>
    <row r="448" spans="1:7" x14ac:dyDescent="0.25">
      <c r="A448" t="s">
        <v>27</v>
      </c>
      <c r="B448">
        <v>2020</v>
      </c>
      <c r="C448" t="s">
        <v>9</v>
      </c>
      <c r="D448">
        <v>366962.97242499999</v>
      </c>
      <c r="E448">
        <v>410905.07842400001</v>
      </c>
      <c r="F448">
        <v>989399.82001500018</v>
      </c>
      <c r="G448" s="39">
        <v>43891</v>
      </c>
    </row>
    <row r="449" spans="1:7" x14ac:dyDescent="0.25">
      <c r="A449" t="s">
        <v>27</v>
      </c>
      <c r="B449">
        <v>2020</v>
      </c>
      <c r="C449" t="s">
        <v>10</v>
      </c>
      <c r="D449">
        <v>84727.860570999997</v>
      </c>
      <c r="E449">
        <v>265225.62770100002</v>
      </c>
      <c r="F449">
        <v>808902.05288500013</v>
      </c>
      <c r="G449" s="39">
        <v>43922</v>
      </c>
    </row>
    <row r="450" spans="1:7" x14ac:dyDescent="0.25">
      <c r="A450" t="s">
        <v>27</v>
      </c>
      <c r="B450">
        <v>2020</v>
      </c>
      <c r="C450" t="s">
        <v>11</v>
      </c>
      <c r="D450">
        <v>319057.1275</v>
      </c>
      <c r="E450">
        <v>441787.87439900002</v>
      </c>
      <c r="F450">
        <v>686171.30598599999</v>
      </c>
      <c r="G450" s="39">
        <v>43952</v>
      </c>
    </row>
    <row r="451" spans="1:7" x14ac:dyDescent="0.25">
      <c r="A451" t="s">
        <v>27</v>
      </c>
      <c r="B451">
        <v>2020</v>
      </c>
      <c r="C451" t="s">
        <v>12</v>
      </c>
      <c r="D451">
        <v>741469.61049999995</v>
      </c>
      <c r="E451">
        <v>404428.69101399998</v>
      </c>
      <c r="F451">
        <v>1023212.225472</v>
      </c>
      <c r="G451" s="39">
        <v>43983</v>
      </c>
    </row>
    <row r="452" spans="1:7" x14ac:dyDescent="0.25">
      <c r="A452" t="s">
        <v>27</v>
      </c>
      <c r="B452">
        <v>2020</v>
      </c>
      <c r="C452" t="s">
        <v>13</v>
      </c>
      <c r="D452">
        <v>505905.89212600002</v>
      </c>
      <c r="E452">
        <v>572641.74124200002</v>
      </c>
      <c r="F452">
        <v>956476.37635599996</v>
      </c>
      <c r="G452" s="39">
        <v>44013</v>
      </c>
    </row>
    <row r="453" spans="1:7" x14ac:dyDescent="0.25">
      <c r="A453" t="s">
        <v>27</v>
      </c>
      <c r="B453">
        <v>2020</v>
      </c>
      <c r="C453" t="s">
        <v>14</v>
      </c>
      <c r="D453">
        <v>475494.48691199999</v>
      </c>
      <c r="E453">
        <v>451533.21783199999</v>
      </c>
      <c r="F453">
        <v>980437.64543600008</v>
      </c>
      <c r="G453" s="39">
        <v>44044</v>
      </c>
    </row>
    <row r="454" spans="1:7" x14ac:dyDescent="0.25">
      <c r="A454" t="s">
        <v>27</v>
      </c>
      <c r="B454">
        <v>2020</v>
      </c>
      <c r="C454" t="s">
        <v>15</v>
      </c>
      <c r="D454">
        <v>488563.66592</v>
      </c>
      <c r="E454">
        <v>506289.89821199997</v>
      </c>
      <c r="F454">
        <v>962711.41314400011</v>
      </c>
      <c r="G454" s="39">
        <v>44075</v>
      </c>
    </row>
    <row r="455" spans="1:7" x14ac:dyDescent="0.25">
      <c r="A455" t="s">
        <v>27</v>
      </c>
      <c r="B455">
        <v>2020</v>
      </c>
      <c r="C455" t="s">
        <v>16</v>
      </c>
      <c r="D455">
        <v>651017.19250200002</v>
      </c>
      <c r="E455">
        <v>652384.47097599995</v>
      </c>
      <c r="F455">
        <v>961344.13467000029</v>
      </c>
      <c r="G455" s="39">
        <v>44105</v>
      </c>
    </row>
    <row r="456" spans="1:7" x14ac:dyDescent="0.25">
      <c r="A456" t="s">
        <v>27</v>
      </c>
      <c r="B456">
        <v>2020</v>
      </c>
      <c r="C456" t="s">
        <v>17</v>
      </c>
      <c r="D456">
        <v>853201.65099999995</v>
      </c>
      <c r="E456">
        <v>831224.47429399996</v>
      </c>
      <c r="F456">
        <v>983321.31137600017</v>
      </c>
      <c r="G456" s="39">
        <v>44136</v>
      </c>
    </row>
    <row r="457" spans="1:7" x14ac:dyDescent="0.25">
      <c r="A457" t="s">
        <v>27</v>
      </c>
      <c r="B457">
        <v>2020</v>
      </c>
      <c r="C457" t="s">
        <v>18</v>
      </c>
      <c r="D457">
        <v>371069.05895799998</v>
      </c>
      <c r="E457">
        <v>444908.86099299998</v>
      </c>
      <c r="F457">
        <v>909481.50934100011</v>
      </c>
      <c r="G457" s="39">
        <v>44166</v>
      </c>
    </row>
    <row r="458" spans="1:7" x14ac:dyDescent="0.25">
      <c r="A458" t="s">
        <v>27</v>
      </c>
      <c r="B458">
        <v>2021</v>
      </c>
      <c r="C458" t="s">
        <v>7</v>
      </c>
      <c r="D458">
        <v>424142.85246299999</v>
      </c>
      <c r="E458">
        <v>541048.30803900003</v>
      </c>
      <c r="F458">
        <v>792576.05376500008</v>
      </c>
      <c r="G458" s="39">
        <v>44197</v>
      </c>
    </row>
    <row r="459" spans="1:7" x14ac:dyDescent="0.25">
      <c r="A459" t="s">
        <v>27</v>
      </c>
      <c r="B459">
        <v>2021</v>
      </c>
      <c r="C459" t="s">
        <v>8</v>
      </c>
      <c r="D459">
        <v>447010.438861</v>
      </c>
      <c r="E459">
        <v>490043.660088</v>
      </c>
      <c r="F459">
        <v>749542.83253800019</v>
      </c>
      <c r="G459" s="39">
        <v>44228</v>
      </c>
    </row>
    <row r="460" spans="1:7" x14ac:dyDescent="0.25">
      <c r="A460" t="s">
        <v>27</v>
      </c>
      <c r="B460">
        <v>2021</v>
      </c>
      <c r="C460" t="s">
        <v>9</v>
      </c>
      <c r="D460">
        <v>623650.46636199998</v>
      </c>
      <c r="E460">
        <v>570578.40423900005</v>
      </c>
      <c r="F460">
        <v>802614.89466100023</v>
      </c>
      <c r="G460" s="39">
        <v>44256</v>
      </c>
    </row>
    <row r="461" spans="1:7" x14ac:dyDescent="0.25">
      <c r="A461" t="s">
        <v>27</v>
      </c>
      <c r="B461">
        <v>2021</v>
      </c>
      <c r="C461" t="s">
        <v>10</v>
      </c>
      <c r="D461">
        <v>989423.09580799995</v>
      </c>
      <c r="E461">
        <v>643864.15521999996</v>
      </c>
      <c r="F461">
        <v>1148173.8352490002</v>
      </c>
      <c r="G461" s="39">
        <v>44287</v>
      </c>
    </row>
    <row r="462" spans="1:7" x14ac:dyDescent="0.25">
      <c r="A462" t="s">
        <v>27</v>
      </c>
      <c r="B462">
        <v>2021</v>
      </c>
      <c r="C462" t="s">
        <v>11</v>
      </c>
      <c r="D462">
        <v>469008.81698399998</v>
      </c>
      <c r="E462">
        <v>477267.80797000002</v>
      </c>
      <c r="F462">
        <v>1139914.8442630002</v>
      </c>
      <c r="G462" s="39">
        <v>44317</v>
      </c>
    </row>
    <row r="463" spans="1:7" x14ac:dyDescent="0.25">
      <c r="A463" t="s">
        <v>27</v>
      </c>
      <c r="B463">
        <v>2021</v>
      </c>
      <c r="C463" t="s">
        <v>12</v>
      </c>
      <c r="D463">
        <v>583646.547502</v>
      </c>
      <c r="E463">
        <v>573875.29334700003</v>
      </c>
      <c r="F463">
        <v>1149686.0984180002</v>
      </c>
      <c r="G463" s="39">
        <v>44348</v>
      </c>
    </row>
    <row r="464" spans="1:7" x14ac:dyDescent="0.25">
      <c r="A464" t="s">
        <v>27</v>
      </c>
      <c r="B464">
        <v>2021</v>
      </c>
      <c r="C464" t="s">
        <v>13</v>
      </c>
      <c r="D464">
        <v>637238.82333299995</v>
      </c>
      <c r="E464">
        <v>674708.87860000005</v>
      </c>
      <c r="F464">
        <v>1112216.043151</v>
      </c>
      <c r="G464" s="39">
        <v>44378</v>
      </c>
    </row>
    <row r="465" spans="1:7" x14ac:dyDescent="0.25">
      <c r="A465" t="s">
        <v>27</v>
      </c>
      <c r="B465">
        <v>2021</v>
      </c>
      <c r="C465" t="s">
        <v>14</v>
      </c>
      <c r="D465">
        <v>580327.64650000003</v>
      </c>
      <c r="E465">
        <v>583024.58734299999</v>
      </c>
      <c r="F465">
        <v>1109519.102308</v>
      </c>
      <c r="G465" s="39">
        <v>44409</v>
      </c>
    </row>
    <row r="466" spans="1:7" x14ac:dyDescent="0.25">
      <c r="A466" t="s">
        <v>27</v>
      </c>
      <c r="B466">
        <v>2021</v>
      </c>
      <c r="C466" t="s">
        <v>15</v>
      </c>
      <c r="D466">
        <v>581697.18973999994</v>
      </c>
      <c r="E466">
        <v>624578.74971100001</v>
      </c>
      <c r="F466">
        <v>1066637.5423369999</v>
      </c>
      <c r="G466" s="39">
        <v>44440</v>
      </c>
    </row>
    <row r="467" spans="1:7" x14ac:dyDescent="0.25">
      <c r="A467" t="s">
        <v>27</v>
      </c>
      <c r="B467">
        <v>2021</v>
      </c>
      <c r="C467" t="s">
        <v>16</v>
      </c>
      <c r="D467">
        <v>680893.01911200001</v>
      </c>
      <c r="E467">
        <v>551500.60268600006</v>
      </c>
      <c r="F467">
        <v>1196029.9587629999</v>
      </c>
      <c r="G467" s="39">
        <v>44470</v>
      </c>
    </row>
    <row r="468" spans="1:7" x14ac:dyDescent="0.25">
      <c r="A468" t="s">
        <v>27</v>
      </c>
      <c r="B468">
        <v>2021</v>
      </c>
      <c r="C468" t="s">
        <v>17</v>
      </c>
      <c r="D468">
        <v>644472.98822199996</v>
      </c>
      <c r="E468">
        <v>685613.66468000005</v>
      </c>
      <c r="F468">
        <v>1154889.2823049999</v>
      </c>
      <c r="G468" s="39">
        <v>44501</v>
      </c>
    </row>
    <row r="469" spans="1:7" x14ac:dyDescent="0.25">
      <c r="A469" t="s">
        <v>27</v>
      </c>
      <c r="B469">
        <v>2021</v>
      </c>
      <c r="C469" t="s">
        <v>18</v>
      </c>
      <c r="D469">
        <v>372145.10488399997</v>
      </c>
      <c r="E469">
        <v>501466.35316699999</v>
      </c>
      <c r="F469">
        <v>1025568.0340219999</v>
      </c>
      <c r="G469" s="39">
        <v>44531</v>
      </c>
    </row>
    <row r="470" spans="1:7" x14ac:dyDescent="0.25">
      <c r="A470" t="s">
        <v>27</v>
      </c>
      <c r="B470">
        <v>2022</v>
      </c>
      <c r="C470" t="s">
        <v>7</v>
      </c>
      <c r="D470">
        <v>800376.16799999995</v>
      </c>
      <c r="E470">
        <v>428744.84325199999</v>
      </c>
      <c r="F470">
        <v>1397199.3587699998</v>
      </c>
      <c r="G470" s="39">
        <v>44562</v>
      </c>
    </row>
    <row r="471" spans="1:7" x14ac:dyDescent="0.25">
      <c r="A471" t="s">
        <v>27</v>
      </c>
      <c r="B471">
        <v>2022</v>
      </c>
      <c r="C471" t="s">
        <v>8</v>
      </c>
      <c r="D471">
        <v>806042.66</v>
      </c>
      <c r="E471">
        <v>748357.46761199995</v>
      </c>
      <c r="F471">
        <v>1454884.551158</v>
      </c>
      <c r="G471" s="39">
        <v>44593</v>
      </c>
    </row>
    <row r="472" spans="1:7" x14ac:dyDescent="0.25">
      <c r="A472" t="s">
        <v>27</v>
      </c>
      <c r="B472">
        <v>2022</v>
      </c>
      <c r="C472" t="s">
        <v>9</v>
      </c>
      <c r="D472">
        <v>952495.30586700002</v>
      </c>
      <c r="E472">
        <v>762727.32174100005</v>
      </c>
      <c r="F472">
        <v>1644652.5352840002</v>
      </c>
      <c r="G472" s="39">
        <v>44621</v>
      </c>
    </row>
    <row r="473" spans="1:7" x14ac:dyDescent="0.25">
      <c r="A473" t="s">
        <v>27</v>
      </c>
      <c r="B473">
        <v>2022</v>
      </c>
      <c r="C473" t="s">
        <v>10</v>
      </c>
      <c r="D473">
        <v>955098.01244399999</v>
      </c>
      <c r="E473">
        <v>705634.81894699996</v>
      </c>
      <c r="F473">
        <v>1894115.7287810002</v>
      </c>
      <c r="G473" s="39">
        <v>44652</v>
      </c>
    </row>
    <row r="474" spans="1:7" x14ac:dyDescent="0.25">
      <c r="A474" t="s">
        <v>27</v>
      </c>
      <c r="B474">
        <v>2022</v>
      </c>
      <c r="C474" t="s">
        <v>11</v>
      </c>
      <c r="D474">
        <v>530609.49214300001</v>
      </c>
      <c r="E474">
        <v>797440.11437299999</v>
      </c>
      <c r="F474">
        <v>1627285.1065510004</v>
      </c>
      <c r="G474" s="39">
        <v>44682</v>
      </c>
    </row>
    <row r="475" spans="1:7" x14ac:dyDescent="0.25">
      <c r="A475" t="s">
        <v>27</v>
      </c>
      <c r="B475">
        <v>2022</v>
      </c>
      <c r="C475" t="s">
        <v>12</v>
      </c>
      <c r="D475">
        <v>620402.03500000003</v>
      </c>
      <c r="E475">
        <v>700798.10919300001</v>
      </c>
      <c r="F475">
        <v>1546889.0323580005</v>
      </c>
      <c r="G475" s="39">
        <v>44713</v>
      </c>
    </row>
    <row r="476" spans="1:7" x14ac:dyDescent="0.25">
      <c r="A476" t="s">
        <v>27</v>
      </c>
      <c r="B476">
        <v>2022</v>
      </c>
      <c r="C476" t="s">
        <v>13</v>
      </c>
      <c r="D476">
        <v>623138.53</v>
      </c>
      <c r="E476">
        <v>680065.56422900001</v>
      </c>
      <c r="F476">
        <v>1489961.9981290004</v>
      </c>
      <c r="G476" s="39">
        <v>44743</v>
      </c>
    </row>
    <row r="477" spans="1:7" x14ac:dyDescent="0.25">
      <c r="A477" t="s">
        <v>27</v>
      </c>
      <c r="B477">
        <v>2022</v>
      </c>
      <c r="C477" t="s">
        <v>14</v>
      </c>
      <c r="D477">
        <v>644131.94062500005</v>
      </c>
      <c r="E477">
        <v>827798.63346499996</v>
      </c>
      <c r="F477">
        <v>1306295.3052890007</v>
      </c>
      <c r="G477" s="39">
        <v>44774</v>
      </c>
    </row>
    <row r="478" spans="1:7" x14ac:dyDescent="0.25">
      <c r="A478" t="s">
        <v>27</v>
      </c>
      <c r="B478">
        <v>2022</v>
      </c>
      <c r="C478" t="s">
        <v>15</v>
      </c>
      <c r="D478">
        <v>1005036.9220660001</v>
      </c>
      <c r="E478">
        <v>857517.40118399996</v>
      </c>
      <c r="F478">
        <v>1453814.8261710005</v>
      </c>
      <c r="G478" s="39">
        <v>44805</v>
      </c>
    </row>
    <row r="479" spans="1:7" x14ac:dyDescent="0.25">
      <c r="A479" t="s">
        <v>27</v>
      </c>
      <c r="B479">
        <v>2022</v>
      </c>
      <c r="C479" t="s">
        <v>16</v>
      </c>
      <c r="D479">
        <v>499611.66383500001</v>
      </c>
      <c r="E479">
        <v>688905.66896399995</v>
      </c>
      <c r="F479">
        <v>1264520.8210420005</v>
      </c>
      <c r="G479" s="39">
        <v>44835</v>
      </c>
    </row>
    <row r="480" spans="1:7" x14ac:dyDescent="0.25">
      <c r="A480" t="s">
        <v>27</v>
      </c>
      <c r="B480">
        <v>2022</v>
      </c>
      <c r="C480" t="s">
        <v>17</v>
      </c>
      <c r="D480">
        <v>836061.98670000001</v>
      </c>
      <c r="E480">
        <v>764507.356669</v>
      </c>
      <c r="F480">
        <v>1336075.4510730007</v>
      </c>
      <c r="G480" s="39">
        <v>44866</v>
      </c>
    </row>
    <row r="481" spans="1:7" x14ac:dyDescent="0.25">
      <c r="A481" t="s">
        <v>27</v>
      </c>
      <c r="B481">
        <v>2022</v>
      </c>
      <c r="C481" t="s">
        <v>18</v>
      </c>
      <c r="D481">
        <v>381728.35371499998</v>
      </c>
      <c r="E481">
        <v>713960.35483700002</v>
      </c>
      <c r="F481">
        <v>1003843.4499510006</v>
      </c>
      <c r="G481" s="39">
        <v>44896</v>
      </c>
    </row>
    <row r="482" spans="1:7" x14ac:dyDescent="0.25">
      <c r="A482" t="s">
        <v>27</v>
      </c>
      <c r="B482">
        <v>2023</v>
      </c>
      <c r="C482" t="s">
        <v>7</v>
      </c>
      <c r="D482">
        <v>688162.02408300003</v>
      </c>
      <c r="E482">
        <v>365379.96288299997</v>
      </c>
      <c r="F482">
        <v>1326625.5111510006</v>
      </c>
      <c r="G482" s="39">
        <v>44927</v>
      </c>
    </row>
    <row r="483" spans="1:7" x14ac:dyDescent="0.25">
      <c r="A483" t="s">
        <v>27</v>
      </c>
      <c r="B483">
        <v>2023</v>
      </c>
      <c r="C483" t="s">
        <v>8</v>
      </c>
      <c r="D483">
        <v>638399.68999999994</v>
      </c>
      <c r="E483">
        <v>840975.45522899996</v>
      </c>
      <c r="F483">
        <v>1124049.7459220006</v>
      </c>
      <c r="G483" s="39">
        <v>44958</v>
      </c>
    </row>
    <row r="484" spans="1:7" x14ac:dyDescent="0.25">
      <c r="A484" t="s">
        <v>27</v>
      </c>
      <c r="B484">
        <v>2023</v>
      </c>
      <c r="C484" t="s">
        <v>9</v>
      </c>
      <c r="D484">
        <v>910782.11507399997</v>
      </c>
      <c r="E484">
        <v>920877.55009499996</v>
      </c>
      <c r="F484">
        <v>1113954.3109010006</v>
      </c>
      <c r="G484" s="39">
        <v>44986</v>
      </c>
    </row>
    <row r="485" spans="1:7" x14ac:dyDescent="0.25">
      <c r="A485" t="s">
        <v>27</v>
      </c>
      <c r="B485">
        <v>2023</v>
      </c>
      <c r="C485" t="s">
        <v>10</v>
      </c>
      <c r="D485">
        <v>1136236.1148570001</v>
      </c>
      <c r="E485">
        <v>550620.435222</v>
      </c>
      <c r="F485">
        <v>1699569.9905360006</v>
      </c>
      <c r="G485" s="39">
        <v>45017</v>
      </c>
    </row>
    <row r="486" spans="1:7" x14ac:dyDescent="0.25">
      <c r="A486" t="s">
        <v>27</v>
      </c>
      <c r="B486">
        <v>2023</v>
      </c>
      <c r="C486" t="s">
        <v>11</v>
      </c>
      <c r="D486">
        <v>832220.83805000002</v>
      </c>
      <c r="E486">
        <v>864265.83895100001</v>
      </c>
      <c r="F486">
        <v>1667524.9896350005</v>
      </c>
      <c r="G486" s="39">
        <v>45047</v>
      </c>
    </row>
    <row r="487" spans="1:7" x14ac:dyDescent="0.25">
      <c r="A487" t="s">
        <v>27</v>
      </c>
      <c r="B487">
        <v>2023</v>
      </c>
      <c r="C487" t="s">
        <v>12</v>
      </c>
      <c r="D487">
        <v>787288.16835499997</v>
      </c>
      <c r="E487">
        <v>740732.71753999998</v>
      </c>
      <c r="F487">
        <v>1714080.4404500001</v>
      </c>
      <c r="G487" s="39">
        <v>45078</v>
      </c>
    </row>
    <row r="488" spans="1:7" x14ac:dyDescent="0.25">
      <c r="A488" t="s">
        <v>27</v>
      </c>
      <c r="B488">
        <v>2023</v>
      </c>
      <c r="C488" t="s">
        <v>13</v>
      </c>
      <c r="D488">
        <v>761701.44</v>
      </c>
      <c r="E488">
        <v>863376.98765999998</v>
      </c>
      <c r="F488">
        <v>1612404.89279</v>
      </c>
      <c r="G488" s="39">
        <v>45108</v>
      </c>
    </row>
    <row r="489" spans="1:7" x14ac:dyDescent="0.25">
      <c r="A489" t="s">
        <v>27</v>
      </c>
      <c r="B489">
        <v>2023</v>
      </c>
      <c r="C489" t="s">
        <v>14</v>
      </c>
      <c r="D489">
        <v>972683.27000100003</v>
      </c>
      <c r="E489">
        <v>1074667.6697839999</v>
      </c>
      <c r="F489">
        <v>1510420.4930069998</v>
      </c>
      <c r="G489" s="39">
        <v>45139</v>
      </c>
    </row>
    <row r="490" spans="1:7" x14ac:dyDescent="0.25">
      <c r="A490" t="s">
        <v>27</v>
      </c>
      <c r="B490">
        <v>2023</v>
      </c>
      <c r="C490" t="s">
        <v>15</v>
      </c>
      <c r="D490">
        <v>1509587.105945</v>
      </c>
      <c r="E490">
        <v>1264317.6397889999</v>
      </c>
      <c r="F490">
        <v>1755689.9591630001</v>
      </c>
      <c r="G490" s="39">
        <v>45170</v>
      </c>
    </row>
    <row r="491" spans="1:7" x14ac:dyDescent="0.25">
      <c r="A491" t="s">
        <v>27</v>
      </c>
      <c r="B491">
        <v>2023</v>
      </c>
      <c r="C491" t="s">
        <v>16</v>
      </c>
      <c r="D491">
        <v>1305988.497731</v>
      </c>
      <c r="E491">
        <v>1440305.276112</v>
      </c>
      <c r="F491">
        <v>1621373.1807820001</v>
      </c>
      <c r="G491" s="39">
        <v>45200</v>
      </c>
    </row>
    <row r="492" spans="1:7" x14ac:dyDescent="0.25">
      <c r="A492" t="s">
        <v>27</v>
      </c>
      <c r="B492">
        <v>2023</v>
      </c>
      <c r="C492" t="s">
        <v>17</v>
      </c>
      <c r="D492">
        <v>908789.05107000005</v>
      </c>
      <c r="E492">
        <v>1346487.7821829999</v>
      </c>
      <c r="F492">
        <v>1183674.4496690002</v>
      </c>
      <c r="G492" s="39">
        <v>45231</v>
      </c>
    </row>
    <row r="493" spans="1:7" x14ac:dyDescent="0.25">
      <c r="A493" t="s">
        <v>27</v>
      </c>
      <c r="B493">
        <v>2023</v>
      </c>
      <c r="C493" t="s">
        <v>18</v>
      </c>
      <c r="D493">
        <v>983215.55</v>
      </c>
      <c r="E493">
        <v>744360.08318299998</v>
      </c>
      <c r="F493">
        <v>1422529.9164860006</v>
      </c>
      <c r="G493" s="39">
        <v>45261</v>
      </c>
    </row>
    <row r="494" spans="1:7" x14ac:dyDescent="0.25">
      <c r="A494" t="s">
        <v>27</v>
      </c>
      <c r="B494">
        <v>2024</v>
      </c>
      <c r="C494" t="s">
        <v>7</v>
      </c>
      <c r="F494">
        <v>1422529.9164860006</v>
      </c>
      <c r="G494" s="39">
        <v>45292</v>
      </c>
    </row>
    <row r="495" spans="1:7" x14ac:dyDescent="0.25">
      <c r="A495" t="s">
        <v>27</v>
      </c>
      <c r="B495">
        <v>2024</v>
      </c>
      <c r="C495" t="s">
        <v>8</v>
      </c>
      <c r="F495">
        <v>1422529.9164860006</v>
      </c>
      <c r="G495" s="39">
        <v>45323</v>
      </c>
    </row>
    <row r="496" spans="1:7" x14ac:dyDescent="0.25">
      <c r="A496" t="s">
        <v>27</v>
      </c>
      <c r="B496">
        <v>2024</v>
      </c>
      <c r="C496" t="s">
        <v>9</v>
      </c>
      <c r="F496">
        <v>1422529.9164860006</v>
      </c>
      <c r="G496" s="39">
        <v>45352</v>
      </c>
    </row>
    <row r="497" spans="1:7" x14ac:dyDescent="0.25">
      <c r="A497" t="s">
        <v>27</v>
      </c>
      <c r="B497">
        <v>2024</v>
      </c>
      <c r="C497" t="s">
        <v>10</v>
      </c>
      <c r="F497">
        <v>1422529.9164860006</v>
      </c>
      <c r="G497" s="39">
        <v>45383</v>
      </c>
    </row>
    <row r="498" spans="1:7" x14ac:dyDescent="0.25">
      <c r="A498" t="s">
        <v>27</v>
      </c>
      <c r="B498">
        <v>2024</v>
      </c>
      <c r="C498" t="s">
        <v>11</v>
      </c>
      <c r="F498">
        <v>1422529.9164860006</v>
      </c>
      <c r="G498" s="39">
        <v>45413</v>
      </c>
    </row>
    <row r="499" spans="1:7" x14ac:dyDescent="0.25">
      <c r="A499" t="s">
        <v>27</v>
      </c>
      <c r="B499">
        <v>2024</v>
      </c>
      <c r="C499" t="s">
        <v>12</v>
      </c>
      <c r="F499">
        <v>1422529.9164860006</v>
      </c>
      <c r="G499" s="39">
        <v>45444</v>
      </c>
    </row>
    <row r="500" spans="1:7" x14ac:dyDescent="0.25">
      <c r="A500" t="s">
        <v>27</v>
      </c>
      <c r="B500">
        <v>2024</v>
      </c>
      <c r="C500" t="s">
        <v>13</v>
      </c>
      <c r="F500">
        <v>1422529.9164860006</v>
      </c>
      <c r="G500" s="39">
        <v>45474</v>
      </c>
    </row>
    <row r="501" spans="1:7" x14ac:dyDescent="0.25">
      <c r="A501" t="s">
        <v>27</v>
      </c>
      <c r="B501">
        <v>2024</v>
      </c>
      <c r="C501" t="s">
        <v>14</v>
      </c>
      <c r="F501">
        <v>1422529.9164860006</v>
      </c>
      <c r="G501" s="39">
        <v>45505</v>
      </c>
    </row>
    <row r="502" spans="1:7" x14ac:dyDescent="0.25">
      <c r="A502" t="s">
        <v>27</v>
      </c>
      <c r="B502">
        <v>2024</v>
      </c>
      <c r="C502" t="s">
        <v>15</v>
      </c>
      <c r="F502">
        <v>1422529.9164860006</v>
      </c>
      <c r="G502" s="39">
        <v>45536</v>
      </c>
    </row>
    <row r="503" spans="1:7" x14ac:dyDescent="0.25">
      <c r="A503" t="s">
        <v>27</v>
      </c>
      <c r="B503">
        <v>2024</v>
      </c>
      <c r="C503" t="s">
        <v>16</v>
      </c>
      <c r="F503">
        <v>1422529.9164860006</v>
      </c>
      <c r="G503" s="39">
        <v>45566</v>
      </c>
    </row>
    <row r="504" spans="1:7" x14ac:dyDescent="0.25">
      <c r="A504" t="s">
        <v>27</v>
      </c>
      <c r="B504">
        <v>2024</v>
      </c>
      <c r="C504" t="s">
        <v>17</v>
      </c>
      <c r="F504">
        <v>1422529.9164860006</v>
      </c>
      <c r="G504" s="39">
        <v>45597</v>
      </c>
    </row>
    <row r="505" spans="1:7" x14ac:dyDescent="0.25">
      <c r="A505" t="s">
        <v>27</v>
      </c>
      <c r="B505">
        <v>2024</v>
      </c>
      <c r="C505" t="s">
        <v>18</v>
      </c>
      <c r="F505">
        <v>1422529.9164860006</v>
      </c>
      <c r="G505" s="39">
        <v>45627</v>
      </c>
    </row>
    <row r="506" spans="1:7" x14ac:dyDescent="0.25">
      <c r="A506" t="s">
        <v>28</v>
      </c>
      <c r="B506">
        <v>2019</v>
      </c>
      <c r="C506" t="s">
        <v>7</v>
      </c>
      <c r="D506">
        <v>1819204.5889999999</v>
      </c>
      <c r="E506">
        <v>1279622.009911</v>
      </c>
      <c r="F506">
        <v>1098980.4835129997</v>
      </c>
      <c r="G506" s="39">
        <v>43466</v>
      </c>
    </row>
    <row r="507" spans="1:7" x14ac:dyDescent="0.25">
      <c r="A507" t="s">
        <v>28</v>
      </c>
      <c r="B507">
        <v>2019</v>
      </c>
      <c r="C507" t="s">
        <v>8</v>
      </c>
      <c r="D507">
        <v>676125.97</v>
      </c>
      <c r="E507">
        <v>817927.408482</v>
      </c>
      <c r="F507">
        <v>957179.0450309997</v>
      </c>
      <c r="G507" s="39">
        <v>43497</v>
      </c>
    </row>
    <row r="508" spans="1:7" x14ac:dyDescent="0.25">
      <c r="A508" t="s">
        <v>28</v>
      </c>
      <c r="B508">
        <v>2019</v>
      </c>
      <c r="C508" t="s">
        <v>9</v>
      </c>
      <c r="D508">
        <v>1129617.2320000001</v>
      </c>
      <c r="E508">
        <v>749299.223688</v>
      </c>
      <c r="F508">
        <v>1337497.0533429999</v>
      </c>
      <c r="G508" s="39">
        <v>43525</v>
      </c>
    </row>
    <row r="509" spans="1:7" x14ac:dyDescent="0.25">
      <c r="A509" t="s">
        <v>28</v>
      </c>
      <c r="B509">
        <v>2019</v>
      </c>
      <c r="C509" t="s">
        <v>10</v>
      </c>
      <c r="D509">
        <v>513782.15700000001</v>
      </c>
      <c r="E509">
        <v>668004.21254400001</v>
      </c>
      <c r="F509">
        <v>1183274.997799</v>
      </c>
      <c r="G509" s="39">
        <v>43556</v>
      </c>
    </row>
    <row r="510" spans="1:7" x14ac:dyDescent="0.25">
      <c r="A510" t="s">
        <v>28</v>
      </c>
      <c r="B510">
        <v>2019</v>
      </c>
      <c r="C510" t="s">
        <v>11</v>
      </c>
      <c r="D510">
        <v>746125.17776899994</v>
      </c>
      <c r="E510">
        <v>1071878.3659910001</v>
      </c>
      <c r="F510">
        <v>857521.80957699986</v>
      </c>
      <c r="G510" s="39">
        <v>43586</v>
      </c>
    </row>
    <row r="511" spans="1:7" x14ac:dyDescent="0.25">
      <c r="A511" t="s">
        <v>28</v>
      </c>
      <c r="B511">
        <v>2019</v>
      </c>
      <c r="C511" t="s">
        <v>12</v>
      </c>
      <c r="D511">
        <v>897725.96</v>
      </c>
      <c r="E511">
        <v>596439.25286400004</v>
      </c>
      <c r="F511">
        <v>1158808.5167129999</v>
      </c>
      <c r="G511" s="39">
        <v>43617</v>
      </c>
    </row>
    <row r="512" spans="1:7" x14ac:dyDescent="0.25">
      <c r="A512" t="s">
        <v>28</v>
      </c>
      <c r="B512">
        <v>2019</v>
      </c>
      <c r="C512" t="s">
        <v>13</v>
      </c>
      <c r="D512">
        <v>791522.34</v>
      </c>
      <c r="E512">
        <v>700785.30666100001</v>
      </c>
      <c r="F512">
        <v>1249545.5500519997</v>
      </c>
      <c r="G512" s="39">
        <v>43647</v>
      </c>
    </row>
    <row r="513" spans="1:7" x14ac:dyDescent="0.25">
      <c r="A513" t="s">
        <v>28</v>
      </c>
      <c r="B513">
        <v>2019</v>
      </c>
      <c r="C513" t="s">
        <v>14</v>
      </c>
      <c r="D513">
        <v>524105.06599099998</v>
      </c>
      <c r="E513">
        <v>817955.74882900005</v>
      </c>
      <c r="F513">
        <v>955694.86721399974</v>
      </c>
      <c r="G513" s="39">
        <v>43678</v>
      </c>
    </row>
    <row r="514" spans="1:7" x14ac:dyDescent="0.25">
      <c r="A514" t="s">
        <v>28</v>
      </c>
      <c r="B514">
        <v>2019</v>
      </c>
      <c r="C514" t="s">
        <v>15</v>
      </c>
      <c r="D514">
        <v>1347655.652</v>
      </c>
      <c r="E514">
        <v>1405753.498199</v>
      </c>
      <c r="F514">
        <v>897597.0210149996</v>
      </c>
      <c r="G514" s="39">
        <v>43709</v>
      </c>
    </row>
    <row r="515" spans="1:7" x14ac:dyDescent="0.25">
      <c r="A515" t="s">
        <v>28</v>
      </c>
      <c r="B515">
        <v>2019</v>
      </c>
      <c r="C515" t="s">
        <v>16</v>
      </c>
      <c r="D515">
        <v>928431.73633300001</v>
      </c>
      <c r="E515">
        <v>699889.07462700002</v>
      </c>
      <c r="F515">
        <v>1126139.6827209997</v>
      </c>
      <c r="G515" s="39">
        <v>43739</v>
      </c>
    </row>
    <row r="516" spans="1:7" x14ac:dyDescent="0.25">
      <c r="A516" t="s">
        <v>28</v>
      </c>
      <c r="B516">
        <v>2019</v>
      </c>
      <c r="C516" t="s">
        <v>17</v>
      </c>
      <c r="D516">
        <v>762904.39793500002</v>
      </c>
      <c r="E516">
        <v>1081943.7859050001</v>
      </c>
      <c r="F516">
        <v>807100.29475099966</v>
      </c>
      <c r="G516" s="39">
        <v>43770</v>
      </c>
    </row>
    <row r="517" spans="1:7" x14ac:dyDescent="0.25">
      <c r="A517" t="s">
        <v>28</v>
      </c>
      <c r="B517">
        <v>2019</v>
      </c>
      <c r="C517" t="s">
        <v>18</v>
      </c>
      <c r="D517">
        <v>424522.21399999998</v>
      </c>
      <c r="E517">
        <v>434210.846296</v>
      </c>
      <c r="F517">
        <v>797411.66245499952</v>
      </c>
      <c r="G517" s="39">
        <v>43800</v>
      </c>
    </row>
    <row r="518" spans="1:7" x14ac:dyDescent="0.25">
      <c r="A518" t="s">
        <v>28</v>
      </c>
      <c r="B518">
        <v>2020</v>
      </c>
      <c r="C518" t="s">
        <v>7</v>
      </c>
      <c r="D518">
        <v>872912.73100000003</v>
      </c>
      <c r="E518">
        <v>672966.742723</v>
      </c>
      <c r="F518">
        <v>997357.65073199966</v>
      </c>
      <c r="G518" s="39">
        <v>43831</v>
      </c>
    </row>
    <row r="519" spans="1:7" x14ac:dyDescent="0.25">
      <c r="A519" t="s">
        <v>28</v>
      </c>
      <c r="B519">
        <v>2020</v>
      </c>
      <c r="C519" t="s">
        <v>8</v>
      </c>
      <c r="D519">
        <v>727665.92599999998</v>
      </c>
      <c r="E519">
        <v>737638.10120499996</v>
      </c>
      <c r="F519">
        <v>987385.47552699968</v>
      </c>
      <c r="G519" s="39">
        <v>43862</v>
      </c>
    </row>
    <row r="520" spans="1:7" x14ac:dyDescent="0.25">
      <c r="A520" t="s">
        <v>28</v>
      </c>
      <c r="B520">
        <v>2020</v>
      </c>
      <c r="C520" t="s">
        <v>9</v>
      </c>
      <c r="D520">
        <v>425957.01</v>
      </c>
      <c r="E520">
        <v>566082.91965599998</v>
      </c>
      <c r="F520">
        <v>847259.56587099971</v>
      </c>
      <c r="G520" s="39">
        <v>43891</v>
      </c>
    </row>
    <row r="521" spans="1:7" x14ac:dyDescent="0.25">
      <c r="A521" t="s">
        <v>28</v>
      </c>
      <c r="B521">
        <v>2020</v>
      </c>
      <c r="C521" t="s">
        <v>10</v>
      </c>
      <c r="D521">
        <v>414919.411112</v>
      </c>
      <c r="E521">
        <v>528822.24338600005</v>
      </c>
      <c r="F521">
        <v>733356.73359699955</v>
      </c>
      <c r="G521" s="39">
        <v>43922</v>
      </c>
    </row>
    <row r="522" spans="1:7" x14ac:dyDescent="0.25">
      <c r="A522" t="s">
        <v>28</v>
      </c>
      <c r="B522">
        <v>2020</v>
      </c>
      <c r="C522" t="s">
        <v>11</v>
      </c>
      <c r="D522">
        <v>519671.873333</v>
      </c>
      <c r="E522">
        <v>420026.64177799999</v>
      </c>
      <c r="F522">
        <v>833001.96515199961</v>
      </c>
      <c r="G522" s="39">
        <v>43952</v>
      </c>
    </row>
    <row r="523" spans="1:7" x14ac:dyDescent="0.25">
      <c r="A523" t="s">
        <v>28</v>
      </c>
      <c r="B523">
        <v>2020</v>
      </c>
      <c r="C523" t="s">
        <v>12</v>
      </c>
      <c r="D523">
        <v>1153449.23</v>
      </c>
      <c r="E523">
        <v>913570.74880599999</v>
      </c>
      <c r="F523">
        <v>1072880.4463459996</v>
      </c>
      <c r="G523" s="39">
        <v>43983</v>
      </c>
    </row>
    <row r="524" spans="1:7" x14ac:dyDescent="0.25">
      <c r="A524" t="s">
        <v>28</v>
      </c>
      <c r="B524">
        <v>2020</v>
      </c>
      <c r="C524" t="s">
        <v>13</v>
      </c>
      <c r="D524">
        <v>1084888.8130000001</v>
      </c>
      <c r="E524">
        <v>1004453.284243</v>
      </c>
      <c r="F524">
        <v>1153315.9751029999</v>
      </c>
      <c r="G524" s="39">
        <v>44013</v>
      </c>
    </row>
    <row r="525" spans="1:7" x14ac:dyDescent="0.25">
      <c r="A525" t="s">
        <v>28</v>
      </c>
      <c r="B525">
        <v>2020</v>
      </c>
      <c r="C525" t="s">
        <v>14</v>
      </c>
      <c r="D525">
        <v>1156648.130108</v>
      </c>
      <c r="E525">
        <v>1461291.100051</v>
      </c>
      <c r="F525">
        <v>848673.00515999994</v>
      </c>
      <c r="G525" s="39">
        <v>44044</v>
      </c>
    </row>
    <row r="526" spans="1:7" x14ac:dyDescent="0.25">
      <c r="A526" t="s">
        <v>28</v>
      </c>
      <c r="B526">
        <v>2020</v>
      </c>
      <c r="C526" t="s">
        <v>15</v>
      </c>
      <c r="D526">
        <v>1076463.6100000001</v>
      </c>
      <c r="E526">
        <v>1091466.90435</v>
      </c>
      <c r="F526">
        <v>833669.71081000008</v>
      </c>
      <c r="G526" s="39">
        <v>44075</v>
      </c>
    </row>
    <row r="527" spans="1:7" x14ac:dyDescent="0.25">
      <c r="A527" t="s">
        <v>28</v>
      </c>
      <c r="B527">
        <v>2020</v>
      </c>
      <c r="C527" t="s">
        <v>16</v>
      </c>
      <c r="D527">
        <v>1224274.660769</v>
      </c>
      <c r="E527">
        <v>1252855.5582079999</v>
      </c>
      <c r="F527">
        <v>805088.81337100011</v>
      </c>
      <c r="G527" s="39">
        <v>44105</v>
      </c>
    </row>
    <row r="528" spans="1:7" x14ac:dyDescent="0.25">
      <c r="A528" t="s">
        <v>28</v>
      </c>
      <c r="B528">
        <v>2020</v>
      </c>
      <c r="C528" t="s">
        <v>17</v>
      </c>
      <c r="D528">
        <v>949367.77557099995</v>
      </c>
      <c r="E528">
        <v>847644.38872299995</v>
      </c>
      <c r="F528">
        <v>906812.20021900022</v>
      </c>
      <c r="G528" s="39">
        <v>44136</v>
      </c>
    </row>
    <row r="529" spans="1:7" x14ac:dyDescent="0.25">
      <c r="A529" t="s">
        <v>28</v>
      </c>
      <c r="B529">
        <v>2020</v>
      </c>
      <c r="C529" t="s">
        <v>18</v>
      </c>
      <c r="D529">
        <v>444036.58433300001</v>
      </c>
      <c r="E529">
        <v>744730.50287700002</v>
      </c>
      <c r="F529">
        <v>606118.28167500021</v>
      </c>
      <c r="G529" s="39">
        <v>44166</v>
      </c>
    </row>
    <row r="530" spans="1:7" x14ac:dyDescent="0.25">
      <c r="A530" t="s">
        <v>28</v>
      </c>
      <c r="B530">
        <v>2021</v>
      </c>
      <c r="C530" t="s">
        <v>7</v>
      </c>
      <c r="D530">
        <v>1419116.64</v>
      </c>
      <c r="E530">
        <v>698287.62749999994</v>
      </c>
      <c r="F530">
        <v>1326947.2941750002</v>
      </c>
      <c r="G530" s="39">
        <v>44197</v>
      </c>
    </row>
    <row r="531" spans="1:7" x14ac:dyDescent="0.25">
      <c r="A531" t="s">
        <v>28</v>
      </c>
      <c r="B531">
        <v>2021</v>
      </c>
      <c r="C531" t="s">
        <v>8</v>
      </c>
      <c r="D531">
        <v>1181598.6720120001</v>
      </c>
      <c r="E531">
        <v>1150244.4142469999</v>
      </c>
      <c r="F531">
        <v>1358301.5519400004</v>
      </c>
      <c r="G531" s="39">
        <v>44228</v>
      </c>
    </row>
    <row r="532" spans="1:7" x14ac:dyDescent="0.25">
      <c r="A532" t="s">
        <v>28</v>
      </c>
      <c r="B532">
        <v>2021</v>
      </c>
      <c r="C532" t="s">
        <v>9</v>
      </c>
      <c r="D532">
        <v>830860.76</v>
      </c>
      <c r="E532">
        <v>1194597.893921</v>
      </c>
      <c r="F532">
        <v>994564.41801900044</v>
      </c>
      <c r="G532" s="39">
        <v>44256</v>
      </c>
    </row>
    <row r="533" spans="1:7" x14ac:dyDescent="0.25">
      <c r="A533" t="s">
        <v>28</v>
      </c>
      <c r="B533">
        <v>2021</v>
      </c>
      <c r="C533" t="s">
        <v>10</v>
      </c>
      <c r="D533">
        <v>1179369.6617129999</v>
      </c>
      <c r="E533">
        <v>1118481.130009</v>
      </c>
      <c r="F533">
        <v>1055452.9497230004</v>
      </c>
      <c r="G533" s="39">
        <v>44287</v>
      </c>
    </row>
    <row r="534" spans="1:7" x14ac:dyDescent="0.25">
      <c r="A534" t="s">
        <v>28</v>
      </c>
      <c r="B534">
        <v>2021</v>
      </c>
      <c r="C534" t="s">
        <v>11</v>
      </c>
      <c r="D534">
        <v>1034961.027889</v>
      </c>
      <c r="E534">
        <v>728483.16118900001</v>
      </c>
      <c r="F534">
        <v>1361930.8164230003</v>
      </c>
      <c r="G534" s="39">
        <v>44317</v>
      </c>
    </row>
    <row r="535" spans="1:7" x14ac:dyDescent="0.25">
      <c r="A535" t="s">
        <v>28</v>
      </c>
      <c r="B535">
        <v>2021</v>
      </c>
      <c r="C535" t="s">
        <v>12</v>
      </c>
      <c r="D535">
        <v>429814.89600000001</v>
      </c>
      <c r="E535">
        <v>715611.04218300001</v>
      </c>
      <c r="F535">
        <v>1076134.6702400004</v>
      </c>
      <c r="G535" s="39">
        <v>44348</v>
      </c>
    </row>
    <row r="536" spans="1:7" x14ac:dyDescent="0.25">
      <c r="A536" t="s">
        <v>28</v>
      </c>
      <c r="B536">
        <v>2021</v>
      </c>
      <c r="C536" t="s">
        <v>13</v>
      </c>
      <c r="D536">
        <v>643835.39800000004</v>
      </c>
      <c r="E536">
        <v>750307.09411199996</v>
      </c>
      <c r="F536">
        <v>969662.97412800044</v>
      </c>
      <c r="G536" s="39">
        <v>44378</v>
      </c>
    </row>
    <row r="537" spans="1:7" x14ac:dyDescent="0.25">
      <c r="A537" t="s">
        <v>28</v>
      </c>
      <c r="B537">
        <v>2021</v>
      </c>
      <c r="C537" t="s">
        <v>14</v>
      </c>
      <c r="D537">
        <v>469039.20899999997</v>
      </c>
      <c r="E537">
        <v>458900.07606499997</v>
      </c>
      <c r="F537">
        <v>979802.10706300056</v>
      </c>
      <c r="G537" s="39">
        <v>44409</v>
      </c>
    </row>
    <row r="538" spans="1:7" x14ac:dyDescent="0.25">
      <c r="A538" t="s">
        <v>28</v>
      </c>
      <c r="B538">
        <v>2021</v>
      </c>
      <c r="C538" t="s">
        <v>15</v>
      </c>
      <c r="D538">
        <v>533184.45499999996</v>
      </c>
      <c r="E538">
        <v>501406.97354400001</v>
      </c>
      <c r="F538">
        <v>1011579.5885190007</v>
      </c>
      <c r="G538" s="39">
        <v>44440</v>
      </c>
    </row>
    <row r="539" spans="1:7" x14ac:dyDescent="0.25">
      <c r="A539" t="s">
        <v>28</v>
      </c>
      <c r="B539">
        <v>2021</v>
      </c>
      <c r="C539" t="s">
        <v>16</v>
      </c>
      <c r="D539">
        <v>268482.28999999998</v>
      </c>
      <c r="E539">
        <v>273828.09442600003</v>
      </c>
      <c r="F539">
        <v>1006233.7840930007</v>
      </c>
      <c r="G539" s="39">
        <v>44470</v>
      </c>
    </row>
    <row r="540" spans="1:7" x14ac:dyDescent="0.25">
      <c r="A540" t="s">
        <v>28</v>
      </c>
      <c r="B540">
        <v>2021</v>
      </c>
      <c r="C540" t="s">
        <v>17</v>
      </c>
      <c r="D540">
        <v>485647.47749999998</v>
      </c>
      <c r="E540">
        <v>444651.20469599997</v>
      </c>
      <c r="F540">
        <v>1047230.0568970008</v>
      </c>
      <c r="G540" s="39">
        <v>44501</v>
      </c>
    </row>
    <row r="541" spans="1:7" x14ac:dyDescent="0.25">
      <c r="A541" t="s">
        <v>28</v>
      </c>
      <c r="B541">
        <v>2021</v>
      </c>
      <c r="C541" t="s">
        <v>18</v>
      </c>
      <c r="D541">
        <v>425420.31</v>
      </c>
      <c r="E541">
        <v>420787.65846100001</v>
      </c>
      <c r="F541">
        <v>1051862.7084360006</v>
      </c>
      <c r="G541" s="39">
        <v>44531</v>
      </c>
    </row>
    <row r="542" spans="1:7" x14ac:dyDescent="0.25">
      <c r="A542" t="s">
        <v>28</v>
      </c>
      <c r="B542">
        <v>2022</v>
      </c>
      <c r="C542" t="s">
        <v>7</v>
      </c>
      <c r="D542">
        <v>987696.63699999999</v>
      </c>
      <c r="E542">
        <v>422737.64208000002</v>
      </c>
      <c r="F542">
        <v>1616821.7033560006</v>
      </c>
      <c r="G542" s="39">
        <v>44562</v>
      </c>
    </row>
    <row r="543" spans="1:7" x14ac:dyDescent="0.25">
      <c r="A543" t="s">
        <v>28</v>
      </c>
      <c r="B543">
        <v>2022</v>
      </c>
      <c r="C543" t="s">
        <v>8</v>
      </c>
      <c r="D543">
        <v>753016.228</v>
      </c>
      <c r="E543">
        <v>473943.72790400003</v>
      </c>
      <c r="F543">
        <v>1895894.2034520006</v>
      </c>
      <c r="G543" s="39">
        <v>44593</v>
      </c>
    </row>
    <row r="544" spans="1:7" x14ac:dyDescent="0.25">
      <c r="A544" t="s">
        <v>28</v>
      </c>
      <c r="B544">
        <v>2022</v>
      </c>
      <c r="C544" t="s">
        <v>9</v>
      </c>
      <c r="D544">
        <v>1085788.7749999999</v>
      </c>
      <c r="E544">
        <v>726838.44567100005</v>
      </c>
      <c r="F544">
        <v>2254844.5327810007</v>
      </c>
      <c r="G544" s="39">
        <v>44621</v>
      </c>
    </row>
    <row r="545" spans="1:7" x14ac:dyDescent="0.25">
      <c r="A545" t="s">
        <v>28</v>
      </c>
      <c r="B545">
        <v>2022</v>
      </c>
      <c r="C545" t="s">
        <v>10</v>
      </c>
      <c r="D545">
        <v>993410.30533400003</v>
      </c>
      <c r="E545">
        <v>701271.47972599999</v>
      </c>
      <c r="F545">
        <v>2546983.3583890004</v>
      </c>
      <c r="G545" s="39">
        <v>44652</v>
      </c>
    </row>
    <row r="546" spans="1:7" x14ac:dyDescent="0.25">
      <c r="A546" t="s">
        <v>28</v>
      </c>
      <c r="B546">
        <v>2022</v>
      </c>
      <c r="C546" t="s">
        <v>11</v>
      </c>
      <c r="D546">
        <v>934194.15</v>
      </c>
      <c r="E546">
        <v>1015498.450907</v>
      </c>
      <c r="F546">
        <v>2465679.0574820004</v>
      </c>
      <c r="G546" s="39">
        <v>44682</v>
      </c>
    </row>
    <row r="547" spans="1:7" x14ac:dyDescent="0.25">
      <c r="A547" t="s">
        <v>28</v>
      </c>
      <c r="B547">
        <v>2022</v>
      </c>
      <c r="C547" t="s">
        <v>12</v>
      </c>
      <c r="D547">
        <v>520954.67233299999</v>
      </c>
      <c r="E547">
        <v>746998.68150599999</v>
      </c>
      <c r="F547">
        <v>2239635.0483090007</v>
      </c>
      <c r="G547" s="39">
        <v>44713</v>
      </c>
    </row>
    <row r="548" spans="1:7" x14ac:dyDescent="0.25">
      <c r="A548" t="s">
        <v>28</v>
      </c>
      <c r="B548">
        <v>2022</v>
      </c>
      <c r="C548" t="s">
        <v>13</v>
      </c>
      <c r="D548">
        <v>314097.46999999997</v>
      </c>
      <c r="E548">
        <v>624551.83080800006</v>
      </c>
      <c r="F548">
        <v>1929180.6875010007</v>
      </c>
      <c r="G548" s="39">
        <v>44743</v>
      </c>
    </row>
    <row r="549" spans="1:7" x14ac:dyDescent="0.25">
      <c r="A549" t="s">
        <v>28</v>
      </c>
      <c r="B549">
        <v>2022</v>
      </c>
      <c r="C549" t="s">
        <v>14</v>
      </c>
      <c r="D549">
        <v>842554.21999799996</v>
      </c>
      <c r="E549">
        <v>912435.80189</v>
      </c>
      <c r="F549">
        <v>1859299.1056090004</v>
      </c>
      <c r="G549" s="39">
        <v>44774</v>
      </c>
    </row>
    <row r="550" spans="1:7" x14ac:dyDescent="0.25">
      <c r="A550" t="s">
        <v>28</v>
      </c>
      <c r="B550">
        <v>2022</v>
      </c>
      <c r="C550" t="s">
        <v>15</v>
      </c>
      <c r="D550">
        <v>680203.19499999995</v>
      </c>
      <c r="E550">
        <v>809938.427394</v>
      </c>
      <c r="F550">
        <v>1729563.8732150006</v>
      </c>
      <c r="G550" s="39">
        <v>44805</v>
      </c>
    </row>
    <row r="551" spans="1:7" x14ac:dyDescent="0.25">
      <c r="A551" t="s">
        <v>28</v>
      </c>
      <c r="B551">
        <v>2022</v>
      </c>
      <c r="C551" t="s">
        <v>16</v>
      </c>
      <c r="D551">
        <v>787706.70733300003</v>
      </c>
      <c r="E551">
        <v>752247.25295899995</v>
      </c>
      <c r="F551">
        <v>1765023.3275890006</v>
      </c>
      <c r="G551" s="39">
        <v>44835</v>
      </c>
    </row>
    <row r="552" spans="1:7" x14ac:dyDescent="0.25">
      <c r="A552" t="s">
        <v>28</v>
      </c>
      <c r="B552">
        <v>2022</v>
      </c>
      <c r="C552" t="s">
        <v>17</v>
      </c>
      <c r="D552">
        <v>689151.27</v>
      </c>
      <c r="E552">
        <v>598814.33606200002</v>
      </c>
      <c r="F552">
        <v>1855360.2615270005</v>
      </c>
      <c r="G552" s="39">
        <v>44866</v>
      </c>
    </row>
    <row r="553" spans="1:7" x14ac:dyDescent="0.25">
      <c r="A553" t="s">
        <v>28</v>
      </c>
      <c r="B553">
        <v>2022</v>
      </c>
      <c r="C553" t="s">
        <v>18</v>
      </c>
      <c r="D553">
        <v>669259.28009300004</v>
      </c>
      <c r="E553">
        <v>769742.53116999997</v>
      </c>
      <c r="F553">
        <v>1754877.0104500004</v>
      </c>
      <c r="G553" s="39">
        <v>44896</v>
      </c>
    </row>
    <row r="554" spans="1:7" x14ac:dyDescent="0.25">
      <c r="A554" t="s">
        <v>28</v>
      </c>
      <c r="B554">
        <v>2023</v>
      </c>
      <c r="C554" t="s">
        <v>7</v>
      </c>
      <c r="D554">
        <v>1342614.82</v>
      </c>
      <c r="E554">
        <v>258765.087241</v>
      </c>
      <c r="F554">
        <v>2838726.7432090002</v>
      </c>
      <c r="G554" s="39">
        <v>44927</v>
      </c>
    </row>
    <row r="555" spans="1:7" x14ac:dyDescent="0.25">
      <c r="A555" t="s">
        <v>28</v>
      </c>
      <c r="B555">
        <v>2023</v>
      </c>
      <c r="C555" t="s">
        <v>8</v>
      </c>
      <c r="D555">
        <v>379201.23</v>
      </c>
      <c r="E555">
        <v>512351.35840999999</v>
      </c>
      <c r="F555">
        <v>2705576.6147990003</v>
      </c>
      <c r="G555" s="39">
        <v>44958</v>
      </c>
    </row>
    <row r="556" spans="1:7" x14ac:dyDescent="0.25">
      <c r="A556" t="s">
        <v>28</v>
      </c>
      <c r="B556">
        <v>2023</v>
      </c>
      <c r="C556" t="s">
        <v>9</v>
      </c>
      <c r="D556">
        <v>304694.20500000002</v>
      </c>
      <c r="E556">
        <v>781404.85233300005</v>
      </c>
      <c r="F556">
        <v>2228865.9674660005</v>
      </c>
      <c r="G556" s="39">
        <v>44986</v>
      </c>
    </row>
    <row r="557" spans="1:7" x14ac:dyDescent="0.25">
      <c r="A557" t="s">
        <v>28</v>
      </c>
      <c r="B557">
        <v>2023</v>
      </c>
      <c r="C557" t="s">
        <v>10</v>
      </c>
      <c r="D557">
        <v>1040587.53</v>
      </c>
      <c r="E557">
        <v>437658.53525199997</v>
      </c>
      <c r="F557">
        <v>2831794.9622140005</v>
      </c>
      <c r="G557" s="39">
        <v>45017</v>
      </c>
    </row>
    <row r="558" spans="1:7" x14ac:dyDescent="0.25">
      <c r="A558" t="s">
        <v>28</v>
      </c>
      <c r="B558">
        <v>2023</v>
      </c>
      <c r="C558" t="s">
        <v>11</v>
      </c>
      <c r="D558">
        <v>194176.94</v>
      </c>
      <c r="E558">
        <v>549608.73001000006</v>
      </c>
      <c r="F558">
        <v>2476363.1722040004</v>
      </c>
      <c r="G558" s="39">
        <v>45047</v>
      </c>
    </row>
    <row r="559" spans="1:7" x14ac:dyDescent="0.25">
      <c r="A559" t="s">
        <v>28</v>
      </c>
      <c r="B559">
        <v>2023</v>
      </c>
      <c r="C559" t="s">
        <v>12</v>
      </c>
      <c r="D559">
        <v>264133.68</v>
      </c>
      <c r="E559">
        <v>439759.08029499999</v>
      </c>
      <c r="F559">
        <v>2300737.7719090004</v>
      </c>
      <c r="G559" s="39">
        <v>45078</v>
      </c>
    </row>
    <row r="560" spans="1:7" x14ac:dyDescent="0.25">
      <c r="A560" t="s">
        <v>28</v>
      </c>
      <c r="B560">
        <v>2023</v>
      </c>
      <c r="C560" t="s">
        <v>13</v>
      </c>
      <c r="D560">
        <v>463787.82</v>
      </c>
      <c r="E560">
        <v>534841.13823599997</v>
      </c>
      <c r="F560">
        <v>2229684.4536730004</v>
      </c>
      <c r="G560" s="39">
        <v>45108</v>
      </c>
    </row>
    <row r="561" spans="1:7" x14ac:dyDescent="0.25">
      <c r="A561" t="s">
        <v>28</v>
      </c>
      <c r="B561">
        <v>2023</v>
      </c>
      <c r="C561" t="s">
        <v>14</v>
      </c>
      <c r="D561">
        <v>488742.02400099998</v>
      </c>
      <c r="E561">
        <v>556627.62172599998</v>
      </c>
      <c r="F561">
        <v>2161798.8559480002</v>
      </c>
      <c r="G561" s="39">
        <v>45139</v>
      </c>
    </row>
    <row r="562" spans="1:7" x14ac:dyDescent="0.25">
      <c r="A562" t="s">
        <v>28</v>
      </c>
      <c r="B562">
        <v>2023</v>
      </c>
      <c r="C562" t="s">
        <v>15</v>
      </c>
      <c r="D562">
        <v>439141.06</v>
      </c>
      <c r="E562">
        <v>409053.01871700003</v>
      </c>
      <c r="F562">
        <v>2191886.8972310005</v>
      </c>
      <c r="G562" s="39">
        <v>45170</v>
      </c>
    </row>
    <row r="563" spans="1:7" x14ac:dyDescent="0.25">
      <c r="A563" t="s">
        <v>28</v>
      </c>
      <c r="B563">
        <v>2023</v>
      </c>
      <c r="C563" t="s">
        <v>16</v>
      </c>
      <c r="D563">
        <v>642775.89500000002</v>
      </c>
      <c r="E563">
        <v>503647.40382900002</v>
      </c>
      <c r="F563">
        <v>2331015.3884020005</v>
      </c>
      <c r="G563" s="39">
        <v>45200</v>
      </c>
    </row>
    <row r="564" spans="1:7" x14ac:dyDescent="0.25">
      <c r="A564" t="s">
        <v>28</v>
      </c>
      <c r="B564">
        <v>2023</v>
      </c>
      <c r="C564" t="s">
        <v>17</v>
      </c>
      <c r="D564">
        <v>449878.649928</v>
      </c>
      <c r="E564">
        <v>475019.91904000001</v>
      </c>
      <c r="F564">
        <v>2305874.1192900003</v>
      </c>
      <c r="G564" s="39">
        <v>45231</v>
      </c>
    </row>
    <row r="565" spans="1:7" x14ac:dyDescent="0.25">
      <c r="A565" t="s">
        <v>28</v>
      </c>
      <c r="B565">
        <v>2023</v>
      </c>
      <c r="C565" t="s">
        <v>18</v>
      </c>
      <c r="D565">
        <v>61857.33</v>
      </c>
      <c r="E565">
        <v>344295.81588299997</v>
      </c>
      <c r="F565">
        <v>2023435.6334070005</v>
      </c>
      <c r="G565" s="39">
        <v>45261</v>
      </c>
    </row>
    <row r="566" spans="1:7" x14ac:dyDescent="0.25">
      <c r="A566" t="s">
        <v>28</v>
      </c>
      <c r="B566">
        <v>2024</v>
      </c>
      <c r="C566" t="s">
        <v>7</v>
      </c>
      <c r="F566">
        <v>2023435.6334070005</v>
      </c>
      <c r="G566" s="39">
        <v>45292</v>
      </c>
    </row>
    <row r="567" spans="1:7" x14ac:dyDescent="0.25">
      <c r="A567" t="s">
        <v>28</v>
      </c>
      <c r="B567">
        <v>2024</v>
      </c>
      <c r="C567" t="s">
        <v>8</v>
      </c>
      <c r="F567">
        <v>2023435.6334070005</v>
      </c>
      <c r="G567" s="39">
        <v>45323</v>
      </c>
    </row>
    <row r="568" spans="1:7" x14ac:dyDescent="0.25">
      <c r="A568" t="s">
        <v>28</v>
      </c>
      <c r="B568">
        <v>2024</v>
      </c>
      <c r="C568" t="s">
        <v>9</v>
      </c>
      <c r="F568">
        <v>2023435.6334070005</v>
      </c>
      <c r="G568" s="39">
        <v>45352</v>
      </c>
    </row>
    <row r="569" spans="1:7" x14ac:dyDescent="0.25">
      <c r="A569" t="s">
        <v>28</v>
      </c>
      <c r="B569">
        <v>2024</v>
      </c>
      <c r="C569" t="s">
        <v>10</v>
      </c>
      <c r="F569">
        <v>2023435.6334070005</v>
      </c>
      <c r="G569" s="39">
        <v>45383</v>
      </c>
    </row>
    <row r="570" spans="1:7" x14ac:dyDescent="0.25">
      <c r="A570" t="s">
        <v>28</v>
      </c>
      <c r="B570">
        <v>2024</v>
      </c>
      <c r="C570" t="s">
        <v>11</v>
      </c>
      <c r="F570">
        <v>2023435.6334070005</v>
      </c>
      <c r="G570" s="39">
        <v>45413</v>
      </c>
    </row>
    <row r="571" spans="1:7" x14ac:dyDescent="0.25">
      <c r="A571" t="s">
        <v>28</v>
      </c>
      <c r="B571">
        <v>2024</v>
      </c>
      <c r="C571" t="s">
        <v>12</v>
      </c>
      <c r="F571">
        <v>2023435.6334070005</v>
      </c>
      <c r="G571" s="39">
        <v>45444</v>
      </c>
    </row>
    <row r="572" spans="1:7" x14ac:dyDescent="0.25">
      <c r="A572" t="s">
        <v>28</v>
      </c>
      <c r="B572">
        <v>2024</v>
      </c>
      <c r="C572" t="s">
        <v>13</v>
      </c>
      <c r="F572">
        <v>2023435.6334070005</v>
      </c>
      <c r="G572" s="39">
        <v>45474</v>
      </c>
    </row>
    <row r="573" spans="1:7" x14ac:dyDescent="0.25">
      <c r="A573" t="s">
        <v>28</v>
      </c>
      <c r="B573">
        <v>2024</v>
      </c>
      <c r="C573" t="s">
        <v>14</v>
      </c>
      <c r="F573">
        <v>2023435.6334070005</v>
      </c>
      <c r="G573" s="39">
        <v>45505</v>
      </c>
    </row>
    <row r="574" spans="1:7" x14ac:dyDescent="0.25">
      <c r="A574" t="s">
        <v>28</v>
      </c>
      <c r="B574">
        <v>2024</v>
      </c>
      <c r="C574" t="s">
        <v>15</v>
      </c>
      <c r="F574">
        <v>2023435.6334070005</v>
      </c>
      <c r="G574" s="39">
        <v>45536</v>
      </c>
    </row>
    <row r="575" spans="1:7" x14ac:dyDescent="0.25">
      <c r="A575" t="s">
        <v>28</v>
      </c>
      <c r="B575">
        <v>2024</v>
      </c>
      <c r="C575" t="s">
        <v>16</v>
      </c>
      <c r="F575">
        <v>2023435.6334070005</v>
      </c>
      <c r="G575" s="39">
        <v>45566</v>
      </c>
    </row>
    <row r="576" spans="1:7" x14ac:dyDescent="0.25">
      <c r="A576" t="s">
        <v>28</v>
      </c>
      <c r="B576">
        <v>2024</v>
      </c>
      <c r="C576" t="s">
        <v>17</v>
      </c>
      <c r="F576">
        <v>2023435.6334070005</v>
      </c>
      <c r="G576" s="39">
        <v>45597</v>
      </c>
    </row>
    <row r="577" spans="1:7" x14ac:dyDescent="0.25">
      <c r="A577" t="s">
        <v>28</v>
      </c>
      <c r="B577">
        <v>2024</v>
      </c>
      <c r="C577" t="s">
        <v>18</v>
      </c>
      <c r="F577">
        <v>2023435.6334070005</v>
      </c>
      <c r="G577" s="39">
        <v>45627</v>
      </c>
    </row>
    <row r="578" spans="1:7" x14ac:dyDescent="0.25">
      <c r="A578" t="s">
        <v>29</v>
      </c>
      <c r="B578">
        <v>2019</v>
      </c>
      <c r="C578" t="s">
        <v>7</v>
      </c>
      <c r="D578">
        <v>357177.62999799999</v>
      </c>
      <c r="E578">
        <v>287939.21822799998</v>
      </c>
      <c r="F578">
        <v>810638.44540399988</v>
      </c>
      <c r="G578" s="39">
        <v>43466</v>
      </c>
    </row>
    <row r="579" spans="1:7" x14ac:dyDescent="0.25">
      <c r="A579" t="s">
        <v>29</v>
      </c>
      <c r="B579">
        <v>2019</v>
      </c>
      <c r="C579" t="s">
        <v>8</v>
      </c>
      <c r="D579">
        <v>400107.94</v>
      </c>
      <c r="E579">
        <v>326130.26220499998</v>
      </c>
      <c r="F579">
        <v>884616.12319899979</v>
      </c>
      <c r="G579" s="39">
        <v>43497</v>
      </c>
    </row>
    <row r="580" spans="1:7" x14ac:dyDescent="0.25">
      <c r="A580" t="s">
        <v>29</v>
      </c>
      <c r="B580">
        <v>2019</v>
      </c>
      <c r="C580" t="s">
        <v>9</v>
      </c>
      <c r="D580">
        <v>614091.27</v>
      </c>
      <c r="E580">
        <v>402925.14257800003</v>
      </c>
      <c r="F580">
        <v>1095782.2506209998</v>
      </c>
      <c r="G580" s="39">
        <v>43525</v>
      </c>
    </row>
    <row r="581" spans="1:7" x14ac:dyDescent="0.25">
      <c r="A581" t="s">
        <v>29</v>
      </c>
      <c r="B581">
        <v>2019</v>
      </c>
      <c r="C581" t="s">
        <v>10</v>
      </c>
      <c r="D581">
        <v>472643.15090900002</v>
      </c>
      <c r="E581">
        <v>454555.86839199997</v>
      </c>
      <c r="F581">
        <v>1113869.5331379999</v>
      </c>
      <c r="G581" s="39">
        <v>43556</v>
      </c>
    </row>
    <row r="582" spans="1:7" x14ac:dyDescent="0.25">
      <c r="A582" t="s">
        <v>29</v>
      </c>
      <c r="B582">
        <v>2019</v>
      </c>
      <c r="C582" t="s">
        <v>11</v>
      </c>
      <c r="D582">
        <v>295432.01909100002</v>
      </c>
      <c r="E582">
        <v>510348.77981600002</v>
      </c>
      <c r="F582">
        <v>898952.772413</v>
      </c>
      <c r="G582" s="39">
        <v>43586</v>
      </c>
    </row>
    <row r="583" spans="1:7" x14ac:dyDescent="0.25">
      <c r="A583" t="s">
        <v>29</v>
      </c>
      <c r="B583">
        <v>2019</v>
      </c>
      <c r="C583" t="s">
        <v>12</v>
      </c>
      <c r="D583">
        <v>331245.48</v>
      </c>
      <c r="E583">
        <v>356399.93924699997</v>
      </c>
      <c r="F583">
        <v>873798.31316599995</v>
      </c>
      <c r="G583" s="39">
        <v>43617</v>
      </c>
    </row>
    <row r="584" spans="1:7" x14ac:dyDescent="0.25">
      <c r="A584" t="s">
        <v>29</v>
      </c>
      <c r="B584">
        <v>2019</v>
      </c>
      <c r="C584" t="s">
        <v>13</v>
      </c>
      <c r="D584">
        <v>444636.2</v>
      </c>
      <c r="E584">
        <v>447526.244458</v>
      </c>
      <c r="F584">
        <v>870908.26870799996</v>
      </c>
      <c r="G584" s="39">
        <v>43647</v>
      </c>
    </row>
    <row r="585" spans="1:7" x14ac:dyDescent="0.25">
      <c r="A585" t="s">
        <v>29</v>
      </c>
      <c r="B585">
        <v>2019</v>
      </c>
      <c r="C585" t="s">
        <v>14</v>
      </c>
      <c r="D585">
        <v>421446.86</v>
      </c>
      <c r="E585">
        <v>444650.98315099999</v>
      </c>
      <c r="F585">
        <v>847704.14555699984</v>
      </c>
      <c r="G585" s="39">
        <v>43678</v>
      </c>
    </row>
    <row r="586" spans="1:7" x14ac:dyDescent="0.25">
      <c r="A586" t="s">
        <v>29</v>
      </c>
      <c r="B586">
        <v>2019</v>
      </c>
      <c r="C586" t="s">
        <v>15</v>
      </c>
      <c r="D586">
        <v>568965.74961099995</v>
      </c>
      <c r="E586">
        <v>486302.68242899998</v>
      </c>
      <c r="F586">
        <v>930367.21273899986</v>
      </c>
      <c r="G586" s="39">
        <v>43709</v>
      </c>
    </row>
    <row r="587" spans="1:7" x14ac:dyDescent="0.25">
      <c r="A587" t="s">
        <v>29</v>
      </c>
      <c r="B587">
        <v>2019</v>
      </c>
      <c r="C587" t="s">
        <v>16</v>
      </c>
      <c r="D587">
        <v>864744.46771899995</v>
      </c>
      <c r="E587">
        <v>879478.37366499996</v>
      </c>
      <c r="F587">
        <v>915633.30679299997</v>
      </c>
      <c r="G587" s="39">
        <v>43739</v>
      </c>
    </row>
    <row r="588" spans="1:7" x14ac:dyDescent="0.25">
      <c r="A588" t="s">
        <v>29</v>
      </c>
      <c r="B588">
        <v>2019</v>
      </c>
      <c r="C588" t="s">
        <v>17</v>
      </c>
      <c r="D588">
        <v>664037.36</v>
      </c>
      <c r="E588">
        <v>789288.61016000004</v>
      </c>
      <c r="F588">
        <v>790382.05663299991</v>
      </c>
      <c r="G588" s="39">
        <v>43770</v>
      </c>
    </row>
    <row r="589" spans="1:7" x14ac:dyDescent="0.25">
      <c r="A589" t="s">
        <v>29</v>
      </c>
      <c r="B589">
        <v>2019</v>
      </c>
      <c r="C589" t="s">
        <v>18</v>
      </c>
      <c r="D589">
        <v>779205.16500000004</v>
      </c>
      <c r="E589">
        <v>664674.93903100002</v>
      </c>
      <c r="F589">
        <v>904912.28260199982</v>
      </c>
      <c r="G589" s="39">
        <v>43800</v>
      </c>
    </row>
    <row r="590" spans="1:7" x14ac:dyDescent="0.25">
      <c r="A590" t="s">
        <v>29</v>
      </c>
      <c r="B590">
        <v>2020</v>
      </c>
      <c r="C590" t="s">
        <v>7</v>
      </c>
      <c r="D590">
        <v>487214.55</v>
      </c>
      <c r="E590">
        <v>566672.29203400004</v>
      </c>
      <c r="F590">
        <v>825454.54056799982</v>
      </c>
      <c r="G590" s="39">
        <v>43831</v>
      </c>
    </row>
    <row r="591" spans="1:7" x14ac:dyDescent="0.25">
      <c r="A591" t="s">
        <v>29</v>
      </c>
      <c r="B591">
        <v>2020</v>
      </c>
      <c r="C591" t="s">
        <v>8</v>
      </c>
      <c r="D591">
        <v>707630.78039099998</v>
      </c>
      <c r="E591">
        <v>483669.19917899999</v>
      </c>
      <c r="F591">
        <v>1049416.1217799999</v>
      </c>
      <c r="G591" s="39">
        <v>43862</v>
      </c>
    </row>
    <row r="592" spans="1:7" x14ac:dyDescent="0.25">
      <c r="A592" t="s">
        <v>29</v>
      </c>
      <c r="B592">
        <v>2020</v>
      </c>
      <c r="C592" t="s">
        <v>9</v>
      </c>
      <c r="D592">
        <v>907041.94</v>
      </c>
      <c r="E592">
        <v>747672.03426600003</v>
      </c>
      <c r="F592">
        <v>1208786.027514</v>
      </c>
      <c r="G592" s="39">
        <v>43891</v>
      </c>
    </row>
    <row r="593" spans="1:7" x14ac:dyDescent="0.25">
      <c r="A593" t="s">
        <v>29</v>
      </c>
      <c r="B593">
        <v>2020</v>
      </c>
      <c r="C593" t="s">
        <v>10</v>
      </c>
      <c r="D593">
        <v>1015980.76</v>
      </c>
      <c r="E593">
        <v>1012383.815951</v>
      </c>
      <c r="F593">
        <v>1212382.9715630002</v>
      </c>
      <c r="G593" s="39">
        <v>43922</v>
      </c>
    </row>
    <row r="594" spans="1:7" x14ac:dyDescent="0.25">
      <c r="A594" t="s">
        <v>29</v>
      </c>
      <c r="B594">
        <v>2020</v>
      </c>
      <c r="C594" t="s">
        <v>11</v>
      </c>
      <c r="D594">
        <v>618440.36</v>
      </c>
      <c r="E594">
        <v>785544.73878100002</v>
      </c>
      <c r="F594">
        <v>1045278.5927820001</v>
      </c>
      <c r="G594" s="39">
        <v>43952</v>
      </c>
    </row>
    <row r="595" spans="1:7" x14ac:dyDescent="0.25">
      <c r="A595" t="s">
        <v>29</v>
      </c>
      <c r="B595">
        <v>2020</v>
      </c>
      <c r="C595" t="s">
        <v>12</v>
      </c>
      <c r="D595">
        <v>885359.01</v>
      </c>
      <c r="E595">
        <v>908359.07587199996</v>
      </c>
      <c r="F595">
        <v>1022278.5269100001</v>
      </c>
      <c r="G595" s="39">
        <v>43983</v>
      </c>
    </row>
    <row r="596" spans="1:7" x14ac:dyDescent="0.25">
      <c r="A596" t="s">
        <v>29</v>
      </c>
      <c r="B596">
        <v>2020</v>
      </c>
      <c r="C596" t="s">
        <v>13</v>
      </c>
      <c r="D596">
        <v>707270.28495700005</v>
      </c>
      <c r="E596">
        <v>900025.63374199998</v>
      </c>
      <c r="F596">
        <v>829523.17812500009</v>
      </c>
      <c r="G596" s="39">
        <v>44013</v>
      </c>
    </row>
    <row r="597" spans="1:7" x14ac:dyDescent="0.25">
      <c r="A597" t="s">
        <v>29</v>
      </c>
      <c r="B597">
        <v>2020</v>
      </c>
      <c r="C597" t="s">
        <v>14</v>
      </c>
      <c r="D597">
        <v>880639.54</v>
      </c>
      <c r="E597">
        <v>874764.50953599997</v>
      </c>
      <c r="F597">
        <v>835398.20858900016</v>
      </c>
      <c r="G597" s="39">
        <v>44044</v>
      </c>
    </row>
    <row r="598" spans="1:7" x14ac:dyDescent="0.25">
      <c r="A598" t="s">
        <v>29</v>
      </c>
      <c r="B598">
        <v>2020</v>
      </c>
      <c r="C598" t="s">
        <v>15</v>
      </c>
      <c r="D598">
        <v>608843.53200000001</v>
      </c>
      <c r="E598">
        <v>632800.04393699998</v>
      </c>
      <c r="F598">
        <v>811441.6966520003</v>
      </c>
      <c r="G598" s="39">
        <v>44075</v>
      </c>
    </row>
    <row r="599" spans="1:7" x14ac:dyDescent="0.25">
      <c r="A599" t="s">
        <v>29</v>
      </c>
      <c r="B599">
        <v>2020</v>
      </c>
      <c r="C599" t="s">
        <v>16</v>
      </c>
      <c r="D599">
        <v>1706434.3289999999</v>
      </c>
      <c r="E599">
        <v>1503881.284648</v>
      </c>
      <c r="F599">
        <v>1013994.7410040002</v>
      </c>
      <c r="G599" s="39">
        <v>44105</v>
      </c>
    </row>
    <row r="600" spans="1:7" x14ac:dyDescent="0.25">
      <c r="A600" t="s">
        <v>29</v>
      </c>
      <c r="B600">
        <v>2020</v>
      </c>
      <c r="C600" t="s">
        <v>17</v>
      </c>
      <c r="D600">
        <v>548108.94999999995</v>
      </c>
      <c r="E600">
        <v>632107.97902500001</v>
      </c>
      <c r="F600">
        <v>929995.71197900013</v>
      </c>
      <c r="G600" s="39">
        <v>44136</v>
      </c>
    </row>
    <row r="601" spans="1:7" x14ac:dyDescent="0.25">
      <c r="A601" t="s">
        <v>29</v>
      </c>
      <c r="B601">
        <v>2020</v>
      </c>
      <c r="C601" t="s">
        <v>18</v>
      </c>
      <c r="D601">
        <v>279474.62</v>
      </c>
      <c r="E601">
        <v>464357.26309700002</v>
      </c>
      <c r="F601">
        <v>745113.06888199993</v>
      </c>
      <c r="G601" s="39">
        <v>44166</v>
      </c>
    </row>
    <row r="602" spans="1:7" x14ac:dyDescent="0.25">
      <c r="A602" t="s">
        <v>29</v>
      </c>
      <c r="B602">
        <v>2021</v>
      </c>
      <c r="C602" t="s">
        <v>7</v>
      </c>
      <c r="D602">
        <v>729557.25</v>
      </c>
      <c r="E602">
        <v>829531.50470599998</v>
      </c>
      <c r="F602">
        <v>645138.81417599996</v>
      </c>
      <c r="G602" s="39">
        <v>44197</v>
      </c>
    </row>
    <row r="603" spans="1:7" x14ac:dyDescent="0.25">
      <c r="A603" t="s">
        <v>29</v>
      </c>
      <c r="B603">
        <v>2021</v>
      </c>
      <c r="C603" t="s">
        <v>8</v>
      </c>
      <c r="D603">
        <v>566483.13232400001</v>
      </c>
      <c r="E603">
        <v>415109.883761</v>
      </c>
      <c r="F603">
        <v>796512.06273900007</v>
      </c>
      <c r="G603" s="39">
        <v>44228</v>
      </c>
    </row>
    <row r="604" spans="1:7" x14ac:dyDescent="0.25">
      <c r="A604" t="s">
        <v>29</v>
      </c>
      <c r="B604">
        <v>2021</v>
      </c>
      <c r="C604" t="s">
        <v>9</v>
      </c>
      <c r="D604">
        <v>987052.33453999995</v>
      </c>
      <c r="E604">
        <v>748253.04341499996</v>
      </c>
      <c r="F604">
        <v>1035311.3538639999</v>
      </c>
      <c r="G604" s="39">
        <v>44256</v>
      </c>
    </row>
    <row r="605" spans="1:7" x14ac:dyDescent="0.25">
      <c r="A605" t="s">
        <v>29</v>
      </c>
      <c r="B605">
        <v>2021</v>
      </c>
      <c r="C605" t="s">
        <v>10</v>
      </c>
      <c r="D605">
        <v>845832.29372700001</v>
      </c>
      <c r="E605">
        <v>832633.91636799998</v>
      </c>
      <c r="F605">
        <v>1048509.731223</v>
      </c>
      <c r="G605" s="39">
        <v>44287</v>
      </c>
    </row>
    <row r="606" spans="1:7" x14ac:dyDescent="0.25">
      <c r="A606" t="s">
        <v>29</v>
      </c>
      <c r="B606">
        <v>2021</v>
      </c>
      <c r="C606" t="s">
        <v>11</v>
      </c>
      <c r="D606">
        <v>661086.95239999995</v>
      </c>
      <c r="E606">
        <v>620236.40442699997</v>
      </c>
      <c r="F606">
        <v>1089360.2791960002</v>
      </c>
      <c r="G606" s="39">
        <v>44317</v>
      </c>
    </row>
    <row r="607" spans="1:7" x14ac:dyDescent="0.25">
      <c r="A607" t="s">
        <v>29</v>
      </c>
      <c r="B607">
        <v>2021</v>
      </c>
      <c r="C607" t="s">
        <v>12</v>
      </c>
      <c r="D607">
        <v>172900.49</v>
      </c>
      <c r="E607">
        <v>381211.66982700001</v>
      </c>
      <c r="F607">
        <v>881049.09936900018</v>
      </c>
      <c r="G607" s="39">
        <v>44348</v>
      </c>
    </row>
    <row r="608" spans="1:7" x14ac:dyDescent="0.25">
      <c r="A608" t="s">
        <v>29</v>
      </c>
      <c r="B608">
        <v>2021</v>
      </c>
      <c r="C608" t="s">
        <v>13</v>
      </c>
      <c r="D608">
        <v>414041.52</v>
      </c>
      <c r="E608">
        <v>346915.71032000001</v>
      </c>
      <c r="F608">
        <v>948174.90904900013</v>
      </c>
      <c r="G608" s="39">
        <v>44378</v>
      </c>
    </row>
    <row r="609" spans="1:7" x14ac:dyDescent="0.25">
      <c r="A609" t="s">
        <v>29</v>
      </c>
      <c r="B609">
        <v>2021</v>
      </c>
      <c r="C609" t="s">
        <v>14</v>
      </c>
      <c r="D609">
        <v>256534.213919</v>
      </c>
      <c r="E609">
        <v>245393.69488299999</v>
      </c>
      <c r="F609">
        <v>959315.42808500014</v>
      </c>
      <c r="G609" s="39">
        <v>44409</v>
      </c>
    </row>
    <row r="610" spans="1:7" x14ac:dyDescent="0.25">
      <c r="A610" t="s">
        <v>29</v>
      </c>
      <c r="B610">
        <v>2021</v>
      </c>
      <c r="C610" t="s">
        <v>15</v>
      </c>
      <c r="D610">
        <v>364944.71</v>
      </c>
      <c r="E610">
        <v>478381.40677499998</v>
      </c>
      <c r="F610">
        <v>845878.73131000018</v>
      </c>
      <c r="G610" s="39">
        <v>44440</v>
      </c>
    </row>
    <row r="611" spans="1:7" x14ac:dyDescent="0.25">
      <c r="A611" t="s">
        <v>29</v>
      </c>
      <c r="B611">
        <v>2021</v>
      </c>
      <c r="C611" t="s">
        <v>16</v>
      </c>
      <c r="D611">
        <v>476805.09</v>
      </c>
      <c r="E611">
        <v>550327.68681900005</v>
      </c>
      <c r="F611">
        <v>772356.13449100021</v>
      </c>
      <c r="G611" s="39">
        <v>44470</v>
      </c>
    </row>
    <row r="612" spans="1:7" x14ac:dyDescent="0.25">
      <c r="A612" t="s">
        <v>29</v>
      </c>
      <c r="B612">
        <v>2021</v>
      </c>
      <c r="C612" t="s">
        <v>17</v>
      </c>
      <c r="D612">
        <v>532220.15740300005</v>
      </c>
      <c r="E612">
        <v>592204.89392399997</v>
      </c>
      <c r="F612">
        <v>712371.39797000028</v>
      </c>
      <c r="G612" s="39">
        <v>44501</v>
      </c>
    </row>
    <row r="613" spans="1:7" x14ac:dyDescent="0.25">
      <c r="A613" t="s">
        <v>29</v>
      </c>
      <c r="B613">
        <v>2021</v>
      </c>
      <c r="C613" t="s">
        <v>18</v>
      </c>
      <c r="D613">
        <v>663075.12050900003</v>
      </c>
      <c r="E613">
        <v>818293.69990400004</v>
      </c>
      <c r="F613">
        <v>557152.81857500027</v>
      </c>
      <c r="G613" s="39">
        <v>44531</v>
      </c>
    </row>
    <row r="614" spans="1:7" x14ac:dyDescent="0.25">
      <c r="A614" t="s">
        <v>29</v>
      </c>
      <c r="B614">
        <v>2022</v>
      </c>
      <c r="C614" t="s">
        <v>7</v>
      </c>
      <c r="D614">
        <v>669677.87</v>
      </c>
      <c r="E614">
        <v>430323.23555699998</v>
      </c>
      <c r="F614">
        <v>796507.45301800035</v>
      </c>
      <c r="G614" s="39">
        <v>44562</v>
      </c>
    </row>
    <row r="615" spans="1:7" x14ac:dyDescent="0.25">
      <c r="A615" t="s">
        <v>29</v>
      </c>
      <c r="B615">
        <v>2022</v>
      </c>
      <c r="C615" t="s">
        <v>8</v>
      </c>
      <c r="D615">
        <v>568182.76</v>
      </c>
      <c r="E615">
        <v>452873.61102399998</v>
      </c>
      <c r="F615">
        <v>911816.60199400038</v>
      </c>
      <c r="G615" s="39">
        <v>44593</v>
      </c>
    </row>
    <row r="616" spans="1:7" x14ac:dyDescent="0.25">
      <c r="A616" t="s">
        <v>29</v>
      </c>
      <c r="B616">
        <v>2022</v>
      </c>
      <c r="C616" t="s">
        <v>9</v>
      </c>
      <c r="D616">
        <v>479368.67</v>
      </c>
      <c r="E616">
        <v>303884.291623</v>
      </c>
      <c r="F616">
        <v>1087300.9803710002</v>
      </c>
      <c r="G616" s="39">
        <v>44621</v>
      </c>
    </row>
    <row r="617" spans="1:7" x14ac:dyDescent="0.25">
      <c r="A617" t="s">
        <v>29</v>
      </c>
      <c r="B617">
        <v>2022</v>
      </c>
      <c r="C617" t="s">
        <v>10</v>
      </c>
      <c r="D617">
        <v>176788.4</v>
      </c>
      <c r="E617">
        <v>240741.505993</v>
      </c>
      <c r="F617">
        <v>1023347.8743780002</v>
      </c>
      <c r="G617" s="39">
        <v>44652</v>
      </c>
    </row>
    <row r="618" spans="1:7" x14ac:dyDescent="0.25">
      <c r="A618" t="s">
        <v>29</v>
      </c>
      <c r="B618">
        <v>2022</v>
      </c>
      <c r="C618" t="s">
        <v>11</v>
      </c>
      <c r="D618">
        <v>328757.56</v>
      </c>
      <c r="E618">
        <v>287186.60043699999</v>
      </c>
      <c r="F618">
        <v>1064918.8339410003</v>
      </c>
      <c r="G618" s="39">
        <v>44682</v>
      </c>
    </row>
    <row r="619" spans="1:7" x14ac:dyDescent="0.25">
      <c r="A619" t="s">
        <v>29</v>
      </c>
      <c r="B619">
        <v>2022</v>
      </c>
      <c r="C619" t="s">
        <v>12</v>
      </c>
      <c r="D619">
        <v>350005.58</v>
      </c>
      <c r="E619">
        <v>300034.66130400001</v>
      </c>
      <c r="F619">
        <v>1114889.7526370003</v>
      </c>
      <c r="G619" s="39">
        <v>44713</v>
      </c>
    </row>
    <row r="620" spans="1:7" x14ac:dyDescent="0.25">
      <c r="A620" t="s">
        <v>29</v>
      </c>
      <c r="B620">
        <v>2022</v>
      </c>
      <c r="C620" t="s">
        <v>13</v>
      </c>
      <c r="D620">
        <v>181175.83</v>
      </c>
      <c r="E620">
        <v>269599.757232</v>
      </c>
      <c r="F620">
        <v>1026465.8254050004</v>
      </c>
      <c r="G620" s="39">
        <v>44743</v>
      </c>
    </row>
    <row r="621" spans="1:7" x14ac:dyDescent="0.25">
      <c r="A621" t="s">
        <v>29</v>
      </c>
      <c r="B621">
        <v>2022</v>
      </c>
      <c r="C621" t="s">
        <v>14</v>
      </c>
      <c r="D621">
        <v>192217.42</v>
      </c>
      <c r="E621">
        <v>233016.42468200001</v>
      </c>
      <c r="F621">
        <v>985666.82072300045</v>
      </c>
      <c r="G621" s="39">
        <v>44774</v>
      </c>
    </row>
    <row r="622" spans="1:7" x14ac:dyDescent="0.25">
      <c r="A622" t="s">
        <v>29</v>
      </c>
      <c r="B622">
        <v>2022</v>
      </c>
      <c r="C622" t="s">
        <v>15</v>
      </c>
      <c r="D622">
        <v>300082.59999999998</v>
      </c>
      <c r="E622">
        <v>215453.36093600001</v>
      </c>
      <c r="F622">
        <v>1070296.0597870005</v>
      </c>
      <c r="G622" s="39">
        <v>44805</v>
      </c>
    </row>
    <row r="623" spans="1:7" x14ac:dyDescent="0.25">
      <c r="A623" t="s">
        <v>29</v>
      </c>
      <c r="B623">
        <v>2022</v>
      </c>
      <c r="C623" t="s">
        <v>16</v>
      </c>
      <c r="D623">
        <v>198580.27</v>
      </c>
      <c r="E623">
        <v>301172.28070300003</v>
      </c>
      <c r="F623">
        <v>967704.04908400052</v>
      </c>
      <c r="G623" s="39">
        <v>44835</v>
      </c>
    </row>
    <row r="624" spans="1:7" x14ac:dyDescent="0.25">
      <c r="A624" t="s">
        <v>29</v>
      </c>
      <c r="B624">
        <v>2022</v>
      </c>
      <c r="C624" t="s">
        <v>17</v>
      </c>
      <c r="D624">
        <v>126575.96</v>
      </c>
      <c r="E624">
        <v>344269.94331</v>
      </c>
      <c r="F624">
        <v>750010.06577400048</v>
      </c>
      <c r="G624" s="39">
        <v>44866</v>
      </c>
    </row>
    <row r="625" spans="1:7" x14ac:dyDescent="0.25">
      <c r="A625" t="s">
        <v>29</v>
      </c>
      <c r="B625">
        <v>2022</v>
      </c>
      <c r="C625" t="s">
        <v>18</v>
      </c>
      <c r="D625">
        <v>169687.42</v>
      </c>
      <c r="E625">
        <v>419287.29499299999</v>
      </c>
      <c r="F625">
        <v>500410.19078100054</v>
      </c>
      <c r="G625" s="39">
        <v>44896</v>
      </c>
    </row>
    <row r="626" spans="1:7" x14ac:dyDescent="0.25">
      <c r="A626" t="s">
        <v>29</v>
      </c>
      <c r="B626">
        <v>2023</v>
      </c>
      <c r="C626" t="s">
        <v>7</v>
      </c>
      <c r="D626">
        <v>97049.01</v>
      </c>
      <c r="E626">
        <v>129538.24451600001</v>
      </c>
      <c r="F626">
        <v>467920.95626500051</v>
      </c>
      <c r="G626" s="39">
        <v>44927</v>
      </c>
    </row>
    <row r="627" spans="1:7" x14ac:dyDescent="0.25">
      <c r="A627" t="s">
        <v>29</v>
      </c>
      <c r="B627">
        <v>2023</v>
      </c>
      <c r="C627" t="s">
        <v>8</v>
      </c>
      <c r="D627">
        <v>226120.31</v>
      </c>
      <c r="E627">
        <v>192296.92928800001</v>
      </c>
      <c r="F627">
        <v>501744.33697700046</v>
      </c>
      <c r="G627" s="39">
        <v>44958</v>
      </c>
    </row>
    <row r="628" spans="1:7" x14ac:dyDescent="0.25">
      <c r="A628" t="s">
        <v>29</v>
      </c>
      <c r="B628">
        <v>2023</v>
      </c>
      <c r="C628" t="s">
        <v>9</v>
      </c>
      <c r="D628">
        <v>759360.35</v>
      </c>
      <c r="E628">
        <v>541213.61047399999</v>
      </c>
      <c r="F628">
        <v>719891.07650300045</v>
      </c>
      <c r="G628" s="39">
        <v>44986</v>
      </c>
    </row>
    <row r="629" spans="1:7" x14ac:dyDescent="0.25">
      <c r="A629" t="s">
        <v>29</v>
      </c>
      <c r="B629">
        <v>2023</v>
      </c>
      <c r="C629" t="s">
        <v>10</v>
      </c>
      <c r="D629">
        <v>143533.49</v>
      </c>
      <c r="E629">
        <v>216216.24140500001</v>
      </c>
      <c r="F629">
        <v>647208.32509800047</v>
      </c>
      <c r="G629" s="39">
        <v>45017</v>
      </c>
    </row>
    <row r="630" spans="1:7" x14ac:dyDescent="0.25">
      <c r="A630" t="s">
        <v>29</v>
      </c>
      <c r="B630">
        <v>2023</v>
      </c>
      <c r="C630" t="s">
        <v>11</v>
      </c>
      <c r="D630">
        <v>286819.8</v>
      </c>
      <c r="E630">
        <v>223390.108156</v>
      </c>
      <c r="F630">
        <v>710638.01694200048</v>
      </c>
      <c r="G630" s="39">
        <v>45047</v>
      </c>
    </row>
    <row r="631" spans="1:7" x14ac:dyDescent="0.25">
      <c r="A631" t="s">
        <v>29</v>
      </c>
      <c r="B631">
        <v>2023</v>
      </c>
      <c r="C631" t="s">
        <v>12</v>
      </c>
      <c r="D631">
        <v>343944.87</v>
      </c>
      <c r="E631">
        <v>173317.36444999999</v>
      </c>
      <c r="F631">
        <v>881265.5224920006</v>
      </c>
      <c r="G631" s="39">
        <v>45078</v>
      </c>
    </row>
    <row r="632" spans="1:7" x14ac:dyDescent="0.25">
      <c r="A632" t="s">
        <v>29</v>
      </c>
      <c r="B632">
        <v>2023</v>
      </c>
      <c r="C632" t="s">
        <v>13</v>
      </c>
      <c r="D632">
        <v>62525.74</v>
      </c>
      <c r="E632">
        <v>204907.705262</v>
      </c>
      <c r="F632">
        <v>738883.55723000062</v>
      </c>
      <c r="G632" s="39">
        <v>45108</v>
      </c>
    </row>
    <row r="633" spans="1:7" x14ac:dyDescent="0.25">
      <c r="A633" t="s">
        <v>29</v>
      </c>
      <c r="B633">
        <v>2023</v>
      </c>
      <c r="C633" t="s">
        <v>14</v>
      </c>
      <c r="D633">
        <v>86721.62</v>
      </c>
      <c r="E633">
        <v>198128.88205499999</v>
      </c>
      <c r="F633">
        <v>627476.29517500056</v>
      </c>
      <c r="G633" s="39">
        <v>45139</v>
      </c>
    </row>
    <row r="634" spans="1:7" x14ac:dyDescent="0.25">
      <c r="A634" t="s">
        <v>29</v>
      </c>
      <c r="B634">
        <v>2023</v>
      </c>
      <c r="C634" t="s">
        <v>15</v>
      </c>
      <c r="D634">
        <v>158268.93</v>
      </c>
      <c r="E634">
        <v>230730.32550000001</v>
      </c>
      <c r="F634">
        <v>555014.89967500046</v>
      </c>
      <c r="G634" s="39">
        <v>45170</v>
      </c>
    </row>
    <row r="635" spans="1:7" x14ac:dyDescent="0.25">
      <c r="A635" t="s">
        <v>29</v>
      </c>
      <c r="B635">
        <v>2023</v>
      </c>
      <c r="C635" t="s">
        <v>16</v>
      </c>
      <c r="D635">
        <v>109073.45</v>
      </c>
      <c r="E635">
        <v>138481.83919999999</v>
      </c>
      <c r="F635">
        <v>525606.51047500037</v>
      </c>
      <c r="G635" s="39">
        <v>45200</v>
      </c>
    </row>
    <row r="636" spans="1:7" x14ac:dyDescent="0.25">
      <c r="A636" t="s">
        <v>29</v>
      </c>
      <c r="B636">
        <v>2023</v>
      </c>
      <c r="C636" t="s">
        <v>17</v>
      </c>
      <c r="D636">
        <v>522432.17</v>
      </c>
      <c r="E636">
        <v>265794.46269499999</v>
      </c>
      <c r="F636">
        <v>782244.2177800003</v>
      </c>
      <c r="G636" s="39">
        <v>45231</v>
      </c>
    </row>
    <row r="637" spans="1:7" x14ac:dyDescent="0.25">
      <c r="A637" t="s">
        <v>29</v>
      </c>
      <c r="B637">
        <v>2023</v>
      </c>
      <c r="C637" t="s">
        <v>18</v>
      </c>
      <c r="D637">
        <v>259001.83</v>
      </c>
      <c r="E637">
        <v>217827.60307499999</v>
      </c>
      <c r="F637">
        <v>823418.44470500026</v>
      </c>
      <c r="G637" s="39">
        <v>45261</v>
      </c>
    </row>
    <row r="638" spans="1:7" x14ac:dyDescent="0.25">
      <c r="A638" t="s">
        <v>29</v>
      </c>
      <c r="B638">
        <v>2024</v>
      </c>
      <c r="C638" t="s">
        <v>7</v>
      </c>
      <c r="F638">
        <v>823418.44470500026</v>
      </c>
      <c r="G638" s="39">
        <v>45292</v>
      </c>
    </row>
    <row r="639" spans="1:7" x14ac:dyDescent="0.25">
      <c r="A639" t="s">
        <v>29</v>
      </c>
      <c r="B639">
        <v>2024</v>
      </c>
      <c r="C639" t="s">
        <v>8</v>
      </c>
      <c r="F639">
        <v>823418.44470500026</v>
      </c>
      <c r="G639" s="39">
        <v>45323</v>
      </c>
    </row>
    <row r="640" spans="1:7" x14ac:dyDescent="0.25">
      <c r="A640" t="s">
        <v>29</v>
      </c>
      <c r="B640">
        <v>2024</v>
      </c>
      <c r="C640" t="s">
        <v>9</v>
      </c>
      <c r="F640">
        <v>823418.44470500026</v>
      </c>
      <c r="G640" s="39">
        <v>45352</v>
      </c>
    </row>
    <row r="641" spans="1:7" x14ac:dyDescent="0.25">
      <c r="A641" t="s">
        <v>29</v>
      </c>
      <c r="B641">
        <v>2024</v>
      </c>
      <c r="C641" t="s">
        <v>10</v>
      </c>
      <c r="F641">
        <v>823418.44470500026</v>
      </c>
      <c r="G641" s="39">
        <v>45383</v>
      </c>
    </row>
    <row r="642" spans="1:7" x14ac:dyDescent="0.25">
      <c r="A642" t="s">
        <v>29</v>
      </c>
      <c r="B642">
        <v>2024</v>
      </c>
      <c r="C642" t="s">
        <v>11</v>
      </c>
      <c r="F642">
        <v>823418.44470500026</v>
      </c>
      <c r="G642" s="39">
        <v>45413</v>
      </c>
    </row>
    <row r="643" spans="1:7" x14ac:dyDescent="0.25">
      <c r="A643" t="s">
        <v>29</v>
      </c>
      <c r="B643">
        <v>2024</v>
      </c>
      <c r="C643" t="s">
        <v>12</v>
      </c>
      <c r="F643">
        <v>823418.44470500026</v>
      </c>
      <c r="G643" s="39">
        <v>45444</v>
      </c>
    </row>
    <row r="644" spans="1:7" x14ac:dyDescent="0.25">
      <c r="A644" t="s">
        <v>29</v>
      </c>
      <c r="B644">
        <v>2024</v>
      </c>
      <c r="C644" t="s">
        <v>13</v>
      </c>
      <c r="F644">
        <v>823418.44470500026</v>
      </c>
      <c r="G644" s="39">
        <v>45474</v>
      </c>
    </row>
    <row r="645" spans="1:7" x14ac:dyDescent="0.25">
      <c r="A645" t="s">
        <v>29</v>
      </c>
      <c r="B645">
        <v>2024</v>
      </c>
      <c r="C645" t="s">
        <v>14</v>
      </c>
      <c r="F645">
        <v>823418.44470500026</v>
      </c>
      <c r="G645" s="39">
        <v>45505</v>
      </c>
    </row>
    <row r="646" spans="1:7" x14ac:dyDescent="0.25">
      <c r="A646" t="s">
        <v>29</v>
      </c>
      <c r="B646">
        <v>2024</v>
      </c>
      <c r="C646" t="s">
        <v>15</v>
      </c>
      <c r="F646">
        <v>823418.44470500026</v>
      </c>
      <c r="G646" s="39">
        <v>45536</v>
      </c>
    </row>
    <row r="647" spans="1:7" x14ac:dyDescent="0.25">
      <c r="A647" t="s">
        <v>29</v>
      </c>
      <c r="B647">
        <v>2024</v>
      </c>
      <c r="C647" t="s">
        <v>16</v>
      </c>
      <c r="F647">
        <v>823418.44470500026</v>
      </c>
      <c r="G647" s="39">
        <v>45566</v>
      </c>
    </row>
    <row r="648" spans="1:7" x14ac:dyDescent="0.25">
      <c r="A648" t="s">
        <v>29</v>
      </c>
      <c r="B648">
        <v>2024</v>
      </c>
      <c r="C648" t="s">
        <v>17</v>
      </c>
      <c r="F648">
        <v>823418.44470500026</v>
      </c>
      <c r="G648" s="39">
        <v>45597</v>
      </c>
    </row>
    <row r="649" spans="1:7" x14ac:dyDescent="0.25">
      <c r="A649" t="s">
        <v>29</v>
      </c>
      <c r="B649">
        <v>2024</v>
      </c>
      <c r="C649" t="s">
        <v>18</v>
      </c>
      <c r="F649">
        <v>823418.44470500026</v>
      </c>
      <c r="G649" s="39">
        <v>45627</v>
      </c>
    </row>
    <row r="650" spans="1:7" x14ac:dyDescent="0.25">
      <c r="A650" t="s">
        <v>30</v>
      </c>
      <c r="B650">
        <v>2019</v>
      </c>
      <c r="C650" t="s">
        <v>7</v>
      </c>
      <c r="F650">
        <v>0</v>
      </c>
      <c r="G650" s="39">
        <v>43466</v>
      </c>
    </row>
    <row r="651" spans="1:7" x14ac:dyDescent="0.25">
      <c r="A651" t="s">
        <v>30</v>
      </c>
      <c r="B651">
        <v>2019</v>
      </c>
      <c r="C651" t="s">
        <v>8</v>
      </c>
      <c r="F651">
        <v>0</v>
      </c>
      <c r="G651" s="39">
        <v>43497</v>
      </c>
    </row>
    <row r="652" spans="1:7" x14ac:dyDescent="0.25">
      <c r="A652" t="s">
        <v>30</v>
      </c>
      <c r="B652">
        <v>2019</v>
      </c>
      <c r="C652" t="s">
        <v>9</v>
      </c>
      <c r="F652">
        <v>0</v>
      </c>
      <c r="G652" s="39">
        <v>43525</v>
      </c>
    </row>
    <row r="653" spans="1:7" x14ac:dyDescent="0.25">
      <c r="A653" t="s">
        <v>30</v>
      </c>
      <c r="B653">
        <v>2019</v>
      </c>
      <c r="C653" t="s">
        <v>10</v>
      </c>
      <c r="D653">
        <v>185625.18395499999</v>
      </c>
      <c r="E653">
        <v>20057.400874999999</v>
      </c>
      <c r="F653">
        <v>165567.78307999999</v>
      </c>
      <c r="G653" s="39">
        <v>43556</v>
      </c>
    </row>
    <row r="654" spans="1:7" x14ac:dyDescent="0.25">
      <c r="A654" t="s">
        <v>30</v>
      </c>
      <c r="B654">
        <v>2019</v>
      </c>
      <c r="C654" t="s">
        <v>11</v>
      </c>
      <c r="D654">
        <v>19705.439999999999</v>
      </c>
      <c r="E654">
        <v>69278.997178999998</v>
      </c>
      <c r="F654">
        <v>115994.225901</v>
      </c>
      <c r="G654" s="39">
        <v>43586</v>
      </c>
    </row>
    <row r="655" spans="1:7" x14ac:dyDescent="0.25">
      <c r="A655" t="s">
        <v>30</v>
      </c>
      <c r="B655">
        <v>2019</v>
      </c>
      <c r="C655" t="s">
        <v>12</v>
      </c>
      <c r="D655">
        <v>190448.42525999999</v>
      </c>
      <c r="E655">
        <v>87998.139494999996</v>
      </c>
      <c r="F655">
        <v>218444.51166600001</v>
      </c>
      <c r="G655" s="39">
        <v>43617</v>
      </c>
    </row>
    <row r="656" spans="1:7" x14ac:dyDescent="0.25">
      <c r="A656" t="s">
        <v>30</v>
      </c>
      <c r="B656">
        <v>2019</v>
      </c>
      <c r="C656" t="s">
        <v>13</v>
      </c>
      <c r="D656">
        <v>116249.745544</v>
      </c>
      <c r="E656">
        <v>120820.278942</v>
      </c>
      <c r="F656">
        <v>213873.97826800001</v>
      </c>
      <c r="G656" s="39">
        <v>43647</v>
      </c>
    </row>
    <row r="657" spans="1:7" x14ac:dyDescent="0.25">
      <c r="A657" t="s">
        <v>30</v>
      </c>
      <c r="B657">
        <v>2019</v>
      </c>
      <c r="C657" t="s">
        <v>14</v>
      </c>
      <c r="D657">
        <v>99813.036829000004</v>
      </c>
      <c r="E657">
        <v>113103.57687999999</v>
      </c>
      <c r="F657">
        <v>200583.43821699999</v>
      </c>
      <c r="G657" s="39">
        <v>43678</v>
      </c>
    </row>
    <row r="658" spans="1:7" x14ac:dyDescent="0.25">
      <c r="A658" t="s">
        <v>30</v>
      </c>
      <c r="B658">
        <v>2019</v>
      </c>
      <c r="C658" t="s">
        <v>15</v>
      </c>
      <c r="D658">
        <v>108115.62</v>
      </c>
      <c r="E658">
        <v>118259.183839</v>
      </c>
      <c r="F658">
        <v>190439.87437799998</v>
      </c>
      <c r="G658" s="39">
        <v>43709</v>
      </c>
    </row>
    <row r="659" spans="1:7" x14ac:dyDescent="0.25">
      <c r="A659" t="s">
        <v>30</v>
      </c>
      <c r="B659">
        <v>2019</v>
      </c>
      <c r="C659" t="s">
        <v>16</v>
      </c>
      <c r="D659">
        <v>210031.32053299999</v>
      </c>
      <c r="E659">
        <v>136473.165996</v>
      </c>
      <c r="F659">
        <v>263998.02891499997</v>
      </c>
      <c r="G659" s="39">
        <v>43739</v>
      </c>
    </row>
    <row r="660" spans="1:7" x14ac:dyDescent="0.25">
      <c r="A660" t="s">
        <v>30</v>
      </c>
      <c r="B660">
        <v>2019</v>
      </c>
      <c r="C660" t="s">
        <v>17</v>
      </c>
      <c r="D660">
        <v>61576.046000000002</v>
      </c>
      <c r="E660">
        <v>148326.06457300001</v>
      </c>
      <c r="F660">
        <v>177248.01034199999</v>
      </c>
      <c r="G660" s="39">
        <v>43770</v>
      </c>
    </row>
    <row r="661" spans="1:7" x14ac:dyDescent="0.25">
      <c r="A661" t="s">
        <v>30</v>
      </c>
      <c r="B661">
        <v>2019</v>
      </c>
      <c r="C661" t="s">
        <v>18</v>
      </c>
      <c r="D661">
        <v>109576.735231</v>
      </c>
      <c r="E661">
        <v>83255.190619000001</v>
      </c>
      <c r="F661">
        <v>203569.55495399999</v>
      </c>
      <c r="G661" s="39">
        <v>43800</v>
      </c>
    </row>
    <row r="662" spans="1:7" x14ac:dyDescent="0.25">
      <c r="A662" t="s">
        <v>30</v>
      </c>
      <c r="B662">
        <v>2020</v>
      </c>
      <c r="C662" t="s">
        <v>7</v>
      </c>
      <c r="D662">
        <v>-1018.226286</v>
      </c>
      <c r="E662">
        <v>99130.868390999996</v>
      </c>
      <c r="F662">
        <v>103420.46027700001</v>
      </c>
      <c r="G662" s="39">
        <v>43831</v>
      </c>
    </row>
    <row r="663" spans="1:7" x14ac:dyDescent="0.25">
      <c r="A663" t="s">
        <v>30</v>
      </c>
      <c r="B663">
        <v>2020</v>
      </c>
      <c r="C663" t="s">
        <v>8</v>
      </c>
      <c r="D663">
        <v>200713.54757</v>
      </c>
      <c r="E663">
        <v>125374.457247</v>
      </c>
      <c r="F663">
        <v>178759.55060000002</v>
      </c>
      <c r="G663" s="39">
        <v>43862</v>
      </c>
    </row>
    <row r="664" spans="1:7" x14ac:dyDescent="0.25">
      <c r="A664" t="s">
        <v>30</v>
      </c>
      <c r="B664">
        <v>2020</v>
      </c>
      <c r="C664" t="s">
        <v>9</v>
      </c>
      <c r="D664">
        <v>320138.98</v>
      </c>
      <c r="E664">
        <v>126734.29416799999</v>
      </c>
      <c r="F664">
        <v>372164.23643200001</v>
      </c>
      <c r="G664" s="39">
        <v>43891</v>
      </c>
    </row>
    <row r="665" spans="1:7" x14ac:dyDescent="0.25">
      <c r="A665" t="s">
        <v>30</v>
      </c>
      <c r="B665">
        <v>2020</v>
      </c>
      <c r="C665" t="s">
        <v>10</v>
      </c>
      <c r="D665">
        <v>-704.33918500000004</v>
      </c>
      <c r="E665">
        <v>102005.350852</v>
      </c>
      <c r="F665">
        <v>269454.54639500001</v>
      </c>
      <c r="G665" s="39">
        <v>43922</v>
      </c>
    </row>
    <row r="666" spans="1:7" x14ac:dyDescent="0.25">
      <c r="A666" t="s">
        <v>30</v>
      </c>
      <c r="B666">
        <v>2020</v>
      </c>
      <c r="C666" t="s">
        <v>11</v>
      </c>
      <c r="D666">
        <v>95470.242643000005</v>
      </c>
      <c r="E666">
        <v>125069.01796500001</v>
      </c>
      <c r="F666">
        <v>239855.77107300004</v>
      </c>
      <c r="G666" s="39">
        <v>43952</v>
      </c>
    </row>
    <row r="667" spans="1:7" x14ac:dyDescent="0.25">
      <c r="A667" t="s">
        <v>30</v>
      </c>
      <c r="B667">
        <v>2020</v>
      </c>
      <c r="C667" t="s">
        <v>12</v>
      </c>
      <c r="D667">
        <v>90508.39</v>
      </c>
      <c r="E667">
        <v>111189.994573</v>
      </c>
      <c r="F667">
        <v>219174.16650000005</v>
      </c>
      <c r="G667" s="39">
        <v>43983</v>
      </c>
    </row>
    <row r="668" spans="1:7" x14ac:dyDescent="0.25">
      <c r="A668" t="s">
        <v>30</v>
      </c>
      <c r="B668">
        <v>2020</v>
      </c>
      <c r="C668" t="s">
        <v>13</v>
      </c>
      <c r="D668">
        <v>185955.95100500001</v>
      </c>
      <c r="E668">
        <v>185800.15043800001</v>
      </c>
      <c r="F668">
        <v>219329.96706700008</v>
      </c>
      <c r="G668" s="39">
        <v>44013</v>
      </c>
    </row>
    <row r="669" spans="1:7" x14ac:dyDescent="0.25">
      <c r="A669" t="s">
        <v>30</v>
      </c>
      <c r="B669">
        <v>2020</v>
      </c>
      <c r="C669" t="s">
        <v>14</v>
      </c>
      <c r="D669">
        <v>272370.876697</v>
      </c>
      <c r="E669">
        <v>164914.95695299999</v>
      </c>
      <c r="F669">
        <v>326785.88681100012</v>
      </c>
      <c r="G669" s="39">
        <v>44044</v>
      </c>
    </row>
    <row r="670" spans="1:7" x14ac:dyDescent="0.25">
      <c r="A670" t="s">
        <v>30</v>
      </c>
      <c r="B670">
        <v>2020</v>
      </c>
      <c r="C670" t="s">
        <v>15</v>
      </c>
      <c r="D670">
        <v>303899.84538499999</v>
      </c>
      <c r="E670">
        <v>176954.91021</v>
      </c>
      <c r="F670">
        <v>453730.82198600017</v>
      </c>
      <c r="G670" s="39">
        <v>44075</v>
      </c>
    </row>
    <row r="671" spans="1:7" x14ac:dyDescent="0.25">
      <c r="A671" t="s">
        <v>30</v>
      </c>
      <c r="B671">
        <v>2020</v>
      </c>
      <c r="C671" t="s">
        <v>16</v>
      </c>
      <c r="D671">
        <v>199754</v>
      </c>
      <c r="E671">
        <v>195586.31894900001</v>
      </c>
      <c r="F671">
        <v>457898.50303700019</v>
      </c>
      <c r="G671" s="39">
        <v>44105</v>
      </c>
    </row>
    <row r="672" spans="1:7" x14ac:dyDescent="0.25">
      <c r="A672" t="s">
        <v>30</v>
      </c>
      <c r="B672">
        <v>2020</v>
      </c>
      <c r="C672" t="s">
        <v>17</v>
      </c>
      <c r="D672">
        <v>117707.989999</v>
      </c>
      <c r="E672">
        <v>163667.105606</v>
      </c>
      <c r="F672">
        <v>411939.38743000018</v>
      </c>
      <c r="G672" s="39">
        <v>44136</v>
      </c>
    </row>
    <row r="673" spans="1:7" x14ac:dyDescent="0.25">
      <c r="A673" t="s">
        <v>30</v>
      </c>
      <c r="B673">
        <v>2020</v>
      </c>
      <c r="C673" t="s">
        <v>18</v>
      </c>
      <c r="D673">
        <v>111729.229507</v>
      </c>
      <c r="E673">
        <v>109906.088101</v>
      </c>
      <c r="F673">
        <v>413762.52883600019</v>
      </c>
      <c r="G673" s="39">
        <v>44166</v>
      </c>
    </row>
    <row r="674" spans="1:7" x14ac:dyDescent="0.25">
      <c r="A674" t="s">
        <v>30</v>
      </c>
      <c r="B674">
        <v>2021</v>
      </c>
      <c r="C674" t="s">
        <v>7</v>
      </c>
      <c r="D674">
        <v>53833.88</v>
      </c>
      <c r="E674">
        <v>160012.13151400001</v>
      </c>
      <c r="F674">
        <v>307584.27732200018</v>
      </c>
      <c r="G674" s="39">
        <v>44197</v>
      </c>
    </row>
    <row r="675" spans="1:7" x14ac:dyDescent="0.25">
      <c r="A675" t="s">
        <v>30</v>
      </c>
      <c r="B675">
        <v>2021</v>
      </c>
      <c r="C675" t="s">
        <v>8</v>
      </c>
      <c r="D675">
        <v>303998.65166500001</v>
      </c>
      <c r="E675">
        <v>261504.83363099999</v>
      </c>
      <c r="F675">
        <v>350078.09535600012</v>
      </c>
      <c r="G675" s="39">
        <v>44228</v>
      </c>
    </row>
    <row r="676" spans="1:7" x14ac:dyDescent="0.25">
      <c r="A676" t="s">
        <v>30</v>
      </c>
      <c r="B676">
        <v>2021</v>
      </c>
      <c r="C676" t="s">
        <v>9</v>
      </c>
      <c r="D676">
        <v>489732.65822300001</v>
      </c>
      <c r="E676">
        <v>265382.92813100002</v>
      </c>
      <c r="F676">
        <v>574427.82544800011</v>
      </c>
      <c r="G676" s="39">
        <v>44256</v>
      </c>
    </row>
    <row r="677" spans="1:7" x14ac:dyDescent="0.25">
      <c r="A677" t="s">
        <v>30</v>
      </c>
      <c r="B677">
        <v>2021</v>
      </c>
      <c r="C677" t="s">
        <v>10</v>
      </c>
      <c r="D677">
        <v>404366.62</v>
      </c>
      <c r="E677">
        <v>281127.99800299999</v>
      </c>
      <c r="F677">
        <v>697666.44744500006</v>
      </c>
      <c r="G677" s="39">
        <v>44287</v>
      </c>
    </row>
    <row r="678" spans="1:7" x14ac:dyDescent="0.25">
      <c r="A678" t="s">
        <v>30</v>
      </c>
      <c r="B678">
        <v>2021</v>
      </c>
      <c r="C678" t="s">
        <v>11</v>
      </c>
      <c r="D678">
        <v>122158.88</v>
      </c>
      <c r="E678">
        <v>245343.47144299999</v>
      </c>
      <c r="F678">
        <v>574481.85600200004</v>
      </c>
      <c r="G678" s="39">
        <v>44317</v>
      </c>
    </row>
    <row r="679" spans="1:7" x14ac:dyDescent="0.25">
      <c r="A679" t="s">
        <v>30</v>
      </c>
      <c r="B679">
        <v>2021</v>
      </c>
      <c r="C679" t="s">
        <v>12</v>
      </c>
      <c r="D679">
        <v>266993.62183100003</v>
      </c>
      <c r="E679">
        <v>267655.74258000002</v>
      </c>
      <c r="F679">
        <v>573819.73525299993</v>
      </c>
      <c r="G679" s="39">
        <v>44348</v>
      </c>
    </row>
    <row r="680" spans="1:7" x14ac:dyDescent="0.25">
      <c r="A680" t="s">
        <v>30</v>
      </c>
      <c r="B680">
        <v>2021</v>
      </c>
      <c r="C680" t="s">
        <v>13</v>
      </c>
      <c r="D680">
        <v>229674.98</v>
      </c>
      <c r="E680">
        <v>227194.86780899999</v>
      </c>
      <c r="F680">
        <v>576299.84744399996</v>
      </c>
      <c r="G680" s="39">
        <v>44378</v>
      </c>
    </row>
    <row r="681" spans="1:7" x14ac:dyDescent="0.25">
      <c r="A681" t="s">
        <v>30</v>
      </c>
      <c r="B681">
        <v>2021</v>
      </c>
      <c r="C681" t="s">
        <v>14</v>
      </c>
      <c r="D681">
        <v>286634.644569</v>
      </c>
      <c r="E681">
        <v>275763.69088299997</v>
      </c>
      <c r="F681">
        <v>587170.80113000004</v>
      </c>
      <c r="G681" s="39">
        <v>44409</v>
      </c>
    </row>
    <row r="682" spans="1:7" x14ac:dyDescent="0.25">
      <c r="A682" t="s">
        <v>30</v>
      </c>
      <c r="B682">
        <v>2021</v>
      </c>
      <c r="C682" t="s">
        <v>15</v>
      </c>
      <c r="D682">
        <v>290105.80999500002</v>
      </c>
      <c r="E682">
        <v>326204.65157799999</v>
      </c>
      <c r="F682">
        <v>551071.95954700001</v>
      </c>
      <c r="G682" s="39">
        <v>44440</v>
      </c>
    </row>
    <row r="683" spans="1:7" x14ac:dyDescent="0.25">
      <c r="A683" t="s">
        <v>30</v>
      </c>
      <c r="B683">
        <v>2021</v>
      </c>
      <c r="C683" t="s">
        <v>16</v>
      </c>
      <c r="D683">
        <v>294598.32</v>
      </c>
      <c r="E683">
        <v>278814.423916</v>
      </c>
      <c r="F683">
        <v>566855.85563100013</v>
      </c>
      <c r="G683" s="39">
        <v>44470</v>
      </c>
    </row>
    <row r="684" spans="1:7" x14ac:dyDescent="0.25">
      <c r="A684" t="s">
        <v>30</v>
      </c>
      <c r="B684">
        <v>2021</v>
      </c>
      <c r="C684" t="s">
        <v>17</v>
      </c>
      <c r="D684">
        <v>309000.07</v>
      </c>
      <c r="E684">
        <v>331717.29748100002</v>
      </c>
      <c r="F684">
        <v>544138.62815000024</v>
      </c>
      <c r="G684" s="39">
        <v>44501</v>
      </c>
    </row>
    <row r="685" spans="1:7" x14ac:dyDescent="0.25">
      <c r="A685" t="s">
        <v>30</v>
      </c>
      <c r="B685">
        <v>2021</v>
      </c>
      <c r="C685" t="s">
        <v>18</v>
      </c>
      <c r="D685">
        <v>222980.37</v>
      </c>
      <c r="E685">
        <v>275565.13191400003</v>
      </c>
      <c r="F685">
        <v>491553.86623600021</v>
      </c>
      <c r="G685" s="39">
        <v>44531</v>
      </c>
    </row>
    <row r="686" spans="1:7" x14ac:dyDescent="0.25">
      <c r="A686" t="s">
        <v>30</v>
      </c>
      <c r="B686">
        <v>2022</v>
      </c>
      <c r="C686" t="s">
        <v>7</v>
      </c>
      <c r="D686">
        <v>354258.87</v>
      </c>
      <c r="E686">
        <v>261564.543336</v>
      </c>
      <c r="F686">
        <v>584248.19290000014</v>
      </c>
      <c r="G686" s="39">
        <v>44562</v>
      </c>
    </row>
    <row r="687" spans="1:7" x14ac:dyDescent="0.25">
      <c r="A687" t="s">
        <v>30</v>
      </c>
      <c r="B687">
        <v>2022</v>
      </c>
      <c r="C687" t="s">
        <v>8</v>
      </c>
      <c r="D687">
        <v>371877.13999900001</v>
      </c>
      <c r="E687">
        <v>356785.02308900002</v>
      </c>
      <c r="F687">
        <v>599340.30981000012</v>
      </c>
      <c r="G687" s="39">
        <v>44593</v>
      </c>
    </row>
    <row r="688" spans="1:7" x14ac:dyDescent="0.25">
      <c r="A688" t="s">
        <v>30</v>
      </c>
      <c r="B688">
        <v>2022</v>
      </c>
      <c r="C688" t="s">
        <v>9</v>
      </c>
      <c r="D688">
        <v>464819.10999899998</v>
      </c>
      <c r="E688">
        <v>400586.36166200001</v>
      </c>
      <c r="F688">
        <v>663573.05814700015</v>
      </c>
      <c r="G688" s="39">
        <v>44621</v>
      </c>
    </row>
    <row r="689" spans="1:7" x14ac:dyDescent="0.25">
      <c r="A689" t="s">
        <v>30</v>
      </c>
      <c r="B689">
        <v>2022</v>
      </c>
      <c r="C689" t="s">
        <v>10</v>
      </c>
      <c r="D689">
        <v>320284.07</v>
      </c>
      <c r="E689">
        <v>332181.57838700002</v>
      </c>
      <c r="F689">
        <v>651675.5497600002</v>
      </c>
      <c r="G689" s="39">
        <v>44652</v>
      </c>
    </row>
    <row r="690" spans="1:7" x14ac:dyDescent="0.25">
      <c r="A690" t="s">
        <v>30</v>
      </c>
      <c r="B690">
        <v>2022</v>
      </c>
      <c r="C690" t="s">
        <v>11</v>
      </c>
      <c r="D690">
        <v>478226.199998</v>
      </c>
      <c r="E690">
        <v>466303.176117</v>
      </c>
      <c r="F690">
        <v>663598.57364100032</v>
      </c>
      <c r="G690" s="39">
        <v>44682</v>
      </c>
    </row>
    <row r="691" spans="1:7" x14ac:dyDescent="0.25">
      <c r="A691" t="s">
        <v>30</v>
      </c>
      <c r="B691">
        <v>2022</v>
      </c>
      <c r="C691" t="s">
        <v>12</v>
      </c>
      <c r="D691">
        <v>739068.10999799997</v>
      </c>
      <c r="E691">
        <v>598996.07178400003</v>
      </c>
      <c r="F691">
        <v>803670.61185500014</v>
      </c>
      <c r="G691" s="39">
        <v>44713</v>
      </c>
    </row>
    <row r="692" spans="1:7" x14ac:dyDescent="0.25">
      <c r="A692" t="s">
        <v>30</v>
      </c>
      <c r="B692">
        <v>2022</v>
      </c>
      <c r="C692" t="s">
        <v>13</v>
      </c>
      <c r="D692">
        <v>358981.949999</v>
      </c>
      <c r="E692">
        <v>576173.29991099995</v>
      </c>
      <c r="F692">
        <v>586479.26194300025</v>
      </c>
      <c r="G692" s="39">
        <v>44743</v>
      </c>
    </row>
    <row r="693" spans="1:7" x14ac:dyDescent="0.25">
      <c r="A693" t="s">
        <v>30</v>
      </c>
      <c r="B693">
        <v>2022</v>
      </c>
      <c r="C693" t="s">
        <v>14</v>
      </c>
      <c r="D693">
        <v>465917.25</v>
      </c>
      <c r="E693">
        <v>443273.43150399998</v>
      </c>
      <c r="F693">
        <v>609123.08043900039</v>
      </c>
      <c r="G693" s="39">
        <v>44774</v>
      </c>
    </row>
    <row r="694" spans="1:7" x14ac:dyDescent="0.25">
      <c r="A694" t="s">
        <v>30</v>
      </c>
      <c r="B694">
        <v>2022</v>
      </c>
      <c r="C694" t="s">
        <v>15</v>
      </c>
      <c r="D694">
        <v>329980.73999799998</v>
      </c>
      <c r="E694">
        <v>445744.60989899997</v>
      </c>
      <c r="F694">
        <v>493359.21053800039</v>
      </c>
      <c r="G694" s="39">
        <v>44805</v>
      </c>
    </row>
    <row r="695" spans="1:7" x14ac:dyDescent="0.25">
      <c r="A695" t="s">
        <v>30</v>
      </c>
      <c r="B695">
        <v>2022</v>
      </c>
      <c r="C695" t="s">
        <v>16</v>
      </c>
      <c r="D695">
        <v>506196.98999899998</v>
      </c>
      <c r="E695">
        <v>437328.16269000003</v>
      </c>
      <c r="F695">
        <v>562228.03784700029</v>
      </c>
      <c r="G695" s="39">
        <v>44835</v>
      </c>
    </row>
    <row r="696" spans="1:7" x14ac:dyDescent="0.25">
      <c r="A696" t="s">
        <v>30</v>
      </c>
      <c r="B696">
        <v>2022</v>
      </c>
      <c r="C696" t="s">
        <v>17</v>
      </c>
      <c r="D696">
        <v>344078.06</v>
      </c>
      <c r="E696">
        <v>498245.16049600003</v>
      </c>
      <c r="F696">
        <v>408060.9373510002</v>
      </c>
      <c r="G696" s="39">
        <v>44866</v>
      </c>
    </row>
    <row r="697" spans="1:7" x14ac:dyDescent="0.25">
      <c r="A697" t="s">
        <v>30</v>
      </c>
      <c r="B697">
        <v>2022</v>
      </c>
      <c r="C697" t="s">
        <v>18</v>
      </c>
      <c r="D697">
        <v>224374.65</v>
      </c>
      <c r="E697">
        <v>317938.15155000001</v>
      </c>
      <c r="F697">
        <v>314497.43580100016</v>
      </c>
      <c r="G697" s="39">
        <v>44896</v>
      </c>
    </row>
    <row r="698" spans="1:7" x14ac:dyDescent="0.25">
      <c r="A698" t="s">
        <v>30</v>
      </c>
      <c r="B698">
        <v>2023</v>
      </c>
      <c r="C698" t="s">
        <v>7</v>
      </c>
      <c r="D698">
        <v>482458.509999</v>
      </c>
      <c r="E698">
        <v>245845.65752400001</v>
      </c>
      <c r="F698">
        <v>551110.28827600006</v>
      </c>
      <c r="G698" s="39">
        <v>44927</v>
      </c>
    </row>
    <row r="699" spans="1:7" x14ac:dyDescent="0.25">
      <c r="A699" t="s">
        <v>30</v>
      </c>
      <c r="B699">
        <v>2023</v>
      </c>
      <c r="C699" t="s">
        <v>8</v>
      </c>
      <c r="D699">
        <v>433479.44</v>
      </c>
      <c r="E699">
        <v>396917.11582100001</v>
      </c>
      <c r="F699">
        <v>587672.61245500017</v>
      </c>
      <c r="G699" s="39">
        <v>44958</v>
      </c>
    </row>
    <row r="700" spans="1:7" x14ac:dyDescent="0.25">
      <c r="A700" t="s">
        <v>30</v>
      </c>
      <c r="B700">
        <v>2023</v>
      </c>
      <c r="C700" t="s">
        <v>9</v>
      </c>
      <c r="D700">
        <v>429042.71</v>
      </c>
      <c r="E700">
        <v>408377.81489199999</v>
      </c>
      <c r="F700">
        <v>608337.50756300008</v>
      </c>
      <c r="G700" s="39">
        <v>44986</v>
      </c>
    </row>
    <row r="701" spans="1:7" x14ac:dyDescent="0.25">
      <c r="A701" t="s">
        <v>30</v>
      </c>
      <c r="B701">
        <v>2023</v>
      </c>
      <c r="C701" t="s">
        <v>10</v>
      </c>
      <c r="D701">
        <v>308037.46999999997</v>
      </c>
      <c r="E701">
        <v>343638.96497899998</v>
      </c>
      <c r="F701">
        <v>572736.01258400013</v>
      </c>
      <c r="G701" s="39">
        <v>45017</v>
      </c>
    </row>
    <row r="702" spans="1:7" x14ac:dyDescent="0.25">
      <c r="A702" t="s">
        <v>30</v>
      </c>
      <c r="B702">
        <v>2023</v>
      </c>
      <c r="C702" t="s">
        <v>11</v>
      </c>
      <c r="D702">
        <v>418482.75</v>
      </c>
      <c r="E702">
        <v>390395.11813999998</v>
      </c>
      <c r="F702">
        <v>600823.64444400021</v>
      </c>
      <c r="G702" s="39">
        <v>45047</v>
      </c>
    </row>
    <row r="703" spans="1:7" x14ac:dyDescent="0.25">
      <c r="A703" t="s">
        <v>30</v>
      </c>
      <c r="B703">
        <v>2023</v>
      </c>
      <c r="C703" t="s">
        <v>12</v>
      </c>
      <c r="D703">
        <v>423544.02999900002</v>
      </c>
      <c r="E703">
        <v>448398.84087299998</v>
      </c>
      <c r="F703">
        <v>575968.83357000025</v>
      </c>
      <c r="G703" s="39">
        <v>45078</v>
      </c>
    </row>
    <row r="704" spans="1:7" x14ac:dyDescent="0.25">
      <c r="A704" t="s">
        <v>30</v>
      </c>
      <c r="B704">
        <v>2023</v>
      </c>
      <c r="C704" t="s">
        <v>13</v>
      </c>
      <c r="D704">
        <v>608443.99</v>
      </c>
      <c r="E704">
        <v>432492.88241899997</v>
      </c>
      <c r="F704">
        <v>751919.94115100033</v>
      </c>
      <c r="G704" s="39">
        <v>45108</v>
      </c>
    </row>
    <row r="705" spans="1:7" x14ac:dyDescent="0.25">
      <c r="A705" t="s">
        <v>30</v>
      </c>
      <c r="B705">
        <v>2023</v>
      </c>
      <c r="C705" t="s">
        <v>14</v>
      </c>
      <c r="D705">
        <v>532913.38</v>
      </c>
      <c r="E705">
        <v>627013.55802</v>
      </c>
      <c r="F705">
        <v>657819.76313100045</v>
      </c>
      <c r="G705" s="39">
        <v>45139</v>
      </c>
    </row>
    <row r="706" spans="1:7" x14ac:dyDescent="0.25">
      <c r="A706" t="s">
        <v>30</v>
      </c>
      <c r="B706">
        <v>2023</v>
      </c>
      <c r="C706" t="s">
        <v>15</v>
      </c>
      <c r="D706">
        <v>904820.12999699998</v>
      </c>
      <c r="E706">
        <v>475948.97313200001</v>
      </c>
      <c r="F706">
        <v>1086690.9199960004</v>
      </c>
      <c r="G706" s="39">
        <v>45170</v>
      </c>
    </row>
    <row r="707" spans="1:7" x14ac:dyDescent="0.25">
      <c r="A707" t="s">
        <v>30</v>
      </c>
      <c r="B707">
        <v>2023</v>
      </c>
      <c r="C707" t="s">
        <v>16</v>
      </c>
      <c r="D707">
        <v>604939.13</v>
      </c>
      <c r="E707">
        <v>662084.62999699998</v>
      </c>
      <c r="F707">
        <v>1029545.4199990003</v>
      </c>
      <c r="G707" s="39">
        <v>45200</v>
      </c>
    </row>
    <row r="708" spans="1:7" x14ac:dyDescent="0.25">
      <c r="A708" t="s">
        <v>30</v>
      </c>
      <c r="B708">
        <v>2023</v>
      </c>
      <c r="C708" t="s">
        <v>17</v>
      </c>
      <c r="D708">
        <v>316239.63</v>
      </c>
      <c r="E708">
        <v>491086.231783</v>
      </c>
      <c r="F708">
        <v>854698.81821600022</v>
      </c>
      <c r="G708" s="39">
        <v>45231</v>
      </c>
    </row>
    <row r="709" spans="1:7" x14ac:dyDescent="0.25">
      <c r="A709" t="s">
        <v>30</v>
      </c>
      <c r="B709">
        <v>2023</v>
      </c>
      <c r="C709" t="s">
        <v>18</v>
      </c>
      <c r="D709">
        <v>309371.80999899999</v>
      </c>
      <c r="E709">
        <v>438714.833965</v>
      </c>
      <c r="F709">
        <v>725355.79425000027</v>
      </c>
      <c r="G709" s="39">
        <v>45261</v>
      </c>
    </row>
    <row r="710" spans="1:7" x14ac:dyDescent="0.25">
      <c r="A710" t="s">
        <v>30</v>
      </c>
      <c r="B710">
        <v>2024</v>
      </c>
      <c r="C710" t="s">
        <v>7</v>
      </c>
      <c r="F710">
        <v>725355.79425000027</v>
      </c>
      <c r="G710" s="39">
        <v>45292</v>
      </c>
    </row>
    <row r="711" spans="1:7" x14ac:dyDescent="0.25">
      <c r="A711" t="s">
        <v>30</v>
      </c>
      <c r="B711">
        <v>2024</v>
      </c>
      <c r="C711" t="s">
        <v>8</v>
      </c>
      <c r="F711">
        <v>725355.79425000027</v>
      </c>
      <c r="G711" s="39">
        <v>45323</v>
      </c>
    </row>
    <row r="712" spans="1:7" x14ac:dyDescent="0.25">
      <c r="A712" t="s">
        <v>30</v>
      </c>
      <c r="B712">
        <v>2024</v>
      </c>
      <c r="C712" t="s">
        <v>9</v>
      </c>
      <c r="F712">
        <v>725355.79425000027</v>
      </c>
      <c r="G712" s="39">
        <v>45352</v>
      </c>
    </row>
    <row r="713" spans="1:7" x14ac:dyDescent="0.25">
      <c r="A713" t="s">
        <v>30</v>
      </c>
      <c r="B713">
        <v>2024</v>
      </c>
      <c r="C713" t="s">
        <v>10</v>
      </c>
      <c r="F713">
        <v>725355.79425000027</v>
      </c>
      <c r="G713" s="39">
        <v>45383</v>
      </c>
    </row>
    <row r="714" spans="1:7" x14ac:dyDescent="0.25">
      <c r="A714" t="s">
        <v>30</v>
      </c>
      <c r="B714">
        <v>2024</v>
      </c>
      <c r="C714" t="s">
        <v>11</v>
      </c>
      <c r="F714">
        <v>725355.79425000027</v>
      </c>
      <c r="G714" s="39">
        <v>45413</v>
      </c>
    </row>
    <row r="715" spans="1:7" x14ac:dyDescent="0.25">
      <c r="A715" t="s">
        <v>30</v>
      </c>
      <c r="B715">
        <v>2024</v>
      </c>
      <c r="C715" t="s">
        <v>12</v>
      </c>
      <c r="F715">
        <v>725355.79425000027</v>
      </c>
      <c r="G715" s="39">
        <v>45444</v>
      </c>
    </row>
    <row r="716" spans="1:7" x14ac:dyDescent="0.25">
      <c r="A716" t="s">
        <v>30</v>
      </c>
      <c r="B716">
        <v>2024</v>
      </c>
      <c r="C716" t="s">
        <v>13</v>
      </c>
      <c r="F716">
        <v>725355.79425000027</v>
      </c>
      <c r="G716" s="39">
        <v>45474</v>
      </c>
    </row>
    <row r="717" spans="1:7" x14ac:dyDescent="0.25">
      <c r="A717" t="s">
        <v>30</v>
      </c>
      <c r="B717">
        <v>2024</v>
      </c>
      <c r="C717" t="s">
        <v>14</v>
      </c>
      <c r="F717">
        <v>725355.79425000027</v>
      </c>
      <c r="G717" s="39">
        <v>45505</v>
      </c>
    </row>
    <row r="718" spans="1:7" x14ac:dyDescent="0.25">
      <c r="A718" t="s">
        <v>30</v>
      </c>
      <c r="B718">
        <v>2024</v>
      </c>
      <c r="C718" t="s">
        <v>15</v>
      </c>
      <c r="F718">
        <v>725355.79425000027</v>
      </c>
      <c r="G718" s="39">
        <v>45536</v>
      </c>
    </row>
    <row r="719" spans="1:7" x14ac:dyDescent="0.25">
      <c r="A719" t="s">
        <v>30</v>
      </c>
      <c r="B719">
        <v>2024</v>
      </c>
      <c r="C719" t="s">
        <v>16</v>
      </c>
      <c r="F719">
        <v>725355.79425000027</v>
      </c>
      <c r="G719" s="39">
        <v>45566</v>
      </c>
    </row>
    <row r="720" spans="1:7" x14ac:dyDescent="0.25">
      <c r="A720" t="s">
        <v>30</v>
      </c>
      <c r="B720">
        <v>2024</v>
      </c>
      <c r="C720" t="s">
        <v>17</v>
      </c>
      <c r="F720">
        <v>725355.79425000027</v>
      </c>
      <c r="G720" s="39">
        <v>45597</v>
      </c>
    </row>
    <row r="721" spans="1:7" x14ac:dyDescent="0.25">
      <c r="A721" t="s">
        <v>30</v>
      </c>
      <c r="B721">
        <v>2024</v>
      </c>
      <c r="C721" t="s">
        <v>18</v>
      </c>
      <c r="F721">
        <v>725355.79425000027</v>
      </c>
      <c r="G721" s="39">
        <v>45627</v>
      </c>
    </row>
    <row r="722" spans="1:7" x14ac:dyDescent="0.25">
      <c r="A722" t="s">
        <v>31</v>
      </c>
      <c r="B722">
        <v>2019</v>
      </c>
      <c r="C722" t="s">
        <v>7</v>
      </c>
      <c r="D722">
        <v>315190.252255</v>
      </c>
      <c r="E722">
        <v>240573.65419900001</v>
      </c>
      <c r="F722">
        <v>660898.85298299999</v>
      </c>
      <c r="G722" s="39">
        <v>43466</v>
      </c>
    </row>
    <row r="723" spans="1:7" x14ac:dyDescent="0.25">
      <c r="A723" t="s">
        <v>31</v>
      </c>
      <c r="B723">
        <v>2019</v>
      </c>
      <c r="C723" t="s">
        <v>8</v>
      </c>
      <c r="D723">
        <v>336526.650869</v>
      </c>
      <c r="E723">
        <v>401981.617654</v>
      </c>
      <c r="F723">
        <v>595443.88619800005</v>
      </c>
      <c r="G723" s="39">
        <v>43497</v>
      </c>
    </row>
    <row r="724" spans="1:7" x14ac:dyDescent="0.25">
      <c r="A724" t="s">
        <v>31</v>
      </c>
      <c r="B724">
        <v>2019</v>
      </c>
      <c r="C724" t="s">
        <v>9</v>
      </c>
      <c r="D724">
        <v>381645.96980100003</v>
      </c>
      <c r="E724">
        <v>372914.909629</v>
      </c>
      <c r="F724">
        <v>604174.94637000014</v>
      </c>
      <c r="G724" s="39">
        <v>43525</v>
      </c>
    </row>
    <row r="725" spans="1:7" x14ac:dyDescent="0.25">
      <c r="A725" t="s">
        <v>31</v>
      </c>
      <c r="B725">
        <v>2019</v>
      </c>
      <c r="C725" t="s">
        <v>10</v>
      </c>
      <c r="D725">
        <v>256008.48889099999</v>
      </c>
      <c r="E725">
        <v>338984.57420199999</v>
      </c>
      <c r="F725">
        <v>521198.86105900019</v>
      </c>
      <c r="G725" s="39">
        <v>43556</v>
      </c>
    </row>
    <row r="726" spans="1:7" x14ac:dyDescent="0.25">
      <c r="A726" t="s">
        <v>31</v>
      </c>
      <c r="B726">
        <v>2019</v>
      </c>
      <c r="C726" t="s">
        <v>11</v>
      </c>
      <c r="D726">
        <v>291005.66241799999</v>
      </c>
      <c r="E726">
        <v>342769.610109</v>
      </c>
      <c r="F726">
        <v>469434.91336800018</v>
      </c>
      <c r="G726" s="39">
        <v>43586</v>
      </c>
    </row>
    <row r="727" spans="1:7" x14ac:dyDescent="0.25">
      <c r="A727" t="s">
        <v>31</v>
      </c>
      <c r="B727">
        <v>2019</v>
      </c>
      <c r="C727" t="s">
        <v>12</v>
      </c>
      <c r="D727">
        <v>205027.47066799999</v>
      </c>
      <c r="E727">
        <v>239106.881008</v>
      </c>
      <c r="F727">
        <v>435355.50302800012</v>
      </c>
      <c r="G727" s="39">
        <v>43617</v>
      </c>
    </row>
    <row r="728" spans="1:7" x14ac:dyDescent="0.25">
      <c r="A728" t="s">
        <v>31</v>
      </c>
      <c r="B728">
        <v>2019</v>
      </c>
      <c r="C728" t="s">
        <v>13</v>
      </c>
      <c r="D728">
        <v>341068.020839</v>
      </c>
      <c r="E728">
        <v>308277.22256299999</v>
      </c>
      <c r="F728">
        <v>468146.30130400014</v>
      </c>
      <c r="G728" s="39">
        <v>43647</v>
      </c>
    </row>
    <row r="729" spans="1:7" x14ac:dyDescent="0.25">
      <c r="A729" t="s">
        <v>31</v>
      </c>
      <c r="B729">
        <v>2019</v>
      </c>
      <c r="C729" t="s">
        <v>14</v>
      </c>
      <c r="D729">
        <v>185413.77</v>
      </c>
      <c r="E729">
        <v>219592.58786900001</v>
      </c>
      <c r="F729">
        <v>433967.48343500006</v>
      </c>
      <c r="G729" s="39">
        <v>43678</v>
      </c>
    </row>
    <row r="730" spans="1:7" x14ac:dyDescent="0.25">
      <c r="A730" t="s">
        <v>31</v>
      </c>
      <c r="B730">
        <v>2019</v>
      </c>
      <c r="C730" t="s">
        <v>15</v>
      </c>
      <c r="D730">
        <v>257084.67333600001</v>
      </c>
      <c r="E730">
        <v>242596.77574700001</v>
      </c>
      <c r="F730">
        <v>448455.381024</v>
      </c>
      <c r="G730" s="39">
        <v>43709</v>
      </c>
    </row>
    <row r="731" spans="1:7" x14ac:dyDescent="0.25">
      <c r="A731" t="s">
        <v>31</v>
      </c>
      <c r="B731">
        <v>2019</v>
      </c>
      <c r="C731" t="s">
        <v>16</v>
      </c>
      <c r="D731">
        <v>332525.23314800003</v>
      </c>
      <c r="E731">
        <v>337090.77309500001</v>
      </c>
      <c r="F731">
        <v>443889.84107699996</v>
      </c>
      <c r="G731" s="39">
        <v>43739</v>
      </c>
    </row>
    <row r="732" spans="1:7" x14ac:dyDescent="0.25">
      <c r="A732" t="s">
        <v>31</v>
      </c>
      <c r="B732">
        <v>2019</v>
      </c>
      <c r="C732" t="s">
        <v>17</v>
      </c>
      <c r="D732">
        <v>412060.96526600001</v>
      </c>
      <c r="E732">
        <v>385277.76592199999</v>
      </c>
      <c r="F732">
        <v>470673.04042099993</v>
      </c>
      <c r="G732" s="39">
        <v>43770</v>
      </c>
    </row>
    <row r="733" spans="1:7" x14ac:dyDescent="0.25">
      <c r="A733" t="s">
        <v>31</v>
      </c>
      <c r="B733">
        <v>2019</v>
      </c>
      <c r="C733" t="s">
        <v>18</v>
      </c>
      <c r="D733">
        <v>240148.53088999999</v>
      </c>
      <c r="E733">
        <v>237351.637326</v>
      </c>
      <c r="F733">
        <v>473469.93398499989</v>
      </c>
      <c r="G733" s="39">
        <v>43800</v>
      </c>
    </row>
    <row r="734" spans="1:7" x14ac:dyDescent="0.25">
      <c r="A734" t="s">
        <v>31</v>
      </c>
      <c r="B734">
        <v>2020</v>
      </c>
      <c r="C734" t="s">
        <v>7</v>
      </c>
      <c r="D734">
        <v>142714.53796099999</v>
      </c>
      <c r="E734">
        <v>172546.59454300001</v>
      </c>
      <c r="F734">
        <v>443637.8774029999</v>
      </c>
      <c r="G734" s="39">
        <v>43831</v>
      </c>
    </row>
    <row r="735" spans="1:7" x14ac:dyDescent="0.25">
      <c r="A735" t="s">
        <v>31</v>
      </c>
      <c r="B735">
        <v>2020</v>
      </c>
      <c r="C735" t="s">
        <v>8</v>
      </c>
      <c r="D735">
        <v>273926.26759800001</v>
      </c>
      <c r="E735">
        <v>266324.278552</v>
      </c>
      <c r="F735">
        <v>451239.86644899991</v>
      </c>
      <c r="G735" s="39">
        <v>43862</v>
      </c>
    </row>
    <row r="736" spans="1:7" x14ac:dyDescent="0.25">
      <c r="A736" t="s">
        <v>31</v>
      </c>
      <c r="B736">
        <v>2020</v>
      </c>
      <c r="C736" t="s">
        <v>9</v>
      </c>
      <c r="D736">
        <v>290777.44125600002</v>
      </c>
      <c r="E736">
        <v>303156.15476200002</v>
      </c>
      <c r="F736">
        <v>438861.15294299991</v>
      </c>
      <c r="G736" s="39">
        <v>43891</v>
      </c>
    </row>
    <row r="737" spans="1:7" x14ac:dyDescent="0.25">
      <c r="A737" t="s">
        <v>31</v>
      </c>
      <c r="B737">
        <v>2020</v>
      </c>
      <c r="C737" t="s">
        <v>10</v>
      </c>
      <c r="D737">
        <v>91548.27</v>
      </c>
      <c r="E737">
        <v>170853.03915</v>
      </c>
      <c r="F737">
        <v>359556.3837929999</v>
      </c>
      <c r="G737" s="39">
        <v>43922</v>
      </c>
    </row>
    <row r="738" spans="1:7" x14ac:dyDescent="0.25">
      <c r="A738" t="s">
        <v>31</v>
      </c>
      <c r="B738">
        <v>2020</v>
      </c>
      <c r="C738" t="s">
        <v>11</v>
      </c>
      <c r="D738">
        <v>284467.38360499998</v>
      </c>
      <c r="E738">
        <v>262816.37438599998</v>
      </c>
      <c r="F738">
        <v>381207.3930119999</v>
      </c>
      <c r="G738" s="39">
        <v>43952</v>
      </c>
    </row>
    <row r="739" spans="1:7" x14ac:dyDescent="0.25">
      <c r="A739" t="s">
        <v>31</v>
      </c>
      <c r="B739">
        <v>2020</v>
      </c>
      <c r="C739" t="s">
        <v>12</v>
      </c>
      <c r="D739">
        <v>288134.82255400001</v>
      </c>
      <c r="E739">
        <v>257143.89154899999</v>
      </c>
      <c r="F739">
        <v>412198.32401699998</v>
      </c>
      <c r="G739" s="39">
        <v>43983</v>
      </c>
    </row>
    <row r="740" spans="1:7" x14ac:dyDescent="0.25">
      <c r="A740" t="s">
        <v>31</v>
      </c>
      <c r="B740">
        <v>2020</v>
      </c>
      <c r="C740" t="s">
        <v>13</v>
      </c>
      <c r="D740">
        <v>249615.34251300001</v>
      </c>
      <c r="E740">
        <v>248476.52248399999</v>
      </c>
      <c r="F740">
        <v>413337.14404600009</v>
      </c>
      <c r="G740" s="39">
        <v>44013</v>
      </c>
    </row>
    <row r="741" spans="1:7" x14ac:dyDescent="0.25">
      <c r="A741" t="s">
        <v>31</v>
      </c>
      <c r="B741">
        <v>2020</v>
      </c>
      <c r="C741" t="s">
        <v>14</v>
      </c>
      <c r="D741">
        <v>206909.80321099999</v>
      </c>
      <c r="E741">
        <v>220818.98368899999</v>
      </c>
      <c r="F741">
        <v>399427.96356800001</v>
      </c>
      <c r="G741" s="39">
        <v>44044</v>
      </c>
    </row>
    <row r="742" spans="1:7" x14ac:dyDescent="0.25">
      <c r="A742" t="s">
        <v>31</v>
      </c>
      <c r="B742">
        <v>2020</v>
      </c>
      <c r="C742" t="s">
        <v>15</v>
      </c>
      <c r="D742">
        <v>227708.9803</v>
      </c>
      <c r="E742">
        <v>245255.56974599999</v>
      </c>
      <c r="F742">
        <v>381881.37412200007</v>
      </c>
      <c r="G742" s="39">
        <v>44075</v>
      </c>
    </row>
    <row r="743" spans="1:7" x14ac:dyDescent="0.25">
      <c r="A743" t="s">
        <v>31</v>
      </c>
      <c r="B743">
        <v>2020</v>
      </c>
      <c r="C743" t="s">
        <v>16</v>
      </c>
      <c r="D743">
        <v>257503.13187899999</v>
      </c>
      <c r="E743">
        <v>218921.64773699999</v>
      </c>
      <c r="F743">
        <v>420462.85826400004</v>
      </c>
      <c r="G743" s="39">
        <v>44105</v>
      </c>
    </row>
    <row r="744" spans="1:7" x14ac:dyDescent="0.25">
      <c r="A744" t="s">
        <v>31</v>
      </c>
      <c r="B744">
        <v>2020</v>
      </c>
      <c r="C744" t="s">
        <v>17</v>
      </c>
      <c r="D744">
        <v>301739.151167</v>
      </c>
      <c r="E744">
        <v>319088.369129</v>
      </c>
      <c r="F744">
        <v>403113.6403020001</v>
      </c>
      <c r="G744" s="39">
        <v>44136</v>
      </c>
    </row>
    <row r="745" spans="1:7" x14ac:dyDescent="0.25">
      <c r="A745" t="s">
        <v>31</v>
      </c>
      <c r="B745">
        <v>2020</v>
      </c>
      <c r="C745" t="s">
        <v>18</v>
      </c>
      <c r="D745">
        <v>180384.97733299999</v>
      </c>
      <c r="E745">
        <v>216488.65247900001</v>
      </c>
      <c r="F745">
        <v>367009.96515599999</v>
      </c>
      <c r="G745" s="39">
        <v>44166</v>
      </c>
    </row>
    <row r="746" spans="1:7" x14ac:dyDescent="0.25">
      <c r="A746" t="s">
        <v>31</v>
      </c>
      <c r="B746">
        <v>2021</v>
      </c>
      <c r="C746" t="s">
        <v>7</v>
      </c>
      <c r="D746">
        <v>195958.27583299999</v>
      </c>
      <c r="E746">
        <v>166315.237739</v>
      </c>
      <c r="F746">
        <v>396653.00324999995</v>
      </c>
      <c r="G746" s="39">
        <v>44197</v>
      </c>
    </row>
    <row r="747" spans="1:7" x14ac:dyDescent="0.25">
      <c r="A747" t="s">
        <v>31</v>
      </c>
      <c r="B747">
        <v>2021</v>
      </c>
      <c r="C747" t="s">
        <v>8</v>
      </c>
      <c r="D747">
        <v>273890.99782300001</v>
      </c>
      <c r="E747">
        <v>241373.169964</v>
      </c>
      <c r="F747">
        <v>429170.83110900002</v>
      </c>
      <c r="G747" s="39">
        <v>44228</v>
      </c>
    </row>
    <row r="748" spans="1:7" x14ac:dyDescent="0.25">
      <c r="A748" t="s">
        <v>31</v>
      </c>
      <c r="B748">
        <v>2021</v>
      </c>
      <c r="C748" t="s">
        <v>9</v>
      </c>
      <c r="D748">
        <v>293725.78737500001</v>
      </c>
      <c r="E748">
        <v>274074.916264</v>
      </c>
      <c r="F748">
        <v>448821.70221999998</v>
      </c>
      <c r="G748" s="39">
        <v>44256</v>
      </c>
    </row>
    <row r="749" spans="1:7" x14ac:dyDescent="0.25">
      <c r="A749" t="s">
        <v>31</v>
      </c>
      <c r="B749">
        <v>2021</v>
      </c>
      <c r="C749" t="s">
        <v>10</v>
      </c>
      <c r="D749">
        <v>230347.74367900001</v>
      </c>
      <c r="E749">
        <v>251081.156277</v>
      </c>
      <c r="F749">
        <v>428088.28962199995</v>
      </c>
      <c r="G749" s="39">
        <v>44287</v>
      </c>
    </row>
    <row r="750" spans="1:7" x14ac:dyDescent="0.25">
      <c r="A750" t="s">
        <v>31</v>
      </c>
      <c r="B750">
        <v>2021</v>
      </c>
      <c r="C750" t="s">
        <v>11</v>
      </c>
      <c r="D750">
        <v>295692.564801</v>
      </c>
      <c r="E750">
        <v>231475.11494599999</v>
      </c>
      <c r="F750">
        <v>492305.73947700002</v>
      </c>
      <c r="G750" s="39">
        <v>44317</v>
      </c>
    </row>
    <row r="751" spans="1:7" x14ac:dyDescent="0.25">
      <c r="A751" t="s">
        <v>31</v>
      </c>
      <c r="B751">
        <v>2021</v>
      </c>
      <c r="C751" t="s">
        <v>12</v>
      </c>
      <c r="D751">
        <v>271816.15154200001</v>
      </c>
      <c r="E751">
        <v>291687.77472099999</v>
      </c>
      <c r="F751">
        <v>472434.11629799998</v>
      </c>
      <c r="G751" s="39">
        <v>44348</v>
      </c>
    </row>
    <row r="752" spans="1:7" x14ac:dyDescent="0.25">
      <c r="A752" t="s">
        <v>31</v>
      </c>
      <c r="B752">
        <v>2021</v>
      </c>
      <c r="C752" t="s">
        <v>13</v>
      </c>
      <c r="D752">
        <v>265836.64540600003</v>
      </c>
      <c r="E752">
        <v>222640.151534</v>
      </c>
      <c r="F752">
        <v>515630.61016999994</v>
      </c>
      <c r="G752" s="39">
        <v>44378</v>
      </c>
    </row>
    <row r="753" spans="1:7" x14ac:dyDescent="0.25">
      <c r="A753" t="s">
        <v>31</v>
      </c>
      <c r="B753">
        <v>2021</v>
      </c>
      <c r="C753" t="s">
        <v>14</v>
      </c>
      <c r="D753">
        <v>189005.28895700001</v>
      </c>
      <c r="E753">
        <v>234377.03473799999</v>
      </c>
      <c r="F753">
        <v>470258.86438899999</v>
      </c>
      <c r="G753" s="39">
        <v>44409</v>
      </c>
    </row>
    <row r="754" spans="1:7" x14ac:dyDescent="0.25">
      <c r="A754" t="s">
        <v>31</v>
      </c>
      <c r="B754">
        <v>2021</v>
      </c>
      <c r="C754" t="s">
        <v>15</v>
      </c>
      <c r="D754">
        <v>314820.69044400001</v>
      </c>
      <c r="E754">
        <v>294181.78817199997</v>
      </c>
      <c r="F754">
        <v>490897.76666100009</v>
      </c>
      <c r="G754" s="39">
        <v>44440</v>
      </c>
    </row>
    <row r="755" spans="1:7" x14ac:dyDescent="0.25">
      <c r="A755" t="s">
        <v>31</v>
      </c>
      <c r="B755">
        <v>2021</v>
      </c>
      <c r="C755" t="s">
        <v>16</v>
      </c>
      <c r="D755">
        <v>271671.77233299997</v>
      </c>
      <c r="E755">
        <v>264834.02095199999</v>
      </c>
      <c r="F755">
        <v>497735.51804200007</v>
      </c>
      <c r="G755" s="39">
        <v>44470</v>
      </c>
    </row>
    <row r="756" spans="1:7" x14ac:dyDescent="0.25">
      <c r="A756" t="s">
        <v>31</v>
      </c>
      <c r="B756">
        <v>2021</v>
      </c>
      <c r="C756" t="s">
        <v>17</v>
      </c>
      <c r="D756">
        <v>445256.87991800002</v>
      </c>
      <c r="E756">
        <v>384095.59771200002</v>
      </c>
      <c r="F756">
        <v>558896.80024800007</v>
      </c>
      <c r="G756" s="39">
        <v>44501</v>
      </c>
    </row>
    <row r="757" spans="1:7" x14ac:dyDescent="0.25">
      <c r="A757" t="s">
        <v>31</v>
      </c>
      <c r="B757">
        <v>2021</v>
      </c>
      <c r="C757" t="s">
        <v>18</v>
      </c>
      <c r="D757">
        <v>126599.476516</v>
      </c>
      <c r="E757">
        <v>230967.53073299999</v>
      </c>
      <c r="F757">
        <v>454528.74603100005</v>
      </c>
      <c r="G757" s="39">
        <v>44531</v>
      </c>
    </row>
    <row r="758" spans="1:7" x14ac:dyDescent="0.25">
      <c r="A758" t="s">
        <v>31</v>
      </c>
      <c r="B758">
        <v>2022</v>
      </c>
      <c r="C758" t="s">
        <v>7</v>
      </c>
      <c r="D758">
        <v>242969.14600000001</v>
      </c>
      <c r="E758">
        <v>144054.43776999999</v>
      </c>
      <c r="F758">
        <v>553443.45426100004</v>
      </c>
      <c r="G758" s="39">
        <v>44562</v>
      </c>
    </row>
    <row r="759" spans="1:7" x14ac:dyDescent="0.25">
      <c r="A759" t="s">
        <v>31</v>
      </c>
      <c r="B759">
        <v>2022</v>
      </c>
      <c r="C759" t="s">
        <v>8</v>
      </c>
      <c r="D759">
        <v>264329.93449700001</v>
      </c>
      <c r="E759">
        <v>267381.36296</v>
      </c>
      <c r="F759">
        <v>550392.02579799993</v>
      </c>
      <c r="G759" s="39">
        <v>44593</v>
      </c>
    </row>
    <row r="760" spans="1:7" x14ac:dyDescent="0.25">
      <c r="A760" t="s">
        <v>31</v>
      </c>
      <c r="B760">
        <v>2022</v>
      </c>
      <c r="C760" t="s">
        <v>9</v>
      </c>
      <c r="D760">
        <v>257671.867964</v>
      </c>
      <c r="E760">
        <v>256488.188757</v>
      </c>
      <c r="F760">
        <v>551575.70500499988</v>
      </c>
      <c r="G760" s="39">
        <v>44621</v>
      </c>
    </row>
    <row r="761" spans="1:7" x14ac:dyDescent="0.25">
      <c r="A761" t="s">
        <v>31</v>
      </c>
      <c r="B761">
        <v>2022</v>
      </c>
      <c r="C761" t="s">
        <v>10</v>
      </c>
      <c r="D761">
        <v>283004.27099500003</v>
      </c>
      <c r="E761">
        <v>245656.66079699999</v>
      </c>
      <c r="F761">
        <v>588923.31520299986</v>
      </c>
      <c r="G761" s="39">
        <v>44652</v>
      </c>
    </row>
    <row r="762" spans="1:7" x14ac:dyDescent="0.25">
      <c r="A762" t="s">
        <v>31</v>
      </c>
      <c r="B762">
        <v>2022</v>
      </c>
      <c r="C762" t="s">
        <v>11</v>
      </c>
      <c r="D762">
        <v>225182.543813</v>
      </c>
      <c r="E762">
        <v>262576.71181800001</v>
      </c>
      <c r="F762">
        <v>551529.14719799976</v>
      </c>
      <c r="G762" s="39">
        <v>44682</v>
      </c>
    </row>
    <row r="763" spans="1:7" x14ac:dyDescent="0.25">
      <c r="A763" t="s">
        <v>31</v>
      </c>
      <c r="B763">
        <v>2022</v>
      </c>
      <c r="C763" t="s">
        <v>12</v>
      </c>
      <c r="D763">
        <v>173833.417197</v>
      </c>
      <c r="E763">
        <v>245588.75348099999</v>
      </c>
      <c r="F763">
        <v>479773.8109139998</v>
      </c>
      <c r="G763" s="39">
        <v>44713</v>
      </c>
    </row>
    <row r="764" spans="1:7" x14ac:dyDescent="0.25">
      <c r="A764" t="s">
        <v>31</v>
      </c>
      <c r="B764">
        <v>2022</v>
      </c>
      <c r="C764" t="s">
        <v>13</v>
      </c>
      <c r="D764">
        <v>193799.17167499999</v>
      </c>
      <c r="E764">
        <v>184393.35584800001</v>
      </c>
      <c r="F764">
        <v>489179.62674099975</v>
      </c>
      <c r="G764" s="39">
        <v>44743</v>
      </c>
    </row>
    <row r="765" spans="1:7" x14ac:dyDescent="0.25">
      <c r="A765" t="s">
        <v>31</v>
      </c>
      <c r="B765">
        <v>2022</v>
      </c>
      <c r="C765" t="s">
        <v>14</v>
      </c>
      <c r="D765">
        <v>382455.77520999999</v>
      </c>
      <c r="E765">
        <v>308055.65545700002</v>
      </c>
      <c r="F765">
        <v>563579.74649399973</v>
      </c>
      <c r="G765" s="39">
        <v>44774</v>
      </c>
    </row>
    <row r="766" spans="1:7" x14ac:dyDescent="0.25">
      <c r="A766" t="s">
        <v>31</v>
      </c>
      <c r="B766">
        <v>2022</v>
      </c>
      <c r="C766" t="s">
        <v>15</v>
      </c>
      <c r="D766">
        <v>331511.09042700002</v>
      </c>
      <c r="E766">
        <v>354744.02816300001</v>
      </c>
      <c r="F766">
        <v>540346.80875799968</v>
      </c>
      <c r="G766" s="39">
        <v>44805</v>
      </c>
    </row>
    <row r="767" spans="1:7" x14ac:dyDescent="0.25">
      <c r="A767" t="s">
        <v>31</v>
      </c>
      <c r="B767">
        <v>2022</v>
      </c>
      <c r="C767" t="s">
        <v>16</v>
      </c>
      <c r="D767">
        <v>227015.04216300001</v>
      </c>
      <c r="E767">
        <v>288752.07460699999</v>
      </c>
      <c r="F767">
        <v>478609.77631399967</v>
      </c>
      <c r="G767" s="39">
        <v>44835</v>
      </c>
    </row>
    <row r="768" spans="1:7" x14ac:dyDescent="0.25">
      <c r="A768" t="s">
        <v>31</v>
      </c>
      <c r="B768">
        <v>2022</v>
      </c>
      <c r="C768" t="s">
        <v>17</v>
      </c>
      <c r="D768">
        <v>220198.13768000001</v>
      </c>
      <c r="E768">
        <v>296260.41245200002</v>
      </c>
      <c r="F768">
        <v>402547.50154199969</v>
      </c>
      <c r="G768" s="39">
        <v>44866</v>
      </c>
    </row>
    <row r="769" spans="1:7" x14ac:dyDescent="0.25">
      <c r="A769" t="s">
        <v>31</v>
      </c>
      <c r="B769">
        <v>2022</v>
      </c>
      <c r="C769" t="s">
        <v>18</v>
      </c>
      <c r="D769">
        <v>166018.0189</v>
      </c>
      <c r="E769">
        <v>175950.31137400001</v>
      </c>
      <c r="F769">
        <v>392615.20906799962</v>
      </c>
      <c r="G769" s="39">
        <v>44896</v>
      </c>
    </row>
    <row r="770" spans="1:7" x14ac:dyDescent="0.25">
      <c r="A770" t="s">
        <v>31</v>
      </c>
      <c r="B770">
        <v>2023</v>
      </c>
      <c r="C770" t="s">
        <v>7</v>
      </c>
      <c r="D770">
        <v>168056.56950000001</v>
      </c>
      <c r="E770">
        <v>121239.99591100001</v>
      </c>
      <c r="F770">
        <v>439431.7826569996</v>
      </c>
      <c r="G770" s="39">
        <v>44927</v>
      </c>
    </row>
    <row r="771" spans="1:7" x14ac:dyDescent="0.25">
      <c r="A771" t="s">
        <v>31</v>
      </c>
      <c r="B771">
        <v>2023</v>
      </c>
      <c r="C771" t="s">
        <v>8</v>
      </c>
      <c r="D771">
        <v>143209.3983</v>
      </c>
      <c r="E771">
        <v>149621.52521699999</v>
      </c>
      <c r="F771">
        <v>433019.65573999955</v>
      </c>
      <c r="G771" s="39">
        <v>44958</v>
      </c>
    </row>
    <row r="772" spans="1:7" x14ac:dyDescent="0.25">
      <c r="A772" t="s">
        <v>31</v>
      </c>
      <c r="B772">
        <v>2023</v>
      </c>
      <c r="C772" t="s">
        <v>9</v>
      </c>
      <c r="D772">
        <v>214273.09525899999</v>
      </c>
      <c r="E772">
        <v>230026.375042</v>
      </c>
      <c r="F772">
        <v>417266.3759569996</v>
      </c>
      <c r="G772" s="39">
        <v>44986</v>
      </c>
    </row>
    <row r="773" spans="1:7" x14ac:dyDescent="0.25">
      <c r="A773" t="s">
        <v>31</v>
      </c>
      <c r="B773">
        <v>2023</v>
      </c>
      <c r="C773" t="s">
        <v>10</v>
      </c>
      <c r="D773">
        <v>153629.53278099999</v>
      </c>
      <c r="E773">
        <v>169249.92645100001</v>
      </c>
      <c r="F773">
        <v>401645.98228699958</v>
      </c>
      <c r="G773" s="39">
        <v>45017</v>
      </c>
    </row>
    <row r="774" spans="1:7" x14ac:dyDescent="0.25">
      <c r="A774" t="s">
        <v>31</v>
      </c>
      <c r="B774">
        <v>2023</v>
      </c>
      <c r="C774" t="s">
        <v>11</v>
      </c>
      <c r="D774">
        <v>181591.68966599999</v>
      </c>
      <c r="E774">
        <v>204769.76845100001</v>
      </c>
      <c r="F774">
        <v>378467.90350199956</v>
      </c>
      <c r="G774" s="39">
        <v>45047</v>
      </c>
    </row>
    <row r="775" spans="1:7" x14ac:dyDescent="0.25">
      <c r="A775" t="s">
        <v>31</v>
      </c>
      <c r="B775">
        <v>2023</v>
      </c>
      <c r="C775" t="s">
        <v>12</v>
      </c>
      <c r="D775">
        <v>371778.52347900002</v>
      </c>
      <c r="E775">
        <v>178664.25038400001</v>
      </c>
      <c r="F775">
        <v>571582.17659699952</v>
      </c>
      <c r="G775" s="39">
        <v>45078</v>
      </c>
    </row>
    <row r="776" spans="1:7" x14ac:dyDescent="0.25">
      <c r="A776" t="s">
        <v>31</v>
      </c>
      <c r="B776">
        <v>2023</v>
      </c>
      <c r="C776" t="s">
        <v>13</v>
      </c>
      <c r="D776">
        <v>109001.47</v>
      </c>
      <c r="E776">
        <v>185859.71950800001</v>
      </c>
      <c r="F776">
        <v>494723.92708899948</v>
      </c>
      <c r="G776" s="39">
        <v>45108</v>
      </c>
    </row>
    <row r="777" spans="1:7" x14ac:dyDescent="0.25">
      <c r="A777" t="s">
        <v>31</v>
      </c>
      <c r="B777">
        <v>2023</v>
      </c>
      <c r="C777" t="s">
        <v>14</v>
      </c>
      <c r="D777">
        <v>63981.746878999998</v>
      </c>
      <c r="E777">
        <v>134405.773831</v>
      </c>
      <c r="F777">
        <v>424299.90013699955</v>
      </c>
      <c r="G777" s="39">
        <v>45139</v>
      </c>
    </row>
    <row r="778" spans="1:7" x14ac:dyDescent="0.25">
      <c r="A778" t="s">
        <v>31</v>
      </c>
      <c r="B778">
        <v>2023</v>
      </c>
      <c r="C778" t="s">
        <v>15</v>
      </c>
      <c r="D778">
        <v>86122.173735999997</v>
      </c>
      <c r="E778">
        <v>126264.358097</v>
      </c>
      <c r="F778">
        <v>384157.71577599953</v>
      </c>
      <c r="G778" s="39">
        <v>45170</v>
      </c>
    </row>
    <row r="779" spans="1:7" x14ac:dyDescent="0.25">
      <c r="A779" t="s">
        <v>31</v>
      </c>
      <c r="B779">
        <v>2023</v>
      </c>
      <c r="C779" t="s">
        <v>16</v>
      </c>
      <c r="D779">
        <v>149922.38</v>
      </c>
      <c r="E779">
        <v>137853.43129899999</v>
      </c>
      <c r="F779">
        <v>396226.66447699961</v>
      </c>
      <c r="G779" s="39">
        <v>45200</v>
      </c>
    </row>
    <row r="780" spans="1:7" x14ac:dyDescent="0.25">
      <c r="A780" t="s">
        <v>31</v>
      </c>
      <c r="B780">
        <v>2023</v>
      </c>
      <c r="C780" t="s">
        <v>17</v>
      </c>
      <c r="D780">
        <v>107199.985</v>
      </c>
      <c r="E780">
        <v>154551.446218</v>
      </c>
      <c r="F780">
        <v>348875.20325899962</v>
      </c>
      <c r="G780" s="39">
        <v>45231</v>
      </c>
    </row>
    <row r="781" spans="1:7" x14ac:dyDescent="0.25">
      <c r="A781" t="s">
        <v>31</v>
      </c>
      <c r="B781">
        <v>2023</v>
      </c>
      <c r="C781" t="s">
        <v>18</v>
      </c>
      <c r="D781">
        <v>114812.889727</v>
      </c>
      <c r="E781">
        <v>138109.843265</v>
      </c>
      <c r="F781">
        <v>325578.24972099962</v>
      </c>
      <c r="G781" s="39">
        <v>45261</v>
      </c>
    </row>
    <row r="782" spans="1:7" x14ac:dyDescent="0.25">
      <c r="A782" t="s">
        <v>31</v>
      </c>
      <c r="B782">
        <v>2024</v>
      </c>
      <c r="C782" t="s">
        <v>7</v>
      </c>
      <c r="F782">
        <v>325578.24972099962</v>
      </c>
      <c r="G782" s="39">
        <v>45292</v>
      </c>
    </row>
    <row r="783" spans="1:7" x14ac:dyDescent="0.25">
      <c r="A783" t="s">
        <v>31</v>
      </c>
      <c r="B783">
        <v>2024</v>
      </c>
      <c r="C783" t="s">
        <v>8</v>
      </c>
      <c r="F783">
        <v>325578.24972099962</v>
      </c>
      <c r="G783" s="39">
        <v>45323</v>
      </c>
    </row>
    <row r="784" spans="1:7" x14ac:dyDescent="0.25">
      <c r="A784" t="s">
        <v>31</v>
      </c>
      <c r="B784">
        <v>2024</v>
      </c>
      <c r="C784" t="s">
        <v>9</v>
      </c>
      <c r="F784">
        <v>325578.24972099962</v>
      </c>
      <c r="G784" s="39">
        <v>45352</v>
      </c>
    </row>
    <row r="785" spans="1:7" x14ac:dyDescent="0.25">
      <c r="A785" t="s">
        <v>31</v>
      </c>
      <c r="B785">
        <v>2024</v>
      </c>
      <c r="C785" t="s">
        <v>10</v>
      </c>
      <c r="F785">
        <v>325578.24972099962</v>
      </c>
      <c r="G785" s="39">
        <v>45383</v>
      </c>
    </row>
    <row r="786" spans="1:7" x14ac:dyDescent="0.25">
      <c r="A786" t="s">
        <v>31</v>
      </c>
      <c r="B786">
        <v>2024</v>
      </c>
      <c r="C786" t="s">
        <v>11</v>
      </c>
      <c r="F786">
        <v>325578.24972099962</v>
      </c>
      <c r="G786" s="39">
        <v>45413</v>
      </c>
    </row>
    <row r="787" spans="1:7" x14ac:dyDescent="0.25">
      <c r="A787" t="s">
        <v>31</v>
      </c>
      <c r="B787">
        <v>2024</v>
      </c>
      <c r="C787" t="s">
        <v>12</v>
      </c>
      <c r="F787">
        <v>325578.24972099962</v>
      </c>
      <c r="G787" s="39">
        <v>45444</v>
      </c>
    </row>
    <row r="788" spans="1:7" x14ac:dyDescent="0.25">
      <c r="A788" t="s">
        <v>31</v>
      </c>
      <c r="B788">
        <v>2024</v>
      </c>
      <c r="C788" t="s">
        <v>13</v>
      </c>
      <c r="F788">
        <v>325578.24972099962</v>
      </c>
      <c r="G788" s="39">
        <v>45474</v>
      </c>
    </row>
    <row r="789" spans="1:7" x14ac:dyDescent="0.25">
      <c r="A789" t="s">
        <v>31</v>
      </c>
      <c r="B789">
        <v>2024</v>
      </c>
      <c r="C789" t="s">
        <v>14</v>
      </c>
      <c r="F789">
        <v>325578.24972099962</v>
      </c>
      <c r="G789" s="39">
        <v>45505</v>
      </c>
    </row>
    <row r="790" spans="1:7" x14ac:dyDescent="0.25">
      <c r="A790" t="s">
        <v>31</v>
      </c>
      <c r="B790">
        <v>2024</v>
      </c>
      <c r="C790" t="s">
        <v>15</v>
      </c>
      <c r="F790">
        <v>325578.24972099962</v>
      </c>
      <c r="G790" s="39">
        <v>45536</v>
      </c>
    </row>
    <row r="791" spans="1:7" x14ac:dyDescent="0.25">
      <c r="A791" t="s">
        <v>31</v>
      </c>
      <c r="B791">
        <v>2024</v>
      </c>
      <c r="C791" t="s">
        <v>16</v>
      </c>
      <c r="F791">
        <v>325578.24972099962</v>
      </c>
      <c r="G791" s="39">
        <v>45566</v>
      </c>
    </row>
    <row r="792" spans="1:7" x14ac:dyDescent="0.25">
      <c r="A792" t="s">
        <v>31</v>
      </c>
      <c r="B792">
        <v>2024</v>
      </c>
      <c r="C792" t="s">
        <v>17</v>
      </c>
      <c r="F792">
        <v>325578.24972099962</v>
      </c>
      <c r="G792" s="39">
        <v>45597</v>
      </c>
    </row>
    <row r="793" spans="1:7" x14ac:dyDescent="0.25">
      <c r="A793" t="s">
        <v>31</v>
      </c>
      <c r="B793">
        <v>2024</v>
      </c>
      <c r="C793" t="s">
        <v>18</v>
      </c>
      <c r="F793">
        <v>325578.24972099962</v>
      </c>
      <c r="G793" s="39">
        <v>45627</v>
      </c>
    </row>
    <row r="794" spans="1:7" x14ac:dyDescent="0.25">
      <c r="A794" t="s">
        <v>32</v>
      </c>
      <c r="B794">
        <v>2019</v>
      </c>
      <c r="C794" t="s">
        <v>7</v>
      </c>
      <c r="D794">
        <v>0</v>
      </c>
      <c r="E794">
        <v>204.744</v>
      </c>
      <c r="F794">
        <v>69838.873836999992</v>
      </c>
      <c r="G794" s="39">
        <v>43466</v>
      </c>
    </row>
    <row r="795" spans="1:7" x14ac:dyDescent="0.25">
      <c r="A795" t="s">
        <v>32</v>
      </c>
      <c r="B795">
        <v>2019</v>
      </c>
      <c r="C795" t="s">
        <v>8</v>
      </c>
      <c r="D795">
        <v>1920.02</v>
      </c>
      <c r="E795">
        <v>1434.1101289999999</v>
      </c>
      <c r="F795">
        <v>70324.783708000003</v>
      </c>
      <c r="G795" s="39">
        <v>43497</v>
      </c>
    </row>
    <row r="796" spans="1:7" x14ac:dyDescent="0.25">
      <c r="A796" t="s">
        <v>32</v>
      </c>
      <c r="B796">
        <v>2019</v>
      </c>
      <c r="C796" t="s">
        <v>9</v>
      </c>
      <c r="D796">
        <v>1075.55</v>
      </c>
      <c r="E796">
        <v>2620.7402830000001</v>
      </c>
      <c r="F796">
        <v>68779.593424999999</v>
      </c>
      <c r="G796" s="39">
        <v>43525</v>
      </c>
    </row>
    <row r="797" spans="1:7" x14ac:dyDescent="0.25">
      <c r="A797" t="s">
        <v>32</v>
      </c>
      <c r="B797">
        <v>2019</v>
      </c>
      <c r="C797" t="s">
        <v>10</v>
      </c>
      <c r="D797">
        <v>46053.06</v>
      </c>
      <c r="E797">
        <v>4994.4766639999998</v>
      </c>
      <c r="F797">
        <v>109838.176761</v>
      </c>
      <c r="G797" s="39">
        <v>43556</v>
      </c>
    </row>
    <row r="798" spans="1:7" x14ac:dyDescent="0.25">
      <c r="A798" t="s">
        <v>32</v>
      </c>
      <c r="B798">
        <v>2019</v>
      </c>
      <c r="C798" t="s">
        <v>11</v>
      </c>
      <c r="D798">
        <v>1804.75</v>
      </c>
      <c r="E798">
        <v>43746.268333</v>
      </c>
      <c r="F798">
        <v>67896.658427999995</v>
      </c>
      <c r="G798" s="39">
        <v>43586</v>
      </c>
    </row>
    <row r="799" spans="1:7" x14ac:dyDescent="0.25">
      <c r="A799" t="s">
        <v>32</v>
      </c>
      <c r="B799">
        <v>2019</v>
      </c>
      <c r="C799" t="s">
        <v>12</v>
      </c>
      <c r="D799">
        <v>615.72</v>
      </c>
      <c r="E799">
        <v>689.72</v>
      </c>
      <c r="F799">
        <v>67822.658427999995</v>
      </c>
      <c r="G799" s="39">
        <v>43617</v>
      </c>
    </row>
    <row r="800" spans="1:7" x14ac:dyDescent="0.25">
      <c r="A800" t="s">
        <v>32</v>
      </c>
      <c r="B800">
        <v>2019</v>
      </c>
      <c r="C800" t="s">
        <v>13</v>
      </c>
      <c r="D800">
        <v>823.27</v>
      </c>
      <c r="E800">
        <v>3592.0806910000001</v>
      </c>
      <c r="F800">
        <v>65053.847736999996</v>
      </c>
      <c r="G800" s="39">
        <v>43647</v>
      </c>
    </row>
    <row r="801" spans="1:7" x14ac:dyDescent="0.25">
      <c r="A801" t="s">
        <v>32</v>
      </c>
      <c r="B801">
        <v>2019</v>
      </c>
      <c r="C801" t="s">
        <v>14</v>
      </c>
      <c r="D801">
        <v>599.9</v>
      </c>
      <c r="E801">
        <v>1003.995</v>
      </c>
      <c r="F801">
        <v>64649.752736999995</v>
      </c>
      <c r="G801" s="39">
        <v>43678</v>
      </c>
    </row>
    <row r="802" spans="1:7" x14ac:dyDescent="0.25">
      <c r="A802" t="s">
        <v>32</v>
      </c>
      <c r="B802">
        <v>2019</v>
      </c>
      <c r="C802" t="s">
        <v>15</v>
      </c>
      <c r="D802">
        <v>813</v>
      </c>
      <c r="E802">
        <v>162.69999999999999</v>
      </c>
      <c r="F802">
        <v>65300.052736999998</v>
      </c>
      <c r="G802" s="39">
        <v>43709</v>
      </c>
    </row>
    <row r="803" spans="1:7" x14ac:dyDescent="0.25">
      <c r="A803" t="s">
        <v>32</v>
      </c>
      <c r="B803">
        <v>2019</v>
      </c>
      <c r="C803" t="s">
        <v>16</v>
      </c>
      <c r="D803">
        <v>4682.26</v>
      </c>
      <c r="E803">
        <v>5557.6260910000001</v>
      </c>
      <c r="F803">
        <v>64424.686646000002</v>
      </c>
      <c r="G803" s="39">
        <v>43739</v>
      </c>
    </row>
    <row r="804" spans="1:7" x14ac:dyDescent="0.25">
      <c r="A804" t="s">
        <v>32</v>
      </c>
      <c r="B804">
        <v>2019</v>
      </c>
      <c r="C804" t="s">
        <v>17</v>
      </c>
      <c r="D804">
        <v>190.75</v>
      </c>
      <c r="E804">
        <v>1872.781827</v>
      </c>
      <c r="F804">
        <v>62742.654819000003</v>
      </c>
      <c r="G804" s="39">
        <v>43770</v>
      </c>
    </row>
    <row r="805" spans="1:7" x14ac:dyDescent="0.25">
      <c r="A805" t="s">
        <v>32</v>
      </c>
      <c r="B805">
        <v>2019</v>
      </c>
      <c r="C805" t="s">
        <v>18</v>
      </c>
      <c r="D805">
        <v>220.2</v>
      </c>
      <c r="E805">
        <v>421.62</v>
      </c>
      <c r="F805">
        <v>62541.234818999998</v>
      </c>
      <c r="G805" s="39">
        <v>43800</v>
      </c>
    </row>
    <row r="806" spans="1:7" x14ac:dyDescent="0.25">
      <c r="A806" t="s">
        <v>32</v>
      </c>
      <c r="B806">
        <v>2020</v>
      </c>
      <c r="C806" t="s">
        <v>7</v>
      </c>
      <c r="D806">
        <v>1465.74</v>
      </c>
      <c r="E806">
        <v>2888.6329999999998</v>
      </c>
      <c r="F806">
        <v>61118.341818999994</v>
      </c>
      <c r="G806" s="39">
        <v>43831</v>
      </c>
    </row>
    <row r="807" spans="1:7" x14ac:dyDescent="0.25">
      <c r="A807" t="s">
        <v>32</v>
      </c>
      <c r="B807">
        <v>2020</v>
      </c>
      <c r="C807" t="s">
        <v>8</v>
      </c>
      <c r="D807">
        <v>1981</v>
      </c>
      <c r="E807">
        <v>6814.4723130000002</v>
      </c>
      <c r="F807">
        <v>56284.869505999995</v>
      </c>
      <c r="G807" s="39">
        <v>43862</v>
      </c>
    </row>
    <row r="808" spans="1:7" x14ac:dyDescent="0.25">
      <c r="A808" t="s">
        <v>32</v>
      </c>
      <c r="B808">
        <v>2020</v>
      </c>
      <c r="C808" t="s">
        <v>9</v>
      </c>
      <c r="D808">
        <v>6224.2</v>
      </c>
      <c r="E808">
        <v>1415.4431999999999</v>
      </c>
      <c r="F808">
        <v>61093.626305999991</v>
      </c>
      <c r="G808" s="39">
        <v>43891</v>
      </c>
    </row>
    <row r="809" spans="1:7" x14ac:dyDescent="0.25">
      <c r="A809" t="s">
        <v>32</v>
      </c>
      <c r="B809">
        <v>2020</v>
      </c>
      <c r="C809" t="s">
        <v>10</v>
      </c>
      <c r="D809">
        <v>0</v>
      </c>
      <c r="E809">
        <v>6527.7643639999997</v>
      </c>
      <c r="F809">
        <v>54565.861941999989</v>
      </c>
      <c r="G809" s="39">
        <v>43922</v>
      </c>
    </row>
    <row r="810" spans="1:7" x14ac:dyDescent="0.25">
      <c r="A810" t="s">
        <v>32</v>
      </c>
      <c r="B810">
        <v>2020</v>
      </c>
      <c r="C810" t="s">
        <v>11</v>
      </c>
      <c r="D810">
        <v>21031.95</v>
      </c>
      <c r="E810">
        <v>21682.78</v>
      </c>
      <c r="F810">
        <v>53915.031941999987</v>
      </c>
      <c r="G810" s="39">
        <v>43952</v>
      </c>
    </row>
    <row r="811" spans="1:7" x14ac:dyDescent="0.25">
      <c r="A811" t="s">
        <v>32</v>
      </c>
      <c r="B811">
        <v>2020</v>
      </c>
      <c r="C811" t="s">
        <v>12</v>
      </c>
      <c r="D811">
        <v>371.52</v>
      </c>
      <c r="E811">
        <v>688.94880000000001</v>
      </c>
      <c r="F811">
        <v>53597.603141999985</v>
      </c>
      <c r="G811" s="39">
        <v>43983</v>
      </c>
    </row>
    <row r="812" spans="1:7" x14ac:dyDescent="0.25">
      <c r="A812" t="s">
        <v>32</v>
      </c>
      <c r="B812">
        <v>2020</v>
      </c>
      <c r="C812" t="s">
        <v>13</v>
      </c>
      <c r="D812">
        <v>179819.22</v>
      </c>
      <c r="E812">
        <v>38479.294457999997</v>
      </c>
      <c r="F812">
        <v>194937.52868399999</v>
      </c>
      <c r="G812" s="39">
        <v>44013</v>
      </c>
    </row>
    <row r="813" spans="1:7" x14ac:dyDescent="0.25">
      <c r="A813" t="s">
        <v>32</v>
      </c>
      <c r="B813">
        <v>2020</v>
      </c>
      <c r="C813" t="s">
        <v>14</v>
      </c>
      <c r="D813">
        <v>17083.473333000002</v>
      </c>
      <c r="E813">
        <v>49925.726185</v>
      </c>
      <c r="F813">
        <v>162095.27583199998</v>
      </c>
      <c r="G813" s="39">
        <v>44044</v>
      </c>
    </row>
    <row r="814" spans="1:7" x14ac:dyDescent="0.25">
      <c r="A814" t="s">
        <v>32</v>
      </c>
      <c r="B814">
        <v>2020</v>
      </c>
      <c r="C814" t="s">
        <v>15</v>
      </c>
      <c r="D814">
        <v>135117.12</v>
      </c>
      <c r="E814">
        <v>96538.728338999994</v>
      </c>
      <c r="F814">
        <v>200673.66749299996</v>
      </c>
      <c r="G814" s="39">
        <v>44075</v>
      </c>
    </row>
    <row r="815" spans="1:7" x14ac:dyDescent="0.25">
      <c r="A815" t="s">
        <v>32</v>
      </c>
      <c r="B815">
        <v>2020</v>
      </c>
      <c r="C815" t="s">
        <v>16</v>
      </c>
      <c r="D815">
        <v>154918.53</v>
      </c>
      <c r="E815">
        <v>126781.089975</v>
      </c>
      <c r="F815">
        <v>228811.10751799995</v>
      </c>
      <c r="G815" s="39">
        <v>44105</v>
      </c>
    </row>
    <row r="816" spans="1:7" x14ac:dyDescent="0.25">
      <c r="A816" t="s">
        <v>32</v>
      </c>
      <c r="B816">
        <v>2020</v>
      </c>
      <c r="C816" t="s">
        <v>17</v>
      </c>
      <c r="D816">
        <v>169193.91</v>
      </c>
      <c r="E816">
        <v>135295.41444299999</v>
      </c>
      <c r="F816">
        <v>262709.60307499999</v>
      </c>
      <c r="G816" s="39">
        <v>44136</v>
      </c>
    </row>
    <row r="817" spans="1:7" x14ac:dyDescent="0.25">
      <c r="A817" t="s">
        <v>32</v>
      </c>
      <c r="B817">
        <v>2020</v>
      </c>
      <c r="C817" t="s">
        <v>18</v>
      </c>
      <c r="D817">
        <v>274810.50520000001</v>
      </c>
      <c r="E817">
        <v>292620.90940399998</v>
      </c>
      <c r="F817">
        <v>244899.19887100003</v>
      </c>
      <c r="G817" s="39">
        <v>44166</v>
      </c>
    </row>
    <row r="818" spans="1:7" x14ac:dyDescent="0.25">
      <c r="A818" t="s">
        <v>32</v>
      </c>
      <c r="B818">
        <v>2021</v>
      </c>
      <c r="C818" t="s">
        <v>7</v>
      </c>
      <c r="D818">
        <v>213386.34673300001</v>
      </c>
      <c r="E818">
        <v>104497.514524</v>
      </c>
      <c r="F818">
        <v>353788.03108000004</v>
      </c>
      <c r="G818" s="39">
        <v>44197</v>
      </c>
    </row>
    <row r="819" spans="1:7" x14ac:dyDescent="0.25">
      <c r="A819" t="s">
        <v>32</v>
      </c>
      <c r="B819">
        <v>2021</v>
      </c>
      <c r="C819" t="s">
        <v>8</v>
      </c>
      <c r="D819">
        <v>360959.18009500002</v>
      </c>
      <c r="E819">
        <v>212873.321589</v>
      </c>
      <c r="F819">
        <v>501873.88958600006</v>
      </c>
      <c r="G819" s="39">
        <v>44228</v>
      </c>
    </row>
    <row r="820" spans="1:7" x14ac:dyDescent="0.25">
      <c r="A820" t="s">
        <v>32</v>
      </c>
      <c r="B820">
        <v>2021</v>
      </c>
      <c r="C820" t="s">
        <v>9</v>
      </c>
      <c r="D820">
        <v>246498.28750000001</v>
      </c>
      <c r="E820">
        <v>188623.658558</v>
      </c>
      <c r="F820">
        <v>559748.5185280001</v>
      </c>
      <c r="G820" s="39">
        <v>44256</v>
      </c>
    </row>
    <row r="821" spans="1:7" x14ac:dyDescent="0.25">
      <c r="A821" t="s">
        <v>32</v>
      </c>
      <c r="B821">
        <v>2021</v>
      </c>
      <c r="C821" t="s">
        <v>10</v>
      </c>
      <c r="D821">
        <v>203410.351</v>
      </c>
      <c r="E821">
        <v>198498.98994900001</v>
      </c>
      <c r="F821">
        <v>564659.87957900017</v>
      </c>
      <c r="G821" s="39">
        <v>44287</v>
      </c>
    </row>
    <row r="822" spans="1:7" x14ac:dyDescent="0.25">
      <c r="A822" t="s">
        <v>32</v>
      </c>
      <c r="B822">
        <v>2021</v>
      </c>
      <c r="C822" t="s">
        <v>11</v>
      </c>
      <c r="D822">
        <v>168316.30618799999</v>
      </c>
      <c r="E822">
        <v>168471.244875</v>
      </c>
      <c r="F822">
        <v>564504.94089200022</v>
      </c>
      <c r="G822" s="39">
        <v>44317</v>
      </c>
    </row>
    <row r="823" spans="1:7" x14ac:dyDescent="0.25">
      <c r="A823" t="s">
        <v>32</v>
      </c>
      <c r="B823">
        <v>2021</v>
      </c>
      <c r="C823" t="s">
        <v>12</v>
      </c>
      <c r="D823">
        <v>67731.027923000001</v>
      </c>
      <c r="E823">
        <v>130651.206635</v>
      </c>
      <c r="F823">
        <v>501584.76218000025</v>
      </c>
      <c r="G823" s="39">
        <v>44348</v>
      </c>
    </row>
    <row r="824" spans="1:7" x14ac:dyDescent="0.25">
      <c r="A824" t="s">
        <v>32</v>
      </c>
      <c r="B824">
        <v>2021</v>
      </c>
      <c r="C824" t="s">
        <v>13</v>
      </c>
      <c r="D824">
        <v>171728.69625000001</v>
      </c>
      <c r="E824">
        <v>191817.49982299999</v>
      </c>
      <c r="F824">
        <v>481495.95860700024</v>
      </c>
      <c r="G824" s="39">
        <v>44378</v>
      </c>
    </row>
    <row r="825" spans="1:7" x14ac:dyDescent="0.25">
      <c r="A825" t="s">
        <v>32</v>
      </c>
      <c r="B825">
        <v>2021</v>
      </c>
      <c r="C825" t="s">
        <v>14</v>
      </c>
      <c r="D825">
        <v>255150.23756800001</v>
      </c>
      <c r="E825">
        <v>221248.40511600001</v>
      </c>
      <c r="F825">
        <v>515397.7910590003</v>
      </c>
      <c r="G825" s="39">
        <v>44409</v>
      </c>
    </row>
    <row r="826" spans="1:7" x14ac:dyDescent="0.25">
      <c r="A826" t="s">
        <v>32</v>
      </c>
      <c r="B826">
        <v>2021</v>
      </c>
      <c r="C826" t="s">
        <v>15</v>
      </c>
      <c r="D826">
        <v>155535.07833300001</v>
      </c>
      <c r="E826">
        <v>186017.93633600001</v>
      </c>
      <c r="F826">
        <v>484914.93305600039</v>
      </c>
      <c r="G826" s="39">
        <v>44440</v>
      </c>
    </row>
    <row r="827" spans="1:7" x14ac:dyDescent="0.25">
      <c r="A827" t="s">
        <v>32</v>
      </c>
      <c r="B827">
        <v>2021</v>
      </c>
      <c r="C827" t="s">
        <v>16</v>
      </c>
      <c r="D827">
        <v>233914.50255999999</v>
      </c>
      <c r="E827">
        <v>222311.42140399999</v>
      </c>
      <c r="F827">
        <v>496518.0142120003</v>
      </c>
      <c r="G827" s="39">
        <v>44470</v>
      </c>
    </row>
    <row r="828" spans="1:7" x14ac:dyDescent="0.25">
      <c r="A828" t="s">
        <v>32</v>
      </c>
      <c r="B828">
        <v>2021</v>
      </c>
      <c r="C828" t="s">
        <v>17</v>
      </c>
      <c r="D828">
        <v>338735.95889200002</v>
      </c>
      <c r="E828">
        <v>161975.98780500001</v>
      </c>
      <c r="F828">
        <v>673277.98529900028</v>
      </c>
      <c r="G828" s="39">
        <v>44501</v>
      </c>
    </row>
    <row r="829" spans="1:7" x14ac:dyDescent="0.25">
      <c r="A829" t="s">
        <v>32</v>
      </c>
      <c r="B829">
        <v>2021</v>
      </c>
      <c r="C829" t="s">
        <v>18</v>
      </c>
      <c r="D829">
        <v>335253.40591700003</v>
      </c>
      <c r="E829">
        <v>187176.562347</v>
      </c>
      <c r="F829">
        <v>821354.82886900031</v>
      </c>
      <c r="G829" s="39">
        <v>44531</v>
      </c>
    </row>
    <row r="830" spans="1:7" x14ac:dyDescent="0.25">
      <c r="A830" t="s">
        <v>32</v>
      </c>
      <c r="B830">
        <v>2022</v>
      </c>
      <c r="C830" t="s">
        <v>7</v>
      </c>
      <c r="D830">
        <v>237395</v>
      </c>
      <c r="E830">
        <v>211396.377462</v>
      </c>
      <c r="F830">
        <v>847353.45140700031</v>
      </c>
      <c r="G830" s="39">
        <v>44562</v>
      </c>
    </row>
    <row r="831" spans="1:7" x14ac:dyDescent="0.25">
      <c r="A831" t="s">
        <v>32</v>
      </c>
      <c r="B831">
        <v>2022</v>
      </c>
      <c r="C831" t="s">
        <v>8</v>
      </c>
      <c r="D831">
        <v>188876.05633799999</v>
      </c>
      <c r="E831">
        <v>157741.012904</v>
      </c>
      <c r="F831">
        <v>878488.4948410003</v>
      </c>
      <c r="G831" s="39">
        <v>44593</v>
      </c>
    </row>
    <row r="832" spans="1:7" x14ac:dyDescent="0.25">
      <c r="A832" t="s">
        <v>32</v>
      </c>
      <c r="B832">
        <v>2022</v>
      </c>
      <c r="C832" t="s">
        <v>9</v>
      </c>
      <c r="D832">
        <v>511760</v>
      </c>
      <c r="E832">
        <v>300569.85718699999</v>
      </c>
      <c r="F832">
        <v>1089678.6376540004</v>
      </c>
      <c r="G832" s="39">
        <v>44621</v>
      </c>
    </row>
    <row r="833" spans="1:7" x14ac:dyDescent="0.25">
      <c r="A833" t="s">
        <v>32</v>
      </c>
      <c r="B833">
        <v>2022</v>
      </c>
      <c r="C833" t="s">
        <v>10</v>
      </c>
      <c r="D833">
        <v>209530.334</v>
      </c>
      <c r="E833">
        <v>403948.27056899999</v>
      </c>
      <c r="F833">
        <v>895260.70108500053</v>
      </c>
      <c r="G833" s="39">
        <v>44652</v>
      </c>
    </row>
    <row r="834" spans="1:7" x14ac:dyDescent="0.25">
      <c r="A834" t="s">
        <v>32</v>
      </c>
      <c r="B834">
        <v>2022</v>
      </c>
      <c r="C834" t="s">
        <v>11</v>
      </c>
      <c r="D834">
        <v>153696.71571399999</v>
      </c>
      <c r="E834">
        <v>221199.55429199999</v>
      </c>
      <c r="F834">
        <v>827757.86250700045</v>
      </c>
      <c r="G834" s="39">
        <v>44682</v>
      </c>
    </row>
    <row r="835" spans="1:7" x14ac:dyDescent="0.25">
      <c r="A835" t="s">
        <v>32</v>
      </c>
      <c r="B835">
        <v>2022</v>
      </c>
      <c r="C835" t="s">
        <v>12</v>
      </c>
      <c r="D835">
        <v>191756.87700000001</v>
      </c>
      <c r="E835">
        <v>221819.643105</v>
      </c>
      <c r="F835">
        <v>797695.0964020004</v>
      </c>
      <c r="G835" s="39">
        <v>44713</v>
      </c>
    </row>
    <row r="836" spans="1:7" x14ac:dyDescent="0.25">
      <c r="A836" t="s">
        <v>32</v>
      </c>
      <c r="B836">
        <v>2022</v>
      </c>
      <c r="C836" t="s">
        <v>13</v>
      </c>
      <c r="D836">
        <v>125374.25900000001</v>
      </c>
      <c r="E836">
        <v>135912.45051900001</v>
      </c>
      <c r="F836">
        <v>787156.9048830003</v>
      </c>
      <c r="G836" s="39">
        <v>44743</v>
      </c>
    </row>
    <row r="837" spans="1:7" x14ac:dyDescent="0.25">
      <c r="A837" t="s">
        <v>32</v>
      </c>
      <c r="B837">
        <v>2022</v>
      </c>
      <c r="C837" t="s">
        <v>14</v>
      </c>
      <c r="D837">
        <v>61369.86</v>
      </c>
      <c r="E837">
        <v>171682.88978600001</v>
      </c>
      <c r="F837">
        <v>676843.87509700027</v>
      </c>
      <c r="G837" s="39">
        <v>44774</v>
      </c>
    </row>
    <row r="838" spans="1:7" x14ac:dyDescent="0.25">
      <c r="A838" t="s">
        <v>32</v>
      </c>
      <c r="B838">
        <v>2022</v>
      </c>
      <c r="C838" t="s">
        <v>15</v>
      </c>
      <c r="D838">
        <v>159461.62683299999</v>
      </c>
      <c r="E838">
        <v>278133.329149</v>
      </c>
      <c r="F838">
        <v>558172.17278100026</v>
      </c>
      <c r="G838" s="39">
        <v>44805</v>
      </c>
    </row>
    <row r="839" spans="1:7" x14ac:dyDescent="0.25">
      <c r="A839" t="s">
        <v>32</v>
      </c>
      <c r="B839">
        <v>2022</v>
      </c>
      <c r="C839" t="s">
        <v>16</v>
      </c>
      <c r="D839">
        <v>140363.39000000001</v>
      </c>
      <c r="E839">
        <v>255864.070557</v>
      </c>
      <c r="F839">
        <v>442671.49222400028</v>
      </c>
      <c r="G839" s="39">
        <v>44835</v>
      </c>
    </row>
    <row r="840" spans="1:7" x14ac:dyDescent="0.25">
      <c r="A840" t="s">
        <v>32</v>
      </c>
      <c r="B840">
        <v>2022</v>
      </c>
      <c r="C840" t="s">
        <v>17</v>
      </c>
      <c r="D840">
        <v>353696.4</v>
      </c>
      <c r="E840">
        <v>287726.78930200002</v>
      </c>
      <c r="F840">
        <v>508641.10292200028</v>
      </c>
      <c r="G840" s="39">
        <v>44866</v>
      </c>
    </row>
    <row r="841" spans="1:7" x14ac:dyDescent="0.25">
      <c r="A841" t="s">
        <v>32</v>
      </c>
      <c r="B841">
        <v>2022</v>
      </c>
      <c r="C841" t="s">
        <v>18</v>
      </c>
      <c r="D841">
        <v>412637.31</v>
      </c>
      <c r="E841">
        <v>335079.05765099998</v>
      </c>
      <c r="F841">
        <v>586199.3552710003</v>
      </c>
      <c r="G841" s="39">
        <v>44896</v>
      </c>
    </row>
    <row r="842" spans="1:7" x14ac:dyDescent="0.25">
      <c r="A842" t="s">
        <v>32</v>
      </c>
      <c r="B842">
        <v>2023</v>
      </c>
      <c r="C842" t="s">
        <v>7</v>
      </c>
      <c r="D842">
        <v>46152.42</v>
      </c>
      <c r="E842">
        <v>146836.92220599999</v>
      </c>
      <c r="F842">
        <v>485514.85306500038</v>
      </c>
      <c r="G842" s="39">
        <v>44927</v>
      </c>
    </row>
    <row r="843" spans="1:7" x14ac:dyDescent="0.25">
      <c r="A843" t="s">
        <v>32</v>
      </c>
      <c r="B843">
        <v>2023</v>
      </c>
      <c r="C843" t="s">
        <v>8</v>
      </c>
      <c r="D843">
        <v>182301.77</v>
      </c>
      <c r="E843">
        <v>237871.886704</v>
      </c>
      <c r="F843">
        <v>429944.7363610004</v>
      </c>
      <c r="G843" s="39">
        <v>44958</v>
      </c>
    </row>
    <row r="844" spans="1:7" x14ac:dyDescent="0.25">
      <c r="A844" t="s">
        <v>32</v>
      </c>
      <c r="B844">
        <v>2023</v>
      </c>
      <c r="C844" t="s">
        <v>9</v>
      </c>
      <c r="D844">
        <v>238401.9</v>
      </c>
      <c r="E844">
        <v>169488.57999100001</v>
      </c>
      <c r="F844">
        <v>498858.05637000035</v>
      </c>
      <c r="G844" s="39">
        <v>44986</v>
      </c>
    </row>
    <row r="845" spans="1:7" x14ac:dyDescent="0.25">
      <c r="A845" t="s">
        <v>32</v>
      </c>
      <c r="B845">
        <v>2023</v>
      </c>
      <c r="C845" t="s">
        <v>10</v>
      </c>
      <c r="D845">
        <v>166718.019</v>
      </c>
      <c r="E845">
        <v>195858.55562900001</v>
      </c>
      <c r="F845">
        <v>469717.51974100032</v>
      </c>
      <c r="G845" s="39">
        <v>45017</v>
      </c>
    </row>
    <row r="846" spans="1:7" x14ac:dyDescent="0.25">
      <c r="A846" t="s">
        <v>32</v>
      </c>
      <c r="B846">
        <v>2023</v>
      </c>
      <c r="C846" t="s">
        <v>11</v>
      </c>
      <c r="D846">
        <v>334900.12</v>
      </c>
      <c r="E846">
        <v>249471.326535</v>
      </c>
      <c r="F846">
        <v>555146.31320600025</v>
      </c>
      <c r="G846" s="39">
        <v>45047</v>
      </c>
    </row>
    <row r="847" spans="1:7" x14ac:dyDescent="0.25">
      <c r="A847" t="s">
        <v>32</v>
      </c>
      <c r="B847">
        <v>2023</v>
      </c>
      <c r="C847" t="s">
        <v>12</v>
      </c>
      <c r="D847">
        <v>427787.52875</v>
      </c>
      <c r="E847">
        <v>515640.80845000001</v>
      </c>
      <c r="F847">
        <v>467293.0335060003</v>
      </c>
      <c r="G847" s="39">
        <v>45078</v>
      </c>
    </row>
    <row r="848" spans="1:7" x14ac:dyDescent="0.25">
      <c r="A848" t="s">
        <v>32</v>
      </c>
      <c r="B848">
        <v>2023</v>
      </c>
      <c r="C848" t="s">
        <v>13</v>
      </c>
      <c r="D848">
        <v>325048.38</v>
      </c>
      <c r="E848">
        <v>157963.84388299999</v>
      </c>
      <c r="F848">
        <v>634377.56962300034</v>
      </c>
      <c r="G848" s="39">
        <v>45108</v>
      </c>
    </row>
    <row r="849" spans="1:7" x14ac:dyDescent="0.25">
      <c r="A849" t="s">
        <v>32</v>
      </c>
      <c r="B849">
        <v>2023</v>
      </c>
      <c r="C849" t="s">
        <v>14</v>
      </c>
      <c r="D849">
        <v>288629.85639999999</v>
      </c>
      <c r="E849">
        <v>202067.785359</v>
      </c>
      <c r="F849">
        <v>720939.64066400041</v>
      </c>
      <c r="G849" s="39">
        <v>45139</v>
      </c>
    </row>
    <row r="850" spans="1:7" x14ac:dyDescent="0.25">
      <c r="A850" t="s">
        <v>32</v>
      </c>
      <c r="B850">
        <v>2023</v>
      </c>
      <c r="C850" t="s">
        <v>15</v>
      </c>
      <c r="D850">
        <v>167688.01999999999</v>
      </c>
      <c r="E850">
        <v>281722.66344899999</v>
      </c>
      <c r="F850">
        <v>606904.99721500045</v>
      </c>
      <c r="G850" s="39">
        <v>45170</v>
      </c>
    </row>
    <row r="851" spans="1:7" x14ac:dyDescent="0.25">
      <c r="A851" t="s">
        <v>32</v>
      </c>
      <c r="B851">
        <v>2023</v>
      </c>
      <c r="C851" t="s">
        <v>16</v>
      </c>
      <c r="D851">
        <v>353603.49200000003</v>
      </c>
      <c r="E851">
        <v>368561.14971600001</v>
      </c>
      <c r="F851">
        <v>591947.33949900046</v>
      </c>
      <c r="G851" s="39">
        <v>45200</v>
      </c>
    </row>
    <row r="852" spans="1:7" x14ac:dyDescent="0.25">
      <c r="A852" t="s">
        <v>32</v>
      </c>
      <c r="B852">
        <v>2023</v>
      </c>
      <c r="C852" t="s">
        <v>17</v>
      </c>
      <c r="D852">
        <v>246943.61</v>
      </c>
      <c r="E852">
        <v>369853.833231</v>
      </c>
      <c r="F852">
        <v>469037.11626800045</v>
      </c>
      <c r="G852" s="39">
        <v>45231</v>
      </c>
    </row>
    <row r="853" spans="1:7" x14ac:dyDescent="0.25">
      <c r="A853" t="s">
        <v>32</v>
      </c>
      <c r="B853">
        <v>2023</v>
      </c>
      <c r="C853" t="s">
        <v>18</v>
      </c>
      <c r="D853">
        <v>246943.61</v>
      </c>
      <c r="E853">
        <v>369853.833231</v>
      </c>
      <c r="F853">
        <v>346126.89303700044</v>
      </c>
      <c r="G853" s="39">
        <v>45261</v>
      </c>
    </row>
    <row r="854" spans="1:7" x14ac:dyDescent="0.25">
      <c r="A854" t="s">
        <v>32</v>
      </c>
      <c r="B854">
        <v>2024</v>
      </c>
      <c r="C854" t="s">
        <v>7</v>
      </c>
      <c r="F854">
        <v>346126.89303700044</v>
      </c>
      <c r="G854" s="39">
        <v>45292</v>
      </c>
    </row>
    <row r="855" spans="1:7" x14ac:dyDescent="0.25">
      <c r="A855" t="s">
        <v>32</v>
      </c>
      <c r="B855">
        <v>2024</v>
      </c>
      <c r="C855" t="s">
        <v>8</v>
      </c>
      <c r="F855">
        <v>346126.89303700044</v>
      </c>
      <c r="G855" s="39">
        <v>45323</v>
      </c>
    </row>
    <row r="856" spans="1:7" x14ac:dyDescent="0.25">
      <c r="A856" t="s">
        <v>32</v>
      </c>
      <c r="B856">
        <v>2024</v>
      </c>
      <c r="C856" t="s">
        <v>9</v>
      </c>
      <c r="F856">
        <v>346126.89303700044</v>
      </c>
      <c r="G856" s="39">
        <v>45352</v>
      </c>
    </row>
    <row r="857" spans="1:7" x14ac:dyDescent="0.25">
      <c r="A857" t="s">
        <v>32</v>
      </c>
      <c r="B857">
        <v>2024</v>
      </c>
      <c r="C857" t="s">
        <v>10</v>
      </c>
      <c r="F857">
        <v>346126.89303700044</v>
      </c>
      <c r="G857" s="39">
        <v>45383</v>
      </c>
    </row>
    <row r="858" spans="1:7" x14ac:dyDescent="0.25">
      <c r="A858" t="s">
        <v>32</v>
      </c>
      <c r="B858">
        <v>2024</v>
      </c>
      <c r="C858" t="s">
        <v>11</v>
      </c>
      <c r="F858">
        <v>346126.89303700044</v>
      </c>
      <c r="G858" s="39">
        <v>45413</v>
      </c>
    </row>
    <row r="859" spans="1:7" x14ac:dyDescent="0.25">
      <c r="A859" t="s">
        <v>32</v>
      </c>
      <c r="B859">
        <v>2024</v>
      </c>
      <c r="C859" t="s">
        <v>12</v>
      </c>
      <c r="F859">
        <v>346126.89303700044</v>
      </c>
      <c r="G859" s="39">
        <v>45444</v>
      </c>
    </row>
    <row r="860" spans="1:7" x14ac:dyDescent="0.25">
      <c r="A860" t="s">
        <v>32</v>
      </c>
      <c r="B860">
        <v>2024</v>
      </c>
      <c r="C860" t="s">
        <v>13</v>
      </c>
      <c r="F860">
        <v>346126.89303700044</v>
      </c>
      <c r="G860" s="39">
        <v>45474</v>
      </c>
    </row>
    <row r="861" spans="1:7" x14ac:dyDescent="0.25">
      <c r="A861" t="s">
        <v>32</v>
      </c>
      <c r="B861">
        <v>2024</v>
      </c>
      <c r="C861" t="s">
        <v>14</v>
      </c>
      <c r="F861">
        <v>346126.89303700044</v>
      </c>
      <c r="G861" s="39">
        <v>45505</v>
      </c>
    </row>
    <row r="862" spans="1:7" x14ac:dyDescent="0.25">
      <c r="A862" t="s">
        <v>32</v>
      </c>
      <c r="B862">
        <v>2024</v>
      </c>
      <c r="C862" t="s">
        <v>15</v>
      </c>
      <c r="F862">
        <v>346126.89303700044</v>
      </c>
      <c r="G862" s="39">
        <v>45536</v>
      </c>
    </row>
    <row r="863" spans="1:7" x14ac:dyDescent="0.25">
      <c r="A863" t="s">
        <v>32</v>
      </c>
      <c r="B863">
        <v>2024</v>
      </c>
      <c r="C863" t="s">
        <v>16</v>
      </c>
      <c r="F863">
        <v>346126.89303700044</v>
      </c>
      <c r="G863" s="39">
        <v>45566</v>
      </c>
    </row>
    <row r="864" spans="1:7" x14ac:dyDescent="0.25">
      <c r="A864" t="s">
        <v>32</v>
      </c>
      <c r="B864">
        <v>2024</v>
      </c>
      <c r="C864" t="s">
        <v>17</v>
      </c>
      <c r="F864">
        <v>346126.89303700044</v>
      </c>
      <c r="G864" s="39">
        <v>45597</v>
      </c>
    </row>
    <row r="865" spans="1:7" x14ac:dyDescent="0.25">
      <c r="A865" t="s">
        <v>32</v>
      </c>
      <c r="B865">
        <v>2024</v>
      </c>
      <c r="C865" t="s">
        <v>18</v>
      </c>
      <c r="F865">
        <v>346126.89303700044</v>
      </c>
      <c r="G865" s="39">
        <v>45627</v>
      </c>
    </row>
    <row r="866" spans="1:7" x14ac:dyDescent="0.25">
      <c r="A866" t="s">
        <v>33</v>
      </c>
      <c r="B866">
        <v>2019</v>
      </c>
      <c r="C866" t="s">
        <v>7</v>
      </c>
      <c r="D866">
        <v>175344.79</v>
      </c>
      <c r="E866">
        <v>78647.338000000003</v>
      </c>
      <c r="F866">
        <v>171531.56005100004</v>
      </c>
      <c r="G866" s="39">
        <v>43466</v>
      </c>
    </row>
    <row r="867" spans="1:7" x14ac:dyDescent="0.25">
      <c r="A867" t="s">
        <v>33</v>
      </c>
      <c r="B867">
        <v>2019</v>
      </c>
      <c r="C867" t="s">
        <v>8</v>
      </c>
      <c r="D867">
        <v>140968.09</v>
      </c>
      <c r="E867">
        <v>167024.26199999999</v>
      </c>
      <c r="F867">
        <v>145475.38805100007</v>
      </c>
      <c r="G867" s="39">
        <v>43497</v>
      </c>
    </row>
    <row r="868" spans="1:7" x14ac:dyDescent="0.25">
      <c r="A868" t="s">
        <v>33</v>
      </c>
      <c r="B868">
        <v>2019</v>
      </c>
      <c r="C868" t="s">
        <v>9</v>
      </c>
      <c r="D868">
        <v>423565.84</v>
      </c>
      <c r="E868">
        <v>285809.13699999999</v>
      </c>
      <c r="F868">
        <v>283232.09105100005</v>
      </c>
      <c r="G868" s="39">
        <v>43525</v>
      </c>
    </row>
    <row r="869" spans="1:7" x14ac:dyDescent="0.25">
      <c r="A869" t="s">
        <v>33</v>
      </c>
      <c r="B869">
        <v>2019</v>
      </c>
      <c r="C869" t="s">
        <v>10</v>
      </c>
      <c r="D869">
        <v>146241.66</v>
      </c>
      <c r="E869">
        <v>275299.67975000001</v>
      </c>
      <c r="F869">
        <v>154174.07130100008</v>
      </c>
      <c r="G869" s="39">
        <v>43556</v>
      </c>
    </row>
    <row r="870" spans="1:7" x14ac:dyDescent="0.25">
      <c r="A870" t="s">
        <v>33</v>
      </c>
      <c r="B870">
        <v>2019</v>
      </c>
      <c r="C870" t="s">
        <v>11</v>
      </c>
      <c r="D870">
        <v>208654.94</v>
      </c>
      <c r="E870">
        <v>224269.34035000001</v>
      </c>
      <c r="F870">
        <v>138559.67095100007</v>
      </c>
      <c r="G870" s="39">
        <v>43586</v>
      </c>
    </row>
    <row r="871" spans="1:7" x14ac:dyDescent="0.25">
      <c r="A871" t="s">
        <v>33</v>
      </c>
      <c r="B871">
        <v>2019</v>
      </c>
      <c r="C871" t="s">
        <v>12</v>
      </c>
      <c r="D871">
        <v>389271.51</v>
      </c>
      <c r="E871">
        <v>177999.49825</v>
      </c>
      <c r="F871">
        <v>349831.68270100007</v>
      </c>
      <c r="G871" s="39">
        <v>43617</v>
      </c>
    </row>
    <row r="872" spans="1:7" x14ac:dyDescent="0.25">
      <c r="A872" t="s">
        <v>33</v>
      </c>
      <c r="B872">
        <v>2019</v>
      </c>
      <c r="C872" t="s">
        <v>13</v>
      </c>
      <c r="D872">
        <v>202901.46</v>
      </c>
      <c r="E872">
        <v>205344.44025000001</v>
      </c>
      <c r="F872">
        <v>347388.70245100011</v>
      </c>
      <c r="G872" s="39">
        <v>43647</v>
      </c>
    </row>
    <row r="873" spans="1:7" x14ac:dyDescent="0.25">
      <c r="A873" t="s">
        <v>33</v>
      </c>
      <c r="B873">
        <v>2019</v>
      </c>
      <c r="C873" t="s">
        <v>14</v>
      </c>
      <c r="D873">
        <v>193019.2</v>
      </c>
      <c r="E873">
        <v>244426.44931200001</v>
      </c>
      <c r="F873">
        <v>295981.45313900016</v>
      </c>
      <c r="G873" s="39">
        <v>43678</v>
      </c>
    </row>
    <row r="874" spans="1:7" x14ac:dyDescent="0.25">
      <c r="A874" t="s">
        <v>33</v>
      </c>
      <c r="B874">
        <v>2019</v>
      </c>
      <c r="C874" t="s">
        <v>15</v>
      </c>
      <c r="D874">
        <v>141858.01999999999</v>
      </c>
      <c r="E874">
        <v>233634.867168</v>
      </c>
      <c r="F874">
        <v>204204.60597100013</v>
      </c>
      <c r="G874" s="39">
        <v>43709</v>
      </c>
    </row>
    <row r="875" spans="1:7" x14ac:dyDescent="0.25">
      <c r="A875" t="s">
        <v>33</v>
      </c>
      <c r="B875">
        <v>2019</v>
      </c>
      <c r="C875" t="s">
        <v>16</v>
      </c>
      <c r="D875">
        <v>386944.92</v>
      </c>
      <c r="E875">
        <v>250173.63141</v>
      </c>
      <c r="F875">
        <v>340975.89456100005</v>
      </c>
      <c r="G875" s="39">
        <v>43739</v>
      </c>
    </row>
    <row r="876" spans="1:7" x14ac:dyDescent="0.25">
      <c r="A876" t="s">
        <v>33</v>
      </c>
      <c r="B876">
        <v>2019</v>
      </c>
      <c r="C876" t="s">
        <v>17</v>
      </c>
      <c r="D876">
        <v>433774.45</v>
      </c>
      <c r="E876">
        <v>375603.77218700002</v>
      </c>
      <c r="F876">
        <v>399146.5723740001</v>
      </c>
      <c r="G876" s="39">
        <v>43770</v>
      </c>
    </row>
    <row r="877" spans="1:7" x14ac:dyDescent="0.25">
      <c r="A877" t="s">
        <v>33</v>
      </c>
      <c r="B877">
        <v>2019</v>
      </c>
      <c r="C877" t="s">
        <v>18</v>
      </c>
      <c r="D877">
        <v>139596.04</v>
      </c>
      <c r="E877">
        <v>244267.459562</v>
      </c>
      <c r="F877">
        <v>294475.15281200013</v>
      </c>
      <c r="G877" s="39">
        <v>43800</v>
      </c>
    </row>
    <row r="878" spans="1:7" x14ac:dyDescent="0.25">
      <c r="A878" t="s">
        <v>33</v>
      </c>
      <c r="B878">
        <v>2020</v>
      </c>
      <c r="C878" t="s">
        <v>7</v>
      </c>
      <c r="D878">
        <v>143876.51999999999</v>
      </c>
      <c r="E878">
        <v>172862.63803599999</v>
      </c>
      <c r="F878">
        <v>265489.03477600019</v>
      </c>
      <c r="G878" s="39">
        <v>43831</v>
      </c>
    </row>
    <row r="879" spans="1:7" x14ac:dyDescent="0.25">
      <c r="A879" t="s">
        <v>33</v>
      </c>
      <c r="B879">
        <v>2020</v>
      </c>
      <c r="C879" t="s">
        <v>8</v>
      </c>
      <c r="D879">
        <v>333326.78999999998</v>
      </c>
      <c r="E879">
        <v>287334.19253499998</v>
      </c>
      <c r="F879">
        <v>311481.63224100013</v>
      </c>
      <c r="G879" s="39">
        <v>43862</v>
      </c>
    </row>
    <row r="880" spans="1:7" x14ac:dyDescent="0.25">
      <c r="A880" t="s">
        <v>33</v>
      </c>
      <c r="B880">
        <v>2020</v>
      </c>
      <c r="C880" t="s">
        <v>9</v>
      </c>
      <c r="D880">
        <v>365772.83</v>
      </c>
      <c r="E880">
        <v>336413.04379999998</v>
      </c>
      <c r="F880">
        <v>340841.41844100016</v>
      </c>
      <c r="G880" s="39">
        <v>43891</v>
      </c>
    </row>
    <row r="881" spans="1:7" x14ac:dyDescent="0.25">
      <c r="A881" t="s">
        <v>33</v>
      </c>
      <c r="B881">
        <v>2020</v>
      </c>
      <c r="C881" t="s">
        <v>10</v>
      </c>
      <c r="D881">
        <v>75148.34</v>
      </c>
      <c r="E881">
        <v>264078.60799599998</v>
      </c>
      <c r="F881">
        <v>151911.15044500015</v>
      </c>
      <c r="G881" s="39">
        <v>43922</v>
      </c>
    </row>
    <row r="882" spans="1:7" x14ac:dyDescent="0.25">
      <c r="A882" t="s">
        <v>33</v>
      </c>
      <c r="B882">
        <v>2020</v>
      </c>
      <c r="C882" t="s">
        <v>11</v>
      </c>
      <c r="D882">
        <v>459284.35</v>
      </c>
      <c r="E882">
        <v>461945.47620899999</v>
      </c>
      <c r="F882">
        <v>149250.02423600014</v>
      </c>
      <c r="G882" s="39">
        <v>43952</v>
      </c>
    </row>
    <row r="883" spans="1:7" x14ac:dyDescent="0.25">
      <c r="A883" t="s">
        <v>33</v>
      </c>
      <c r="B883">
        <v>2020</v>
      </c>
      <c r="C883" t="s">
        <v>12</v>
      </c>
      <c r="D883">
        <v>284448.15000000002</v>
      </c>
      <c r="E883">
        <v>277998.77838999999</v>
      </c>
      <c r="F883">
        <v>155699.39584600017</v>
      </c>
      <c r="G883" s="39">
        <v>43983</v>
      </c>
    </row>
    <row r="884" spans="1:7" x14ac:dyDescent="0.25">
      <c r="A884" t="s">
        <v>33</v>
      </c>
      <c r="B884">
        <v>2020</v>
      </c>
      <c r="C884" t="s">
        <v>13</v>
      </c>
      <c r="D884">
        <v>142001.22</v>
      </c>
      <c r="E884">
        <v>153085.03714599999</v>
      </c>
      <c r="F884">
        <v>144615.57870000016</v>
      </c>
      <c r="G884" s="39">
        <v>44013</v>
      </c>
    </row>
    <row r="885" spans="1:7" x14ac:dyDescent="0.25">
      <c r="A885" t="s">
        <v>33</v>
      </c>
      <c r="B885">
        <v>2020</v>
      </c>
      <c r="C885" t="s">
        <v>14</v>
      </c>
      <c r="D885">
        <v>364432.96</v>
      </c>
      <c r="E885">
        <v>274070.00939999998</v>
      </c>
      <c r="F885">
        <v>234978.52930000017</v>
      </c>
      <c r="G885" s="39">
        <v>44044</v>
      </c>
    </row>
    <row r="886" spans="1:7" x14ac:dyDescent="0.25">
      <c r="A886" t="s">
        <v>33</v>
      </c>
      <c r="B886">
        <v>2020</v>
      </c>
      <c r="C886" t="s">
        <v>15</v>
      </c>
      <c r="D886">
        <v>277419.58</v>
      </c>
      <c r="E886">
        <v>333347.20500000002</v>
      </c>
      <c r="F886">
        <v>179050.90430000017</v>
      </c>
      <c r="G886" s="39">
        <v>44075</v>
      </c>
    </row>
    <row r="887" spans="1:7" x14ac:dyDescent="0.25">
      <c r="A887" t="s">
        <v>33</v>
      </c>
      <c r="B887">
        <v>2020</v>
      </c>
      <c r="C887" t="s">
        <v>16</v>
      </c>
      <c r="D887">
        <v>283161.57999900001</v>
      </c>
      <c r="E887">
        <v>282400.772429</v>
      </c>
      <c r="F887">
        <v>179811.71187000017</v>
      </c>
      <c r="G887" s="39">
        <v>44105</v>
      </c>
    </row>
    <row r="888" spans="1:7" x14ac:dyDescent="0.25">
      <c r="A888" t="s">
        <v>33</v>
      </c>
      <c r="B888">
        <v>2020</v>
      </c>
      <c r="C888" t="s">
        <v>17</v>
      </c>
      <c r="D888">
        <v>336340.41</v>
      </c>
      <c r="E888">
        <v>246892.74379000001</v>
      </c>
      <c r="F888">
        <v>269259.37808000017</v>
      </c>
      <c r="G888" s="39">
        <v>44136</v>
      </c>
    </row>
    <row r="889" spans="1:7" x14ac:dyDescent="0.25">
      <c r="A889" t="s">
        <v>33</v>
      </c>
      <c r="B889">
        <v>2020</v>
      </c>
      <c r="C889" t="s">
        <v>18</v>
      </c>
      <c r="D889">
        <v>296575.34000000003</v>
      </c>
      <c r="E889">
        <v>155493.57143400001</v>
      </c>
      <c r="F889">
        <v>410341.14664600021</v>
      </c>
      <c r="G889" s="39">
        <v>44166</v>
      </c>
    </row>
    <row r="890" spans="1:7" x14ac:dyDescent="0.25">
      <c r="A890" t="s">
        <v>33</v>
      </c>
      <c r="B890">
        <v>2021</v>
      </c>
      <c r="C890" t="s">
        <v>7</v>
      </c>
      <c r="D890">
        <v>190400.09</v>
      </c>
      <c r="E890">
        <v>335854.26221100002</v>
      </c>
      <c r="F890">
        <v>264886.97443500016</v>
      </c>
      <c r="G890" s="39">
        <v>44197</v>
      </c>
    </row>
    <row r="891" spans="1:7" x14ac:dyDescent="0.25">
      <c r="A891" t="s">
        <v>33</v>
      </c>
      <c r="B891">
        <v>2021</v>
      </c>
      <c r="C891" t="s">
        <v>8</v>
      </c>
      <c r="D891">
        <v>563981.29</v>
      </c>
      <c r="E891">
        <v>303534.91489000001</v>
      </c>
      <c r="F891">
        <v>525333.34954500024</v>
      </c>
      <c r="G891" s="39">
        <v>44228</v>
      </c>
    </row>
    <row r="892" spans="1:7" x14ac:dyDescent="0.25">
      <c r="A892" t="s">
        <v>33</v>
      </c>
      <c r="B892">
        <v>2021</v>
      </c>
      <c r="C892" t="s">
        <v>9</v>
      </c>
      <c r="D892">
        <v>485183.2</v>
      </c>
      <c r="E892">
        <v>317068.98964300001</v>
      </c>
      <c r="F892">
        <v>693447.55990200024</v>
      </c>
      <c r="G892" s="39">
        <v>44256</v>
      </c>
    </row>
    <row r="893" spans="1:7" x14ac:dyDescent="0.25">
      <c r="A893" t="s">
        <v>33</v>
      </c>
      <c r="B893">
        <v>2021</v>
      </c>
      <c r="C893" t="s">
        <v>10</v>
      </c>
      <c r="D893">
        <v>380351.28</v>
      </c>
      <c r="E893">
        <v>371385.870888</v>
      </c>
      <c r="F893">
        <v>702412.96901400026</v>
      </c>
      <c r="G893" s="39">
        <v>44287</v>
      </c>
    </row>
    <row r="894" spans="1:7" x14ac:dyDescent="0.25">
      <c r="A894" t="s">
        <v>33</v>
      </c>
      <c r="B894">
        <v>2021</v>
      </c>
      <c r="C894" t="s">
        <v>11</v>
      </c>
      <c r="D894">
        <v>392772.68</v>
      </c>
      <c r="E894">
        <v>535394.783987</v>
      </c>
      <c r="F894">
        <v>559790.86502700031</v>
      </c>
      <c r="G894" s="39">
        <v>44317</v>
      </c>
    </row>
    <row r="895" spans="1:7" x14ac:dyDescent="0.25">
      <c r="A895" t="s">
        <v>33</v>
      </c>
      <c r="B895">
        <v>2021</v>
      </c>
      <c r="C895" t="s">
        <v>12</v>
      </c>
      <c r="D895">
        <v>395878.40000000002</v>
      </c>
      <c r="E895">
        <v>599510.86013000004</v>
      </c>
      <c r="F895">
        <v>356158.40489700029</v>
      </c>
      <c r="G895" s="39">
        <v>44348</v>
      </c>
    </row>
    <row r="896" spans="1:7" x14ac:dyDescent="0.25">
      <c r="A896" t="s">
        <v>33</v>
      </c>
      <c r="B896">
        <v>2021</v>
      </c>
      <c r="C896" t="s">
        <v>13</v>
      </c>
      <c r="D896">
        <v>559596.71</v>
      </c>
      <c r="E896">
        <v>431492.07297500002</v>
      </c>
      <c r="F896">
        <v>484263.04192200024</v>
      </c>
      <c r="G896" s="39">
        <v>44378</v>
      </c>
    </row>
    <row r="897" spans="1:7" x14ac:dyDescent="0.25">
      <c r="A897" t="s">
        <v>33</v>
      </c>
      <c r="B897">
        <v>2021</v>
      </c>
      <c r="C897" t="s">
        <v>14</v>
      </c>
      <c r="D897">
        <v>529947.04</v>
      </c>
      <c r="E897">
        <v>638476.53400099999</v>
      </c>
      <c r="F897">
        <v>375733.54792100028</v>
      </c>
      <c r="G897" s="39">
        <v>44409</v>
      </c>
    </row>
    <row r="898" spans="1:7" x14ac:dyDescent="0.25">
      <c r="A898" t="s">
        <v>33</v>
      </c>
      <c r="B898">
        <v>2021</v>
      </c>
      <c r="C898" t="s">
        <v>15</v>
      </c>
      <c r="D898">
        <v>769786.61</v>
      </c>
      <c r="E898">
        <v>692432.74138200004</v>
      </c>
      <c r="F898">
        <v>453087.41653900035</v>
      </c>
      <c r="G898" s="39">
        <v>44440</v>
      </c>
    </row>
    <row r="899" spans="1:7" x14ac:dyDescent="0.25">
      <c r="A899" t="s">
        <v>33</v>
      </c>
      <c r="B899">
        <v>2021</v>
      </c>
      <c r="C899" t="s">
        <v>16</v>
      </c>
      <c r="D899">
        <v>738306.72</v>
      </c>
      <c r="E899">
        <v>675174.30823700002</v>
      </c>
      <c r="F899">
        <v>516219.8283020003</v>
      </c>
      <c r="G899" s="39">
        <v>44470</v>
      </c>
    </row>
    <row r="900" spans="1:7" x14ac:dyDescent="0.25">
      <c r="A900" t="s">
        <v>33</v>
      </c>
      <c r="B900">
        <v>2021</v>
      </c>
      <c r="C900" t="s">
        <v>17</v>
      </c>
      <c r="D900">
        <v>728496.2</v>
      </c>
      <c r="E900">
        <v>750792.97499699995</v>
      </c>
      <c r="F900">
        <v>493923.05330500042</v>
      </c>
      <c r="G900" s="39">
        <v>44501</v>
      </c>
    </row>
    <row r="901" spans="1:7" x14ac:dyDescent="0.25">
      <c r="A901" t="s">
        <v>33</v>
      </c>
      <c r="B901">
        <v>2021</v>
      </c>
      <c r="C901" t="s">
        <v>18</v>
      </c>
      <c r="D901">
        <v>459128.54</v>
      </c>
      <c r="E901">
        <v>527531.92377700005</v>
      </c>
      <c r="F901">
        <v>425519.66952800029</v>
      </c>
      <c r="G901" s="39">
        <v>44531</v>
      </c>
    </row>
    <row r="902" spans="1:7" x14ac:dyDescent="0.25">
      <c r="A902" t="s">
        <v>33</v>
      </c>
      <c r="B902">
        <v>2022</v>
      </c>
      <c r="C902" t="s">
        <v>7</v>
      </c>
      <c r="D902">
        <v>254166.32</v>
      </c>
      <c r="E902">
        <v>230527.70430899999</v>
      </c>
      <c r="F902">
        <v>449158.28521900036</v>
      </c>
      <c r="G902" s="39">
        <v>44562</v>
      </c>
    </row>
    <row r="903" spans="1:7" x14ac:dyDescent="0.25">
      <c r="A903" t="s">
        <v>33</v>
      </c>
      <c r="B903">
        <v>2022</v>
      </c>
      <c r="C903" t="s">
        <v>8</v>
      </c>
      <c r="D903">
        <v>606105.30000000005</v>
      </c>
      <c r="E903">
        <v>562467.04306699999</v>
      </c>
      <c r="F903">
        <v>492796.54215200047</v>
      </c>
      <c r="G903" s="39">
        <v>44593</v>
      </c>
    </row>
    <row r="904" spans="1:7" x14ac:dyDescent="0.25">
      <c r="A904" t="s">
        <v>33</v>
      </c>
      <c r="B904">
        <v>2022</v>
      </c>
      <c r="C904" t="s">
        <v>9</v>
      </c>
      <c r="D904">
        <v>928663.40999800002</v>
      </c>
      <c r="E904">
        <v>926888.33798099996</v>
      </c>
      <c r="F904">
        <v>494571.61416900053</v>
      </c>
      <c r="G904" s="39">
        <v>44621</v>
      </c>
    </row>
    <row r="905" spans="1:7" x14ac:dyDescent="0.25">
      <c r="A905" t="s">
        <v>33</v>
      </c>
      <c r="B905">
        <v>2022</v>
      </c>
      <c r="C905" t="s">
        <v>10</v>
      </c>
      <c r="D905">
        <v>0</v>
      </c>
      <c r="E905">
        <v>257886.26296399999</v>
      </c>
      <c r="F905">
        <v>236685.35120500054</v>
      </c>
      <c r="G905" s="39">
        <v>44652</v>
      </c>
    </row>
    <row r="906" spans="1:7" x14ac:dyDescent="0.25">
      <c r="A906" t="s">
        <v>33</v>
      </c>
      <c r="B906">
        <v>2022</v>
      </c>
      <c r="C906" t="s">
        <v>11</v>
      </c>
      <c r="D906">
        <v>533859.94999899995</v>
      </c>
      <c r="E906">
        <v>362413.39334200002</v>
      </c>
      <c r="F906">
        <v>408131.90786200046</v>
      </c>
      <c r="G906" s="39">
        <v>44682</v>
      </c>
    </row>
    <row r="907" spans="1:7" x14ac:dyDescent="0.25">
      <c r="A907" t="s">
        <v>33</v>
      </c>
      <c r="B907">
        <v>2022</v>
      </c>
      <c r="C907" t="s">
        <v>12</v>
      </c>
      <c r="D907">
        <v>256331.49999899999</v>
      </c>
      <c r="E907">
        <v>285122.44786999997</v>
      </c>
      <c r="F907">
        <v>379340.95999100042</v>
      </c>
      <c r="G907" s="39">
        <v>44713</v>
      </c>
    </row>
    <row r="908" spans="1:7" x14ac:dyDescent="0.25">
      <c r="A908" t="s">
        <v>33</v>
      </c>
      <c r="B908">
        <v>2022</v>
      </c>
      <c r="C908" t="s">
        <v>13</v>
      </c>
      <c r="D908">
        <v>555225.30999800004</v>
      </c>
      <c r="E908">
        <v>367794.21863900003</v>
      </c>
      <c r="F908">
        <v>566772.05135000031</v>
      </c>
      <c r="G908" s="39">
        <v>44743</v>
      </c>
    </row>
    <row r="909" spans="1:7" x14ac:dyDescent="0.25">
      <c r="A909" t="s">
        <v>33</v>
      </c>
      <c r="B909">
        <v>2022</v>
      </c>
      <c r="C909" t="s">
        <v>14</v>
      </c>
      <c r="D909">
        <v>702534.42</v>
      </c>
      <c r="E909">
        <v>685664.91709500004</v>
      </c>
      <c r="F909">
        <v>583641.5542550002</v>
      </c>
      <c r="G909" s="39">
        <v>44774</v>
      </c>
    </row>
    <row r="910" spans="1:7" x14ac:dyDescent="0.25">
      <c r="A910" t="s">
        <v>33</v>
      </c>
      <c r="B910">
        <v>2022</v>
      </c>
      <c r="C910" t="s">
        <v>15</v>
      </c>
      <c r="D910">
        <v>782105.03999800002</v>
      </c>
      <c r="E910">
        <v>825457.60849799996</v>
      </c>
      <c r="F910">
        <v>540288.98575500038</v>
      </c>
      <c r="G910" s="39">
        <v>44805</v>
      </c>
    </row>
    <row r="911" spans="1:7" x14ac:dyDescent="0.25">
      <c r="A911" t="s">
        <v>33</v>
      </c>
      <c r="B911">
        <v>2022</v>
      </c>
      <c r="C911" t="s">
        <v>16</v>
      </c>
      <c r="D911">
        <v>1041539.189998</v>
      </c>
      <c r="E911">
        <v>1001836.384024</v>
      </c>
      <c r="F911">
        <v>579991.7917290004</v>
      </c>
      <c r="G911" s="39">
        <v>44835</v>
      </c>
    </row>
    <row r="912" spans="1:7" x14ac:dyDescent="0.25">
      <c r="A912" t="s">
        <v>33</v>
      </c>
      <c r="B912">
        <v>2022</v>
      </c>
      <c r="C912" t="s">
        <v>17</v>
      </c>
      <c r="D912">
        <v>866717.31999900006</v>
      </c>
      <c r="E912">
        <v>1005414.626762</v>
      </c>
      <c r="F912">
        <v>441294.48496600043</v>
      </c>
      <c r="G912" s="39">
        <v>44866</v>
      </c>
    </row>
    <row r="913" spans="1:7" x14ac:dyDescent="0.25">
      <c r="A913" t="s">
        <v>33</v>
      </c>
      <c r="B913">
        <v>2022</v>
      </c>
      <c r="C913" t="s">
        <v>18</v>
      </c>
      <c r="D913">
        <v>470527.33999800001</v>
      </c>
      <c r="E913">
        <v>452841.77898900001</v>
      </c>
      <c r="F913">
        <v>458980.04597500036</v>
      </c>
      <c r="G913" s="39">
        <v>44896</v>
      </c>
    </row>
    <row r="914" spans="1:7" x14ac:dyDescent="0.25">
      <c r="A914" t="s">
        <v>33</v>
      </c>
      <c r="B914">
        <v>2023</v>
      </c>
      <c r="C914" t="s">
        <v>7</v>
      </c>
      <c r="D914">
        <v>651836.11999799998</v>
      </c>
      <c r="E914">
        <v>504484.01454900001</v>
      </c>
      <c r="F914">
        <v>606332.15142400027</v>
      </c>
      <c r="G914" s="39">
        <v>44927</v>
      </c>
    </row>
    <row r="915" spans="1:7" x14ac:dyDescent="0.25">
      <c r="A915" t="s">
        <v>33</v>
      </c>
      <c r="B915">
        <v>2023</v>
      </c>
      <c r="C915" t="s">
        <v>8</v>
      </c>
      <c r="D915">
        <v>768070.86</v>
      </c>
      <c r="E915">
        <v>548916.12347400002</v>
      </c>
      <c r="F915">
        <v>825486.88795000035</v>
      </c>
      <c r="G915" s="39">
        <v>44958</v>
      </c>
    </row>
    <row r="916" spans="1:7" x14ac:dyDescent="0.25">
      <c r="A916" t="s">
        <v>33</v>
      </c>
      <c r="B916">
        <v>2023</v>
      </c>
      <c r="C916" t="s">
        <v>9</v>
      </c>
      <c r="D916">
        <v>764769.53999800002</v>
      </c>
      <c r="E916">
        <v>943987.11180399999</v>
      </c>
      <c r="F916">
        <v>646269.31614400039</v>
      </c>
      <c r="G916" s="39">
        <v>44986</v>
      </c>
    </row>
    <row r="917" spans="1:7" x14ac:dyDescent="0.25">
      <c r="A917" t="s">
        <v>33</v>
      </c>
      <c r="B917">
        <v>2023</v>
      </c>
      <c r="C917" t="s">
        <v>10</v>
      </c>
      <c r="D917">
        <v>614751.45999899996</v>
      </c>
      <c r="E917">
        <v>535487.866759</v>
      </c>
      <c r="F917">
        <v>725532.90938400046</v>
      </c>
      <c r="G917" s="39">
        <v>45017</v>
      </c>
    </row>
    <row r="918" spans="1:7" x14ac:dyDescent="0.25">
      <c r="A918" t="s">
        <v>33</v>
      </c>
      <c r="B918">
        <v>2023</v>
      </c>
      <c r="C918" t="s">
        <v>11</v>
      </c>
      <c r="D918">
        <v>657823.85999899998</v>
      </c>
      <c r="E918">
        <v>693142.267979</v>
      </c>
      <c r="F918">
        <v>690214.50140400045</v>
      </c>
      <c r="G918" s="39">
        <v>45047</v>
      </c>
    </row>
    <row r="919" spans="1:7" x14ac:dyDescent="0.25">
      <c r="A919" t="s">
        <v>33</v>
      </c>
      <c r="B919">
        <v>2023</v>
      </c>
      <c r="C919" t="s">
        <v>12</v>
      </c>
      <c r="D919">
        <v>506713.46999800002</v>
      </c>
      <c r="E919">
        <v>611907.11705200002</v>
      </c>
      <c r="F919">
        <v>585020.85435000039</v>
      </c>
      <c r="G919" s="39">
        <v>45078</v>
      </c>
    </row>
    <row r="920" spans="1:7" x14ac:dyDescent="0.25">
      <c r="A920" t="s">
        <v>33</v>
      </c>
      <c r="B920">
        <v>2023</v>
      </c>
      <c r="C920" t="s">
        <v>13</v>
      </c>
      <c r="D920">
        <v>772574.71919800004</v>
      </c>
      <c r="E920">
        <v>692572.42482900003</v>
      </c>
      <c r="F920">
        <v>665023.14871900028</v>
      </c>
      <c r="G920" s="39">
        <v>45108</v>
      </c>
    </row>
    <row r="921" spans="1:7" x14ac:dyDescent="0.25">
      <c r="A921" t="s">
        <v>33</v>
      </c>
      <c r="B921">
        <v>2023</v>
      </c>
      <c r="C921" t="s">
        <v>14</v>
      </c>
      <c r="D921">
        <v>505578.46</v>
      </c>
      <c r="E921">
        <v>616123.57897499995</v>
      </c>
      <c r="F921">
        <v>554478.02974400041</v>
      </c>
      <c r="G921" s="39">
        <v>45139</v>
      </c>
    </row>
    <row r="922" spans="1:7" x14ac:dyDescent="0.25">
      <c r="A922" t="s">
        <v>33</v>
      </c>
      <c r="B922">
        <v>2023</v>
      </c>
      <c r="C922" t="s">
        <v>15</v>
      </c>
      <c r="D922">
        <v>650154.019998</v>
      </c>
      <c r="E922">
        <v>616995.08787100005</v>
      </c>
      <c r="F922">
        <v>587636.96187100036</v>
      </c>
      <c r="G922" s="39">
        <v>45170</v>
      </c>
    </row>
    <row r="923" spans="1:7" x14ac:dyDescent="0.25">
      <c r="A923" t="s">
        <v>33</v>
      </c>
      <c r="B923">
        <v>2023</v>
      </c>
      <c r="C923" t="s">
        <v>16</v>
      </c>
      <c r="D923">
        <v>931900.639998</v>
      </c>
      <c r="E923">
        <v>859559.21171199996</v>
      </c>
      <c r="F923">
        <v>659978.39015700039</v>
      </c>
      <c r="G923" s="39">
        <v>45200</v>
      </c>
    </row>
    <row r="924" spans="1:7" x14ac:dyDescent="0.25">
      <c r="A924" t="s">
        <v>33</v>
      </c>
      <c r="B924">
        <v>2023</v>
      </c>
      <c r="C924" t="s">
        <v>17</v>
      </c>
      <c r="D924">
        <v>592793.89999900002</v>
      </c>
      <c r="E924">
        <v>668874.34649400006</v>
      </c>
      <c r="F924">
        <v>583897.94366200024</v>
      </c>
      <c r="G924" s="39">
        <v>45231</v>
      </c>
    </row>
    <row r="925" spans="1:7" x14ac:dyDescent="0.25">
      <c r="A925" t="s">
        <v>33</v>
      </c>
      <c r="B925">
        <v>2023</v>
      </c>
      <c r="C925" t="s">
        <v>18</v>
      </c>
      <c r="D925">
        <v>253241.949999</v>
      </c>
      <c r="E925">
        <v>254320.87940500001</v>
      </c>
      <c r="F925">
        <v>582819.01425600029</v>
      </c>
      <c r="G925" s="39">
        <v>45261</v>
      </c>
    </row>
    <row r="926" spans="1:7" x14ac:dyDescent="0.25">
      <c r="A926" t="s">
        <v>33</v>
      </c>
      <c r="B926">
        <v>2024</v>
      </c>
      <c r="C926" t="s">
        <v>7</v>
      </c>
      <c r="F926">
        <v>582819.01425600029</v>
      </c>
      <c r="G926" s="39">
        <v>45292</v>
      </c>
    </row>
    <row r="927" spans="1:7" x14ac:dyDescent="0.25">
      <c r="A927" t="s">
        <v>33</v>
      </c>
      <c r="B927">
        <v>2024</v>
      </c>
      <c r="C927" t="s">
        <v>8</v>
      </c>
      <c r="F927">
        <v>582819.01425600029</v>
      </c>
      <c r="G927" s="39">
        <v>45323</v>
      </c>
    </row>
    <row r="928" spans="1:7" x14ac:dyDescent="0.25">
      <c r="A928" t="s">
        <v>33</v>
      </c>
      <c r="B928">
        <v>2024</v>
      </c>
      <c r="C928" t="s">
        <v>9</v>
      </c>
      <c r="F928">
        <v>582819.01425600029</v>
      </c>
      <c r="G928" s="39">
        <v>45352</v>
      </c>
    </row>
    <row r="929" spans="1:7" x14ac:dyDescent="0.25">
      <c r="A929" t="s">
        <v>33</v>
      </c>
      <c r="B929">
        <v>2024</v>
      </c>
      <c r="C929" t="s">
        <v>10</v>
      </c>
      <c r="F929">
        <v>582819.01425600029</v>
      </c>
      <c r="G929" s="39">
        <v>45383</v>
      </c>
    </row>
    <row r="930" spans="1:7" x14ac:dyDescent="0.25">
      <c r="A930" t="s">
        <v>33</v>
      </c>
      <c r="B930">
        <v>2024</v>
      </c>
      <c r="C930" t="s">
        <v>11</v>
      </c>
      <c r="F930">
        <v>582819.01425600029</v>
      </c>
      <c r="G930" s="39">
        <v>45413</v>
      </c>
    </row>
    <row r="931" spans="1:7" x14ac:dyDescent="0.25">
      <c r="A931" t="s">
        <v>33</v>
      </c>
      <c r="B931">
        <v>2024</v>
      </c>
      <c r="C931" t="s">
        <v>12</v>
      </c>
      <c r="F931">
        <v>582819.01425600029</v>
      </c>
      <c r="G931" s="39">
        <v>45444</v>
      </c>
    </row>
    <row r="932" spans="1:7" x14ac:dyDescent="0.25">
      <c r="A932" t="s">
        <v>33</v>
      </c>
      <c r="B932">
        <v>2024</v>
      </c>
      <c r="C932" t="s">
        <v>13</v>
      </c>
      <c r="F932">
        <v>582819.01425600029</v>
      </c>
      <c r="G932" s="39">
        <v>45474</v>
      </c>
    </row>
    <row r="933" spans="1:7" x14ac:dyDescent="0.25">
      <c r="A933" t="s">
        <v>33</v>
      </c>
      <c r="B933">
        <v>2024</v>
      </c>
      <c r="C933" t="s">
        <v>14</v>
      </c>
      <c r="F933">
        <v>582819.01425600029</v>
      </c>
      <c r="G933" s="39">
        <v>45505</v>
      </c>
    </row>
    <row r="934" spans="1:7" x14ac:dyDescent="0.25">
      <c r="A934" t="s">
        <v>33</v>
      </c>
      <c r="B934">
        <v>2024</v>
      </c>
      <c r="C934" t="s">
        <v>15</v>
      </c>
      <c r="F934">
        <v>582819.01425600029</v>
      </c>
      <c r="G934" s="39">
        <v>45536</v>
      </c>
    </row>
    <row r="935" spans="1:7" x14ac:dyDescent="0.25">
      <c r="A935" t="s">
        <v>33</v>
      </c>
      <c r="B935">
        <v>2024</v>
      </c>
      <c r="C935" t="s">
        <v>16</v>
      </c>
      <c r="F935">
        <v>582819.01425600029</v>
      </c>
      <c r="G935" s="39">
        <v>45566</v>
      </c>
    </row>
    <row r="936" spans="1:7" x14ac:dyDescent="0.25">
      <c r="A936" t="s">
        <v>33</v>
      </c>
      <c r="B936">
        <v>2024</v>
      </c>
      <c r="C936" t="s">
        <v>17</v>
      </c>
      <c r="F936">
        <v>582819.01425600029</v>
      </c>
      <c r="G936" s="39">
        <v>45597</v>
      </c>
    </row>
    <row r="937" spans="1:7" x14ac:dyDescent="0.25">
      <c r="A937" t="s">
        <v>33</v>
      </c>
      <c r="B937">
        <v>2024</v>
      </c>
      <c r="C937" t="s">
        <v>18</v>
      </c>
      <c r="F937">
        <v>582819.01425600029</v>
      </c>
      <c r="G937" s="39">
        <v>45627</v>
      </c>
    </row>
    <row r="938" spans="1:7" x14ac:dyDescent="0.25">
      <c r="A938" t="s">
        <v>34</v>
      </c>
      <c r="B938">
        <v>2019</v>
      </c>
      <c r="C938" t="s">
        <v>7</v>
      </c>
      <c r="D938">
        <v>141380.32999900001</v>
      </c>
      <c r="E938">
        <v>95509.320078000004</v>
      </c>
      <c r="F938">
        <v>224298.652764</v>
      </c>
      <c r="G938" s="39">
        <v>43466</v>
      </c>
    </row>
    <row r="939" spans="1:7" x14ac:dyDescent="0.25">
      <c r="A939" t="s">
        <v>34</v>
      </c>
      <c r="B939">
        <v>2019</v>
      </c>
      <c r="C939" t="s">
        <v>8</v>
      </c>
      <c r="D939">
        <v>123702.53</v>
      </c>
      <c r="E939">
        <v>104361.313429</v>
      </c>
      <c r="F939">
        <v>243639.86933500002</v>
      </c>
      <c r="G939" s="39">
        <v>43497</v>
      </c>
    </row>
    <row r="940" spans="1:7" x14ac:dyDescent="0.25">
      <c r="A940" t="s">
        <v>34</v>
      </c>
      <c r="B940">
        <v>2019</v>
      </c>
      <c r="C940" t="s">
        <v>9</v>
      </c>
      <c r="D940">
        <v>320387.13408799999</v>
      </c>
      <c r="E940">
        <v>382526.49150300003</v>
      </c>
      <c r="F940">
        <v>181500.51191999996</v>
      </c>
      <c r="G940" s="39">
        <v>43525</v>
      </c>
    </row>
    <row r="941" spans="1:7" x14ac:dyDescent="0.25">
      <c r="A941" t="s">
        <v>34</v>
      </c>
      <c r="B941">
        <v>2019</v>
      </c>
      <c r="C941" t="s">
        <v>10</v>
      </c>
      <c r="D941">
        <v>144569.45000000001</v>
      </c>
      <c r="E941">
        <v>127981.531598</v>
      </c>
      <c r="F941">
        <v>198088.43032199997</v>
      </c>
      <c r="G941" s="39">
        <v>43556</v>
      </c>
    </row>
    <row r="942" spans="1:7" x14ac:dyDescent="0.25">
      <c r="A942" t="s">
        <v>34</v>
      </c>
      <c r="B942">
        <v>2019</v>
      </c>
      <c r="C942" t="s">
        <v>11</v>
      </c>
      <c r="D942">
        <v>227936.35000100001</v>
      </c>
      <c r="E942">
        <v>236118.36635</v>
      </c>
      <c r="F942">
        <v>189906.41397299999</v>
      </c>
      <c r="G942" s="39">
        <v>43586</v>
      </c>
    </row>
    <row r="943" spans="1:7" x14ac:dyDescent="0.25">
      <c r="A943" t="s">
        <v>34</v>
      </c>
      <c r="B943">
        <v>2019</v>
      </c>
      <c r="C943" t="s">
        <v>12</v>
      </c>
      <c r="D943">
        <v>264894.77750000003</v>
      </c>
      <c r="E943">
        <v>266143.53262100002</v>
      </c>
      <c r="F943">
        <v>188657.65885199996</v>
      </c>
      <c r="G943" s="39">
        <v>43617</v>
      </c>
    </row>
    <row r="944" spans="1:7" x14ac:dyDescent="0.25">
      <c r="A944" t="s">
        <v>34</v>
      </c>
      <c r="B944">
        <v>2019</v>
      </c>
      <c r="C944" t="s">
        <v>13</v>
      </c>
      <c r="D944">
        <v>254454.27</v>
      </c>
      <c r="E944">
        <v>255965.59330400001</v>
      </c>
      <c r="F944">
        <v>187146.33554799992</v>
      </c>
      <c r="G944" s="39">
        <v>43647</v>
      </c>
    </row>
    <row r="945" spans="1:7" x14ac:dyDescent="0.25">
      <c r="A945" t="s">
        <v>34</v>
      </c>
      <c r="B945">
        <v>2019</v>
      </c>
      <c r="C945" t="s">
        <v>14</v>
      </c>
      <c r="D945">
        <v>207993.56860500001</v>
      </c>
      <c r="E945">
        <v>219397.90121400001</v>
      </c>
      <c r="F945">
        <v>175742.00293899991</v>
      </c>
      <c r="G945" s="39">
        <v>43678</v>
      </c>
    </row>
    <row r="946" spans="1:7" x14ac:dyDescent="0.25">
      <c r="A946" t="s">
        <v>34</v>
      </c>
      <c r="B946">
        <v>2019</v>
      </c>
      <c r="C946" t="s">
        <v>15</v>
      </c>
      <c r="D946">
        <v>156751.97519999999</v>
      </c>
      <c r="E946">
        <v>144079.06578199999</v>
      </c>
      <c r="F946">
        <v>188414.91235699991</v>
      </c>
      <c r="G946" s="39">
        <v>43709</v>
      </c>
    </row>
    <row r="947" spans="1:7" x14ac:dyDescent="0.25">
      <c r="A947" t="s">
        <v>34</v>
      </c>
      <c r="B947">
        <v>2019</v>
      </c>
      <c r="C947" t="s">
        <v>16</v>
      </c>
      <c r="D947">
        <v>269561.64000999997</v>
      </c>
      <c r="E947">
        <v>256369.183403</v>
      </c>
      <c r="F947">
        <v>201607.36896399991</v>
      </c>
      <c r="G947" s="39">
        <v>43739</v>
      </c>
    </row>
    <row r="948" spans="1:7" x14ac:dyDescent="0.25">
      <c r="A948" t="s">
        <v>34</v>
      </c>
      <c r="B948">
        <v>2019</v>
      </c>
      <c r="C948" t="s">
        <v>17</v>
      </c>
      <c r="D948">
        <v>111517.08</v>
      </c>
      <c r="E948">
        <v>123832.056939</v>
      </c>
      <c r="F948">
        <v>189292.39202499992</v>
      </c>
      <c r="G948" s="39">
        <v>43770</v>
      </c>
    </row>
    <row r="949" spans="1:7" x14ac:dyDescent="0.25">
      <c r="A949" t="s">
        <v>34</v>
      </c>
      <c r="B949">
        <v>2019</v>
      </c>
      <c r="C949" t="s">
        <v>18</v>
      </c>
      <c r="D949">
        <v>60536.56</v>
      </c>
      <c r="E949">
        <v>75392.255495999998</v>
      </c>
      <c r="F949">
        <v>174436.69652899992</v>
      </c>
      <c r="G949" s="39">
        <v>43800</v>
      </c>
    </row>
    <row r="950" spans="1:7" x14ac:dyDescent="0.25">
      <c r="A950" t="s">
        <v>34</v>
      </c>
      <c r="B950">
        <v>2020</v>
      </c>
      <c r="C950" t="s">
        <v>7</v>
      </c>
      <c r="D950">
        <v>160035.06</v>
      </c>
      <c r="E950">
        <v>117121.108517</v>
      </c>
      <c r="F950">
        <v>217350.6480119999</v>
      </c>
      <c r="G950" s="39">
        <v>43831</v>
      </c>
    </row>
    <row r="951" spans="1:7" x14ac:dyDescent="0.25">
      <c r="A951" t="s">
        <v>34</v>
      </c>
      <c r="B951">
        <v>2020</v>
      </c>
      <c r="C951" t="s">
        <v>8</v>
      </c>
      <c r="D951">
        <v>227553.005</v>
      </c>
      <c r="E951">
        <v>210727.407244</v>
      </c>
      <c r="F951">
        <v>234176.24576799991</v>
      </c>
      <c r="G951" s="39">
        <v>43862</v>
      </c>
    </row>
    <row r="952" spans="1:7" x14ac:dyDescent="0.25">
      <c r="A952" t="s">
        <v>34</v>
      </c>
      <c r="B952">
        <v>2020</v>
      </c>
      <c r="C952" t="s">
        <v>9</v>
      </c>
      <c r="D952">
        <v>338483.71027799998</v>
      </c>
      <c r="E952">
        <v>313697.524783</v>
      </c>
      <c r="F952">
        <v>258962.43126299989</v>
      </c>
      <c r="G952" s="39">
        <v>43891</v>
      </c>
    </row>
    <row r="953" spans="1:7" x14ac:dyDescent="0.25">
      <c r="A953" t="s">
        <v>34</v>
      </c>
      <c r="B953">
        <v>2020</v>
      </c>
      <c r="C953" t="s">
        <v>10</v>
      </c>
      <c r="D953">
        <v>63719.199999999997</v>
      </c>
      <c r="E953">
        <v>108978.444019</v>
      </c>
      <c r="F953">
        <v>213703.18724399991</v>
      </c>
      <c r="G953" s="39">
        <v>43922</v>
      </c>
    </row>
    <row r="954" spans="1:7" x14ac:dyDescent="0.25">
      <c r="A954" t="s">
        <v>34</v>
      </c>
      <c r="B954">
        <v>2020</v>
      </c>
      <c r="C954" t="s">
        <v>11</v>
      </c>
      <c r="D954">
        <v>84788.22</v>
      </c>
      <c r="E954">
        <v>101641.66972599999</v>
      </c>
      <c r="F954">
        <v>196849.73751799989</v>
      </c>
      <c r="G954" s="39">
        <v>43952</v>
      </c>
    </row>
    <row r="955" spans="1:7" x14ac:dyDescent="0.25">
      <c r="A955" t="s">
        <v>34</v>
      </c>
      <c r="B955">
        <v>2020</v>
      </c>
      <c r="C955" t="s">
        <v>12</v>
      </c>
      <c r="D955">
        <v>227626.6</v>
      </c>
      <c r="E955">
        <v>201371.88560199999</v>
      </c>
      <c r="F955">
        <v>223104.45191599993</v>
      </c>
      <c r="G955" s="39">
        <v>43983</v>
      </c>
    </row>
    <row r="956" spans="1:7" x14ac:dyDescent="0.25">
      <c r="A956" t="s">
        <v>34</v>
      </c>
      <c r="B956">
        <v>2020</v>
      </c>
      <c r="C956" t="s">
        <v>13</v>
      </c>
      <c r="D956">
        <v>208443.3077</v>
      </c>
      <c r="E956">
        <v>212896.06768099999</v>
      </c>
      <c r="F956">
        <v>218651.69193499995</v>
      </c>
      <c r="G956" s="39">
        <v>44013</v>
      </c>
    </row>
    <row r="957" spans="1:7" x14ac:dyDescent="0.25">
      <c r="A957" t="s">
        <v>34</v>
      </c>
      <c r="B957">
        <v>2020</v>
      </c>
      <c r="C957" t="s">
        <v>14</v>
      </c>
      <c r="D957">
        <v>191451</v>
      </c>
      <c r="E957">
        <v>204978.60869299999</v>
      </c>
      <c r="F957">
        <v>205124.08324199996</v>
      </c>
      <c r="G957" s="39">
        <v>44044</v>
      </c>
    </row>
    <row r="958" spans="1:7" x14ac:dyDescent="0.25">
      <c r="A958" t="s">
        <v>34</v>
      </c>
      <c r="B958">
        <v>2020</v>
      </c>
      <c r="C958" t="s">
        <v>15</v>
      </c>
      <c r="D958">
        <v>264214.49</v>
      </c>
      <c r="E958">
        <v>240192.87081600001</v>
      </c>
      <c r="F958">
        <v>229145.70242599995</v>
      </c>
      <c r="G958" s="39">
        <v>44075</v>
      </c>
    </row>
    <row r="959" spans="1:7" x14ac:dyDescent="0.25">
      <c r="A959" t="s">
        <v>34</v>
      </c>
      <c r="B959">
        <v>2020</v>
      </c>
      <c r="C959" t="s">
        <v>16</v>
      </c>
      <c r="D959">
        <v>208704.26375000001</v>
      </c>
      <c r="E959">
        <v>216807.566865</v>
      </c>
      <c r="F959">
        <v>221042.39931099996</v>
      </c>
      <c r="G959" s="39">
        <v>44105</v>
      </c>
    </row>
    <row r="960" spans="1:7" x14ac:dyDescent="0.25">
      <c r="A960" t="s">
        <v>34</v>
      </c>
      <c r="B960">
        <v>2020</v>
      </c>
      <c r="C960" t="s">
        <v>17</v>
      </c>
      <c r="D960">
        <v>202415.85</v>
      </c>
      <c r="E960">
        <v>193714.87345099999</v>
      </c>
      <c r="F960">
        <v>229743.37586</v>
      </c>
      <c r="G960" s="39">
        <v>44136</v>
      </c>
    </row>
    <row r="961" spans="1:7" x14ac:dyDescent="0.25">
      <c r="A961" t="s">
        <v>34</v>
      </c>
      <c r="B961">
        <v>2020</v>
      </c>
      <c r="C961" t="s">
        <v>18</v>
      </c>
      <c r="D961">
        <v>99740.91</v>
      </c>
      <c r="E961">
        <v>131592.74923099999</v>
      </c>
      <c r="F961">
        <v>197891.53662900001</v>
      </c>
      <c r="G961" s="39">
        <v>44166</v>
      </c>
    </row>
    <row r="962" spans="1:7" x14ac:dyDescent="0.25">
      <c r="A962" t="s">
        <v>34</v>
      </c>
      <c r="B962">
        <v>2021</v>
      </c>
      <c r="C962" t="s">
        <v>7</v>
      </c>
      <c r="D962">
        <v>170431.05</v>
      </c>
      <c r="E962">
        <v>95798.916727000003</v>
      </c>
      <c r="F962">
        <v>272523.66990199999</v>
      </c>
      <c r="G962" s="39">
        <v>44197</v>
      </c>
    </row>
    <row r="963" spans="1:7" x14ac:dyDescent="0.25">
      <c r="A963" t="s">
        <v>34</v>
      </c>
      <c r="B963">
        <v>2021</v>
      </c>
      <c r="C963" t="s">
        <v>8</v>
      </c>
      <c r="D963">
        <v>162258.827143</v>
      </c>
      <c r="E963">
        <v>209282.94220699999</v>
      </c>
      <c r="F963">
        <v>225499.55483799998</v>
      </c>
      <c r="G963" s="39">
        <v>44228</v>
      </c>
    </row>
    <row r="964" spans="1:7" x14ac:dyDescent="0.25">
      <c r="A964" t="s">
        <v>34</v>
      </c>
      <c r="B964">
        <v>2021</v>
      </c>
      <c r="C964" t="s">
        <v>9</v>
      </c>
      <c r="D964">
        <v>246913.699999</v>
      </c>
      <c r="E964">
        <v>206925.23237700001</v>
      </c>
      <c r="F964">
        <v>265488.02246000001</v>
      </c>
      <c r="G964" s="39">
        <v>44256</v>
      </c>
    </row>
    <row r="965" spans="1:7" x14ac:dyDescent="0.25">
      <c r="A965" t="s">
        <v>34</v>
      </c>
      <c r="B965">
        <v>2021</v>
      </c>
      <c r="C965" t="s">
        <v>10</v>
      </c>
      <c r="D965">
        <v>102307.7</v>
      </c>
      <c r="E965">
        <v>113169.191796</v>
      </c>
      <c r="F965">
        <v>254626.53066400002</v>
      </c>
      <c r="G965" s="39">
        <v>44287</v>
      </c>
    </row>
    <row r="966" spans="1:7" x14ac:dyDescent="0.25">
      <c r="A966" t="s">
        <v>34</v>
      </c>
      <c r="B966">
        <v>2021</v>
      </c>
      <c r="C966" t="s">
        <v>11</v>
      </c>
      <c r="D966">
        <v>98053.24</v>
      </c>
      <c r="E966">
        <v>144645.89645599999</v>
      </c>
      <c r="F966">
        <v>208033.87420800002</v>
      </c>
      <c r="G966" s="39">
        <v>44317</v>
      </c>
    </row>
    <row r="967" spans="1:7" x14ac:dyDescent="0.25">
      <c r="A967" t="s">
        <v>34</v>
      </c>
      <c r="B967">
        <v>2021</v>
      </c>
      <c r="C967" t="s">
        <v>12</v>
      </c>
      <c r="D967">
        <v>155323.19</v>
      </c>
      <c r="E967">
        <v>148977.871996</v>
      </c>
      <c r="F967">
        <v>214379.19221200002</v>
      </c>
      <c r="G967" s="39">
        <v>44348</v>
      </c>
    </row>
    <row r="968" spans="1:7" x14ac:dyDescent="0.25">
      <c r="A968" t="s">
        <v>34</v>
      </c>
      <c r="B968">
        <v>2021</v>
      </c>
      <c r="C968" t="s">
        <v>13</v>
      </c>
      <c r="D968">
        <v>148759.79999999999</v>
      </c>
      <c r="E968">
        <v>128419.921147</v>
      </c>
      <c r="F968">
        <v>234719.07106500003</v>
      </c>
      <c r="G968" s="39">
        <v>44378</v>
      </c>
    </row>
    <row r="969" spans="1:7" x14ac:dyDescent="0.25">
      <c r="A969" t="s">
        <v>34</v>
      </c>
      <c r="B969">
        <v>2021</v>
      </c>
      <c r="C969" t="s">
        <v>14</v>
      </c>
      <c r="D969">
        <v>209098.05</v>
      </c>
      <c r="E969">
        <v>136575.38338000001</v>
      </c>
      <c r="F969">
        <v>307241.737685</v>
      </c>
      <c r="G969" s="39">
        <v>44409</v>
      </c>
    </row>
    <row r="970" spans="1:7" x14ac:dyDescent="0.25">
      <c r="A970" t="s">
        <v>34</v>
      </c>
      <c r="B970">
        <v>2021</v>
      </c>
      <c r="C970" t="s">
        <v>15</v>
      </c>
      <c r="D970">
        <v>241236.11008000001</v>
      </c>
      <c r="E970">
        <v>223147.095134</v>
      </c>
      <c r="F970">
        <v>325330.75263100007</v>
      </c>
      <c r="G970" s="39">
        <v>44440</v>
      </c>
    </row>
    <row r="971" spans="1:7" x14ac:dyDescent="0.25">
      <c r="A971" t="s">
        <v>34</v>
      </c>
      <c r="B971">
        <v>2021</v>
      </c>
      <c r="C971" t="s">
        <v>16</v>
      </c>
      <c r="D971">
        <v>151215.11619999999</v>
      </c>
      <c r="E971">
        <v>164721.46124100001</v>
      </c>
      <c r="F971">
        <v>311824.40759000008</v>
      </c>
      <c r="G971" s="39">
        <v>44470</v>
      </c>
    </row>
    <row r="972" spans="1:7" x14ac:dyDescent="0.25">
      <c r="A972" t="s">
        <v>34</v>
      </c>
      <c r="B972">
        <v>2021</v>
      </c>
      <c r="C972" t="s">
        <v>17</v>
      </c>
      <c r="D972">
        <v>104938.860002</v>
      </c>
      <c r="E972">
        <v>151191.994916</v>
      </c>
      <c r="F972">
        <v>265571.27267600008</v>
      </c>
      <c r="G972" s="39">
        <v>44501</v>
      </c>
    </row>
    <row r="973" spans="1:7" x14ac:dyDescent="0.25">
      <c r="A973" t="s">
        <v>34</v>
      </c>
      <c r="B973">
        <v>2021</v>
      </c>
      <c r="C973" t="s">
        <v>18</v>
      </c>
      <c r="D973">
        <v>39873.550000000003</v>
      </c>
      <c r="E973">
        <v>67121.996293999997</v>
      </c>
      <c r="F973">
        <v>238322.82638200006</v>
      </c>
      <c r="G973" s="39">
        <v>44531</v>
      </c>
    </row>
    <row r="974" spans="1:7" x14ac:dyDescent="0.25">
      <c r="A974" t="s">
        <v>34</v>
      </c>
      <c r="B974">
        <v>2022</v>
      </c>
      <c r="C974" t="s">
        <v>7</v>
      </c>
      <c r="D974">
        <v>155681.82999999999</v>
      </c>
      <c r="E974">
        <v>118850.062129</v>
      </c>
      <c r="F974">
        <v>275154.5942530001</v>
      </c>
      <c r="G974" s="39">
        <v>44562</v>
      </c>
    </row>
    <row r="975" spans="1:7" x14ac:dyDescent="0.25">
      <c r="A975" t="s">
        <v>34</v>
      </c>
      <c r="B975">
        <v>2022</v>
      </c>
      <c r="C975" t="s">
        <v>8</v>
      </c>
      <c r="D975">
        <v>146317.74</v>
      </c>
      <c r="E975">
        <v>147234.30163599999</v>
      </c>
      <c r="F975">
        <v>274238.03261700011</v>
      </c>
      <c r="G975" s="39">
        <v>44593</v>
      </c>
    </row>
    <row r="976" spans="1:7" x14ac:dyDescent="0.25">
      <c r="A976" t="s">
        <v>34</v>
      </c>
      <c r="B976">
        <v>2022</v>
      </c>
      <c r="C976" t="s">
        <v>9</v>
      </c>
      <c r="D976">
        <v>241859.91</v>
      </c>
      <c r="E976">
        <v>224817.477243</v>
      </c>
      <c r="F976">
        <v>291280.46537400008</v>
      </c>
      <c r="G976" s="39">
        <v>44621</v>
      </c>
    </row>
    <row r="977" spans="1:7" x14ac:dyDescent="0.25">
      <c r="A977" t="s">
        <v>34</v>
      </c>
      <c r="B977">
        <v>2022</v>
      </c>
      <c r="C977" t="s">
        <v>10</v>
      </c>
      <c r="D977">
        <v>266259.89817599999</v>
      </c>
      <c r="E977">
        <v>148161.00589599999</v>
      </c>
      <c r="F977">
        <v>409379.35765400017</v>
      </c>
      <c r="G977" s="39">
        <v>44652</v>
      </c>
    </row>
    <row r="978" spans="1:7" x14ac:dyDescent="0.25">
      <c r="A978" t="s">
        <v>34</v>
      </c>
      <c r="B978">
        <v>2022</v>
      </c>
      <c r="C978" t="s">
        <v>11</v>
      </c>
      <c r="D978">
        <v>184481.21000200001</v>
      </c>
      <c r="E978">
        <v>303497.83926699997</v>
      </c>
      <c r="F978">
        <v>290362.72838900017</v>
      </c>
      <c r="G978" s="39">
        <v>44682</v>
      </c>
    </row>
    <row r="979" spans="1:7" x14ac:dyDescent="0.25">
      <c r="A979" t="s">
        <v>34</v>
      </c>
      <c r="B979">
        <v>2022</v>
      </c>
      <c r="C979" t="s">
        <v>12</v>
      </c>
      <c r="D979">
        <v>155931.28</v>
      </c>
      <c r="E979">
        <v>136982.24214399999</v>
      </c>
      <c r="F979">
        <v>309311.76624500018</v>
      </c>
      <c r="G979" s="39">
        <v>44713</v>
      </c>
    </row>
    <row r="980" spans="1:7" x14ac:dyDescent="0.25">
      <c r="A980" t="s">
        <v>34</v>
      </c>
      <c r="B980">
        <v>2022</v>
      </c>
      <c r="C980" t="s">
        <v>13</v>
      </c>
      <c r="D980">
        <v>111752.72834099999</v>
      </c>
      <c r="E980">
        <v>155231.41232800001</v>
      </c>
      <c r="F980">
        <v>265833.08225800015</v>
      </c>
      <c r="G980" s="39">
        <v>44743</v>
      </c>
    </row>
    <row r="981" spans="1:7" x14ac:dyDescent="0.25">
      <c r="A981" t="s">
        <v>34</v>
      </c>
      <c r="B981">
        <v>2022</v>
      </c>
      <c r="C981" t="s">
        <v>14</v>
      </c>
      <c r="D981">
        <v>239131.96</v>
      </c>
      <c r="E981">
        <v>205344.623517</v>
      </c>
      <c r="F981">
        <v>299620.41874100012</v>
      </c>
      <c r="G981" s="39">
        <v>44774</v>
      </c>
    </row>
    <row r="982" spans="1:7" x14ac:dyDescent="0.25">
      <c r="A982" t="s">
        <v>34</v>
      </c>
      <c r="B982">
        <v>2022</v>
      </c>
      <c r="C982" t="s">
        <v>15</v>
      </c>
      <c r="D982">
        <v>337304.13</v>
      </c>
      <c r="E982">
        <v>355099.14180500002</v>
      </c>
      <c r="F982">
        <v>281825.4069360001</v>
      </c>
      <c r="G982" s="39">
        <v>44805</v>
      </c>
    </row>
    <row r="983" spans="1:7" x14ac:dyDescent="0.25">
      <c r="A983" t="s">
        <v>34</v>
      </c>
      <c r="B983">
        <v>2022</v>
      </c>
      <c r="C983" t="s">
        <v>16</v>
      </c>
      <c r="D983">
        <v>216041.97007499999</v>
      </c>
      <c r="E983">
        <v>224156.15202499999</v>
      </c>
      <c r="F983">
        <v>273711.2249860001</v>
      </c>
      <c r="G983" s="39">
        <v>44835</v>
      </c>
    </row>
    <row r="984" spans="1:7" x14ac:dyDescent="0.25">
      <c r="A984" t="s">
        <v>34</v>
      </c>
      <c r="B984">
        <v>2022</v>
      </c>
      <c r="C984" t="s">
        <v>17</v>
      </c>
      <c r="D984">
        <v>241043.58</v>
      </c>
      <c r="E984">
        <v>225593.322667</v>
      </c>
      <c r="F984">
        <v>289161.48231900006</v>
      </c>
      <c r="G984" s="39">
        <v>44866</v>
      </c>
    </row>
    <row r="985" spans="1:7" x14ac:dyDescent="0.25">
      <c r="A985" t="s">
        <v>34</v>
      </c>
      <c r="B985">
        <v>2022</v>
      </c>
      <c r="C985" t="s">
        <v>18</v>
      </c>
      <c r="D985">
        <v>101602.33</v>
      </c>
      <c r="E985">
        <v>135073.070343</v>
      </c>
      <c r="F985">
        <v>255690.74197600008</v>
      </c>
      <c r="G985" s="39">
        <v>44896</v>
      </c>
    </row>
    <row r="986" spans="1:7" x14ac:dyDescent="0.25">
      <c r="A986" t="s">
        <v>34</v>
      </c>
      <c r="B986">
        <v>2023</v>
      </c>
      <c r="C986" t="s">
        <v>7</v>
      </c>
      <c r="D986">
        <v>118827.88</v>
      </c>
      <c r="E986">
        <v>82943.672900999998</v>
      </c>
      <c r="F986">
        <v>291574.94907500007</v>
      </c>
      <c r="G986" s="39">
        <v>44927</v>
      </c>
    </row>
    <row r="987" spans="1:7" x14ac:dyDescent="0.25">
      <c r="A987" t="s">
        <v>34</v>
      </c>
      <c r="B987">
        <v>2023</v>
      </c>
      <c r="C987" t="s">
        <v>8</v>
      </c>
      <c r="D987">
        <v>161017.4</v>
      </c>
      <c r="E987">
        <v>163579.501406</v>
      </c>
      <c r="F987">
        <v>289012.84766900004</v>
      </c>
      <c r="G987" s="39">
        <v>44958</v>
      </c>
    </row>
    <row r="988" spans="1:7" x14ac:dyDescent="0.25">
      <c r="A988" t="s">
        <v>34</v>
      </c>
      <c r="B988">
        <v>2023</v>
      </c>
      <c r="C988" t="s">
        <v>9</v>
      </c>
      <c r="D988">
        <v>132790.39999999999</v>
      </c>
      <c r="E988">
        <v>146940.00197400001</v>
      </c>
      <c r="F988">
        <v>274863.24569500005</v>
      </c>
      <c r="G988" s="39">
        <v>44986</v>
      </c>
    </row>
    <row r="989" spans="1:7" x14ac:dyDescent="0.25">
      <c r="A989" t="s">
        <v>34</v>
      </c>
      <c r="B989">
        <v>2023</v>
      </c>
      <c r="C989" t="s">
        <v>10</v>
      </c>
      <c r="D989">
        <v>117305.45</v>
      </c>
      <c r="E989">
        <v>112354.86687899999</v>
      </c>
      <c r="F989">
        <v>279813.82881600008</v>
      </c>
      <c r="G989" s="39">
        <v>45017</v>
      </c>
    </row>
    <row r="990" spans="1:7" x14ac:dyDescent="0.25">
      <c r="A990" t="s">
        <v>34</v>
      </c>
      <c r="B990">
        <v>2023</v>
      </c>
      <c r="C990" t="s">
        <v>11</v>
      </c>
      <c r="D990">
        <v>270608.40999999997</v>
      </c>
      <c r="E990">
        <v>259381.092145</v>
      </c>
      <c r="F990">
        <v>291041.14667100005</v>
      </c>
      <c r="G990" s="39">
        <v>45047</v>
      </c>
    </row>
    <row r="991" spans="1:7" x14ac:dyDescent="0.25">
      <c r="A991" t="s">
        <v>34</v>
      </c>
      <c r="B991">
        <v>2023</v>
      </c>
      <c r="C991" t="s">
        <v>12</v>
      </c>
      <c r="D991">
        <v>193317</v>
      </c>
      <c r="E991">
        <v>172200.58914299999</v>
      </c>
      <c r="F991">
        <v>312157.55752800009</v>
      </c>
      <c r="G991" s="39">
        <v>45078</v>
      </c>
    </row>
    <row r="992" spans="1:7" x14ac:dyDescent="0.25">
      <c r="A992" t="s">
        <v>34</v>
      </c>
      <c r="B992">
        <v>2023</v>
      </c>
      <c r="C992" t="s">
        <v>13</v>
      </c>
      <c r="D992">
        <v>234618.62</v>
      </c>
      <c r="E992">
        <v>233192.59568</v>
      </c>
      <c r="F992">
        <v>313583.58184800006</v>
      </c>
      <c r="G992" s="39">
        <v>45108</v>
      </c>
    </row>
    <row r="993" spans="1:7" x14ac:dyDescent="0.25">
      <c r="A993" t="s">
        <v>34</v>
      </c>
      <c r="B993">
        <v>2023</v>
      </c>
      <c r="C993" t="s">
        <v>14</v>
      </c>
      <c r="D993">
        <v>171502.47</v>
      </c>
      <c r="E993">
        <v>154484.086091</v>
      </c>
      <c r="F993">
        <v>330601.96575700003</v>
      </c>
      <c r="G993" s="39">
        <v>45139</v>
      </c>
    </row>
    <row r="994" spans="1:7" x14ac:dyDescent="0.25">
      <c r="A994" t="s">
        <v>34</v>
      </c>
      <c r="B994">
        <v>2023</v>
      </c>
      <c r="C994" t="s">
        <v>15</v>
      </c>
      <c r="D994">
        <v>246538.42</v>
      </c>
      <c r="E994">
        <v>234976.76363999999</v>
      </c>
      <c r="F994">
        <v>342163.62211700005</v>
      </c>
      <c r="G994" s="39">
        <v>45170</v>
      </c>
    </row>
    <row r="995" spans="1:7" x14ac:dyDescent="0.25">
      <c r="A995" t="s">
        <v>34</v>
      </c>
      <c r="B995">
        <v>2023</v>
      </c>
      <c r="C995" t="s">
        <v>16</v>
      </c>
      <c r="D995">
        <v>253069.75</v>
      </c>
      <c r="E995">
        <v>237141.60185199999</v>
      </c>
      <c r="F995">
        <v>358091.77026500006</v>
      </c>
      <c r="G995" s="39">
        <v>45200</v>
      </c>
    </row>
    <row r="996" spans="1:7" x14ac:dyDescent="0.25">
      <c r="A996" t="s">
        <v>34</v>
      </c>
      <c r="B996">
        <v>2023</v>
      </c>
      <c r="C996" t="s">
        <v>17</v>
      </c>
      <c r="D996">
        <v>196021.56</v>
      </c>
      <c r="E996">
        <v>209033.01553599999</v>
      </c>
      <c r="F996">
        <v>345080.31472899998</v>
      </c>
      <c r="G996" s="39">
        <v>45231</v>
      </c>
    </row>
    <row r="997" spans="1:7" x14ac:dyDescent="0.25">
      <c r="A997" t="s">
        <v>34</v>
      </c>
      <c r="B997">
        <v>2023</v>
      </c>
      <c r="C997" t="s">
        <v>18</v>
      </c>
      <c r="D997">
        <v>91964.84</v>
      </c>
      <c r="E997">
        <v>139178.23262200001</v>
      </c>
      <c r="F997">
        <v>297866.9221069999</v>
      </c>
      <c r="G997" s="39">
        <v>45261</v>
      </c>
    </row>
    <row r="998" spans="1:7" x14ac:dyDescent="0.25">
      <c r="A998" t="s">
        <v>34</v>
      </c>
      <c r="B998">
        <v>2024</v>
      </c>
      <c r="C998" t="s">
        <v>7</v>
      </c>
      <c r="F998">
        <v>297866.9221069999</v>
      </c>
      <c r="G998" s="39">
        <v>45292</v>
      </c>
    </row>
    <row r="999" spans="1:7" x14ac:dyDescent="0.25">
      <c r="A999" t="s">
        <v>34</v>
      </c>
      <c r="B999">
        <v>2024</v>
      </c>
      <c r="C999" t="s">
        <v>8</v>
      </c>
      <c r="F999">
        <v>297866.9221069999</v>
      </c>
      <c r="G999" s="39">
        <v>45323</v>
      </c>
    </row>
    <row r="1000" spans="1:7" x14ac:dyDescent="0.25">
      <c r="A1000" t="s">
        <v>34</v>
      </c>
      <c r="B1000">
        <v>2024</v>
      </c>
      <c r="C1000" t="s">
        <v>9</v>
      </c>
      <c r="F1000">
        <v>297866.9221069999</v>
      </c>
      <c r="G1000" s="39">
        <v>45352</v>
      </c>
    </row>
    <row r="1001" spans="1:7" x14ac:dyDescent="0.25">
      <c r="A1001" t="s">
        <v>34</v>
      </c>
      <c r="B1001">
        <v>2024</v>
      </c>
      <c r="C1001" t="s">
        <v>10</v>
      </c>
      <c r="F1001">
        <v>297866.9221069999</v>
      </c>
      <c r="G1001" s="39">
        <v>45383</v>
      </c>
    </row>
    <row r="1002" spans="1:7" x14ac:dyDescent="0.25">
      <c r="A1002" t="s">
        <v>34</v>
      </c>
      <c r="B1002">
        <v>2024</v>
      </c>
      <c r="C1002" t="s">
        <v>11</v>
      </c>
      <c r="F1002">
        <v>297866.9221069999</v>
      </c>
      <c r="G1002" s="39">
        <v>45413</v>
      </c>
    </row>
    <row r="1003" spans="1:7" x14ac:dyDescent="0.25">
      <c r="A1003" t="s">
        <v>34</v>
      </c>
      <c r="B1003">
        <v>2024</v>
      </c>
      <c r="C1003" t="s">
        <v>12</v>
      </c>
      <c r="F1003">
        <v>297866.9221069999</v>
      </c>
      <c r="G1003" s="39">
        <v>45444</v>
      </c>
    </row>
    <row r="1004" spans="1:7" x14ac:dyDescent="0.25">
      <c r="A1004" t="s">
        <v>34</v>
      </c>
      <c r="B1004">
        <v>2024</v>
      </c>
      <c r="C1004" t="s">
        <v>13</v>
      </c>
      <c r="F1004">
        <v>297866.9221069999</v>
      </c>
      <c r="G1004" s="39">
        <v>45474</v>
      </c>
    </row>
    <row r="1005" spans="1:7" x14ac:dyDescent="0.25">
      <c r="A1005" t="s">
        <v>34</v>
      </c>
      <c r="B1005">
        <v>2024</v>
      </c>
      <c r="C1005" t="s">
        <v>14</v>
      </c>
      <c r="F1005">
        <v>297866.9221069999</v>
      </c>
      <c r="G1005" s="39">
        <v>45505</v>
      </c>
    </row>
    <row r="1006" spans="1:7" x14ac:dyDescent="0.25">
      <c r="A1006" t="s">
        <v>34</v>
      </c>
      <c r="B1006">
        <v>2024</v>
      </c>
      <c r="C1006" t="s">
        <v>15</v>
      </c>
      <c r="F1006">
        <v>297866.9221069999</v>
      </c>
      <c r="G1006" s="39">
        <v>45536</v>
      </c>
    </row>
    <row r="1007" spans="1:7" x14ac:dyDescent="0.25">
      <c r="A1007" t="s">
        <v>34</v>
      </c>
      <c r="B1007">
        <v>2024</v>
      </c>
      <c r="C1007" t="s">
        <v>16</v>
      </c>
      <c r="F1007">
        <v>297866.9221069999</v>
      </c>
      <c r="G1007" s="39">
        <v>45566</v>
      </c>
    </row>
    <row r="1008" spans="1:7" x14ac:dyDescent="0.25">
      <c r="A1008" t="s">
        <v>34</v>
      </c>
      <c r="B1008">
        <v>2024</v>
      </c>
      <c r="C1008" t="s">
        <v>17</v>
      </c>
      <c r="F1008">
        <v>297866.9221069999</v>
      </c>
      <c r="G1008" s="39">
        <v>45597</v>
      </c>
    </row>
    <row r="1009" spans="1:7" x14ac:dyDescent="0.25">
      <c r="A1009" t="s">
        <v>34</v>
      </c>
      <c r="B1009">
        <v>2024</v>
      </c>
      <c r="C1009" t="s">
        <v>18</v>
      </c>
      <c r="F1009">
        <v>297866.9221069999</v>
      </c>
      <c r="G1009" s="39">
        <v>45627</v>
      </c>
    </row>
    <row r="1010" spans="1:7" x14ac:dyDescent="0.25">
      <c r="A1010" t="s">
        <v>35</v>
      </c>
      <c r="B1010">
        <v>2019</v>
      </c>
      <c r="C1010" t="s">
        <v>7</v>
      </c>
      <c r="D1010">
        <v>222045.51</v>
      </c>
      <c r="E1010">
        <v>54905.71</v>
      </c>
      <c r="F1010">
        <v>345297.78999799996</v>
      </c>
      <c r="G1010" s="39">
        <v>43466</v>
      </c>
    </row>
    <row r="1011" spans="1:7" x14ac:dyDescent="0.25">
      <c r="A1011" t="s">
        <v>35</v>
      </c>
      <c r="B1011">
        <v>2019</v>
      </c>
      <c r="C1011" t="s">
        <v>8</v>
      </c>
      <c r="D1011">
        <v>41717.96</v>
      </c>
      <c r="E1011">
        <v>96702.1</v>
      </c>
      <c r="F1011">
        <v>290313.64999800001</v>
      </c>
      <c r="G1011" s="39">
        <v>43497</v>
      </c>
    </row>
    <row r="1012" spans="1:7" x14ac:dyDescent="0.25">
      <c r="A1012" t="s">
        <v>35</v>
      </c>
      <c r="B1012">
        <v>2019</v>
      </c>
      <c r="C1012" t="s">
        <v>9</v>
      </c>
      <c r="D1012">
        <v>27524.32</v>
      </c>
      <c r="E1012">
        <v>74770.83</v>
      </c>
      <c r="F1012">
        <v>243067.139998</v>
      </c>
      <c r="G1012" s="39">
        <v>43525</v>
      </c>
    </row>
    <row r="1013" spans="1:7" x14ac:dyDescent="0.25">
      <c r="A1013" t="s">
        <v>35</v>
      </c>
      <c r="B1013">
        <v>2019</v>
      </c>
      <c r="C1013" t="s">
        <v>10</v>
      </c>
      <c r="D1013">
        <v>79996.45</v>
      </c>
      <c r="E1013">
        <v>56143.87</v>
      </c>
      <c r="F1013">
        <v>266919.71999800002</v>
      </c>
      <c r="G1013" s="39">
        <v>43556</v>
      </c>
    </row>
    <row r="1014" spans="1:7" x14ac:dyDescent="0.25">
      <c r="A1014" t="s">
        <v>35</v>
      </c>
      <c r="B1014">
        <v>2019</v>
      </c>
      <c r="C1014" t="s">
        <v>11</v>
      </c>
      <c r="D1014">
        <v>185689.79</v>
      </c>
      <c r="E1014">
        <v>124364.748333</v>
      </c>
      <c r="F1014">
        <v>328244.761665</v>
      </c>
      <c r="G1014" s="39">
        <v>43586</v>
      </c>
    </row>
    <row r="1015" spans="1:7" x14ac:dyDescent="0.25">
      <c r="A1015" t="s">
        <v>35</v>
      </c>
      <c r="B1015">
        <v>2019</v>
      </c>
      <c r="C1015" t="s">
        <v>12</v>
      </c>
      <c r="D1015">
        <v>38133.730000000003</v>
      </c>
      <c r="E1015">
        <v>98571.669167</v>
      </c>
      <c r="F1015">
        <v>267806.82249799999</v>
      </c>
      <c r="G1015" s="39">
        <v>43617</v>
      </c>
    </row>
    <row r="1016" spans="1:7" x14ac:dyDescent="0.25">
      <c r="A1016" t="s">
        <v>35</v>
      </c>
      <c r="B1016">
        <v>2019</v>
      </c>
      <c r="C1016" t="s">
        <v>13</v>
      </c>
      <c r="D1016">
        <v>80284.28</v>
      </c>
      <c r="E1016">
        <v>91560.159333000003</v>
      </c>
      <c r="F1016">
        <v>256530.943165</v>
      </c>
      <c r="G1016" s="39">
        <v>43647</v>
      </c>
    </row>
    <row r="1017" spans="1:7" x14ac:dyDescent="0.25">
      <c r="A1017" t="s">
        <v>35</v>
      </c>
      <c r="B1017">
        <v>2019</v>
      </c>
      <c r="C1017" t="s">
        <v>14</v>
      </c>
      <c r="D1017">
        <v>290134.2</v>
      </c>
      <c r="E1017">
        <v>191414.298889</v>
      </c>
      <c r="F1017">
        <v>355250.84427600005</v>
      </c>
      <c r="G1017" s="39">
        <v>43678</v>
      </c>
    </row>
    <row r="1018" spans="1:7" x14ac:dyDescent="0.25">
      <c r="A1018" t="s">
        <v>35</v>
      </c>
      <c r="B1018">
        <v>2019</v>
      </c>
      <c r="C1018" t="s">
        <v>15</v>
      </c>
      <c r="D1018">
        <v>69949.84</v>
      </c>
      <c r="E1018">
        <v>166403.08527800001</v>
      </c>
      <c r="F1018">
        <v>258797.598998</v>
      </c>
      <c r="G1018" s="39">
        <v>43709</v>
      </c>
    </row>
    <row r="1019" spans="1:7" x14ac:dyDescent="0.25">
      <c r="A1019" t="s">
        <v>35</v>
      </c>
      <c r="B1019">
        <v>2019</v>
      </c>
      <c r="C1019" t="s">
        <v>16</v>
      </c>
      <c r="D1019">
        <v>77640.95</v>
      </c>
      <c r="E1019">
        <v>122686.015</v>
      </c>
      <c r="F1019">
        <v>213752.53399799997</v>
      </c>
      <c r="G1019" s="39">
        <v>43739</v>
      </c>
    </row>
    <row r="1020" spans="1:7" x14ac:dyDescent="0.25">
      <c r="A1020" t="s">
        <v>35</v>
      </c>
      <c r="B1020">
        <v>2019</v>
      </c>
      <c r="C1020" t="s">
        <v>17</v>
      </c>
      <c r="D1020">
        <v>108191.48</v>
      </c>
      <c r="E1020">
        <v>127711.466636</v>
      </c>
      <c r="F1020">
        <v>194232.54736199995</v>
      </c>
      <c r="G1020" s="39">
        <v>43770</v>
      </c>
    </row>
    <row r="1021" spans="1:7" x14ac:dyDescent="0.25">
      <c r="A1021" t="s">
        <v>35</v>
      </c>
      <c r="B1021">
        <v>2019</v>
      </c>
      <c r="C1021" t="s">
        <v>18</v>
      </c>
      <c r="D1021">
        <v>69779.740000000005</v>
      </c>
      <c r="E1021">
        <v>93292.550998999999</v>
      </c>
      <c r="F1021">
        <v>170719.73636299997</v>
      </c>
      <c r="G1021" s="39">
        <v>43800</v>
      </c>
    </row>
    <row r="1022" spans="1:7" x14ac:dyDescent="0.25">
      <c r="A1022" t="s">
        <v>35</v>
      </c>
      <c r="B1022">
        <v>2020</v>
      </c>
      <c r="C1022" t="s">
        <v>7</v>
      </c>
      <c r="D1022">
        <v>188834.57</v>
      </c>
      <c r="E1022">
        <v>66114.789999999994</v>
      </c>
      <c r="F1022">
        <v>293439.51636299997</v>
      </c>
      <c r="G1022" s="39">
        <v>43831</v>
      </c>
    </row>
    <row r="1023" spans="1:7" x14ac:dyDescent="0.25">
      <c r="A1023" t="s">
        <v>35</v>
      </c>
      <c r="B1023">
        <v>2020</v>
      </c>
      <c r="C1023" t="s">
        <v>8</v>
      </c>
      <c r="D1023">
        <v>119785.92</v>
      </c>
      <c r="E1023">
        <v>150858.16</v>
      </c>
      <c r="F1023">
        <v>262367.27636299992</v>
      </c>
      <c r="G1023" s="39">
        <v>43862</v>
      </c>
    </row>
    <row r="1024" spans="1:7" x14ac:dyDescent="0.25">
      <c r="A1024" t="s">
        <v>35</v>
      </c>
      <c r="B1024">
        <v>2020</v>
      </c>
      <c r="C1024" t="s">
        <v>9</v>
      </c>
      <c r="D1024">
        <v>133316.88</v>
      </c>
      <c r="E1024">
        <v>208207.27154399999</v>
      </c>
      <c r="F1024">
        <v>187476.88481899994</v>
      </c>
      <c r="G1024" s="39">
        <v>43891</v>
      </c>
    </row>
    <row r="1025" spans="1:7" x14ac:dyDescent="0.25">
      <c r="A1025" t="s">
        <v>35</v>
      </c>
      <c r="B1025">
        <v>2020</v>
      </c>
      <c r="C1025" t="s">
        <v>10</v>
      </c>
      <c r="D1025">
        <v>83309.05</v>
      </c>
      <c r="E1025">
        <v>99207.25</v>
      </c>
      <c r="F1025">
        <v>171578.68481899996</v>
      </c>
      <c r="G1025" s="39">
        <v>43922</v>
      </c>
    </row>
    <row r="1026" spans="1:7" x14ac:dyDescent="0.25">
      <c r="A1026" t="s">
        <v>35</v>
      </c>
      <c r="B1026">
        <v>2020</v>
      </c>
      <c r="C1026" t="s">
        <v>11</v>
      </c>
      <c r="D1026">
        <v>276578.71999999997</v>
      </c>
      <c r="E1026">
        <v>119898.82042</v>
      </c>
      <c r="F1026">
        <v>328258.58439899993</v>
      </c>
      <c r="G1026" s="39">
        <v>43952</v>
      </c>
    </row>
    <row r="1027" spans="1:7" x14ac:dyDescent="0.25">
      <c r="A1027" t="s">
        <v>35</v>
      </c>
      <c r="B1027">
        <v>2020</v>
      </c>
      <c r="C1027" t="s">
        <v>12</v>
      </c>
      <c r="D1027">
        <v>34300.11</v>
      </c>
      <c r="E1027">
        <v>83942.997126000002</v>
      </c>
      <c r="F1027">
        <v>278615.69727299991</v>
      </c>
      <c r="G1027" s="39">
        <v>43983</v>
      </c>
    </row>
    <row r="1028" spans="1:7" x14ac:dyDescent="0.25">
      <c r="A1028" t="s">
        <v>35</v>
      </c>
      <c r="B1028">
        <v>2020</v>
      </c>
      <c r="C1028" t="s">
        <v>13</v>
      </c>
      <c r="D1028">
        <v>63434.54</v>
      </c>
      <c r="E1028">
        <v>103296.19278700001</v>
      </c>
      <c r="F1028">
        <v>238754.04448599988</v>
      </c>
      <c r="G1028" s="39">
        <v>44013</v>
      </c>
    </row>
    <row r="1029" spans="1:7" x14ac:dyDescent="0.25">
      <c r="A1029" t="s">
        <v>35</v>
      </c>
      <c r="B1029">
        <v>2020</v>
      </c>
      <c r="C1029" t="s">
        <v>14</v>
      </c>
      <c r="D1029">
        <v>67462.759999999995</v>
      </c>
      <c r="E1029">
        <v>105755.09366699999</v>
      </c>
      <c r="F1029">
        <v>200461.71081899985</v>
      </c>
      <c r="G1029" s="39">
        <v>44044</v>
      </c>
    </row>
    <row r="1030" spans="1:7" x14ac:dyDescent="0.25">
      <c r="A1030" t="s">
        <v>35</v>
      </c>
      <c r="B1030">
        <v>2020</v>
      </c>
      <c r="C1030" t="s">
        <v>15</v>
      </c>
      <c r="D1030">
        <v>142843.28</v>
      </c>
      <c r="E1030">
        <v>111458.484039</v>
      </c>
      <c r="F1030">
        <v>231846.50677999982</v>
      </c>
      <c r="G1030" s="39">
        <v>44075</v>
      </c>
    </row>
    <row r="1031" spans="1:7" x14ac:dyDescent="0.25">
      <c r="A1031" t="s">
        <v>35</v>
      </c>
      <c r="B1031">
        <v>2020</v>
      </c>
      <c r="C1031" t="s">
        <v>16</v>
      </c>
      <c r="D1031">
        <v>65467.53</v>
      </c>
      <c r="E1031">
        <v>148826.566861</v>
      </c>
      <c r="F1031">
        <v>148487.46991899985</v>
      </c>
      <c r="G1031" s="39">
        <v>44105</v>
      </c>
    </row>
    <row r="1032" spans="1:7" x14ac:dyDescent="0.25">
      <c r="A1032" t="s">
        <v>35</v>
      </c>
      <c r="B1032">
        <v>2020</v>
      </c>
      <c r="C1032" t="s">
        <v>17</v>
      </c>
      <c r="D1032">
        <v>164974.16</v>
      </c>
      <c r="E1032">
        <v>117108.88733300001</v>
      </c>
      <c r="F1032">
        <v>196352.74258599983</v>
      </c>
      <c r="G1032" s="39">
        <v>44136</v>
      </c>
    </row>
    <row r="1033" spans="1:7" x14ac:dyDescent="0.25">
      <c r="A1033" t="s">
        <v>35</v>
      </c>
      <c r="B1033">
        <v>2020</v>
      </c>
      <c r="C1033" t="s">
        <v>18</v>
      </c>
      <c r="D1033">
        <v>33263.75</v>
      </c>
      <c r="E1033">
        <v>89416.910474999997</v>
      </c>
      <c r="F1033">
        <v>140199.58211099985</v>
      </c>
      <c r="G1033" s="39">
        <v>44166</v>
      </c>
    </row>
    <row r="1034" spans="1:7" x14ac:dyDescent="0.25">
      <c r="A1034" t="s">
        <v>35</v>
      </c>
      <c r="B1034">
        <v>2021</v>
      </c>
      <c r="C1034" t="s">
        <v>7</v>
      </c>
      <c r="D1034">
        <v>350322.34</v>
      </c>
      <c r="E1034">
        <v>66857.835999999996</v>
      </c>
      <c r="F1034">
        <v>423664.08611099987</v>
      </c>
      <c r="G1034" s="39">
        <v>44197</v>
      </c>
    </row>
    <row r="1035" spans="1:7" x14ac:dyDescent="0.25">
      <c r="A1035" t="s">
        <v>35</v>
      </c>
      <c r="B1035">
        <v>2021</v>
      </c>
      <c r="C1035" t="s">
        <v>8</v>
      </c>
      <c r="D1035">
        <v>32612.21</v>
      </c>
      <c r="E1035">
        <v>112602.617334</v>
      </c>
      <c r="F1035">
        <v>343673.67877699988</v>
      </c>
      <c r="G1035" s="39">
        <v>44228</v>
      </c>
    </row>
    <row r="1036" spans="1:7" x14ac:dyDescent="0.25">
      <c r="A1036" t="s">
        <v>35</v>
      </c>
      <c r="B1036">
        <v>2021</v>
      </c>
      <c r="C1036" t="s">
        <v>9</v>
      </c>
      <c r="D1036">
        <v>298443.99</v>
      </c>
      <c r="E1036">
        <v>136070.33783999999</v>
      </c>
      <c r="F1036">
        <v>506047.33093699993</v>
      </c>
      <c r="G1036" s="39">
        <v>44256</v>
      </c>
    </row>
    <row r="1037" spans="1:7" x14ac:dyDescent="0.25">
      <c r="A1037" t="s">
        <v>35</v>
      </c>
      <c r="B1037">
        <v>2021</v>
      </c>
      <c r="C1037" t="s">
        <v>10</v>
      </c>
      <c r="D1037">
        <v>278216.64</v>
      </c>
      <c r="E1037">
        <v>137276.08727300001</v>
      </c>
      <c r="F1037">
        <v>646987.88366399985</v>
      </c>
      <c r="G1037" s="39">
        <v>44287</v>
      </c>
    </row>
    <row r="1038" spans="1:7" x14ac:dyDescent="0.25">
      <c r="A1038" t="s">
        <v>35</v>
      </c>
      <c r="B1038">
        <v>2021</v>
      </c>
      <c r="C1038" t="s">
        <v>11</v>
      </c>
      <c r="D1038">
        <v>68740.540032000004</v>
      </c>
      <c r="E1038">
        <v>142984.30442599999</v>
      </c>
      <c r="F1038">
        <v>572744.11926999991</v>
      </c>
      <c r="G1038" s="39">
        <v>44317</v>
      </c>
    </row>
    <row r="1039" spans="1:7" x14ac:dyDescent="0.25">
      <c r="A1039" t="s">
        <v>35</v>
      </c>
      <c r="B1039">
        <v>2021</v>
      </c>
      <c r="C1039" t="s">
        <v>12</v>
      </c>
      <c r="D1039">
        <v>28721.19</v>
      </c>
      <c r="E1039">
        <v>84237.160161000007</v>
      </c>
      <c r="F1039">
        <v>517228.14910899987</v>
      </c>
      <c r="G1039" s="39">
        <v>44348</v>
      </c>
    </row>
    <row r="1040" spans="1:7" x14ac:dyDescent="0.25">
      <c r="A1040" t="s">
        <v>35</v>
      </c>
      <c r="B1040">
        <v>2021</v>
      </c>
      <c r="C1040" t="s">
        <v>13</v>
      </c>
      <c r="D1040">
        <v>167706.64000000001</v>
      </c>
      <c r="E1040">
        <v>105936.09</v>
      </c>
      <c r="F1040">
        <v>578998.69910899992</v>
      </c>
      <c r="G1040" s="39">
        <v>44378</v>
      </c>
    </row>
    <row r="1041" spans="1:7" x14ac:dyDescent="0.25">
      <c r="A1041" t="s">
        <v>35</v>
      </c>
      <c r="B1041">
        <v>2021</v>
      </c>
      <c r="C1041" t="s">
        <v>14</v>
      </c>
      <c r="D1041">
        <v>48568.52</v>
      </c>
      <c r="E1041">
        <v>111094.484778</v>
      </c>
      <c r="F1041">
        <v>516472.73433099996</v>
      </c>
      <c r="G1041" s="39">
        <v>44409</v>
      </c>
    </row>
    <row r="1042" spans="1:7" x14ac:dyDescent="0.25">
      <c r="A1042" t="s">
        <v>35</v>
      </c>
      <c r="B1042">
        <v>2021</v>
      </c>
      <c r="C1042" t="s">
        <v>15</v>
      </c>
      <c r="D1042">
        <v>29823.94</v>
      </c>
      <c r="E1042">
        <v>116779.216699</v>
      </c>
      <c r="F1042">
        <v>429517.45763199998</v>
      </c>
      <c r="G1042" s="39">
        <v>44440</v>
      </c>
    </row>
    <row r="1043" spans="1:7" x14ac:dyDescent="0.25">
      <c r="A1043" t="s">
        <v>35</v>
      </c>
      <c r="B1043">
        <v>2021</v>
      </c>
      <c r="C1043" t="s">
        <v>16</v>
      </c>
      <c r="D1043">
        <v>55749.2</v>
      </c>
      <c r="E1043">
        <v>125192.516087</v>
      </c>
      <c r="F1043">
        <v>360074.14154500002</v>
      </c>
      <c r="G1043" s="39">
        <v>44470</v>
      </c>
    </row>
    <row r="1044" spans="1:7" x14ac:dyDescent="0.25">
      <c r="A1044" t="s">
        <v>35</v>
      </c>
      <c r="B1044">
        <v>2021</v>
      </c>
      <c r="C1044" t="s">
        <v>17</v>
      </c>
      <c r="D1044">
        <v>61971.14</v>
      </c>
      <c r="E1044">
        <v>101463.114</v>
      </c>
      <c r="F1044">
        <v>320582.16754500003</v>
      </c>
      <c r="G1044" s="39">
        <v>44501</v>
      </c>
    </row>
    <row r="1045" spans="1:7" x14ac:dyDescent="0.25">
      <c r="A1045" t="s">
        <v>35</v>
      </c>
      <c r="B1045">
        <v>2021</v>
      </c>
      <c r="C1045" t="s">
        <v>18</v>
      </c>
      <c r="D1045">
        <v>18295.740000000002</v>
      </c>
      <c r="E1045">
        <v>91299</v>
      </c>
      <c r="F1045">
        <v>247578.90754500002</v>
      </c>
      <c r="G1045" s="39">
        <v>44531</v>
      </c>
    </row>
    <row r="1046" spans="1:7" x14ac:dyDescent="0.25">
      <c r="A1046" t="s">
        <v>35</v>
      </c>
      <c r="B1046">
        <v>2022</v>
      </c>
      <c r="C1046" t="s">
        <v>7</v>
      </c>
      <c r="D1046">
        <v>54663.360000000001</v>
      </c>
      <c r="E1046">
        <v>64065.401909</v>
      </c>
      <c r="F1046">
        <v>238176.865636</v>
      </c>
      <c r="G1046" s="39">
        <v>44562</v>
      </c>
    </row>
    <row r="1047" spans="1:7" x14ac:dyDescent="0.25">
      <c r="A1047" t="s">
        <v>35</v>
      </c>
      <c r="B1047">
        <v>2022</v>
      </c>
      <c r="C1047" t="s">
        <v>8</v>
      </c>
      <c r="D1047">
        <v>145125.37</v>
      </c>
      <c r="E1047">
        <v>79903.830721999999</v>
      </c>
      <c r="F1047">
        <v>303398.40491400001</v>
      </c>
      <c r="G1047" s="39">
        <v>44593</v>
      </c>
    </row>
    <row r="1048" spans="1:7" x14ac:dyDescent="0.25">
      <c r="A1048" t="s">
        <v>35</v>
      </c>
      <c r="B1048">
        <v>2022</v>
      </c>
      <c r="C1048" t="s">
        <v>9</v>
      </c>
      <c r="D1048">
        <v>312505.90000000002</v>
      </c>
      <c r="E1048">
        <v>84354.72</v>
      </c>
      <c r="F1048">
        <v>531549.58491400001</v>
      </c>
      <c r="G1048" s="39">
        <v>44621</v>
      </c>
    </row>
    <row r="1049" spans="1:7" x14ac:dyDescent="0.25">
      <c r="A1049" t="s">
        <v>35</v>
      </c>
      <c r="B1049">
        <v>2022</v>
      </c>
      <c r="C1049" t="s">
        <v>10</v>
      </c>
      <c r="D1049">
        <v>166407.46</v>
      </c>
      <c r="E1049">
        <v>104696.682</v>
      </c>
      <c r="F1049">
        <v>593260.36291399994</v>
      </c>
      <c r="G1049" s="39">
        <v>44652</v>
      </c>
    </row>
    <row r="1050" spans="1:7" x14ac:dyDescent="0.25">
      <c r="A1050" t="s">
        <v>35</v>
      </c>
      <c r="B1050">
        <v>2022</v>
      </c>
      <c r="C1050" t="s">
        <v>11</v>
      </c>
      <c r="D1050">
        <v>45776.68</v>
      </c>
      <c r="E1050">
        <v>118263.19</v>
      </c>
      <c r="F1050">
        <v>520773.85291399999</v>
      </c>
      <c r="G1050" s="39">
        <v>44682</v>
      </c>
    </row>
    <row r="1051" spans="1:7" x14ac:dyDescent="0.25">
      <c r="A1051" t="s">
        <v>35</v>
      </c>
      <c r="B1051">
        <v>2022</v>
      </c>
      <c r="C1051" t="s">
        <v>12</v>
      </c>
      <c r="D1051">
        <v>36941.919999999998</v>
      </c>
      <c r="E1051">
        <v>90688.68</v>
      </c>
      <c r="F1051">
        <v>467027.09291399998</v>
      </c>
      <c r="G1051" s="39">
        <v>44713</v>
      </c>
    </row>
    <row r="1052" spans="1:7" x14ac:dyDescent="0.25">
      <c r="A1052" t="s">
        <v>35</v>
      </c>
      <c r="B1052">
        <v>2022</v>
      </c>
      <c r="C1052" t="s">
        <v>13</v>
      </c>
      <c r="D1052">
        <v>39347.440000000002</v>
      </c>
      <c r="E1052">
        <v>155689.42000000001</v>
      </c>
      <c r="F1052">
        <v>350685.11291399994</v>
      </c>
      <c r="G1052" s="39">
        <v>44743</v>
      </c>
    </row>
    <row r="1053" spans="1:7" x14ac:dyDescent="0.25">
      <c r="A1053" t="s">
        <v>35</v>
      </c>
      <c r="B1053">
        <v>2022</v>
      </c>
      <c r="C1053" t="s">
        <v>14</v>
      </c>
      <c r="D1053">
        <v>42948.97</v>
      </c>
      <c r="E1053">
        <v>145927.99</v>
      </c>
      <c r="F1053">
        <v>247706.09291399992</v>
      </c>
      <c r="G1053" s="39">
        <v>44774</v>
      </c>
    </row>
    <row r="1054" spans="1:7" x14ac:dyDescent="0.25">
      <c r="A1054" t="s">
        <v>35</v>
      </c>
      <c r="B1054">
        <v>2022</v>
      </c>
      <c r="C1054" t="s">
        <v>15</v>
      </c>
      <c r="D1054">
        <v>87122.35</v>
      </c>
      <c r="E1054">
        <v>131353.19</v>
      </c>
      <c r="F1054">
        <v>203475.2529139999</v>
      </c>
      <c r="G1054" s="39">
        <v>44805</v>
      </c>
    </row>
    <row r="1055" spans="1:7" x14ac:dyDescent="0.25">
      <c r="A1055" t="s">
        <v>35</v>
      </c>
      <c r="B1055">
        <v>2022</v>
      </c>
      <c r="C1055" t="s">
        <v>16</v>
      </c>
      <c r="D1055">
        <v>103322.48</v>
      </c>
      <c r="E1055">
        <v>99262.65</v>
      </c>
      <c r="F1055">
        <v>207535.08291399988</v>
      </c>
      <c r="G1055" s="39">
        <v>44835</v>
      </c>
    </row>
    <row r="1056" spans="1:7" x14ac:dyDescent="0.25">
      <c r="A1056" t="s">
        <v>35</v>
      </c>
      <c r="B1056">
        <v>2022</v>
      </c>
      <c r="C1056" t="s">
        <v>17</v>
      </c>
      <c r="D1056">
        <v>65475.7</v>
      </c>
      <c r="E1056">
        <v>107818.26</v>
      </c>
      <c r="F1056">
        <v>165192.52291399986</v>
      </c>
      <c r="G1056" s="39">
        <v>44866</v>
      </c>
    </row>
    <row r="1057" spans="1:7" x14ac:dyDescent="0.25">
      <c r="A1057" t="s">
        <v>35</v>
      </c>
      <c r="B1057">
        <v>2022</v>
      </c>
      <c r="C1057" t="s">
        <v>18</v>
      </c>
      <c r="D1057">
        <v>43604.160000000003</v>
      </c>
      <c r="E1057">
        <v>79075</v>
      </c>
      <c r="F1057">
        <v>129721.68291399986</v>
      </c>
      <c r="G1057" s="39">
        <v>44896</v>
      </c>
    </row>
    <row r="1058" spans="1:7" x14ac:dyDescent="0.25">
      <c r="A1058" t="s">
        <v>35</v>
      </c>
      <c r="B1058">
        <v>2023</v>
      </c>
      <c r="C1058" t="s">
        <v>7</v>
      </c>
      <c r="D1058">
        <v>54933.59</v>
      </c>
      <c r="E1058">
        <v>41010.589999999997</v>
      </c>
      <c r="F1058">
        <v>143644.68291399986</v>
      </c>
      <c r="G1058" s="39">
        <v>44927</v>
      </c>
    </row>
    <row r="1059" spans="1:7" x14ac:dyDescent="0.25">
      <c r="A1059" t="s">
        <v>35</v>
      </c>
      <c r="B1059">
        <v>2023</v>
      </c>
      <c r="C1059" t="s">
        <v>8</v>
      </c>
      <c r="D1059">
        <v>121786.4</v>
      </c>
      <c r="E1059">
        <v>125428.15</v>
      </c>
      <c r="F1059">
        <v>140002.93291399986</v>
      </c>
      <c r="G1059" s="39">
        <v>44958</v>
      </c>
    </row>
    <row r="1060" spans="1:7" x14ac:dyDescent="0.25">
      <c r="A1060" t="s">
        <v>35</v>
      </c>
      <c r="B1060">
        <v>2023</v>
      </c>
      <c r="C1060" t="s">
        <v>9</v>
      </c>
      <c r="D1060">
        <v>200446.54</v>
      </c>
      <c r="E1060">
        <v>179452.5</v>
      </c>
      <c r="F1060">
        <v>160996.97291399987</v>
      </c>
      <c r="G1060" s="39">
        <v>44986</v>
      </c>
    </row>
    <row r="1061" spans="1:7" x14ac:dyDescent="0.25">
      <c r="A1061" t="s">
        <v>35</v>
      </c>
      <c r="B1061">
        <v>2023</v>
      </c>
      <c r="C1061" t="s">
        <v>10</v>
      </c>
      <c r="D1061">
        <v>44685.99</v>
      </c>
      <c r="E1061">
        <v>66236.62</v>
      </c>
      <c r="F1061">
        <v>139446.34291399986</v>
      </c>
      <c r="G1061" s="39">
        <v>45017</v>
      </c>
    </row>
    <row r="1062" spans="1:7" x14ac:dyDescent="0.25">
      <c r="A1062" t="s">
        <v>35</v>
      </c>
      <c r="B1062">
        <v>2023</v>
      </c>
      <c r="C1062" t="s">
        <v>11</v>
      </c>
      <c r="D1062">
        <v>127446.11</v>
      </c>
      <c r="E1062">
        <v>135124.01999999999</v>
      </c>
      <c r="F1062">
        <v>131768.43291399986</v>
      </c>
      <c r="G1062" s="39">
        <v>45047</v>
      </c>
    </row>
    <row r="1063" spans="1:7" x14ac:dyDescent="0.25">
      <c r="A1063" t="s">
        <v>35</v>
      </c>
      <c r="B1063">
        <v>2023</v>
      </c>
      <c r="C1063" t="s">
        <v>12</v>
      </c>
      <c r="D1063">
        <v>123861.18</v>
      </c>
      <c r="E1063">
        <v>84793.22</v>
      </c>
      <c r="F1063">
        <v>170836.39291399985</v>
      </c>
      <c r="G1063" s="39">
        <v>45078</v>
      </c>
    </row>
    <row r="1064" spans="1:7" x14ac:dyDescent="0.25">
      <c r="A1064" t="s">
        <v>35</v>
      </c>
      <c r="B1064">
        <v>2023</v>
      </c>
      <c r="C1064" t="s">
        <v>13</v>
      </c>
      <c r="D1064">
        <v>70079.69</v>
      </c>
      <c r="E1064">
        <v>104299.03</v>
      </c>
      <c r="F1064">
        <v>136617.05291399985</v>
      </c>
      <c r="G1064" s="39">
        <v>45108</v>
      </c>
    </row>
    <row r="1065" spans="1:7" x14ac:dyDescent="0.25">
      <c r="A1065" t="s">
        <v>35</v>
      </c>
      <c r="B1065">
        <v>2023</v>
      </c>
      <c r="C1065" t="s">
        <v>14</v>
      </c>
      <c r="D1065">
        <v>48675.22</v>
      </c>
      <c r="E1065">
        <v>66232.69</v>
      </c>
      <c r="F1065">
        <v>119059.58291399985</v>
      </c>
      <c r="G1065" s="39">
        <v>45139</v>
      </c>
    </row>
    <row r="1066" spans="1:7" x14ac:dyDescent="0.25">
      <c r="A1066" t="s">
        <v>35</v>
      </c>
      <c r="B1066">
        <v>2023</v>
      </c>
      <c r="C1066" t="s">
        <v>15</v>
      </c>
      <c r="D1066">
        <v>66513.37</v>
      </c>
      <c r="E1066">
        <v>67460.59</v>
      </c>
      <c r="F1066">
        <v>118112.36291399985</v>
      </c>
      <c r="G1066" s="39">
        <v>45170</v>
      </c>
    </row>
    <row r="1067" spans="1:7" x14ac:dyDescent="0.25">
      <c r="A1067" t="s">
        <v>35</v>
      </c>
      <c r="B1067">
        <v>2023</v>
      </c>
      <c r="C1067" t="s">
        <v>16</v>
      </c>
      <c r="D1067">
        <v>123217.59</v>
      </c>
      <c r="E1067">
        <v>104169.73</v>
      </c>
      <c r="F1067">
        <v>137160.22291399987</v>
      </c>
      <c r="G1067" s="39">
        <v>45200</v>
      </c>
    </row>
    <row r="1068" spans="1:7" x14ac:dyDescent="0.25">
      <c r="A1068" t="s">
        <v>35</v>
      </c>
      <c r="B1068">
        <v>2023</v>
      </c>
      <c r="C1068" t="s">
        <v>17</v>
      </c>
      <c r="D1068">
        <v>80519.100000000006</v>
      </c>
      <c r="E1068">
        <v>105498.94</v>
      </c>
      <c r="F1068">
        <v>112180.38291399987</v>
      </c>
      <c r="G1068" s="39">
        <v>45231</v>
      </c>
    </row>
    <row r="1069" spans="1:7" x14ac:dyDescent="0.25">
      <c r="A1069" t="s">
        <v>35</v>
      </c>
      <c r="B1069">
        <v>2023</v>
      </c>
      <c r="C1069" t="s">
        <v>18</v>
      </c>
      <c r="D1069">
        <v>32227.72</v>
      </c>
      <c r="E1069">
        <v>121463.42</v>
      </c>
      <c r="F1069">
        <v>22944.682913999874</v>
      </c>
      <c r="G1069" s="39">
        <v>45261</v>
      </c>
    </row>
    <row r="1070" spans="1:7" x14ac:dyDescent="0.25">
      <c r="A1070" t="s">
        <v>35</v>
      </c>
      <c r="B1070">
        <v>2024</v>
      </c>
      <c r="C1070" t="s">
        <v>7</v>
      </c>
      <c r="F1070">
        <v>22944.682913999874</v>
      </c>
      <c r="G1070" s="39">
        <v>45292</v>
      </c>
    </row>
    <row r="1071" spans="1:7" x14ac:dyDescent="0.25">
      <c r="A1071" t="s">
        <v>35</v>
      </c>
      <c r="B1071">
        <v>2024</v>
      </c>
      <c r="C1071" t="s">
        <v>8</v>
      </c>
      <c r="F1071">
        <v>22944.682913999874</v>
      </c>
      <c r="G1071" s="39">
        <v>45323</v>
      </c>
    </row>
    <row r="1072" spans="1:7" x14ac:dyDescent="0.25">
      <c r="A1072" t="s">
        <v>35</v>
      </c>
      <c r="B1072">
        <v>2024</v>
      </c>
      <c r="C1072" t="s">
        <v>9</v>
      </c>
      <c r="F1072">
        <v>22944.682913999874</v>
      </c>
      <c r="G1072" s="39">
        <v>45352</v>
      </c>
    </row>
    <row r="1073" spans="1:7" x14ac:dyDescent="0.25">
      <c r="A1073" t="s">
        <v>35</v>
      </c>
      <c r="B1073">
        <v>2024</v>
      </c>
      <c r="C1073" t="s">
        <v>10</v>
      </c>
      <c r="F1073">
        <v>22944.682913999874</v>
      </c>
      <c r="G1073" s="39">
        <v>45383</v>
      </c>
    </row>
    <row r="1074" spans="1:7" x14ac:dyDescent="0.25">
      <c r="A1074" t="s">
        <v>35</v>
      </c>
      <c r="B1074">
        <v>2024</v>
      </c>
      <c r="C1074" t="s">
        <v>11</v>
      </c>
      <c r="F1074">
        <v>22944.682913999874</v>
      </c>
      <c r="G1074" s="39">
        <v>45413</v>
      </c>
    </row>
    <row r="1075" spans="1:7" x14ac:dyDescent="0.25">
      <c r="A1075" t="s">
        <v>35</v>
      </c>
      <c r="B1075">
        <v>2024</v>
      </c>
      <c r="C1075" t="s">
        <v>12</v>
      </c>
      <c r="F1075">
        <v>22944.682913999874</v>
      </c>
      <c r="G1075" s="39">
        <v>45444</v>
      </c>
    </row>
    <row r="1076" spans="1:7" x14ac:dyDescent="0.25">
      <c r="A1076" t="s">
        <v>35</v>
      </c>
      <c r="B1076">
        <v>2024</v>
      </c>
      <c r="C1076" t="s">
        <v>13</v>
      </c>
      <c r="F1076">
        <v>22944.682913999874</v>
      </c>
      <c r="G1076" s="39">
        <v>45474</v>
      </c>
    </row>
    <row r="1077" spans="1:7" x14ac:dyDescent="0.25">
      <c r="A1077" t="s">
        <v>35</v>
      </c>
      <c r="B1077">
        <v>2024</v>
      </c>
      <c r="C1077" t="s">
        <v>14</v>
      </c>
      <c r="F1077">
        <v>22944.682913999874</v>
      </c>
      <c r="G1077" s="39">
        <v>45505</v>
      </c>
    </row>
    <row r="1078" spans="1:7" x14ac:dyDescent="0.25">
      <c r="A1078" t="s">
        <v>35</v>
      </c>
      <c r="B1078">
        <v>2024</v>
      </c>
      <c r="C1078" t="s">
        <v>15</v>
      </c>
      <c r="F1078">
        <v>22944.682913999874</v>
      </c>
      <c r="G1078" s="39">
        <v>45536</v>
      </c>
    </row>
    <row r="1079" spans="1:7" x14ac:dyDescent="0.25">
      <c r="A1079" t="s">
        <v>35</v>
      </c>
      <c r="B1079">
        <v>2024</v>
      </c>
      <c r="C1079" t="s">
        <v>16</v>
      </c>
      <c r="F1079">
        <v>22944.682913999874</v>
      </c>
      <c r="G1079" s="39">
        <v>45566</v>
      </c>
    </row>
    <row r="1080" spans="1:7" x14ac:dyDescent="0.25">
      <c r="A1080" t="s">
        <v>35</v>
      </c>
      <c r="B1080">
        <v>2024</v>
      </c>
      <c r="C1080" t="s">
        <v>17</v>
      </c>
      <c r="F1080">
        <v>22944.682913999874</v>
      </c>
      <c r="G1080" s="39">
        <v>45597</v>
      </c>
    </row>
    <row r="1081" spans="1:7" x14ac:dyDescent="0.25">
      <c r="A1081" t="s">
        <v>35</v>
      </c>
      <c r="B1081">
        <v>2024</v>
      </c>
      <c r="C1081" t="s">
        <v>18</v>
      </c>
      <c r="F1081">
        <v>22944.682913999874</v>
      </c>
      <c r="G1081" s="39">
        <v>45627</v>
      </c>
    </row>
    <row r="1082" spans="1:7" x14ac:dyDescent="0.25">
      <c r="A1082" t="s">
        <v>36</v>
      </c>
      <c r="B1082">
        <v>2019</v>
      </c>
      <c r="C1082" t="s">
        <v>7</v>
      </c>
      <c r="D1082">
        <v>49211.25</v>
      </c>
      <c r="E1082">
        <v>33851.167656999998</v>
      </c>
      <c r="F1082">
        <v>46691.319067999997</v>
      </c>
      <c r="G1082" s="39">
        <v>43466</v>
      </c>
    </row>
    <row r="1083" spans="1:7" x14ac:dyDescent="0.25">
      <c r="A1083" t="s">
        <v>36</v>
      </c>
      <c r="B1083">
        <v>2019</v>
      </c>
      <c r="C1083" t="s">
        <v>8</v>
      </c>
      <c r="D1083">
        <v>49336.91</v>
      </c>
      <c r="E1083">
        <v>48259.593352000004</v>
      </c>
      <c r="F1083">
        <v>47768.635715999997</v>
      </c>
      <c r="G1083" s="39">
        <v>43497</v>
      </c>
    </row>
    <row r="1084" spans="1:7" x14ac:dyDescent="0.25">
      <c r="A1084" t="s">
        <v>36</v>
      </c>
      <c r="B1084">
        <v>2019</v>
      </c>
      <c r="C1084" t="s">
        <v>9</v>
      </c>
      <c r="D1084">
        <v>93888.320000000007</v>
      </c>
      <c r="E1084">
        <v>68446.518096999993</v>
      </c>
      <c r="F1084">
        <v>73210.437619000004</v>
      </c>
      <c r="G1084" s="39">
        <v>43525</v>
      </c>
    </row>
    <row r="1085" spans="1:7" x14ac:dyDescent="0.25">
      <c r="A1085" t="s">
        <v>36</v>
      </c>
      <c r="B1085">
        <v>2019</v>
      </c>
      <c r="C1085" t="s">
        <v>10</v>
      </c>
      <c r="D1085">
        <v>37286.769999999997</v>
      </c>
      <c r="E1085">
        <v>49669.736911</v>
      </c>
      <c r="F1085">
        <v>60827.470707999993</v>
      </c>
      <c r="G1085" s="39">
        <v>43556</v>
      </c>
    </row>
    <row r="1086" spans="1:7" x14ac:dyDescent="0.25">
      <c r="A1086" t="s">
        <v>36</v>
      </c>
      <c r="B1086">
        <v>2019</v>
      </c>
      <c r="C1086" t="s">
        <v>11</v>
      </c>
      <c r="D1086">
        <v>77924.23</v>
      </c>
      <c r="E1086">
        <v>72340.201104000007</v>
      </c>
      <c r="F1086">
        <v>66411.499603999982</v>
      </c>
      <c r="G1086" s="39">
        <v>43586</v>
      </c>
    </row>
    <row r="1087" spans="1:7" x14ac:dyDescent="0.25">
      <c r="A1087" t="s">
        <v>36</v>
      </c>
      <c r="B1087">
        <v>2019</v>
      </c>
      <c r="C1087" t="s">
        <v>12</v>
      </c>
      <c r="D1087">
        <v>44405.51</v>
      </c>
      <c r="E1087">
        <v>42960.731763999996</v>
      </c>
      <c r="F1087">
        <v>67856.277839999995</v>
      </c>
      <c r="G1087" s="39">
        <v>43617</v>
      </c>
    </row>
    <row r="1088" spans="1:7" x14ac:dyDescent="0.25">
      <c r="A1088" t="s">
        <v>36</v>
      </c>
      <c r="B1088">
        <v>2019</v>
      </c>
      <c r="C1088" t="s">
        <v>13</v>
      </c>
      <c r="D1088">
        <v>39180.449999999997</v>
      </c>
      <c r="E1088">
        <v>59836.229538</v>
      </c>
      <c r="F1088">
        <v>47200.498301999993</v>
      </c>
      <c r="G1088" s="39">
        <v>43647</v>
      </c>
    </row>
    <row r="1089" spans="1:7" x14ac:dyDescent="0.25">
      <c r="A1089" t="s">
        <v>36</v>
      </c>
      <c r="B1089">
        <v>2019</v>
      </c>
      <c r="C1089" t="s">
        <v>14</v>
      </c>
      <c r="D1089">
        <v>73900.27</v>
      </c>
      <c r="E1089">
        <v>64841.768362000003</v>
      </c>
      <c r="F1089">
        <v>56258.999939999994</v>
      </c>
      <c r="G1089" s="39">
        <v>43678</v>
      </c>
    </row>
    <row r="1090" spans="1:7" x14ac:dyDescent="0.25">
      <c r="A1090" t="s">
        <v>36</v>
      </c>
      <c r="B1090">
        <v>2019</v>
      </c>
      <c r="C1090" t="s">
        <v>15</v>
      </c>
      <c r="D1090">
        <v>108576.159997</v>
      </c>
      <c r="E1090">
        <v>72913.623040000006</v>
      </c>
      <c r="F1090">
        <v>91921.536896999984</v>
      </c>
      <c r="G1090" s="39">
        <v>43709</v>
      </c>
    </row>
    <row r="1091" spans="1:7" x14ac:dyDescent="0.25">
      <c r="A1091" t="s">
        <v>36</v>
      </c>
      <c r="B1091">
        <v>2019</v>
      </c>
      <c r="C1091" t="s">
        <v>16</v>
      </c>
      <c r="D1091">
        <v>104297.88999</v>
      </c>
      <c r="E1091">
        <v>70749.077283000006</v>
      </c>
      <c r="F1091">
        <v>125470.34960399997</v>
      </c>
      <c r="G1091" s="39">
        <v>43739</v>
      </c>
    </row>
    <row r="1092" spans="1:7" x14ac:dyDescent="0.25">
      <c r="A1092" t="s">
        <v>36</v>
      </c>
      <c r="B1092">
        <v>2019</v>
      </c>
      <c r="C1092" t="s">
        <v>17</v>
      </c>
      <c r="D1092">
        <v>15291.51</v>
      </c>
      <c r="E1092">
        <v>79135.909006000002</v>
      </c>
      <c r="F1092">
        <v>61625.950597999967</v>
      </c>
      <c r="G1092" s="39">
        <v>43770</v>
      </c>
    </row>
    <row r="1093" spans="1:7" x14ac:dyDescent="0.25">
      <c r="A1093" t="s">
        <v>36</v>
      </c>
      <c r="B1093">
        <v>2019</v>
      </c>
      <c r="C1093" t="s">
        <v>18</v>
      </c>
      <c r="D1093">
        <v>31415.32</v>
      </c>
      <c r="E1093">
        <v>37578.173088000003</v>
      </c>
      <c r="F1093">
        <v>55463.09750999997</v>
      </c>
      <c r="G1093" s="39">
        <v>43800</v>
      </c>
    </row>
    <row r="1094" spans="1:7" x14ac:dyDescent="0.25">
      <c r="A1094" t="s">
        <v>36</v>
      </c>
      <c r="B1094">
        <v>2020</v>
      </c>
      <c r="C1094" t="s">
        <v>7</v>
      </c>
      <c r="D1094">
        <v>112825.67999800001</v>
      </c>
      <c r="E1094">
        <v>40097.681109999998</v>
      </c>
      <c r="F1094">
        <v>128191.09639799997</v>
      </c>
      <c r="G1094" s="39">
        <v>43831</v>
      </c>
    </row>
    <row r="1095" spans="1:7" x14ac:dyDescent="0.25">
      <c r="A1095" t="s">
        <v>36</v>
      </c>
      <c r="B1095">
        <v>2020</v>
      </c>
      <c r="C1095" t="s">
        <v>8</v>
      </c>
      <c r="D1095">
        <v>7972.97</v>
      </c>
      <c r="E1095">
        <v>70478.195575000005</v>
      </c>
      <c r="F1095">
        <v>65685.870822999961</v>
      </c>
      <c r="G1095" s="39">
        <v>43862</v>
      </c>
    </row>
    <row r="1096" spans="1:7" x14ac:dyDescent="0.25">
      <c r="A1096" t="s">
        <v>36</v>
      </c>
      <c r="B1096">
        <v>2020</v>
      </c>
      <c r="C1096" t="s">
        <v>9</v>
      </c>
      <c r="D1096">
        <v>137172.79</v>
      </c>
      <c r="E1096">
        <v>72919.569841000004</v>
      </c>
      <c r="F1096">
        <v>129939.09098199995</v>
      </c>
      <c r="G1096" s="39">
        <v>43891</v>
      </c>
    </row>
    <row r="1097" spans="1:7" x14ac:dyDescent="0.25">
      <c r="A1097" t="s">
        <v>36</v>
      </c>
      <c r="B1097">
        <v>2020</v>
      </c>
      <c r="C1097" t="s">
        <v>10</v>
      </c>
      <c r="D1097">
        <v>52.26</v>
      </c>
      <c r="E1097">
        <v>61284.591295999999</v>
      </c>
      <c r="F1097">
        <v>68706.759685999947</v>
      </c>
      <c r="G1097" s="39">
        <v>43922</v>
      </c>
    </row>
    <row r="1098" spans="1:7" x14ac:dyDescent="0.25">
      <c r="A1098" t="s">
        <v>36</v>
      </c>
      <c r="B1098">
        <v>2020</v>
      </c>
      <c r="C1098" t="s">
        <v>11</v>
      </c>
      <c r="D1098">
        <v>33588.49</v>
      </c>
      <c r="E1098">
        <v>63117.944401000001</v>
      </c>
      <c r="F1098">
        <v>39177.305284999937</v>
      </c>
      <c r="G1098" s="39">
        <v>43952</v>
      </c>
    </row>
    <row r="1099" spans="1:7" x14ac:dyDescent="0.25">
      <c r="A1099" t="s">
        <v>36</v>
      </c>
      <c r="B1099">
        <v>2020</v>
      </c>
      <c r="C1099" t="s">
        <v>12</v>
      </c>
      <c r="D1099">
        <v>125956.57</v>
      </c>
      <c r="E1099">
        <v>81946.308378000002</v>
      </c>
      <c r="F1099">
        <v>83187.566906999957</v>
      </c>
      <c r="G1099" s="39">
        <v>43983</v>
      </c>
    </row>
    <row r="1100" spans="1:7" x14ac:dyDescent="0.25">
      <c r="A1100" t="s">
        <v>36</v>
      </c>
      <c r="B1100">
        <v>2020</v>
      </c>
      <c r="C1100" t="s">
        <v>13</v>
      </c>
      <c r="D1100">
        <v>79689.570000000007</v>
      </c>
      <c r="E1100">
        <v>109286.019136</v>
      </c>
      <c r="F1100">
        <v>53591.117770999976</v>
      </c>
      <c r="G1100" s="39">
        <v>44013</v>
      </c>
    </row>
    <row r="1101" spans="1:7" x14ac:dyDescent="0.25">
      <c r="A1101" t="s">
        <v>36</v>
      </c>
      <c r="B1101">
        <v>2020</v>
      </c>
      <c r="C1101" t="s">
        <v>14</v>
      </c>
      <c r="D1101">
        <v>78306.100000000006</v>
      </c>
      <c r="E1101">
        <v>64637.566751999999</v>
      </c>
      <c r="F1101">
        <v>67259.651018999997</v>
      </c>
      <c r="G1101" s="39">
        <v>44044</v>
      </c>
    </row>
    <row r="1102" spans="1:7" x14ac:dyDescent="0.25">
      <c r="A1102" t="s">
        <v>36</v>
      </c>
      <c r="B1102">
        <v>2020</v>
      </c>
      <c r="C1102" t="s">
        <v>15</v>
      </c>
      <c r="D1102">
        <v>120672.34</v>
      </c>
      <c r="E1102">
        <v>103271.09151100001</v>
      </c>
      <c r="F1102">
        <v>84660.899508000002</v>
      </c>
      <c r="G1102" s="39">
        <v>44075</v>
      </c>
    </row>
    <row r="1103" spans="1:7" x14ac:dyDescent="0.25">
      <c r="A1103" t="s">
        <v>36</v>
      </c>
      <c r="B1103">
        <v>2020</v>
      </c>
      <c r="C1103" t="s">
        <v>16</v>
      </c>
      <c r="D1103">
        <v>112824.74</v>
      </c>
      <c r="E1103">
        <v>108571.69101900001</v>
      </c>
      <c r="F1103">
        <v>88913.948488999988</v>
      </c>
      <c r="G1103" s="39">
        <v>44105</v>
      </c>
    </row>
    <row r="1104" spans="1:7" x14ac:dyDescent="0.25">
      <c r="A1104" t="s">
        <v>36</v>
      </c>
      <c r="B1104">
        <v>2020</v>
      </c>
      <c r="C1104" t="s">
        <v>17</v>
      </c>
      <c r="D1104">
        <v>147180</v>
      </c>
      <c r="E1104">
        <v>106782.279775</v>
      </c>
      <c r="F1104">
        <v>129311.66871399997</v>
      </c>
      <c r="G1104" s="39">
        <v>44136</v>
      </c>
    </row>
    <row r="1105" spans="1:7" x14ac:dyDescent="0.25">
      <c r="A1105" t="s">
        <v>36</v>
      </c>
      <c r="B1105">
        <v>2020</v>
      </c>
      <c r="C1105" t="s">
        <v>18</v>
      </c>
      <c r="D1105">
        <v>25763.34</v>
      </c>
      <c r="E1105">
        <v>99735.949867000003</v>
      </c>
      <c r="F1105">
        <v>55339.058846999964</v>
      </c>
      <c r="G1105" s="39">
        <v>44166</v>
      </c>
    </row>
    <row r="1106" spans="1:7" x14ac:dyDescent="0.25">
      <c r="A1106" t="s">
        <v>36</v>
      </c>
      <c r="B1106">
        <v>2021</v>
      </c>
      <c r="C1106" t="s">
        <v>7</v>
      </c>
      <c r="D1106">
        <v>193436.5</v>
      </c>
      <c r="E1106">
        <v>93371.969815999997</v>
      </c>
      <c r="F1106">
        <v>155403.58903099995</v>
      </c>
      <c r="G1106" s="39">
        <v>44197</v>
      </c>
    </row>
    <row r="1107" spans="1:7" x14ac:dyDescent="0.25">
      <c r="A1107" t="s">
        <v>36</v>
      </c>
      <c r="B1107">
        <v>2021</v>
      </c>
      <c r="C1107" t="s">
        <v>8</v>
      </c>
      <c r="D1107">
        <v>107385.4</v>
      </c>
      <c r="E1107">
        <v>93427.304856999996</v>
      </c>
      <c r="F1107">
        <v>169361.68417399994</v>
      </c>
      <c r="G1107" s="39">
        <v>44228</v>
      </c>
    </row>
    <row r="1108" spans="1:7" x14ac:dyDescent="0.25">
      <c r="A1108" t="s">
        <v>36</v>
      </c>
      <c r="B1108">
        <v>2021</v>
      </c>
      <c r="C1108" t="s">
        <v>9</v>
      </c>
      <c r="D1108">
        <v>120802.15</v>
      </c>
      <c r="E1108">
        <v>152623.35485999999</v>
      </c>
      <c r="F1108">
        <v>137540.47931399997</v>
      </c>
      <c r="G1108" s="39">
        <v>44256</v>
      </c>
    </row>
    <row r="1109" spans="1:7" x14ac:dyDescent="0.25">
      <c r="A1109" t="s">
        <v>36</v>
      </c>
      <c r="B1109">
        <v>2021</v>
      </c>
      <c r="C1109" t="s">
        <v>10</v>
      </c>
      <c r="D1109">
        <v>157375.61999499999</v>
      </c>
      <c r="E1109">
        <v>109728.055159</v>
      </c>
      <c r="F1109">
        <v>185188.04414999997</v>
      </c>
      <c r="G1109" s="39">
        <v>44287</v>
      </c>
    </row>
    <row r="1110" spans="1:7" x14ac:dyDescent="0.25">
      <c r="A1110" t="s">
        <v>36</v>
      </c>
      <c r="B1110">
        <v>2021</v>
      </c>
      <c r="C1110" t="s">
        <v>11</v>
      </c>
      <c r="D1110">
        <v>71566.44</v>
      </c>
      <c r="E1110">
        <v>99207.781010999999</v>
      </c>
      <c r="F1110">
        <v>157546.70313899999</v>
      </c>
      <c r="G1110" s="39">
        <v>44317</v>
      </c>
    </row>
    <row r="1111" spans="1:7" x14ac:dyDescent="0.25">
      <c r="A1111" t="s">
        <v>36</v>
      </c>
      <c r="B1111">
        <v>2021</v>
      </c>
      <c r="C1111" t="s">
        <v>12</v>
      </c>
      <c r="D1111">
        <v>155396.07</v>
      </c>
      <c r="E1111">
        <v>87951.453546999997</v>
      </c>
      <c r="F1111">
        <v>224991.31959199999</v>
      </c>
      <c r="G1111" s="39">
        <v>44348</v>
      </c>
    </row>
    <row r="1112" spans="1:7" x14ac:dyDescent="0.25">
      <c r="A1112" t="s">
        <v>36</v>
      </c>
      <c r="B1112">
        <v>2021</v>
      </c>
      <c r="C1112" t="s">
        <v>13</v>
      </c>
      <c r="D1112">
        <v>122158.48</v>
      </c>
      <c r="E1112">
        <v>118752.435522</v>
      </c>
      <c r="F1112">
        <v>228397.36406999995</v>
      </c>
      <c r="G1112" s="39">
        <v>44378</v>
      </c>
    </row>
    <row r="1113" spans="1:7" x14ac:dyDescent="0.25">
      <c r="A1113" t="s">
        <v>36</v>
      </c>
      <c r="B1113">
        <v>2021</v>
      </c>
      <c r="C1113" t="s">
        <v>14</v>
      </c>
      <c r="D1113">
        <v>122137.15</v>
      </c>
      <c r="E1113">
        <v>121876.82958799999</v>
      </c>
      <c r="F1113">
        <v>228657.68448199992</v>
      </c>
      <c r="G1113" s="39">
        <v>44409</v>
      </c>
    </row>
    <row r="1114" spans="1:7" x14ac:dyDescent="0.25">
      <c r="A1114" t="s">
        <v>36</v>
      </c>
      <c r="B1114">
        <v>2021</v>
      </c>
      <c r="C1114" t="s">
        <v>15</v>
      </c>
      <c r="D1114">
        <v>129853.94</v>
      </c>
      <c r="E1114">
        <v>128878.022612</v>
      </c>
      <c r="F1114">
        <v>229633.6018699999</v>
      </c>
      <c r="G1114" s="39">
        <v>44440</v>
      </c>
    </row>
    <row r="1115" spans="1:7" x14ac:dyDescent="0.25">
      <c r="A1115" t="s">
        <v>36</v>
      </c>
      <c r="B1115">
        <v>2021</v>
      </c>
      <c r="C1115" t="s">
        <v>16</v>
      </c>
      <c r="D1115">
        <v>277389.38</v>
      </c>
      <c r="E1115">
        <v>148958.239971</v>
      </c>
      <c r="F1115">
        <v>358064.7418989999</v>
      </c>
      <c r="G1115" s="39">
        <v>44470</v>
      </c>
    </row>
    <row r="1116" spans="1:7" x14ac:dyDescent="0.25">
      <c r="A1116" t="s">
        <v>36</v>
      </c>
      <c r="B1116">
        <v>2021</v>
      </c>
      <c r="C1116" t="s">
        <v>17</v>
      </c>
      <c r="D1116">
        <v>136003.54999999999</v>
      </c>
      <c r="E1116">
        <v>129139.379445</v>
      </c>
      <c r="F1116">
        <v>364928.91245399986</v>
      </c>
      <c r="G1116" s="39">
        <v>44501</v>
      </c>
    </row>
    <row r="1117" spans="1:7" x14ac:dyDescent="0.25">
      <c r="A1117" t="s">
        <v>36</v>
      </c>
      <c r="B1117">
        <v>2021</v>
      </c>
      <c r="C1117" t="s">
        <v>18</v>
      </c>
      <c r="D1117">
        <v>0</v>
      </c>
      <c r="E1117">
        <v>98452.852199999994</v>
      </c>
      <c r="F1117">
        <v>266476.06025399989</v>
      </c>
      <c r="G1117" s="39">
        <v>44531</v>
      </c>
    </row>
    <row r="1118" spans="1:7" x14ac:dyDescent="0.25">
      <c r="A1118" t="s">
        <v>36</v>
      </c>
      <c r="B1118">
        <v>2022</v>
      </c>
      <c r="C1118" t="s">
        <v>7</v>
      </c>
      <c r="D1118">
        <v>127681.49999700001</v>
      </c>
      <c r="E1118">
        <v>163927.30129100001</v>
      </c>
      <c r="F1118">
        <v>230230.25895999986</v>
      </c>
      <c r="G1118" s="39">
        <v>44562</v>
      </c>
    </row>
    <row r="1119" spans="1:7" x14ac:dyDescent="0.25">
      <c r="A1119" t="s">
        <v>36</v>
      </c>
      <c r="B1119">
        <v>2022</v>
      </c>
      <c r="C1119" t="s">
        <v>8</v>
      </c>
      <c r="D1119">
        <v>357659.09999700001</v>
      </c>
      <c r="E1119">
        <v>165250.09563900001</v>
      </c>
      <c r="F1119">
        <v>422639.26331799984</v>
      </c>
      <c r="G1119" s="39">
        <v>44593</v>
      </c>
    </row>
    <row r="1120" spans="1:7" x14ac:dyDescent="0.25">
      <c r="A1120" t="s">
        <v>36</v>
      </c>
      <c r="B1120">
        <v>2022</v>
      </c>
      <c r="C1120" t="s">
        <v>9</v>
      </c>
      <c r="D1120">
        <v>87669.799998999995</v>
      </c>
      <c r="E1120">
        <v>147306.52593500001</v>
      </c>
      <c r="F1120">
        <v>363002.53738199978</v>
      </c>
      <c r="G1120" s="39">
        <v>44621</v>
      </c>
    </row>
    <row r="1121" spans="1:7" x14ac:dyDescent="0.25">
      <c r="A1121" t="s">
        <v>36</v>
      </c>
      <c r="B1121">
        <v>2022</v>
      </c>
      <c r="C1121" t="s">
        <v>10</v>
      </c>
      <c r="D1121">
        <v>104719.269999</v>
      </c>
      <c r="E1121">
        <v>115810.886333</v>
      </c>
      <c r="F1121">
        <v>351910.92104799976</v>
      </c>
      <c r="G1121" s="39">
        <v>44652</v>
      </c>
    </row>
    <row r="1122" spans="1:7" x14ac:dyDescent="0.25">
      <c r="A1122" t="s">
        <v>36</v>
      </c>
      <c r="B1122">
        <v>2022</v>
      </c>
      <c r="C1122" t="s">
        <v>11</v>
      </c>
      <c r="D1122">
        <v>37671.129999999997</v>
      </c>
      <c r="E1122">
        <v>107856.31437199999</v>
      </c>
      <c r="F1122">
        <v>281725.73667599977</v>
      </c>
      <c r="G1122" s="39">
        <v>44682</v>
      </c>
    </row>
    <row r="1123" spans="1:7" x14ac:dyDescent="0.25">
      <c r="A1123" t="s">
        <v>36</v>
      </c>
      <c r="B1123">
        <v>2022</v>
      </c>
      <c r="C1123" t="s">
        <v>12</v>
      </c>
      <c r="D1123">
        <v>174638.159999</v>
      </c>
      <c r="E1123">
        <v>134897.03141900001</v>
      </c>
      <c r="F1123">
        <v>321466.86525599973</v>
      </c>
      <c r="G1123" s="39">
        <v>44713</v>
      </c>
    </row>
    <row r="1124" spans="1:7" x14ac:dyDescent="0.25">
      <c r="A1124" t="s">
        <v>36</v>
      </c>
      <c r="B1124">
        <v>2022</v>
      </c>
      <c r="C1124" t="s">
        <v>13</v>
      </c>
      <c r="D1124">
        <v>42543.99</v>
      </c>
      <c r="E1124">
        <v>124821.09427</v>
      </c>
      <c r="F1124">
        <v>239189.76098599972</v>
      </c>
      <c r="G1124" s="39">
        <v>44743</v>
      </c>
    </row>
    <row r="1125" spans="1:7" x14ac:dyDescent="0.25">
      <c r="A1125" t="s">
        <v>36</v>
      </c>
      <c r="B1125">
        <v>2022</v>
      </c>
      <c r="C1125" t="s">
        <v>14</v>
      </c>
      <c r="D1125">
        <v>136204.9</v>
      </c>
      <c r="E1125">
        <v>160509.81275400001</v>
      </c>
      <c r="F1125">
        <v>214884.84823199973</v>
      </c>
      <c r="G1125" s="39">
        <v>44774</v>
      </c>
    </row>
    <row r="1126" spans="1:7" x14ac:dyDescent="0.25">
      <c r="A1126" t="s">
        <v>36</v>
      </c>
      <c r="B1126">
        <v>2022</v>
      </c>
      <c r="C1126" t="s">
        <v>15</v>
      </c>
      <c r="D1126">
        <v>159557.37999799999</v>
      </c>
      <c r="E1126">
        <v>150997.34695199999</v>
      </c>
      <c r="F1126">
        <v>223444.88127799972</v>
      </c>
      <c r="G1126" s="39">
        <v>44805</v>
      </c>
    </row>
    <row r="1127" spans="1:7" x14ac:dyDescent="0.25">
      <c r="A1127" t="s">
        <v>36</v>
      </c>
      <c r="B1127">
        <v>2022</v>
      </c>
      <c r="C1127" t="s">
        <v>16</v>
      </c>
      <c r="D1127">
        <v>159000.359998</v>
      </c>
      <c r="E1127">
        <v>130605.519797</v>
      </c>
      <c r="F1127">
        <v>251839.72147899971</v>
      </c>
      <c r="G1127" s="39">
        <v>44835</v>
      </c>
    </row>
    <row r="1128" spans="1:7" x14ac:dyDescent="0.25">
      <c r="A1128" t="s">
        <v>36</v>
      </c>
      <c r="B1128">
        <v>2022</v>
      </c>
      <c r="C1128" t="s">
        <v>17</v>
      </c>
      <c r="D1128">
        <v>160813.329998</v>
      </c>
      <c r="E1128">
        <v>166473.41880399999</v>
      </c>
      <c r="F1128">
        <v>246179.63267299972</v>
      </c>
      <c r="G1128" s="39">
        <v>44866</v>
      </c>
    </row>
    <row r="1129" spans="1:7" x14ac:dyDescent="0.25">
      <c r="A1129" t="s">
        <v>36</v>
      </c>
      <c r="B1129">
        <v>2022</v>
      </c>
      <c r="C1129" t="s">
        <v>18</v>
      </c>
      <c r="D1129">
        <v>1672.5</v>
      </c>
      <c r="E1129">
        <v>105973.45623</v>
      </c>
      <c r="F1129">
        <v>141878.67644299974</v>
      </c>
      <c r="G1129" s="39">
        <v>44896</v>
      </c>
    </row>
    <row r="1130" spans="1:7" x14ac:dyDescent="0.25">
      <c r="A1130" t="s">
        <v>36</v>
      </c>
      <c r="B1130">
        <v>2023</v>
      </c>
      <c r="C1130" t="s">
        <v>7</v>
      </c>
      <c r="D1130">
        <v>116540.7</v>
      </c>
      <c r="E1130">
        <v>102753.682614</v>
      </c>
      <c r="F1130">
        <v>155665.69382899976</v>
      </c>
      <c r="G1130" s="39">
        <v>44927</v>
      </c>
    </row>
    <row r="1131" spans="1:7" x14ac:dyDescent="0.25">
      <c r="A1131" t="s">
        <v>36</v>
      </c>
      <c r="B1131">
        <v>2023</v>
      </c>
      <c r="C1131" t="s">
        <v>8</v>
      </c>
      <c r="D1131">
        <v>367201.21999900002</v>
      </c>
      <c r="E1131">
        <v>161725.805322</v>
      </c>
      <c r="F1131">
        <v>361141.10850599979</v>
      </c>
      <c r="G1131" s="39">
        <v>44958</v>
      </c>
    </row>
    <row r="1132" spans="1:7" x14ac:dyDescent="0.25">
      <c r="A1132" t="s">
        <v>36</v>
      </c>
      <c r="B1132">
        <v>2023</v>
      </c>
      <c r="C1132" t="s">
        <v>9</v>
      </c>
      <c r="D1132">
        <v>118645.1</v>
      </c>
      <c r="E1132">
        <v>187885.577877</v>
      </c>
      <c r="F1132">
        <v>291900.63062899979</v>
      </c>
      <c r="G1132" s="39">
        <v>44986</v>
      </c>
    </row>
    <row r="1133" spans="1:7" x14ac:dyDescent="0.25">
      <c r="A1133" t="s">
        <v>36</v>
      </c>
      <c r="B1133">
        <v>2023</v>
      </c>
      <c r="C1133" t="s">
        <v>10</v>
      </c>
      <c r="D1133">
        <v>180961.56</v>
      </c>
      <c r="E1133">
        <v>144698.113186</v>
      </c>
      <c r="F1133">
        <v>328164.07744299981</v>
      </c>
      <c r="G1133" s="39">
        <v>45017</v>
      </c>
    </row>
    <row r="1134" spans="1:7" x14ac:dyDescent="0.25">
      <c r="A1134" t="s">
        <v>36</v>
      </c>
      <c r="B1134">
        <v>2023</v>
      </c>
      <c r="C1134" t="s">
        <v>11</v>
      </c>
      <c r="D1134">
        <v>104030.56</v>
      </c>
      <c r="E1134">
        <v>159257.14549600001</v>
      </c>
      <c r="F1134">
        <v>272937.4919469998</v>
      </c>
      <c r="G1134" s="39">
        <v>45047</v>
      </c>
    </row>
    <row r="1135" spans="1:7" x14ac:dyDescent="0.25">
      <c r="A1135" t="s">
        <v>36</v>
      </c>
      <c r="B1135">
        <v>2023</v>
      </c>
      <c r="C1135" t="s">
        <v>12</v>
      </c>
      <c r="D1135">
        <v>164013.23999900001</v>
      </c>
      <c r="E1135">
        <v>130958.661582</v>
      </c>
      <c r="F1135">
        <v>305992.07036399981</v>
      </c>
      <c r="G1135" s="39">
        <v>45078</v>
      </c>
    </row>
    <row r="1136" spans="1:7" x14ac:dyDescent="0.25">
      <c r="A1136" t="s">
        <v>36</v>
      </c>
      <c r="B1136">
        <v>2023</v>
      </c>
      <c r="C1136" t="s">
        <v>13</v>
      </c>
      <c r="D1136">
        <v>101735.61</v>
      </c>
      <c r="E1136">
        <v>128916.890682</v>
      </c>
      <c r="F1136">
        <v>278810.78968199983</v>
      </c>
      <c r="G1136" s="39">
        <v>45108</v>
      </c>
    </row>
    <row r="1137" spans="1:7" x14ac:dyDescent="0.25">
      <c r="A1137" t="s">
        <v>36</v>
      </c>
      <c r="B1137">
        <v>2023</v>
      </c>
      <c r="C1137" t="s">
        <v>14</v>
      </c>
      <c r="D1137">
        <v>169120.62</v>
      </c>
      <c r="E1137">
        <v>194468.35648700001</v>
      </c>
      <c r="F1137">
        <v>253463.05319499981</v>
      </c>
      <c r="G1137" s="39">
        <v>45139</v>
      </c>
    </row>
    <row r="1138" spans="1:7" x14ac:dyDescent="0.25">
      <c r="A1138" t="s">
        <v>36</v>
      </c>
      <c r="B1138">
        <v>2023</v>
      </c>
      <c r="C1138" t="s">
        <v>15</v>
      </c>
      <c r="D1138">
        <v>90988.369999000002</v>
      </c>
      <c r="E1138">
        <v>149733.65765899999</v>
      </c>
      <c r="F1138">
        <v>194717.76553499981</v>
      </c>
      <c r="G1138" s="39">
        <v>45170</v>
      </c>
    </row>
    <row r="1139" spans="1:7" x14ac:dyDescent="0.25">
      <c r="A1139" t="s">
        <v>36</v>
      </c>
      <c r="B1139">
        <v>2023</v>
      </c>
      <c r="C1139" t="s">
        <v>16</v>
      </c>
      <c r="D1139">
        <v>238791.12999799999</v>
      </c>
      <c r="E1139">
        <v>169093.22841899999</v>
      </c>
      <c r="F1139">
        <v>264415.66711399978</v>
      </c>
      <c r="G1139" s="39">
        <v>45200</v>
      </c>
    </row>
    <row r="1140" spans="1:7" x14ac:dyDescent="0.25">
      <c r="A1140" t="s">
        <v>36</v>
      </c>
      <c r="B1140">
        <v>2023</v>
      </c>
      <c r="C1140" t="s">
        <v>17</v>
      </c>
      <c r="D1140">
        <v>197038.599995</v>
      </c>
      <c r="E1140">
        <v>216972.99582000001</v>
      </c>
      <c r="F1140">
        <v>244481.27128899976</v>
      </c>
      <c r="G1140" s="39">
        <v>45231</v>
      </c>
    </row>
    <row r="1141" spans="1:7" x14ac:dyDescent="0.25">
      <c r="A1141" t="s">
        <v>36</v>
      </c>
      <c r="B1141">
        <v>2023</v>
      </c>
      <c r="C1141" t="s">
        <v>18</v>
      </c>
      <c r="D1141">
        <v>18460.03</v>
      </c>
      <c r="E1141">
        <v>169508.01686599999</v>
      </c>
      <c r="F1141">
        <v>93433.284422999743</v>
      </c>
      <c r="G1141" s="39">
        <v>45261</v>
      </c>
    </row>
    <row r="1142" spans="1:7" x14ac:dyDescent="0.25">
      <c r="A1142" t="s">
        <v>36</v>
      </c>
      <c r="B1142">
        <v>2024</v>
      </c>
      <c r="C1142" t="s">
        <v>7</v>
      </c>
      <c r="F1142">
        <v>93433.284422999743</v>
      </c>
      <c r="G1142" s="39">
        <v>45292</v>
      </c>
    </row>
    <row r="1143" spans="1:7" x14ac:dyDescent="0.25">
      <c r="A1143" t="s">
        <v>36</v>
      </c>
      <c r="B1143">
        <v>2024</v>
      </c>
      <c r="C1143" t="s">
        <v>8</v>
      </c>
      <c r="F1143">
        <v>93433.284422999743</v>
      </c>
      <c r="G1143" s="39">
        <v>45323</v>
      </c>
    </row>
    <row r="1144" spans="1:7" x14ac:dyDescent="0.25">
      <c r="A1144" t="s">
        <v>36</v>
      </c>
      <c r="B1144">
        <v>2024</v>
      </c>
      <c r="C1144" t="s">
        <v>9</v>
      </c>
      <c r="F1144">
        <v>93433.284422999743</v>
      </c>
      <c r="G1144" s="39">
        <v>45352</v>
      </c>
    </row>
    <row r="1145" spans="1:7" x14ac:dyDescent="0.25">
      <c r="A1145" t="s">
        <v>36</v>
      </c>
      <c r="B1145">
        <v>2024</v>
      </c>
      <c r="C1145" t="s">
        <v>10</v>
      </c>
      <c r="F1145">
        <v>93433.284422999743</v>
      </c>
      <c r="G1145" s="39">
        <v>45383</v>
      </c>
    </row>
    <row r="1146" spans="1:7" x14ac:dyDescent="0.25">
      <c r="A1146" t="s">
        <v>36</v>
      </c>
      <c r="B1146">
        <v>2024</v>
      </c>
      <c r="C1146" t="s">
        <v>11</v>
      </c>
      <c r="F1146">
        <v>93433.284422999743</v>
      </c>
      <c r="G1146" s="39">
        <v>45413</v>
      </c>
    </row>
    <row r="1147" spans="1:7" x14ac:dyDescent="0.25">
      <c r="A1147" t="s">
        <v>36</v>
      </c>
      <c r="B1147">
        <v>2024</v>
      </c>
      <c r="C1147" t="s">
        <v>12</v>
      </c>
      <c r="F1147">
        <v>93433.284422999743</v>
      </c>
      <c r="G1147" s="39">
        <v>45444</v>
      </c>
    </row>
    <row r="1148" spans="1:7" x14ac:dyDescent="0.25">
      <c r="A1148" t="s">
        <v>36</v>
      </c>
      <c r="B1148">
        <v>2024</v>
      </c>
      <c r="C1148" t="s">
        <v>13</v>
      </c>
      <c r="F1148">
        <v>93433.284422999743</v>
      </c>
      <c r="G1148" s="39">
        <v>45474</v>
      </c>
    </row>
    <row r="1149" spans="1:7" x14ac:dyDescent="0.25">
      <c r="A1149" t="s">
        <v>36</v>
      </c>
      <c r="B1149">
        <v>2024</v>
      </c>
      <c r="C1149" t="s">
        <v>14</v>
      </c>
      <c r="F1149">
        <v>93433.284422999743</v>
      </c>
      <c r="G1149" s="39">
        <v>45505</v>
      </c>
    </row>
    <row r="1150" spans="1:7" x14ac:dyDescent="0.25">
      <c r="A1150" t="s">
        <v>36</v>
      </c>
      <c r="B1150">
        <v>2024</v>
      </c>
      <c r="C1150" t="s">
        <v>15</v>
      </c>
      <c r="F1150">
        <v>93433.284422999743</v>
      </c>
      <c r="G1150" s="39">
        <v>45536</v>
      </c>
    </row>
    <row r="1151" spans="1:7" x14ac:dyDescent="0.25">
      <c r="A1151" t="s">
        <v>36</v>
      </c>
      <c r="B1151">
        <v>2024</v>
      </c>
      <c r="C1151" t="s">
        <v>16</v>
      </c>
      <c r="F1151">
        <v>93433.284422999743</v>
      </c>
      <c r="G1151" s="39">
        <v>45566</v>
      </c>
    </row>
    <row r="1152" spans="1:7" x14ac:dyDescent="0.25">
      <c r="A1152" t="s">
        <v>36</v>
      </c>
      <c r="B1152">
        <v>2024</v>
      </c>
      <c r="C1152" t="s">
        <v>17</v>
      </c>
      <c r="F1152">
        <v>93433.284422999743</v>
      </c>
      <c r="G1152" s="39">
        <v>45597</v>
      </c>
    </row>
    <row r="1153" spans="1:7" x14ac:dyDescent="0.25">
      <c r="A1153" t="s">
        <v>36</v>
      </c>
      <c r="B1153">
        <v>2024</v>
      </c>
      <c r="C1153" t="s">
        <v>18</v>
      </c>
      <c r="F1153">
        <v>93433.284422999743</v>
      </c>
      <c r="G1153" s="39">
        <v>45627</v>
      </c>
    </row>
    <row r="1154" spans="1:7" x14ac:dyDescent="0.25">
      <c r="A1154" t="s">
        <v>37</v>
      </c>
      <c r="B1154">
        <v>2019</v>
      </c>
      <c r="C1154" t="s">
        <v>7</v>
      </c>
      <c r="D1154">
        <v>90752.189998999995</v>
      </c>
      <c r="E1154">
        <v>28469.432191</v>
      </c>
      <c r="F1154">
        <v>277306.98104500002</v>
      </c>
      <c r="G1154" s="39">
        <v>43466</v>
      </c>
    </row>
    <row r="1155" spans="1:7" x14ac:dyDescent="0.25">
      <c r="A1155" t="s">
        <v>37</v>
      </c>
      <c r="B1155">
        <v>2019</v>
      </c>
      <c r="C1155" t="s">
        <v>8</v>
      </c>
      <c r="D1155">
        <v>52810.239996999997</v>
      </c>
      <c r="E1155">
        <v>44894.274652</v>
      </c>
      <c r="F1155">
        <v>285222.94639</v>
      </c>
      <c r="G1155" s="39">
        <v>43497</v>
      </c>
    </row>
    <row r="1156" spans="1:7" x14ac:dyDescent="0.25">
      <c r="A1156" t="s">
        <v>37</v>
      </c>
      <c r="B1156">
        <v>2019</v>
      </c>
      <c r="C1156" t="s">
        <v>9</v>
      </c>
      <c r="D1156">
        <v>58465.73</v>
      </c>
      <c r="E1156">
        <v>58963.376425000002</v>
      </c>
      <c r="F1156">
        <v>284725.29996499995</v>
      </c>
      <c r="G1156" s="39">
        <v>43525</v>
      </c>
    </row>
    <row r="1157" spans="1:7" x14ac:dyDescent="0.25">
      <c r="A1157" t="s">
        <v>37</v>
      </c>
      <c r="B1157">
        <v>2019</v>
      </c>
      <c r="C1157" t="s">
        <v>10</v>
      </c>
      <c r="D1157">
        <v>20243.730794999999</v>
      </c>
      <c r="E1157">
        <v>32108.948014000001</v>
      </c>
      <c r="F1157">
        <v>272860.08274599991</v>
      </c>
      <c r="G1157" s="39">
        <v>43556</v>
      </c>
    </row>
    <row r="1158" spans="1:7" x14ac:dyDescent="0.25">
      <c r="A1158" t="s">
        <v>37</v>
      </c>
      <c r="B1158">
        <v>2019</v>
      </c>
      <c r="C1158" t="s">
        <v>11</v>
      </c>
      <c r="D1158">
        <v>89311.419995999997</v>
      </c>
      <c r="E1158">
        <v>57281.370778999997</v>
      </c>
      <c r="F1158">
        <v>304890.13196299993</v>
      </c>
      <c r="G1158" s="39">
        <v>43586</v>
      </c>
    </row>
    <row r="1159" spans="1:7" x14ac:dyDescent="0.25">
      <c r="A1159" t="s">
        <v>37</v>
      </c>
      <c r="B1159">
        <v>2019</v>
      </c>
      <c r="C1159" t="s">
        <v>12</v>
      </c>
      <c r="D1159">
        <v>35766.769999999997</v>
      </c>
      <c r="E1159">
        <v>29395.893505</v>
      </c>
      <c r="F1159">
        <v>311261.00845799997</v>
      </c>
      <c r="G1159" s="39">
        <v>43617</v>
      </c>
    </row>
    <row r="1160" spans="1:7" x14ac:dyDescent="0.25">
      <c r="A1160" t="s">
        <v>37</v>
      </c>
      <c r="B1160">
        <v>2019</v>
      </c>
      <c r="C1160" t="s">
        <v>13</v>
      </c>
      <c r="D1160">
        <v>110645.379998</v>
      </c>
      <c r="E1160">
        <v>69998.942639000001</v>
      </c>
      <c r="F1160">
        <v>351907.44581699994</v>
      </c>
      <c r="G1160" s="39">
        <v>43647</v>
      </c>
    </row>
    <row r="1161" spans="1:7" x14ac:dyDescent="0.25">
      <c r="A1161" t="s">
        <v>37</v>
      </c>
      <c r="B1161">
        <v>2019</v>
      </c>
      <c r="C1161" t="s">
        <v>14</v>
      </c>
      <c r="D1161">
        <v>4852.6400000000003</v>
      </c>
      <c r="E1161">
        <v>62899.716487999998</v>
      </c>
      <c r="F1161">
        <v>293860.36932899995</v>
      </c>
      <c r="G1161" s="39">
        <v>43678</v>
      </c>
    </row>
    <row r="1162" spans="1:7" x14ac:dyDescent="0.25">
      <c r="A1162" t="s">
        <v>37</v>
      </c>
      <c r="B1162">
        <v>2019</v>
      </c>
      <c r="C1162" t="s">
        <v>15</v>
      </c>
      <c r="D1162">
        <v>50821.13</v>
      </c>
      <c r="E1162">
        <v>68108.733844000002</v>
      </c>
      <c r="F1162">
        <v>276572.76548499998</v>
      </c>
      <c r="G1162" s="39">
        <v>43709</v>
      </c>
    </row>
    <row r="1163" spans="1:7" x14ac:dyDescent="0.25">
      <c r="A1163" t="s">
        <v>37</v>
      </c>
      <c r="B1163">
        <v>2019</v>
      </c>
      <c r="C1163" t="s">
        <v>16</v>
      </c>
      <c r="D1163">
        <v>48040.85</v>
      </c>
      <c r="E1163">
        <v>70355.753360000002</v>
      </c>
      <c r="F1163">
        <v>254257.86212499996</v>
      </c>
      <c r="G1163" s="39">
        <v>43739</v>
      </c>
    </row>
    <row r="1164" spans="1:7" x14ac:dyDescent="0.25">
      <c r="A1164" t="s">
        <v>37</v>
      </c>
      <c r="B1164">
        <v>2019</v>
      </c>
      <c r="C1164" t="s">
        <v>17</v>
      </c>
      <c r="D1164">
        <v>104870.97999599999</v>
      </c>
      <c r="E1164">
        <v>93245.035996000006</v>
      </c>
      <c r="F1164">
        <v>265883.80612499994</v>
      </c>
      <c r="G1164" s="39">
        <v>43770</v>
      </c>
    </row>
    <row r="1165" spans="1:7" x14ac:dyDescent="0.25">
      <c r="A1165" t="s">
        <v>37</v>
      </c>
      <c r="B1165">
        <v>2019</v>
      </c>
      <c r="C1165" t="s">
        <v>18</v>
      </c>
      <c r="D1165">
        <v>1142.5899999999999</v>
      </c>
      <c r="E1165">
        <v>21484.957741999999</v>
      </c>
      <c r="F1165">
        <v>245541.43838299997</v>
      </c>
      <c r="G1165" s="39">
        <v>43800</v>
      </c>
    </row>
    <row r="1166" spans="1:7" x14ac:dyDescent="0.25">
      <c r="A1166" t="s">
        <v>37</v>
      </c>
      <c r="B1166">
        <v>2020</v>
      </c>
      <c r="C1166" t="s">
        <v>7</v>
      </c>
      <c r="D1166">
        <v>917.2</v>
      </c>
      <c r="E1166">
        <v>29693.893753</v>
      </c>
      <c r="F1166">
        <v>216764.74462999997</v>
      </c>
      <c r="G1166" s="39">
        <v>43831</v>
      </c>
    </row>
    <row r="1167" spans="1:7" x14ac:dyDescent="0.25">
      <c r="A1167" t="s">
        <v>37</v>
      </c>
      <c r="B1167">
        <v>2020</v>
      </c>
      <c r="C1167" t="s">
        <v>8</v>
      </c>
      <c r="D1167">
        <v>53637.77</v>
      </c>
      <c r="E1167">
        <v>56282.108435000002</v>
      </c>
      <c r="F1167">
        <v>214120.40619499999</v>
      </c>
      <c r="G1167" s="39">
        <v>43862</v>
      </c>
    </row>
    <row r="1168" spans="1:7" x14ac:dyDescent="0.25">
      <c r="A1168" t="s">
        <v>37</v>
      </c>
      <c r="B1168">
        <v>2020</v>
      </c>
      <c r="C1168" t="s">
        <v>9</v>
      </c>
      <c r="D1168">
        <v>116417.779995</v>
      </c>
      <c r="E1168">
        <v>48136.482529000001</v>
      </c>
      <c r="F1168">
        <v>282401.70366100001</v>
      </c>
      <c r="G1168" s="39">
        <v>43891</v>
      </c>
    </row>
    <row r="1169" spans="1:7" x14ac:dyDescent="0.25">
      <c r="A1169" t="s">
        <v>37</v>
      </c>
      <c r="B1169">
        <v>2020</v>
      </c>
      <c r="C1169" t="s">
        <v>10</v>
      </c>
      <c r="D1169">
        <v>6863.76</v>
      </c>
      <c r="E1169">
        <v>57026.201228999998</v>
      </c>
      <c r="F1169">
        <v>232239.26243200002</v>
      </c>
      <c r="G1169" s="39">
        <v>43922</v>
      </c>
    </row>
    <row r="1170" spans="1:7" x14ac:dyDescent="0.25">
      <c r="A1170" t="s">
        <v>37</v>
      </c>
      <c r="B1170">
        <v>2020</v>
      </c>
      <c r="C1170" t="s">
        <v>11</v>
      </c>
      <c r="D1170">
        <v>36071.229999000003</v>
      </c>
      <c r="E1170">
        <v>45639.662770000003</v>
      </c>
      <c r="F1170">
        <v>222670.829661</v>
      </c>
      <c r="G1170" s="39">
        <v>43952</v>
      </c>
    </row>
    <row r="1171" spans="1:7" x14ac:dyDescent="0.25">
      <c r="A1171" t="s">
        <v>37</v>
      </c>
      <c r="B1171">
        <v>2020</v>
      </c>
      <c r="C1171" t="s">
        <v>12</v>
      </c>
      <c r="D1171">
        <v>25571.96</v>
      </c>
      <c r="E1171">
        <v>51740.038905000001</v>
      </c>
      <c r="F1171">
        <v>196502.75075599999</v>
      </c>
      <c r="G1171" s="39">
        <v>43983</v>
      </c>
    </row>
    <row r="1172" spans="1:7" x14ac:dyDescent="0.25">
      <c r="A1172" t="s">
        <v>37</v>
      </c>
      <c r="B1172">
        <v>2020</v>
      </c>
      <c r="C1172" t="s">
        <v>13</v>
      </c>
      <c r="D1172">
        <v>1041.27</v>
      </c>
      <c r="E1172">
        <v>50388.515665999999</v>
      </c>
      <c r="F1172">
        <v>147155.50508999999</v>
      </c>
      <c r="G1172" s="39">
        <v>44013</v>
      </c>
    </row>
    <row r="1173" spans="1:7" x14ac:dyDescent="0.25">
      <c r="A1173" t="s">
        <v>37</v>
      </c>
      <c r="B1173">
        <v>2020</v>
      </c>
      <c r="C1173" t="s">
        <v>14</v>
      </c>
      <c r="D1173">
        <v>68920.929999</v>
      </c>
      <c r="E1173">
        <v>35773.036907000002</v>
      </c>
      <c r="F1173">
        <v>180303.39818199998</v>
      </c>
      <c r="G1173" s="39">
        <v>44044</v>
      </c>
    </row>
    <row r="1174" spans="1:7" x14ac:dyDescent="0.25">
      <c r="A1174" t="s">
        <v>37</v>
      </c>
      <c r="B1174">
        <v>2020</v>
      </c>
      <c r="C1174" t="s">
        <v>15</v>
      </c>
      <c r="D1174">
        <v>41872.32</v>
      </c>
      <c r="E1174">
        <v>60616.244706999998</v>
      </c>
      <c r="F1174">
        <v>161559.47347499998</v>
      </c>
      <c r="G1174" s="39">
        <v>44075</v>
      </c>
    </row>
    <row r="1175" spans="1:7" x14ac:dyDescent="0.25">
      <c r="A1175" t="s">
        <v>37</v>
      </c>
      <c r="B1175">
        <v>2020</v>
      </c>
      <c r="C1175" t="s">
        <v>16</v>
      </c>
      <c r="D1175">
        <v>193725.06999700001</v>
      </c>
      <c r="E1175">
        <v>87437.953953000004</v>
      </c>
      <c r="F1175">
        <v>267846.58951899997</v>
      </c>
      <c r="G1175" s="39">
        <v>44105</v>
      </c>
    </row>
    <row r="1176" spans="1:7" x14ac:dyDescent="0.25">
      <c r="A1176" t="s">
        <v>37</v>
      </c>
      <c r="B1176">
        <v>2020</v>
      </c>
      <c r="C1176" t="s">
        <v>17</v>
      </c>
      <c r="D1176">
        <v>52206.23</v>
      </c>
      <c r="E1176">
        <v>150352.017738</v>
      </c>
      <c r="F1176">
        <v>169700.80178099996</v>
      </c>
      <c r="G1176" s="39">
        <v>44136</v>
      </c>
    </row>
    <row r="1177" spans="1:7" x14ac:dyDescent="0.25">
      <c r="A1177" t="s">
        <v>37</v>
      </c>
      <c r="B1177">
        <v>2020</v>
      </c>
      <c r="C1177" t="s">
        <v>18</v>
      </c>
      <c r="D1177">
        <v>546.23</v>
      </c>
      <c r="E1177">
        <v>27351.523670999999</v>
      </c>
      <c r="F1177">
        <v>142895.50810999997</v>
      </c>
      <c r="G1177" s="39">
        <v>44166</v>
      </c>
    </row>
    <row r="1178" spans="1:7" x14ac:dyDescent="0.25">
      <c r="A1178" t="s">
        <v>37</v>
      </c>
      <c r="B1178">
        <v>2021</v>
      </c>
      <c r="C1178" t="s">
        <v>7</v>
      </c>
      <c r="D1178">
        <v>48610.089999000003</v>
      </c>
      <c r="E1178">
        <v>27824.682531999999</v>
      </c>
      <c r="F1178">
        <v>163680.91557699995</v>
      </c>
      <c r="G1178" s="39">
        <v>44197</v>
      </c>
    </row>
    <row r="1179" spans="1:7" x14ac:dyDescent="0.25">
      <c r="A1179" t="s">
        <v>37</v>
      </c>
      <c r="B1179">
        <v>2021</v>
      </c>
      <c r="C1179" t="s">
        <v>8</v>
      </c>
      <c r="D1179">
        <v>50844.839999000003</v>
      </c>
      <c r="E1179">
        <v>69995.370993999997</v>
      </c>
      <c r="F1179">
        <v>144530.38458199997</v>
      </c>
      <c r="G1179" s="39">
        <v>44228</v>
      </c>
    </row>
    <row r="1180" spans="1:7" x14ac:dyDescent="0.25">
      <c r="A1180" t="s">
        <v>37</v>
      </c>
      <c r="B1180">
        <v>2021</v>
      </c>
      <c r="C1180" t="s">
        <v>9</v>
      </c>
      <c r="D1180">
        <v>79066.749997999999</v>
      </c>
      <c r="E1180">
        <v>77260.012549000006</v>
      </c>
      <c r="F1180">
        <v>146337.12203099995</v>
      </c>
      <c r="G1180" s="39">
        <v>44256</v>
      </c>
    </row>
    <row r="1181" spans="1:7" x14ac:dyDescent="0.25">
      <c r="A1181" t="s">
        <v>37</v>
      </c>
      <c r="B1181">
        <v>2021</v>
      </c>
      <c r="C1181" t="s">
        <v>10</v>
      </c>
      <c r="D1181">
        <v>0</v>
      </c>
      <c r="E1181">
        <v>51573.869270000003</v>
      </c>
      <c r="F1181">
        <v>94763.252760999952</v>
      </c>
      <c r="G1181" s="39">
        <v>44287</v>
      </c>
    </row>
    <row r="1182" spans="1:7" x14ac:dyDescent="0.25">
      <c r="A1182" t="s">
        <v>37</v>
      </c>
      <c r="B1182">
        <v>2021</v>
      </c>
      <c r="C1182" t="s">
        <v>11</v>
      </c>
      <c r="D1182">
        <v>110208.999998</v>
      </c>
      <c r="E1182">
        <v>78740.356778000001</v>
      </c>
      <c r="F1182">
        <v>126231.89598099994</v>
      </c>
      <c r="G1182" s="39">
        <v>44317</v>
      </c>
    </row>
    <row r="1183" spans="1:7" x14ac:dyDescent="0.25">
      <c r="A1183" t="s">
        <v>37</v>
      </c>
      <c r="B1183">
        <v>2021</v>
      </c>
      <c r="C1183" t="s">
        <v>12</v>
      </c>
      <c r="D1183">
        <v>74296.039999999994</v>
      </c>
      <c r="E1183">
        <v>78541.750665</v>
      </c>
      <c r="F1183">
        <v>121986.18531599993</v>
      </c>
      <c r="G1183" s="39">
        <v>44348</v>
      </c>
    </row>
    <row r="1184" spans="1:7" x14ac:dyDescent="0.25">
      <c r="A1184" t="s">
        <v>37</v>
      </c>
      <c r="B1184">
        <v>2021</v>
      </c>
      <c r="C1184" t="s">
        <v>13</v>
      </c>
      <c r="D1184">
        <v>93129.091998000004</v>
      </c>
      <c r="E1184">
        <v>30274.095157</v>
      </c>
      <c r="F1184">
        <v>184841.18215699994</v>
      </c>
      <c r="G1184" s="39">
        <v>44378</v>
      </c>
    </row>
    <row r="1185" spans="1:7" x14ac:dyDescent="0.25">
      <c r="A1185" t="s">
        <v>37</v>
      </c>
      <c r="B1185">
        <v>2021</v>
      </c>
      <c r="C1185" t="s">
        <v>14</v>
      </c>
      <c r="D1185">
        <v>37237.89</v>
      </c>
      <c r="E1185">
        <v>71651.188989000002</v>
      </c>
      <c r="F1185">
        <v>150427.88316799997</v>
      </c>
      <c r="G1185" s="39">
        <v>44409</v>
      </c>
    </row>
    <row r="1186" spans="1:7" x14ac:dyDescent="0.25">
      <c r="A1186" t="s">
        <v>37</v>
      </c>
      <c r="B1186">
        <v>2021</v>
      </c>
      <c r="C1186" t="s">
        <v>15</v>
      </c>
      <c r="D1186">
        <v>34227.01</v>
      </c>
      <c r="E1186">
        <v>45089.965048999999</v>
      </c>
      <c r="F1186">
        <v>139564.92811899999</v>
      </c>
      <c r="G1186" s="39">
        <v>44440</v>
      </c>
    </row>
    <row r="1187" spans="1:7" x14ac:dyDescent="0.25">
      <c r="A1187" t="s">
        <v>37</v>
      </c>
      <c r="B1187">
        <v>2021</v>
      </c>
      <c r="C1187" t="s">
        <v>16</v>
      </c>
      <c r="D1187">
        <v>120914.609998</v>
      </c>
      <c r="E1187">
        <v>50255.301880999999</v>
      </c>
      <c r="F1187">
        <v>210224.236236</v>
      </c>
      <c r="G1187" s="39">
        <v>44470</v>
      </c>
    </row>
    <row r="1188" spans="1:7" x14ac:dyDescent="0.25">
      <c r="A1188" t="s">
        <v>37</v>
      </c>
      <c r="B1188">
        <v>2021</v>
      </c>
      <c r="C1188" t="s">
        <v>17</v>
      </c>
      <c r="D1188">
        <v>52627.41</v>
      </c>
      <c r="E1188">
        <v>33916.544113999997</v>
      </c>
      <c r="F1188">
        <v>228935.10212200001</v>
      </c>
      <c r="G1188" s="39">
        <v>44501</v>
      </c>
    </row>
    <row r="1189" spans="1:7" x14ac:dyDescent="0.25">
      <c r="A1189" t="s">
        <v>37</v>
      </c>
      <c r="B1189">
        <v>2021</v>
      </c>
      <c r="C1189" t="s">
        <v>18</v>
      </c>
      <c r="D1189">
        <v>39418.909999000003</v>
      </c>
      <c r="E1189">
        <v>51959.695117000003</v>
      </c>
      <c r="F1189">
        <v>216394.31700400004</v>
      </c>
      <c r="G1189" s="39">
        <v>44531</v>
      </c>
    </row>
    <row r="1190" spans="1:7" x14ac:dyDescent="0.25">
      <c r="A1190" t="s">
        <v>37</v>
      </c>
      <c r="B1190">
        <v>2022</v>
      </c>
      <c r="C1190" t="s">
        <v>7</v>
      </c>
      <c r="D1190">
        <v>38900.649999000001</v>
      </c>
      <c r="E1190">
        <v>53575.823897000002</v>
      </c>
      <c r="F1190">
        <v>201719.14310600003</v>
      </c>
      <c r="G1190" s="39">
        <v>44562</v>
      </c>
    </row>
    <row r="1191" spans="1:7" x14ac:dyDescent="0.25">
      <c r="A1191" t="s">
        <v>37</v>
      </c>
      <c r="B1191">
        <v>2022</v>
      </c>
      <c r="C1191" t="s">
        <v>8</v>
      </c>
      <c r="D1191">
        <v>1290.3599999999999</v>
      </c>
      <c r="E1191">
        <v>57262.778228000003</v>
      </c>
      <c r="F1191">
        <v>145746.72487800001</v>
      </c>
      <c r="G1191" s="39">
        <v>44593</v>
      </c>
    </row>
    <row r="1192" spans="1:7" x14ac:dyDescent="0.25">
      <c r="A1192" t="s">
        <v>37</v>
      </c>
      <c r="B1192">
        <v>2022</v>
      </c>
      <c r="C1192" t="s">
        <v>9</v>
      </c>
      <c r="D1192">
        <v>100562.49999700001</v>
      </c>
      <c r="E1192">
        <v>54727.185975</v>
      </c>
      <c r="F1192">
        <v>191582.03890000001</v>
      </c>
      <c r="G1192" s="39">
        <v>44621</v>
      </c>
    </row>
    <row r="1193" spans="1:7" x14ac:dyDescent="0.25">
      <c r="A1193" t="s">
        <v>37</v>
      </c>
      <c r="B1193">
        <v>2022</v>
      </c>
      <c r="C1193" t="s">
        <v>10</v>
      </c>
      <c r="D1193">
        <v>95212.829998999994</v>
      </c>
      <c r="E1193">
        <v>78929.456369000007</v>
      </c>
      <c r="F1193">
        <v>207865.41252999997</v>
      </c>
      <c r="G1193" s="39">
        <v>44652</v>
      </c>
    </row>
    <row r="1194" spans="1:7" x14ac:dyDescent="0.25">
      <c r="A1194" t="s">
        <v>37</v>
      </c>
      <c r="B1194">
        <v>2022</v>
      </c>
      <c r="C1194" t="s">
        <v>11</v>
      </c>
      <c r="D1194">
        <v>1138.96</v>
      </c>
      <c r="E1194">
        <v>27563.548734</v>
      </c>
      <c r="F1194">
        <v>181440.82379599995</v>
      </c>
      <c r="G1194" s="39">
        <v>44682</v>
      </c>
    </row>
    <row r="1195" spans="1:7" x14ac:dyDescent="0.25">
      <c r="A1195" t="s">
        <v>37</v>
      </c>
      <c r="B1195">
        <v>2022</v>
      </c>
      <c r="C1195" t="s">
        <v>12</v>
      </c>
      <c r="D1195">
        <v>242891.509999</v>
      </c>
      <c r="E1195">
        <v>51524.898135000003</v>
      </c>
      <c r="F1195">
        <v>372807.43565999996</v>
      </c>
      <c r="G1195" s="39">
        <v>44713</v>
      </c>
    </row>
    <row r="1196" spans="1:7" x14ac:dyDescent="0.25">
      <c r="A1196" t="s">
        <v>37</v>
      </c>
      <c r="B1196">
        <v>2022</v>
      </c>
      <c r="C1196" t="s">
        <v>13</v>
      </c>
      <c r="D1196">
        <v>20123.310000000001</v>
      </c>
      <c r="E1196">
        <v>65662.671583999996</v>
      </c>
      <c r="F1196">
        <v>327268.07407599996</v>
      </c>
      <c r="G1196" s="39">
        <v>44743</v>
      </c>
    </row>
    <row r="1197" spans="1:7" x14ac:dyDescent="0.25">
      <c r="A1197" t="s">
        <v>37</v>
      </c>
      <c r="B1197">
        <v>2022</v>
      </c>
      <c r="C1197" t="s">
        <v>14</v>
      </c>
      <c r="D1197">
        <v>17962.7</v>
      </c>
      <c r="E1197">
        <v>42762.445326000001</v>
      </c>
      <c r="F1197">
        <v>302468.32874999999</v>
      </c>
      <c r="G1197" s="39">
        <v>44774</v>
      </c>
    </row>
    <row r="1198" spans="1:7" x14ac:dyDescent="0.25">
      <c r="A1198" t="s">
        <v>37</v>
      </c>
      <c r="B1198">
        <v>2022</v>
      </c>
      <c r="C1198" t="s">
        <v>15</v>
      </c>
      <c r="D1198">
        <v>29090.67</v>
      </c>
      <c r="E1198">
        <v>66183.245876000001</v>
      </c>
      <c r="F1198">
        <v>265375.752874</v>
      </c>
      <c r="G1198" s="39">
        <v>44805</v>
      </c>
    </row>
    <row r="1199" spans="1:7" x14ac:dyDescent="0.25">
      <c r="A1199" t="s">
        <v>37</v>
      </c>
      <c r="B1199">
        <v>2022</v>
      </c>
      <c r="C1199" t="s">
        <v>16</v>
      </c>
      <c r="D1199">
        <v>4870.34</v>
      </c>
      <c r="E1199">
        <v>42582.796569999999</v>
      </c>
      <c r="F1199">
        <v>227663.29630400002</v>
      </c>
      <c r="G1199" s="39">
        <v>44835</v>
      </c>
    </row>
    <row r="1200" spans="1:7" x14ac:dyDescent="0.25">
      <c r="A1200" t="s">
        <v>37</v>
      </c>
      <c r="B1200">
        <v>2022</v>
      </c>
      <c r="C1200" t="s">
        <v>17</v>
      </c>
      <c r="D1200">
        <v>54001.809998999997</v>
      </c>
      <c r="E1200">
        <v>60343.814128999999</v>
      </c>
      <c r="F1200">
        <v>221321.292174</v>
      </c>
      <c r="G1200" s="39">
        <v>44866</v>
      </c>
    </row>
    <row r="1201" spans="1:7" x14ac:dyDescent="0.25">
      <c r="A1201" t="s">
        <v>37</v>
      </c>
      <c r="B1201">
        <v>2022</v>
      </c>
      <c r="C1201" t="s">
        <v>18</v>
      </c>
      <c r="D1201">
        <v>0</v>
      </c>
      <c r="E1201">
        <v>22520.745704000001</v>
      </c>
      <c r="F1201">
        <v>198800.54647</v>
      </c>
      <c r="G1201" s="39">
        <v>44896</v>
      </c>
    </row>
    <row r="1202" spans="1:7" x14ac:dyDescent="0.25">
      <c r="A1202" t="s">
        <v>37</v>
      </c>
      <c r="B1202">
        <v>2023</v>
      </c>
      <c r="C1202" t="s">
        <v>7</v>
      </c>
      <c r="D1202">
        <v>0</v>
      </c>
      <c r="E1202">
        <v>16957.989814</v>
      </c>
      <c r="F1202">
        <v>181842.556656</v>
      </c>
      <c r="G1202" s="39">
        <v>44927</v>
      </c>
    </row>
    <row r="1203" spans="1:7" x14ac:dyDescent="0.25">
      <c r="A1203" t="s">
        <v>37</v>
      </c>
      <c r="B1203">
        <v>2023</v>
      </c>
      <c r="C1203" t="s">
        <v>8</v>
      </c>
      <c r="D1203">
        <v>44701.339999000003</v>
      </c>
      <c r="E1203">
        <v>31400.882343000001</v>
      </c>
      <c r="F1203">
        <v>195143.01431199998</v>
      </c>
      <c r="G1203" s="39">
        <v>44958</v>
      </c>
    </row>
    <row r="1204" spans="1:7" x14ac:dyDescent="0.25">
      <c r="A1204" t="s">
        <v>37</v>
      </c>
      <c r="B1204">
        <v>2023</v>
      </c>
      <c r="C1204" t="s">
        <v>9</v>
      </c>
      <c r="D1204">
        <v>64826.849998999998</v>
      </c>
      <c r="E1204">
        <v>56170.283295000001</v>
      </c>
      <c r="F1204">
        <v>203799.58101599998</v>
      </c>
      <c r="G1204" s="39">
        <v>44986</v>
      </c>
    </row>
    <row r="1205" spans="1:7" x14ac:dyDescent="0.25">
      <c r="A1205" t="s">
        <v>37</v>
      </c>
      <c r="B1205">
        <v>2023</v>
      </c>
      <c r="C1205" t="s">
        <v>10</v>
      </c>
      <c r="D1205">
        <v>61526.659998000003</v>
      </c>
      <c r="E1205">
        <v>75602.924830999997</v>
      </c>
      <c r="F1205">
        <v>189723.31618299999</v>
      </c>
      <c r="G1205" s="39">
        <v>45017</v>
      </c>
    </row>
    <row r="1206" spans="1:7" x14ac:dyDescent="0.25">
      <c r="A1206" t="s">
        <v>37</v>
      </c>
      <c r="B1206">
        <v>2023</v>
      </c>
      <c r="C1206" t="s">
        <v>11</v>
      </c>
      <c r="D1206">
        <v>116856.60999899999</v>
      </c>
      <c r="E1206">
        <v>148042.19450499999</v>
      </c>
      <c r="F1206">
        <v>158537.73167699997</v>
      </c>
      <c r="G1206" s="39">
        <v>45047</v>
      </c>
    </row>
    <row r="1207" spans="1:7" x14ac:dyDescent="0.25">
      <c r="A1207" t="s">
        <v>37</v>
      </c>
      <c r="B1207">
        <v>2023</v>
      </c>
      <c r="C1207" t="s">
        <v>12</v>
      </c>
      <c r="D1207">
        <v>43784.76</v>
      </c>
      <c r="E1207">
        <v>43841.144257</v>
      </c>
      <c r="F1207">
        <v>158481.34741999998</v>
      </c>
      <c r="G1207" s="39">
        <v>45078</v>
      </c>
    </row>
    <row r="1208" spans="1:7" x14ac:dyDescent="0.25">
      <c r="A1208" t="s">
        <v>37</v>
      </c>
      <c r="B1208">
        <v>2023</v>
      </c>
      <c r="C1208" t="s">
        <v>13</v>
      </c>
      <c r="D1208">
        <v>65584.78</v>
      </c>
      <c r="E1208">
        <v>34562.577178</v>
      </c>
      <c r="F1208">
        <v>189503.55024199997</v>
      </c>
      <c r="G1208" s="39">
        <v>45108</v>
      </c>
    </row>
    <row r="1209" spans="1:7" x14ac:dyDescent="0.25">
      <c r="A1209" t="s">
        <v>37</v>
      </c>
      <c r="B1209">
        <v>2023</v>
      </c>
      <c r="C1209" t="s">
        <v>14</v>
      </c>
      <c r="D1209">
        <v>9247.26</v>
      </c>
      <c r="E1209">
        <v>47485.008543999997</v>
      </c>
      <c r="F1209">
        <v>151265.801698</v>
      </c>
      <c r="G1209" s="39">
        <v>45139</v>
      </c>
    </row>
    <row r="1210" spans="1:7" x14ac:dyDescent="0.25">
      <c r="A1210" t="s">
        <v>37</v>
      </c>
      <c r="B1210">
        <v>2023</v>
      </c>
      <c r="C1210" t="s">
        <v>15</v>
      </c>
      <c r="D1210">
        <v>8355.67</v>
      </c>
      <c r="E1210">
        <v>26795.890518</v>
      </c>
      <c r="F1210">
        <v>132825.58118000001</v>
      </c>
      <c r="G1210" s="39">
        <v>45170</v>
      </c>
    </row>
    <row r="1211" spans="1:7" x14ac:dyDescent="0.25">
      <c r="A1211" t="s">
        <v>37</v>
      </c>
      <c r="B1211">
        <v>2023</v>
      </c>
      <c r="C1211" t="s">
        <v>16</v>
      </c>
      <c r="D1211">
        <v>85121.379998000004</v>
      </c>
      <c r="E1211">
        <v>51405.279283999997</v>
      </c>
      <c r="F1211">
        <v>166541.68189400004</v>
      </c>
      <c r="G1211" s="39">
        <v>45200</v>
      </c>
    </row>
    <row r="1212" spans="1:7" x14ac:dyDescent="0.25">
      <c r="A1212" t="s">
        <v>37</v>
      </c>
      <c r="B1212">
        <v>2023</v>
      </c>
      <c r="C1212" t="s">
        <v>17</v>
      </c>
      <c r="D1212">
        <v>0</v>
      </c>
      <c r="E1212">
        <v>19730.825052</v>
      </c>
      <c r="F1212">
        <v>146810.85684200004</v>
      </c>
      <c r="G1212" s="39">
        <v>45231</v>
      </c>
    </row>
    <row r="1213" spans="1:7" x14ac:dyDescent="0.25">
      <c r="A1213" t="s">
        <v>37</v>
      </c>
      <c r="B1213">
        <v>2023</v>
      </c>
      <c r="C1213" t="s">
        <v>18</v>
      </c>
      <c r="D1213">
        <v>0</v>
      </c>
      <c r="E1213">
        <v>19811.316803000002</v>
      </c>
      <c r="F1213">
        <v>126999.54003900004</v>
      </c>
      <c r="G1213" s="39">
        <v>45261</v>
      </c>
    </row>
    <row r="1214" spans="1:7" x14ac:dyDescent="0.25">
      <c r="A1214" t="s">
        <v>37</v>
      </c>
      <c r="B1214">
        <v>2024</v>
      </c>
      <c r="C1214" t="s">
        <v>7</v>
      </c>
      <c r="F1214">
        <v>126999.54003900004</v>
      </c>
      <c r="G1214" s="39">
        <v>45292</v>
      </c>
    </row>
    <row r="1215" spans="1:7" x14ac:dyDescent="0.25">
      <c r="A1215" t="s">
        <v>37</v>
      </c>
      <c r="B1215">
        <v>2024</v>
      </c>
      <c r="C1215" t="s">
        <v>8</v>
      </c>
      <c r="F1215">
        <v>126999.54003900004</v>
      </c>
      <c r="G1215" s="39">
        <v>45323</v>
      </c>
    </row>
    <row r="1216" spans="1:7" x14ac:dyDescent="0.25">
      <c r="A1216" t="s">
        <v>37</v>
      </c>
      <c r="B1216">
        <v>2024</v>
      </c>
      <c r="C1216" t="s">
        <v>9</v>
      </c>
      <c r="F1216">
        <v>126999.54003900004</v>
      </c>
      <c r="G1216" s="39">
        <v>45352</v>
      </c>
    </row>
    <row r="1217" spans="1:7" x14ac:dyDescent="0.25">
      <c r="A1217" t="s">
        <v>37</v>
      </c>
      <c r="B1217">
        <v>2024</v>
      </c>
      <c r="C1217" t="s">
        <v>10</v>
      </c>
      <c r="F1217">
        <v>126999.54003900004</v>
      </c>
      <c r="G1217" s="39">
        <v>45383</v>
      </c>
    </row>
    <row r="1218" spans="1:7" x14ac:dyDescent="0.25">
      <c r="A1218" t="s">
        <v>37</v>
      </c>
      <c r="B1218">
        <v>2024</v>
      </c>
      <c r="C1218" t="s">
        <v>11</v>
      </c>
      <c r="F1218">
        <v>126999.54003900004</v>
      </c>
      <c r="G1218" s="39">
        <v>45413</v>
      </c>
    </row>
    <row r="1219" spans="1:7" x14ac:dyDescent="0.25">
      <c r="A1219" t="s">
        <v>37</v>
      </c>
      <c r="B1219">
        <v>2024</v>
      </c>
      <c r="C1219" t="s">
        <v>12</v>
      </c>
      <c r="F1219">
        <v>126999.54003900004</v>
      </c>
      <c r="G1219" s="39">
        <v>45444</v>
      </c>
    </row>
    <row r="1220" spans="1:7" x14ac:dyDescent="0.25">
      <c r="A1220" t="s">
        <v>37</v>
      </c>
      <c r="B1220">
        <v>2024</v>
      </c>
      <c r="C1220" t="s">
        <v>13</v>
      </c>
      <c r="F1220">
        <v>126999.54003900004</v>
      </c>
      <c r="G1220" s="39">
        <v>45474</v>
      </c>
    </row>
    <row r="1221" spans="1:7" x14ac:dyDescent="0.25">
      <c r="A1221" t="s">
        <v>37</v>
      </c>
      <c r="B1221">
        <v>2024</v>
      </c>
      <c r="C1221" t="s">
        <v>14</v>
      </c>
      <c r="F1221">
        <v>126999.54003900004</v>
      </c>
      <c r="G1221" s="39">
        <v>45505</v>
      </c>
    </row>
    <row r="1222" spans="1:7" x14ac:dyDescent="0.25">
      <c r="A1222" t="s">
        <v>37</v>
      </c>
      <c r="B1222">
        <v>2024</v>
      </c>
      <c r="C1222" t="s">
        <v>15</v>
      </c>
      <c r="F1222">
        <v>126999.54003900004</v>
      </c>
      <c r="G1222" s="39">
        <v>45536</v>
      </c>
    </row>
    <row r="1223" spans="1:7" x14ac:dyDescent="0.25">
      <c r="A1223" t="s">
        <v>37</v>
      </c>
      <c r="B1223">
        <v>2024</v>
      </c>
      <c r="C1223" t="s">
        <v>16</v>
      </c>
      <c r="F1223">
        <v>126999.54003900004</v>
      </c>
      <c r="G1223" s="39">
        <v>45566</v>
      </c>
    </row>
    <row r="1224" spans="1:7" x14ac:dyDescent="0.25">
      <c r="A1224" t="s">
        <v>37</v>
      </c>
      <c r="B1224">
        <v>2024</v>
      </c>
      <c r="C1224" t="s">
        <v>17</v>
      </c>
      <c r="F1224">
        <v>126999.54003900004</v>
      </c>
      <c r="G1224" s="39">
        <v>45597</v>
      </c>
    </row>
    <row r="1225" spans="1:7" x14ac:dyDescent="0.25">
      <c r="A1225" t="s">
        <v>37</v>
      </c>
      <c r="B1225">
        <v>2024</v>
      </c>
      <c r="C1225" t="s">
        <v>18</v>
      </c>
      <c r="F1225">
        <v>126999.54003900004</v>
      </c>
      <c r="G1225" s="39">
        <v>45627</v>
      </c>
    </row>
    <row r="1226" spans="1:7" x14ac:dyDescent="0.25">
      <c r="A1226" t="s">
        <v>38</v>
      </c>
      <c r="B1226">
        <v>2019</v>
      </c>
      <c r="C1226" t="s">
        <v>7</v>
      </c>
      <c r="D1226">
        <v>22110.37</v>
      </c>
      <c r="E1226">
        <v>20914.912264999999</v>
      </c>
      <c r="F1226">
        <v>149281.066101</v>
      </c>
      <c r="G1226" s="39">
        <v>43466</v>
      </c>
    </row>
    <row r="1227" spans="1:7" x14ac:dyDescent="0.25">
      <c r="A1227" t="s">
        <v>38</v>
      </c>
      <c r="B1227">
        <v>2019</v>
      </c>
      <c r="C1227" t="s">
        <v>8</v>
      </c>
      <c r="D1227">
        <v>37310.490400000002</v>
      </c>
      <c r="E1227">
        <v>34543.719706999997</v>
      </c>
      <c r="F1227">
        <v>152047.836794</v>
      </c>
      <c r="G1227" s="39">
        <v>43497</v>
      </c>
    </row>
    <row r="1228" spans="1:7" x14ac:dyDescent="0.25">
      <c r="A1228" t="s">
        <v>38</v>
      </c>
      <c r="B1228">
        <v>2019</v>
      </c>
      <c r="C1228" t="s">
        <v>9</v>
      </c>
      <c r="D1228">
        <v>104814.89</v>
      </c>
      <c r="E1228">
        <v>74476.908202999999</v>
      </c>
      <c r="F1228">
        <v>182385.81859100002</v>
      </c>
      <c r="G1228" s="39">
        <v>43525</v>
      </c>
    </row>
    <row r="1229" spans="1:7" x14ac:dyDescent="0.25">
      <c r="A1229" t="s">
        <v>38</v>
      </c>
      <c r="B1229">
        <v>2019</v>
      </c>
      <c r="C1229" t="s">
        <v>10</v>
      </c>
      <c r="D1229">
        <v>73904.039999999994</v>
      </c>
      <c r="E1229">
        <v>92843.006030999997</v>
      </c>
      <c r="F1229">
        <v>163446.85256000003</v>
      </c>
      <c r="G1229" s="39">
        <v>43556</v>
      </c>
    </row>
    <row r="1230" spans="1:7" x14ac:dyDescent="0.25">
      <c r="A1230" t="s">
        <v>38</v>
      </c>
      <c r="B1230">
        <v>2019</v>
      </c>
      <c r="C1230" t="s">
        <v>11</v>
      </c>
      <c r="D1230">
        <v>75125.289999999994</v>
      </c>
      <c r="E1230">
        <v>68665.651847000001</v>
      </c>
      <c r="F1230">
        <v>169906.49071300001</v>
      </c>
      <c r="G1230" s="39">
        <v>43586</v>
      </c>
    </row>
    <row r="1231" spans="1:7" x14ac:dyDescent="0.25">
      <c r="A1231" t="s">
        <v>38</v>
      </c>
      <c r="B1231">
        <v>2019</v>
      </c>
      <c r="C1231" t="s">
        <v>12</v>
      </c>
      <c r="D1231">
        <v>49667.63</v>
      </c>
      <c r="E1231">
        <v>49624.269967</v>
      </c>
      <c r="F1231">
        <v>169949.85074600001</v>
      </c>
      <c r="G1231" s="39">
        <v>43617</v>
      </c>
    </row>
    <row r="1232" spans="1:7" x14ac:dyDescent="0.25">
      <c r="A1232" t="s">
        <v>38</v>
      </c>
      <c r="B1232">
        <v>2019</v>
      </c>
      <c r="C1232" t="s">
        <v>13</v>
      </c>
      <c r="D1232">
        <v>64066.43</v>
      </c>
      <c r="E1232">
        <v>74820.665298000007</v>
      </c>
      <c r="F1232">
        <v>159195.615448</v>
      </c>
      <c r="G1232" s="39">
        <v>43647</v>
      </c>
    </row>
    <row r="1233" spans="1:7" x14ac:dyDescent="0.25">
      <c r="A1233" t="s">
        <v>38</v>
      </c>
      <c r="B1233">
        <v>2019</v>
      </c>
      <c r="C1233" t="s">
        <v>14</v>
      </c>
      <c r="D1233">
        <v>44908.52</v>
      </c>
      <c r="E1233">
        <v>53047.411209999998</v>
      </c>
      <c r="F1233">
        <v>151056.724238</v>
      </c>
      <c r="G1233" s="39">
        <v>43678</v>
      </c>
    </row>
    <row r="1234" spans="1:7" x14ac:dyDescent="0.25">
      <c r="A1234" t="s">
        <v>38</v>
      </c>
      <c r="B1234">
        <v>2019</v>
      </c>
      <c r="C1234" t="s">
        <v>15</v>
      </c>
      <c r="D1234">
        <v>94992.46</v>
      </c>
      <c r="E1234">
        <v>76885.344752000005</v>
      </c>
      <c r="F1234">
        <v>169163.83948600001</v>
      </c>
      <c r="G1234" s="39">
        <v>43709</v>
      </c>
    </row>
    <row r="1235" spans="1:7" x14ac:dyDescent="0.25">
      <c r="A1235" t="s">
        <v>38</v>
      </c>
      <c r="B1235">
        <v>2019</v>
      </c>
      <c r="C1235" t="s">
        <v>16</v>
      </c>
      <c r="D1235">
        <v>19216.11</v>
      </c>
      <c r="E1235">
        <v>41475.354722999997</v>
      </c>
      <c r="F1235">
        <v>146904.594763</v>
      </c>
      <c r="G1235" s="39">
        <v>43739</v>
      </c>
    </row>
    <row r="1236" spans="1:7" x14ac:dyDescent="0.25">
      <c r="A1236" t="s">
        <v>38</v>
      </c>
      <c r="B1236">
        <v>2019</v>
      </c>
      <c r="C1236" t="s">
        <v>17</v>
      </c>
      <c r="D1236">
        <v>61510.92</v>
      </c>
      <c r="E1236">
        <v>54342.040374999997</v>
      </c>
      <c r="F1236">
        <v>154073.47438800003</v>
      </c>
      <c r="G1236" s="39">
        <v>43770</v>
      </c>
    </row>
    <row r="1237" spans="1:7" x14ac:dyDescent="0.25">
      <c r="A1237" t="s">
        <v>38</v>
      </c>
      <c r="B1237">
        <v>2019</v>
      </c>
      <c r="C1237" t="s">
        <v>18</v>
      </c>
      <c r="D1237">
        <v>112442.62</v>
      </c>
      <c r="E1237">
        <v>99412.911116000003</v>
      </c>
      <c r="F1237">
        <v>167103.18327200002</v>
      </c>
      <c r="G1237" s="39">
        <v>43800</v>
      </c>
    </row>
    <row r="1238" spans="1:7" x14ac:dyDescent="0.25">
      <c r="A1238" t="s">
        <v>38</v>
      </c>
      <c r="B1238">
        <v>2020</v>
      </c>
      <c r="C1238" t="s">
        <v>7</v>
      </c>
      <c r="D1238">
        <v>114941.66</v>
      </c>
      <c r="E1238">
        <v>120116.90923200001</v>
      </c>
      <c r="F1238">
        <v>161927.93404000002</v>
      </c>
      <c r="G1238" s="39">
        <v>43831</v>
      </c>
    </row>
    <row r="1239" spans="1:7" x14ac:dyDescent="0.25">
      <c r="A1239" t="s">
        <v>38</v>
      </c>
      <c r="B1239">
        <v>2020</v>
      </c>
      <c r="C1239" t="s">
        <v>8</v>
      </c>
      <c r="D1239">
        <v>113154.79</v>
      </c>
      <c r="E1239">
        <v>76285.605037999994</v>
      </c>
      <c r="F1239">
        <v>198797.11900200002</v>
      </c>
      <c r="G1239" s="39">
        <v>43862</v>
      </c>
    </row>
    <row r="1240" spans="1:7" x14ac:dyDescent="0.25">
      <c r="A1240" t="s">
        <v>38</v>
      </c>
      <c r="B1240">
        <v>2020</v>
      </c>
      <c r="C1240" t="s">
        <v>9</v>
      </c>
      <c r="D1240">
        <v>38979.300000000003</v>
      </c>
      <c r="E1240">
        <v>58097.032243000001</v>
      </c>
      <c r="F1240">
        <v>179679.38675900002</v>
      </c>
      <c r="G1240" s="39">
        <v>43891</v>
      </c>
    </row>
    <row r="1241" spans="1:7" x14ac:dyDescent="0.25">
      <c r="A1241" t="s">
        <v>38</v>
      </c>
      <c r="B1241">
        <v>2020</v>
      </c>
      <c r="C1241" t="s">
        <v>10</v>
      </c>
      <c r="D1241">
        <v>49769.79</v>
      </c>
      <c r="E1241">
        <v>58921.493901000002</v>
      </c>
      <c r="F1241">
        <v>170527.68285800001</v>
      </c>
      <c r="G1241" s="39">
        <v>43922</v>
      </c>
    </row>
    <row r="1242" spans="1:7" x14ac:dyDescent="0.25">
      <c r="A1242" t="s">
        <v>38</v>
      </c>
      <c r="B1242">
        <v>2020</v>
      </c>
      <c r="C1242" t="s">
        <v>11</v>
      </c>
      <c r="D1242">
        <v>21292.33</v>
      </c>
      <c r="E1242">
        <v>51319.360829999998</v>
      </c>
      <c r="F1242">
        <v>140500.65202800001</v>
      </c>
      <c r="G1242" s="39">
        <v>43952</v>
      </c>
    </row>
    <row r="1243" spans="1:7" x14ac:dyDescent="0.25">
      <c r="A1243" t="s">
        <v>38</v>
      </c>
      <c r="B1243">
        <v>2020</v>
      </c>
      <c r="C1243" t="s">
        <v>12</v>
      </c>
      <c r="D1243">
        <v>59269.65</v>
      </c>
      <c r="E1243">
        <v>58933.32561</v>
      </c>
      <c r="F1243">
        <v>140836.97641800001</v>
      </c>
      <c r="G1243" s="39">
        <v>43983</v>
      </c>
    </row>
    <row r="1244" spans="1:7" x14ac:dyDescent="0.25">
      <c r="A1244" t="s">
        <v>38</v>
      </c>
      <c r="B1244">
        <v>2020</v>
      </c>
      <c r="C1244" t="s">
        <v>13</v>
      </c>
      <c r="D1244">
        <v>100501.08</v>
      </c>
      <c r="E1244">
        <v>78647.838596000001</v>
      </c>
      <c r="F1244">
        <v>162690.21782200004</v>
      </c>
      <c r="G1244" s="39">
        <v>44013</v>
      </c>
    </row>
    <row r="1245" spans="1:7" x14ac:dyDescent="0.25">
      <c r="A1245" t="s">
        <v>38</v>
      </c>
      <c r="B1245">
        <v>2020</v>
      </c>
      <c r="C1245" t="s">
        <v>14</v>
      </c>
      <c r="D1245">
        <v>167798.93973400001</v>
      </c>
      <c r="E1245">
        <v>87116.970784000005</v>
      </c>
      <c r="F1245">
        <v>243372.18677200004</v>
      </c>
      <c r="G1245" s="39">
        <v>44044</v>
      </c>
    </row>
    <row r="1246" spans="1:7" x14ac:dyDescent="0.25">
      <c r="A1246" t="s">
        <v>38</v>
      </c>
      <c r="B1246">
        <v>2020</v>
      </c>
      <c r="C1246" t="s">
        <v>15</v>
      </c>
      <c r="D1246">
        <v>96731.65</v>
      </c>
      <c r="E1246">
        <v>93875.419882999995</v>
      </c>
      <c r="F1246">
        <v>246228.41688900007</v>
      </c>
      <c r="G1246" s="39">
        <v>44075</v>
      </c>
    </row>
    <row r="1247" spans="1:7" x14ac:dyDescent="0.25">
      <c r="A1247" t="s">
        <v>38</v>
      </c>
      <c r="B1247">
        <v>2020</v>
      </c>
      <c r="C1247" t="s">
        <v>16</v>
      </c>
      <c r="D1247">
        <v>114686.84</v>
      </c>
      <c r="E1247">
        <v>118898.343666</v>
      </c>
      <c r="F1247">
        <v>242016.91322300007</v>
      </c>
      <c r="G1247" s="39">
        <v>44105</v>
      </c>
    </row>
    <row r="1248" spans="1:7" x14ac:dyDescent="0.25">
      <c r="A1248" t="s">
        <v>38</v>
      </c>
      <c r="B1248">
        <v>2020</v>
      </c>
      <c r="C1248" t="s">
        <v>17</v>
      </c>
      <c r="D1248">
        <v>122311.38</v>
      </c>
      <c r="E1248">
        <v>76181.997491999995</v>
      </c>
      <c r="F1248">
        <v>288146.29573100008</v>
      </c>
      <c r="G1248" s="39">
        <v>44136</v>
      </c>
    </row>
    <row r="1249" spans="1:7" x14ac:dyDescent="0.25">
      <c r="A1249" t="s">
        <v>38</v>
      </c>
      <c r="B1249">
        <v>2020</v>
      </c>
      <c r="C1249" t="s">
        <v>18</v>
      </c>
      <c r="D1249">
        <v>50698.5</v>
      </c>
      <c r="E1249">
        <v>130709.827949</v>
      </c>
      <c r="F1249">
        <v>208134.96778200008</v>
      </c>
      <c r="G1249" s="39">
        <v>44166</v>
      </c>
    </row>
    <row r="1250" spans="1:7" x14ac:dyDescent="0.25">
      <c r="A1250" t="s">
        <v>38</v>
      </c>
      <c r="B1250">
        <v>2021</v>
      </c>
      <c r="C1250" t="s">
        <v>7</v>
      </c>
      <c r="D1250">
        <v>48448.09</v>
      </c>
      <c r="E1250">
        <v>76213.217556999996</v>
      </c>
      <c r="F1250">
        <v>180369.84022500008</v>
      </c>
      <c r="G1250" s="39">
        <v>44197</v>
      </c>
    </row>
    <row r="1251" spans="1:7" x14ac:dyDescent="0.25">
      <c r="A1251" t="s">
        <v>38</v>
      </c>
      <c r="B1251">
        <v>2021</v>
      </c>
      <c r="C1251" t="s">
        <v>8</v>
      </c>
      <c r="D1251">
        <v>215071.7</v>
      </c>
      <c r="E1251">
        <v>202840.72331</v>
      </c>
      <c r="F1251">
        <v>192600.81691500012</v>
      </c>
      <c r="G1251" s="39">
        <v>44228</v>
      </c>
    </row>
    <row r="1252" spans="1:7" x14ac:dyDescent="0.25">
      <c r="A1252" t="s">
        <v>38</v>
      </c>
      <c r="B1252">
        <v>2021</v>
      </c>
      <c r="C1252" t="s">
        <v>9</v>
      </c>
      <c r="D1252">
        <v>146869.44</v>
      </c>
      <c r="E1252">
        <v>116083.267276</v>
      </c>
      <c r="F1252">
        <v>223386.98963900015</v>
      </c>
      <c r="G1252" s="39">
        <v>44256</v>
      </c>
    </row>
    <row r="1253" spans="1:7" x14ac:dyDescent="0.25">
      <c r="A1253" t="s">
        <v>38</v>
      </c>
      <c r="B1253">
        <v>2021</v>
      </c>
      <c r="C1253" t="s">
        <v>10</v>
      </c>
      <c r="D1253">
        <v>54731.38</v>
      </c>
      <c r="E1253">
        <v>76237.305710000001</v>
      </c>
      <c r="F1253">
        <v>201881.06392900017</v>
      </c>
      <c r="G1253" s="39">
        <v>44287</v>
      </c>
    </row>
    <row r="1254" spans="1:7" x14ac:dyDescent="0.25">
      <c r="A1254" t="s">
        <v>38</v>
      </c>
      <c r="B1254">
        <v>2021</v>
      </c>
      <c r="C1254" t="s">
        <v>11</v>
      </c>
      <c r="D1254">
        <v>84829.2</v>
      </c>
      <c r="E1254">
        <v>115683.486057</v>
      </c>
      <c r="F1254">
        <v>171026.77787200018</v>
      </c>
      <c r="G1254" s="39">
        <v>44317</v>
      </c>
    </row>
    <row r="1255" spans="1:7" x14ac:dyDescent="0.25">
      <c r="A1255" t="s">
        <v>38</v>
      </c>
      <c r="B1255">
        <v>2021</v>
      </c>
      <c r="C1255" t="s">
        <v>12</v>
      </c>
      <c r="D1255">
        <v>114358.115475</v>
      </c>
      <c r="E1255">
        <v>82651.575247999994</v>
      </c>
      <c r="F1255">
        <v>202733.3180990002</v>
      </c>
      <c r="G1255" s="39">
        <v>44348</v>
      </c>
    </row>
    <row r="1256" spans="1:7" x14ac:dyDescent="0.25">
      <c r="A1256" t="s">
        <v>38</v>
      </c>
      <c r="B1256">
        <v>2021</v>
      </c>
      <c r="C1256" t="s">
        <v>13</v>
      </c>
      <c r="D1256">
        <v>61316.6</v>
      </c>
      <c r="E1256">
        <v>77028.158223000006</v>
      </c>
      <c r="F1256">
        <v>187021.75987600017</v>
      </c>
      <c r="G1256" s="39">
        <v>44378</v>
      </c>
    </row>
    <row r="1257" spans="1:7" x14ac:dyDescent="0.25">
      <c r="A1257" t="s">
        <v>38</v>
      </c>
      <c r="B1257">
        <v>2021</v>
      </c>
      <c r="C1257" t="s">
        <v>14</v>
      </c>
      <c r="D1257">
        <v>97450.46</v>
      </c>
      <c r="E1257">
        <v>92799.303096999996</v>
      </c>
      <c r="F1257">
        <v>191672.9167790002</v>
      </c>
      <c r="G1257" s="39">
        <v>44409</v>
      </c>
    </row>
    <row r="1258" spans="1:7" x14ac:dyDescent="0.25">
      <c r="A1258" t="s">
        <v>38</v>
      </c>
      <c r="B1258">
        <v>2021</v>
      </c>
      <c r="C1258" t="s">
        <v>15</v>
      </c>
      <c r="D1258">
        <v>70271.44</v>
      </c>
      <c r="E1258">
        <v>112098.307122</v>
      </c>
      <c r="F1258">
        <v>149846.0496570002</v>
      </c>
      <c r="G1258" s="39">
        <v>44440</v>
      </c>
    </row>
    <row r="1259" spans="1:7" x14ac:dyDescent="0.25">
      <c r="A1259" t="s">
        <v>38</v>
      </c>
      <c r="B1259">
        <v>2021</v>
      </c>
      <c r="C1259" t="s">
        <v>16</v>
      </c>
      <c r="D1259">
        <v>518714.44</v>
      </c>
      <c r="E1259">
        <v>401619.29891299998</v>
      </c>
      <c r="F1259">
        <v>266941.1907440002</v>
      </c>
      <c r="G1259" s="39">
        <v>44470</v>
      </c>
    </row>
    <row r="1260" spans="1:7" x14ac:dyDescent="0.25">
      <c r="A1260" t="s">
        <v>38</v>
      </c>
      <c r="B1260">
        <v>2021</v>
      </c>
      <c r="C1260" t="s">
        <v>17</v>
      </c>
      <c r="D1260">
        <v>71412.2</v>
      </c>
      <c r="E1260">
        <v>131741.89546500001</v>
      </c>
      <c r="F1260">
        <v>206611.4952790002</v>
      </c>
      <c r="G1260" s="39">
        <v>44501</v>
      </c>
    </row>
    <row r="1261" spans="1:7" x14ac:dyDescent="0.25">
      <c r="A1261" t="s">
        <v>38</v>
      </c>
      <c r="B1261">
        <v>2021</v>
      </c>
      <c r="C1261" t="s">
        <v>18</v>
      </c>
      <c r="D1261">
        <v>128641.27</v>
      </c>
      <c r="E1261">
        <v>164610.244572</v>
      </c>
      <c r="F1261">
        <v>170642.52070700022</v>
      </c>
      <c r="G1261" s="39">
        <v>44531</v>
      </c>
    </row>
    <row r="1262" spans="1:7" x14ac:dyDescent="0.25">
      <c r="A1262" t="s">
        <v>38</v>
      </c>
      <c r="B1262">
        <v>2022</v>
      </c>
      <c r="C1262" t="s">
        <v>7</v>
      </c>
      <c r="D1262">
        <v>71059.899999999994</v>
      </c>
      <c r="E1262">
        <v>50439.237388000001</v>
      </c>
      <c r="F1262">
        <v>191263.18331900021</v>
      </c>
      <c r="G1262" s="39">
        <v>44562</v>
      </c>
    </row>
    <row r="1263" spans="1:7" x14ac:dyDescent="0.25">
      <c r="A1263" t="s">
        <v>38</v>
      </c>
      <c r="B1263">
        <v>2022</v>
      </c>
      <c r="C1263" t="s">
        <v>8</v>
      </c>
      <c r="D1263">
        <v>97658</v>
      </c>
      <c r="E1263">
        <v>91676.277142000006</v>
      </c>
      <c r="F1263">
        <v>197244.90617700017</v>
      </c>
      <c r="G1263" s="39">
        <v>44593</v>
      </c>
    </row>
    <row r="1264" spans="1:7" x14ac:dyDescent="0.25">
      <c r="A1264" t="s">
        <v>38</v>
      </c>
      <c r="B1264">
        <v>2022</v>
      </c>
      <c r="C1264" t="s">
        <v>9</v>
      </c>
      <c r="D1264">
        <v>178406.46</v>
      </c>
      <c r="E1264">
        <v>88310.195875999998</v>
      </c>
      <c r="F1264">
        <v>287341.17030100018</v>
      </c>
      <c r="G1264" s="39">
        <v>44621</v>
      </c>
    </row>
    <row r="1265" spans="1:7" x14ac:dyDescent="0.25">
      <c r="A1265" t="s">
        <v>38</v>
      </c>
      <c r="B1265">
        <v>2022</v>
      </c>
      <c r="C1265" t="s">
        <v>10</v>
      </c>
      <c r="D1265">
        <v>198283.73</v>
      </c>
      <c r="E1265">
        <v>161671.341354</v>
      </c>
      <c r="F1265">
        <v>323953.55894700019</v>
      </c>
      <c r="G1265" s="39">
        <v>44652</v>
      </c>
    </row>
    <row r="1266" spans="1:7" x14ac:dyDescent="0.25">
      <c r="A1266" t="s">
        <v>38</v>
      </c>
      <c r="B1266">
        <v>2022</v>
      </c>
      <c r="C1266" t="s">
        <v>11</v>
      </c>
      <c r="D1266">
        <v>94112.21</v>
      </c>
      <c r="E1266">
        <v>103195.610965</v>
      </c>
      <c r="F1266">
        <v>314870.15798200021</v>
      </c>
      <c r="G1266" s="39">
        <v>44682</v>
      </c>
    </row>
    <row r="1267" spans="1:7" x14ac:dyDescent="0.25">
      <c r="A1267" t="s">
        <v>38</v>
      </c>
      <c r="B1267">
        <v>2022</v>
      </c>
      <c r="C1267" t="s">
        <v>12</v>
      </c>
      <c r="D1267">
        <v>108591.61</v>
      </c>
      <c r="E1267">
        <v>103737.47233800001</v>
      </c>
      <c r="F1267">
        <v>319724.29564400017</v>
      </c>
      <c r="G1267" s="39">
        <v>44713</v>
      </c>
    </row>
    <row r="1268" spans="1:7" x14ac:dyDescent="0.25">
      <c r="A1268" t="s">
        <v>38</v>
      </c>
      <c r="B1268">
        <v>2022</v>
      </c>
      <c r="C1268" t="s">
        <v>13</v>
      </c>
      <c r="D1268">
        <v>152162.82</v>
      </c>
      <c r="E1268">
        <v>134373.752094</v>
      </c>
      <c r="F1268">
        <v>337513.36355000018</v>
      </c>
      <c r="G1268" s="39">
        <v>44743</v>
      </c>
    </row>
    <row r="1269" spans="1:7" x14ac:dyDescent="0.25">
      <c r="A1269" t="s">
        <v>38</v>
      </c>
      <c r="B1269">
        <v>2022</v>
      </c>
      <c r="C1269" t="s">
        <v>14</v>
      </c>
      <c r="D1269">
        <v>146554.82999999999</v>
      </c>
      <c r="E1269">
        <v>106064.040731</v>
      </c>
      <c r="F1269">
        <v>378004.15281900018</v>
      </c>
      <c r="G1269" s="39">
        <v>44774</v>
      </c>
    </row>
    <row r="1270" spans="1:7" x14ac:dyDescent="0.25">
      <c r="A1270" t="s">
        <v>38</v>
      </c>
      <c r="B1270">
        <v>2022</v>
      </c>
      <c r="C1270" t="s">
        <v>15</v>
      </c>
      <c r="D1270">
        <v>490357.94</v>
      </c>
      <c r="E1270">
        <v>622219.68200599996</v>
      </c>
      <c r="F1270">
        <v>246142.41081300017</v>
      </c>
      <c r="G1270" s="39">
        <v>44805</v>
      </c>
    </row>
    <row r="1271" spans="1:7" x14ac:dyDescent="0.25">
      <c r="A1271" t="s">
        <v>38</v>
      </c>
      <c r="B1271">
        <v>2022</v>
      </c>
      <c r="C1271" t="s">
        <v>16</v>
      </c>
      <c r="D1271">
        <v>109007.56</v>
      </c>
      <c r="E1271">
        <v>87314.736254999996</v>
      </c>
      <c r="F1271">
        <v>267835.23455800017</v>
      </c>
      <c r="G1271" s="39">
        <v>44835</v>
      </c>
    </row>
    <row r="1272" spans="1:7" x14ac:dyDescent="0.25">
      <c r="A1272" t="s">
        <v>38</v>
      </c>
      <c r="B1272">
        <v>2022</v>
      </c>
      <c r="C1272" t="s">
        <v>17</v>
      </c>
      <c r="D1272">
        <v>183857.96</v>
      </c>
      <c r="E1272">
        <v>145971.026656</v>
      </c>
      <c r="F1272">
        <v>305722.16790200019</v>
      </c>
      <c r="G1272" s="39">
        <v>44866</v>
      </c>
    </row>
    <row r="1273" spans="1:7" x14ac:dyDescent="0.25">
      <c r="A1273" t="s">
        <v>38</v>
      </c>
      <c r="B1273">
        <v>2022</v>
      </c>
      <c r="C1273" t="s">
        <v>18</v>
      </c>
      <c r="D1273">
        <v>62192.71</v>
      </c>
      <c r="E1273">
        <v>132708.37621700001</v>
      </c>
      <c r="F1273">
        <v>235206.5016850002</v>
      </c>
      <c r="G1273" s="39">
        <v>44896</v>
      </c>
    </row>
    <row r="1274" spans="1:7" x14ac:dyDescent="0.25">
      <c r="A1274" t="s">
        <v>38</v>
      </c>
      <c r="B1274">
        <v>2023</v>
      </c>
      <c r="C1274" t="s">
        <v>7</v>
      </c>
      <c r="D1274">
        <v>65029.279999999999</v>
      </c>
      <c r="E1274">
        <v>39425.187997000001</v>
      </c>
      <c r="F1274">
        <v>260810.59368800017</v>
      </c>
      <c r="G1274" s="39">
        <v>44927</v>
      </c>
    </row>
    <row r="1275" spans="1:7" x14ac:dyDescent="0.25">
      <c r="A1275" t="s">
        <v>38</v>
      </c>
      <c r="B1275">
        <v>2023</v>
      </c>
      <c r="C1275" t="s">
        <v>8</v>
      </c>
      <c r="D1275">
        <v>141641.72</v>
      </c>
      <c r="E1275">
        <v>77729.206183999995</v>
      </c>
      <c r="F1275">
        <v>324723.10750400019</v>
      </c>
      <c r="G1275" s="39">
        <v>44958</v>
      </c>
    </row>
    <row r="1276" spans="1:7" x14ac:dyDescent="0.25">
      <c r="A1276" t="s">
        <v>38</v>
      </c>
      <c r="B1276">
        <v>2023</v>
      </c>
      <c r="C1276" t="s">
        <v>9</v>
      </c>
      <c r="D1276">
        <v>1090400.1499999999</v>
      </c>
      <c r="E1276">
        <v>1048658.099197</v>
      </c>
      <c r="F1276">
        <v>366465.15830700006</v>
      </c>
      <c r="G1276" s="39">
        <v>44986</v>
      </c>
    </row>
    <row r="1277" spans="1:7" x14ac:dyDescent="0.25">
      <c r="A1277" t="s">
        <v>38</v>
      </c>
      <c r="B1277">
        <v>2023</v>
      </c>
      <c r="C1277" t="s">
        <v>10</v>
      </c>
      <c r="D1277">
        <v>170838.32</v>
      </c>
      <c r="E1277">
        <v>238015.36752699999</v>
      </c>
      <c r="F1277">
        <v>299288.1107800001</v>
      </c>
      <c r="G1277" s="39">
        <v>45017</v>
      </c>
    </row>
    <row r="1278" spans="1:7" x14ac:dyDescent="0.25">
      <c r="A1278" t="s">
        <v>38</v>
      </c>
      <c r="B1278">
        <v>2023</v>
      </c>
      <c r="C1278" t="s">
        <v>11</v>
      </c>
      <c r="D1278">
        <v>65756.376250000001</v>
      </c>
      <c r="E1278">
        <v>106490.15532200001</v>
      </c>
      <c r="F1278">
        <v>258554.33170800007</v>
      </c>
      <c r="G1278" s="39">
        <v>45047</v>
      </c>
    </row>
    <row r="1279" spans="1:7" x14ac:dyDescent="0.25">
      <c r="A1279" t="s">
        <v>38</v>
      </c>
      <c r="B1279">
        <v>2023</v>
      </c>
      <c r="C1279" t="s">
        <v>12</v>
      </c>
      <c r="D1279">
        <v>292953.44</v>
      </c>
      <c r="E1279">
        <v>270316.87721399998</v>
      </c>
      <c r="F1279">
        <v>281190.89449400012</v>
      </c>
      <c r="G1279" s="39">
        <v>45078</v>
      </c>
    </row>
    <row r="1280" spans="1:7" x14ac:dyDescent="0.25">
      <c r="A1280" t="s">
        <v>38</v>
      </c>
      <c r="B1280">
        <v>2023</v>
      </c>
      <c r="C1280" t="s">
        <v>13</v>
      </c>
      <c r="D1280">
        <v>227518.8</v>
      </c>
      <c r="E1280">
        <v>161296.36718599999</v>
      </c>
      <c r="F1280">
        <v>347413.32730800012</v>
      </c>
      <c r="G1280" s="39">
        <v>45108</v>
      </c>
    </row>
    <row r="1281" spans="1:7" x14ac:dyDescent="0.25">
      <c r="A1281" t="s">
        <v>38</v>
      </c>
      <c r="B1281">
        <v>2023</v>
      </c>
      <c r="C1281" t="s">
        <v>14</v>
      </c>
      <c r="D1281">
        <v>79751.350000000006</v>
      </c>
      <c r="E1281">
        <v>101943.82479899999</v>
      </c>
      <c r="F1281">
        <v>325220.85250900016</v>
      </c>
      <c r="G1281" s="39">
        <v>45139</v>
      </c>
    </row>
    <row r="1282" spans="1:7" x14ac:dyDescent="0.25">
      <c r="A1282" t="s">
        <v>38</v>
      </c>
      <c r="B1282">
        <v>2023</v>
      </c>
      <c r="C1282" t="s">
        <v>15</v>
      </c>
      <c r="D1282">
        <v>216335.85</v>
      </c>
      <c r="E1282">
        <v>82388.347124000007</v>
      </c>
      <c r="F1282">
        <v>459168.35538500018</v>
      </c>
      <c r="G1282" s="39">
        <v>45170</v>
      </c>
    </row>
    <row r="1283" spans="1:7" x14ac:dyDescent="0.25">
      <c r="A1283" t="s">
        <v>38</v>
      </c>
      <c r="B1283">
        <v>2023</v>
      </c>
      <c r="C1283" t="s">
        <v>16</v>
      </c>
      <c r="D1283">
        <v>137775.26</v>
      </c>
      <c r="E1283">
        <v>198104.513748</v>
      </c>
      <c r="F1283">
        <v>398839.1016370001</v>
      </c>
      <c r="G1283" s="39">
        <v>45200</v>
      </c>
    </row>
    <row r="1284" spans="1:7" x14ac:dyDescent="0.25">
      <c r="A1284" t="s">
        <v>38</v>
      </c>
      <c r="B1284">
        <v>2023</v>
      </c>
      <c r="C1284" t="s">
        <v>17</v>
      </c>
      <c r="D1284">
        <v>46385.14</v>
      </c>
      <c r="E1284">
        <v>94383.087339999998</v>
      </c>
      <c r="F1284">
        <v>350841.15429700015</v>
      </c>
      <c r="G1284" s="39">
        <v>45231</v>
      </c>
    </row>
    <row r="1285" spans="1:7" x14ac:dyDescent="0.25">
      <c r="A1285" t="s">
        <v>38</v>
      </c>
      <c r="B1285">
        <v>2023</v>
      </c>
      <c r="C1285" t="s">
        <v>18</v>
      </c>
      <c r="D1285">
        <v>121038.81</v>
      </c>
      <c r="E1285">
        <v>112932.570334</v>
      </c>
      <c r="F1285">
        <v>358947.39396300016</v>
      </c>
      <c r="G1285" s="39">
        <v>45261</v>
      </c>
    </row>
    <row r="1286" spans="1:7" x14ac:dyDescent="0.25">
      <c r="A1286" t="s">
        <v>38</v>
      </c>
      <c r="B1286">
        <v>2024</v>
      </c>
      <c r="C1286" t="s">
        <v>7</v>
      </c>
      <c r="F1286">
        <v>358947.39396300016</v>
      </c>
      <c r="G1286" s="39">
        <v>45292</v>
      </c>
    </row>
    <row r="1287" spans="1:7" x14ac:dyDescent="0.25">
      <c r="A1287" t="s">
        <v>38</v>
      </c>
      <c r="B1287">
        <v>2024</v>
      </c>
      <c r="C1287" t="s">
        <v>8</v>
      </c>
      <c r="F1287">
        <v>358947.39396300016</v>
      </c>
      <c r="G1287" s="39">
        <v>45323</v>
      </c>
    </row>
    <row r="1288" spans="1:7" x14ac:dyDescent="0.25">
      <c r="A1288" t="s">
        <v>38</v>
      </c>
      <c r="B1288">
        <v>2024</v>
      </c>
      <c r="C1288" t="s">
        <v>9</v>
      </c>
      <c r="F1288">
        <v>358947.39396300016</v>
      </c>
      <c r="G1288" s="39">
        <v>45352</v>
      </c>
    </row>
    <row r="1289" spans="1:7" x14ac:dyDescent="0.25">
      <c r="A1289" t="s">
        <v>38</v>
      </c>
      <c r="B1289">
        <v>2024</v>
      </c>
      <c r="C1289" t="s">
        <v>10</v>
      </c>
      <c r="F1289">
        <v>358947.39396300016</v>
      </c>
      <c r="G1289" s="39">
        <v>45383</v>
      </c>
    </row>
    <row r="1290" spans="1:7" x14ac:dyDescent="0.25">
      <c r="A1290" t="s">
        <v>38</v>
      </c>
      <c r="B1290">
        <v>2024</v>
      </c>
      <c r="C1290" t="s">
        <v>11</v>
      </c>
      <c r="F1290">
        <v>358947.39396300016</v>
      </c>
      <c r="G1290" s="39">
        <v>45413</v>
      </c>
    </row>
    <row r="1291" spans="1:7" x14ac:dyDescent="0.25">
      <c r="A1291" t="s">
        <v>38</v>
      </c>
      <c r="B1291">
        <v>2024</v>
      </c>
      <c r="C1291" t="s">
        <v>12</v>
      </c>
      <c r="F1291">
        <v>358947.39396300016</v>
      </c>
      <c r="G1291" s="39">
        <v>45444</v>
      </c>
    </row>
    <row r="1292" spans="1:7" x14ac:dyDescent="0.25">
      <c r="A1292" t="s">
        <v>38</v>
      </c>
      <c r="B1292">
        <v>2024</v>
      </c>
      <c r="C1292" t="s">
        <v>13</v>
      </c>
      <c r="F1292">
        <v>358947.39396300016</v>
      </c>
      <c r="G1292" s="39">
        <v>45474</v>
      </c>
    </row>
    <row r="1293" spans="1:7" x14ac:dyDescent="0.25">
      <c r="A1293" t="s">
        <v>38</v>
      </c>
      <c r="B1293">
        <v>2024</v>
      </c>
      <c r="C1293" t="s">
        <v>14</v>
      </c>
      <c r="F1293">
        <v>358947.39396300016</v>
      </c>
      <c r="G1293" s="39">
        <v>45505</v>
      </c>
    </row>
    <row r="1294" spans="1:7" x14ac:dyDescent="0.25">
      <c r="A1294" t="s">
        <v>38</v>
      </c>
      <c r="B1294">
        <v>2024</v>
      </c>
      <c r="C1294" t="s">
        <v>15</v>
      </c>
      <c r="F1294">
        <v>358947.39396300016</v>
      </c>
      <c r="G1294" s="39">
        <v>45536</v>
      </c>
    </row>
    <row r="1295" spans="1:7" x14ac:dyDescent="0.25">
      <c r="A1295" t="s">
        <v>38</v>
      </c>
      <c r="B1295">
        <v>2024</v>
      </c>
      <c r="C1295" t="s">
        <v>16</v>
      </c>
      <c r="F1295">
        <v>358947.39396300016</v>
      </c>
      <c r="G1295" s="39">
        <v>45566</v>
      </c>
    </row>
    <row r="1296" spans="1:7" x14ac:dyDescent="0.25">
      <c r="A1296" t="s">
        <v>38</v>
      </c>
      <c r="B1296">
        <v>2024</v>
      </c>
      <c r="C1296" t="s">
        <v>17</v>
      </c>
      <c r="F1296">
        <v>358947.39396300016</v>
      </c>
      <c r="G1296" s="39">
        <v>45597</v>
      </c>
    </row>
    <row r="1297" spans="1:7" x14ac:dyDescent="0.25">
      <c r="A1297" t="s">
        <v>38</v>
      </c>
      <c r="B1297">
        <v>2024</v>
      </c>
      <c r="C1297" t="s">
        <v>18</v>
      </c>
      <c r="F1297">
        <v>358947.39396300016</v>
      </c>
      <c r="G1297" s="39">
        <v>45627</v>
      </c>
    </row>
    <row r="1298" spans="1:7" x14ac:dyDescent="0.25">
      <c r="A1298" t="s">
        <v>39</v>
      </c>
      <c r="B1298">
        <v>2019</v>
      </c>
      <c r="C1298" t="s">
        <v>7</v>
      </c>
      <c r="D1298">
        <v>59413.13</v>
      </c>
      <c r="E1298">
        <v>49378.126947999997</v>
      </c>
      <c r="F1298">
        <v>91718.756053000019</v>
      </c>
      <c r="G1298" s="39">
        <v>43466</v>
      </c>
    </row>
    <row r="1299" spans="1:7" x14ac:dyDescent="0.25">
      <c r="A1299" t="s">
        <v>39</v>
      </c>
      <c r="B1299">
        <v>2019</v>
      </c>
      <c r="C1299" t="s">
        <v>8</v>
      </c>
      <c r="D1299">
        <v>87692.47</v>
      </c>
      <c r="E1299">
        <v>79482.108191000007</v>
      </c>
      <c r="F1299">
        <v>99929.117862000014</v>
      </c>
      <c r="G1299" s="39">
        <v>43497</v>
      </c>
    </row>
    <row r="1300" spans="1:7" x14ac:dyDescent="0.25">
      <c r="A1300" t="s">
        <v>39</v>
      </c>
      <c r="B1300">
        <v>2019</v>
      </c>
      <c r="C1300" t="s">
        <v>9</v>
      </c>
      <c r="D1300">
        <v>107497.37</v>
      </c>
      <c r="E1300">
        <v>107891.44551799999</v>
      </c>
      <c r="F1300">
        <v>99535.042344000016</v>
      </c>
      <c r="G1300" s="39">
        <v>43525</v>
      </c>
    </row>
    <row r="1301" spans="1:7" x14ac:dyDescent="0.25">
      <c r="A1301" t="s">
        <v>39</v>
      </c>
      <c r="B1301">
        <v>2019</v>
      </c>
      <c r="C1301" t="s">
        <v>10</v>
      </c>
      <c r="D1301">
        <v>93838.238333000001</v>
      </c>
      <c r="E1301">
        <v>94454.304984000002</v>
      </c>
      <c r="F1301">
        <v>98918.975693</v>
      </c>
      <c r="G1301" s="39">
        <v>43556</v>
      </c>
    </row>
    <row r="1302" spans="1:7" x14ac:dyDescent="0.25">
      <c r="A1302" t="s">
        <v>39</v>
      </c>
      <c r="B1302">
        <v>2019</v>
      </c>
      <c r="C1302" t="s">
        <v>11</v>
      </c>
      <c r="D1302">
        <v>86672.36</v>
      </c>
      <c r="E1302">
        <v>92431.179145000002</v>
      </c>
      <c r="F1302">
        <v>93160.156547999999</v>
      </c>
      <c r="G1302" s="39">
        <v>43586</v>
      </c>
    </row>
    <row r="1303" spans="1:7" x14ac:dyDescent="0.25">
      <c r="A1303" t="s">
        <v>39</v>
      </c>
      <c r="B1303">
        <v>2019</v>
      </c>
      <c r="C1303" t="s">
        <v>12</v>
      </c>
      <c r="D1303">
        <v>98760.172000000006</v>
      </c>
      <c r="E1303">
        <v>69465.746490000005</v>
      </c>
      <c r="F1303">
        <v>122454.58205800001</v>
      </c>
      <c r="G1303" s="39">
        <v>43617</v>
      </c>
    </row>
    <row r="1304" spans="1:7" x14ac:dyDescent="0.25">
      <c r="A1304" t="s">
        <v>39</v>
      </c>
      <c r="B1304">
        <v>2019</v>
      </c>
      <c r="C1304" t="s">
        <v>13</v>
      </c>
      <c r="D1304">
        <v>162999.20199999999</v>
      </c>
      <c r="E1304">
        <v>149898.986126</v>
      </c>
      <c r="F1304">
        <v>135554.79793200002</v>
      </c>
      <c r="G1304" s="39">
        <v>43647</v>
      </c>
    </row>
    <row r="1305" spans="1:7" x14ac:dyDescent="0.25">
      <c r="A1305" t="s">
        <v>39</v>
      </c>
      <c r="B1305">
        <v>2019</v>
      </c>
      <c r="C1305" t="s">
        <v>14</v>
      </c>
      <c r="D1305">
        <v>90013.144</v>
      </c>
      <c r="E1305">
        <v>125146.974277</v>
      </c>
      <c r="F1305">
        <v>100420.96765500001</v>
      </c>
      <c r="G1305" s="39">
        <v>43678</v>
      </c>
    </row>
    <row r="1306" spans="1:7" x14ac:dyDescent="0.25">
      <c r="A1306" t="s">
        <v>39</v>
      </c>
      <c r="B1306">
        <v>2019</v>
      </c>
      <c r="C1306" t="s">
        <v>15</v>
      </c>
      <c r="D1306">
        <v>117856.308588</v>
      </c>
      <c r="E1306">
        <v>108060.86717100001</v>
      </c>
      <c r="F1306">
        <v>110216.40907199999</v>
      </c>
      <c r="G1306" s="39">
        <v>43709</v>
      </c>
    </row>
    <row r="1307" spans="1:7" x14ac:dyDescent="0.25">
      <c r="A1307" t="s">
        <v>39</v>
      </c>
      <c r="B1307">
        <v>2019</v>
      </c>
      <c r="C1307" t="s">
        <v>16</v>
      </c>
      <c r="D1307">
        <v>128283.61</v>
      </c>
      <c r="E1307">
        <v>128736.513187</v>
      </c>
      <c r="F1307">
        <v>109763.50588499999</v>
      </c>
      <c r="G1307" s="39">
        <v>43739</v>
      </c>
    </row>
    <row r="1308" spans="1:7" x14ac:dyDescent="0.25">
      <c r="A1308" t="s">
        <v>39</v>
      </c>
      <c r="B1308">
        <v>2019</v>
      </c>
      <c r="C1308" t="s">
        <v>17</v>
      </c>
      <c r="D1308">
        <v>101558.93</v>
      </c>
      <c r="E1308">
        <v>118506.08092399999</v>
      </c>
      <c r="F1308">
        <v>92816.35496099999</v>
      </c>
      <c r="G1308" s="39">
        <v>43770</v>
      </c>
    </row>
    <row r="1309" spans="1:7" x14ac:dyDescent="0.25">
      <c r="A1309" t="s">
        <v>39</v>
      </c>
      <c r="B1309">
        <v>2019</v>
      </c>
      <c r="C1309" t="s">
        <v>18</v>
      </c>
      <c r="D1309">
        <v>59902.17</v>
      </c>
      <c r="E1309">
        <v>70096.841442999998</v>
      </c>
      <c r="F1309">
        <v>82621.683517999991</v>
      </c>
      <c r="G1309" s="39">
        <v>43800</v>
      </c>
    </row>
    <row r="1310" spans="1:7" x14ac:dyDescent="0.25">
      <c r="A1310" t="s">
        <v>39</v>
      </c>
      <c r="B1310">
        <v>2020</v>
      </c>
      <c r="C1310" t="s">
        <v>7</v>
      </c>
      <c r="D1310">
        <v>86807.84</v>
      </c>
      <c r="E1310">
        <v>67532.023281999995</v>
      </c>
      <c r="F1310">
        <v>101897.50023599998</v>
      </c>
      <c r="G1310" s="39">
        <v>43831</v>
      </c>
    </row>
    <row r="1311" spans="1:7" x14ac:dyDescent="0.25">
      <c r="A1311" t="s">
        <v>39</v>
      </c>
      <c r="B1311">
        <v>2020</v>
      </c>
      <c r="C1311" t="s">
        <v>8</v>
      </c>
      <c r="D1311">
        <v>120188.89013299999</v>
      </c>
      <c r="E1311">
        <v>105220.27962299999</v>
      </c>
      <c r="F1311">
        <v>116866.11074599998</v>
      </c>
      <c r="G1311" s="39">
        <v>43862</v>
      </c>
    </row>
    <row r="1312" spans="1:7" x14ac:dyDescent="0.25">
      <c r="A1312" t="s">
        <v>39</v>
      </c>
      <c r="B1312">
        <v>2020</v>
      </c>
      <c r="C1312" t="s">
        <v>9</v>
      </c>
      <c r="D1312">
        <v>166871.631999</v>
      </c>
      <c r="E1312">
        <v>143567.14777000001</v>
      </c>
      <c r="F1312">
        <v>140170.59497499999</v>
      </c>
      <c r="G1312" s="39">
        <v>43891</v>
      </c>
    </row>
    <row r="1313" spans="1:7" x14ac:dyDescent="0.25">
      <c r="A1313" t="s">
        <v>39</v>
      </c>
      <c r="B1313">
        <v>2020</v>
      </c>
      <c r="C1313" t="s">
        <v>10</v>
      </c>
      <c r="D1313">
        <v>22801.84</v>
      </c>
      <c r="E1313">
        <v>65143.248716000002</v>
      </c>
      <c r="F1313">
        <v>97829.18625899998</v>
      </c>
      <c r="G1313" s="39">
        <v>43922</v>
      </c>
    </row>
    <row r="1314" spans="1:7" x14ac:dyDescent="0.25">
      <c r="A1314" t="s">
        <v>39</v>
      </c>
      <c r="B1314">
        <v>2020</v>
      </c>
      <c r="C1314" t="s">
        <v>11</v>
      </c>
      <c r="D1314">
        <v>103924.05</v>
      </c>
      <c r="E1314">
        <v>89677.544739999998</v>
      </c>
      <c r="F1314">
        <v>112075.69151899997</v>
      </c>
      <c r="G1314" s="39">
        <v>43952</v>
      </c>
    </row>
    <row r="1315" spans="1:7" x14ac:dyDescent="0.25">
      <c r="A1315" t="s">
        <v>39</v>
      </c>
      <c r="B1315">
        <v>2020</v>
      </c>
      <c r="C1315" t="s">
        <v>12</v>
      </c>
      <c r="D1315">
        <v>100024.84</v>
      </c>
      <c r="E1315">
        <v>92357.142160000003</v>
      </c>
      <c r="F1315">
        <v>119743.38935899995</v>
      </c>
      <c r="G1315" s="39">
        <v>43983</v>
      </c>
    </row>
    <row r="1316" spans="1:7" x14ac:dyDescent="0.25">
      <c r="A1316" t="s">
        <v>39</v>
      </c>
      <c r="B1316">
        <v>2020</v>
      </c>
      <c r="C1316" t="s">
        <v>13</v>
      </c>
      <c r="D1316">
        <v>134431.28210000001</v>
      </c>
      <c r="E1316">
        <v>150904.59702700001</v>
      </c>
      <c r="F1316">
        <v>103270.07443199996</v>
      </c>
      <c r="G1316" s="39">
        <v>44013</v>
      </c>
    </row>
    <row r="1317" spans="1:7" x14ac:dyDescent="0.25">
      <c r="A1317" t="s">
        <v>39</v>
      </c>
      <c r="B1317">
        <v>2020</v>
      </c>
      <c r="C1317" t="s">
        <v>14</v>
      </c>
      <c r="D1317">
        <v>118172.79</v>
      </c>
      <c r="E1317">
        <v>120726.57430399999</v>
      </c>
      <c r="F1317">
        <v>100716.29012799998</v>
      </c>
      <c r="G1317" s="39">
        <v>44044</v>
      </c>
    </row>
    <row r="1318" spans="1:7" x14ac:dyDescent="0.25">
      <c r="A1318" t="s">
        <v>39</v>
      </c>
      <c r="B1318">
        <v>2020</v>
      </c>
      <c r="C1318" t="s">
        <v>15</v>
      </c>
      <c r="D1318">
        <v>141830.81</v>
      </c>
      <c r="E1318">
        <v>116378.972247</v>
      </c>
      <c r="F1318">
        <v>126168.12788099996</v>
      </c>
      <c r="G1318" s="39">
        <v>44075</v>
      </c>
    </row>
    <row r="1319" spans="1:7" x14ac:dyDescent="0.25">
      <c r="A1319" t="s">
        <v>39</v>
      </c>
      <c r="B1319">
        <v>2020</v>
      </c>
      <c r="C1319" t="s">
        <v>16</v>
      </c>
      <c r="D1319">
        <v>121177.85</v>
      </c>
      <c r="E1319">
        <v>125299.343379</v>
      </c>
      <c r="F1319">
        <v>122046.63450199997</v>
      </c>
      <c r="G1319" s="39">
        <v>44105</v>
      </c>
    </row>
    <row r="1320" spans="1:7" x14ac:dyDescent="0.25">
      <c r="A1320" t="s">
        <v>39</v>
      </c>
      <c r="B1320">
        <v>2020</v>
      </c>
      <c r="C1320" t="s">
        <v>17</v>
      </c>
      <c r="D1320">
        <v>79158.645699999994</v>
      </c>
      <c r="E1320">
        <v>84155.646294999999</v>
      </c>
      <c r="F1320">
        <v>117049.63390699997</v>
      </c>
      <c r="G1320" s="39">
        <v>44136</v>
      </c>
    </row>
    <row r="1321" spans="1:7" x14ac:dyDescent="0.25">
      <c r="A1321" t="s">
        <v>39</v>
      </c>
      <c r="B1321">
        <v>2020</v>
      </c>
      <c r="C1321" t="s">
        <v>18</v>
      </c>
      <c r="D1321">
        <v>46535.19</v>
      </c>
      <c r="E1321">
        <v>77703.670496999999</v>
      </c>
      <c r="F1321">
        <v>85881.153409999955</v>
      </c>
      <c r="G1321" s="39">
        <v>44166</v>
      </c>
    </row>
    <row r="1322" spans="1:7" x14ac:dyDescent="0.25">
      <c r="A1322" t="s">
        <v>39</v>
      </c>
      <c r="B1322">
        <v>2021</v>
      </c>
      <c r="C1322" t="s">
        <v>7</v>
      </c>
      <c r="D1322">
        <v>113793.84666700001</v>
      </c>
      <c r="E1322">
        <v>92245.814027</v>
      </c>
      <c r="F1322">
        <v>107429.18604999995</v>
      </c>
      <c r="G1322" s="39">
        <v>44197</v>
      </c>
    </row>
    <row r="1323" spans="1:7" x14ac:dyDescent="0.25">
      <c r="A1323" t="s">
        <v>39</v>
      </c>
      <c r="B1323">
        <v>2021</v>
      </c>
      <c r="C1323" t="s">
        <v>8</v>
      </c>
      <c r="D1323">
        <v>133960.13</v>
      </c>
      <c r="E1323">
        <v>117019.016257</v>
      </c>
      <c r="F1323">
        <v>124370.29979299997</v>
      </c>
      <c r="G1323" s="39">
        <v>44228</v>
      </c>
    </row>
    <row r="1324" spans="1:7" x14ac:dyDescent="0.25">
      <c r="A1324" t="s">
        <v>39</v>
      </c>
      <c r="B1324">
        <v>2021</v>
      </c>
      <c r="C1324" t="s">
        <v>9</v>
      </c>
      <c r="D1324">
        <v>140427.54</v>
      </c>
      <c r="E1324">
        <v>108072.813226</v>
      </c>
      <c r="F1324">
        <v>156725.02656699996</v>
      </c>
      <c r="G1324" s="39">
        <v>44256</v>
      </c>
    </row>
    <row r="1325" spans="1:7" x14ac:dyDescent="0.25">
      <c r="A1325" t="s">
        <v>39</v>
      </c>
      <c r="B1325">
        <v>2021</v>
      </c>
      <c r="C1325" t="s">
        <v>10</v>
      </c>
      <c r="D1325">
        <v>74714.36</v>
      </c>
      <c r="E1325">
        <v>104456.89279100001</v>
      </c>
      <c r="F1325">
        <v>126982.49377599994</v>
      </c>
      <c r="G1325" s="39">
        <v>44287</v>
      </c>
    </row>
    <row r="1326" spans="1:7" x14ac:dyDescent="0.25">
      <c r="A1326" t="s">
        <v>39</v>
      </c>
      <c r="B1326">
        <v>2021</v>
      </c>
      <c r="C1326" t="s">
        <v>11</v>
      </c>
      <c r="D1326">
        <v>116899.45</v>
      </c>
      <c r="E1326">
        <v>126613.444581</v>
      </c>
      <c r="F1326">
        <v>117268.49919499994</v>
      </c>
      <c r="G1326" s="39">
        <v>44317</v>
      </c>
    </row>
    <row r="1327" spans="1:7" x14ac:dyDescent="0.25">
      <c r="A1327" t="s">
        <v>39</v>
      </c>
      <c r="B1327">
        <v>2021</v>
      </c>
      <c r="C1327" t="s">
        <v>12</v>
      </c>
      <c r="D1327">
        <v>187313.97</v>
      </c>
      <c r="E1327">
        <v>150394.05359900001</v>
      </c>
      <c r="F1327">
        <v>154188.41559599995</v>
      </c>
      <c r="G1327" s="39">
        <v>44348</v>
      </c>
    </row>
    <row r="1328" spans="1:7" x14ac:dyDescent="0.25">
      <c r="A1328" t="s">
        <v>39</v>
      </c>
      <c r="B1328">
        <v>2021</v>
      </c>
      <c r="C1328" t="s">
        <v>13</v>
      </c>
      <c r="D1328">
        <v>159412.14000000001</v>
      </c>
      <c r="E1328">
        <v>150929.931931</v>
      </c>
      <c r="F1328">
        <v>162670.62366499993</v>
      </c>
      <c r="G1328" s="39">
        <v>44378</v>
      </c>
    </row>
    <row r="1329" spans="1:7" x14ac:dyDescent="0.25">
      <c r="A1329" t="s">
        <v>39</v>
      </c>
      <c r="B1329">
        <v>2021</v>
      </c>
      <c r="C1329" t="s">
        <v>14</v>
      </c>
      <c r="D1329">
        <v>175864.45</v>
      </c>
      <c r="E1329">
        <v>180452.879418</v>
      </c>
      <c r="F1329">
        <v>158082.19424699992</v>
      </c>
      <c r="G1329" s="39">
        <v>44409</v>
      </c>
    </row>
    <row r="1330" spans="1:7" x14ac:dyDescent="0.25">
      <c r="A1330" t="s">
        <v>39</v>
      </c>
      <c r="B1330">
        <v>2021</v>
      </c>
      <c r="C1330" t="s">
        <v>15</v>
      </c>
      <c r="D1330">
        <v>148667.46</v>
      </c>
      <c r="E1330">
        <v>130578.138317</v>
      </c>
      <c r="F1330">
        <v>176171.51592999988</v>
      </c>
      <c r="G1330" s="39">
        <v>44440</v>
      </c>
    </row>
    <row r="1331" spans="1:7" x14ac:dyDescent="0.25">
      <c r="A1331" t="s">
        <v>39</v>
      </c>
      <c r="B1331">
        <v>2021</v>
      </c>
      <c r="C1331" t="s">
        <v>16</v>
      </c>
      <c r="D1331">
        <v>170400.0338</v>
      </c>
      <c r="E1331">
        <v>170765.05751000001</v>
      </c>
      <c r="F1331">
        <v>175806.49221999984</v>
      </c>
      <c r="G1331" s="39">
        <v>44470</v>
      </c>
    </row>
    <row r="1332" spans="1:7" x14ac:dyDescent="0.25">
      <c r="A1332" t="s">
        <v>39</v>
      </c>
      <c r="B1332">
        <v>2021</v>
      </c>
      <c r="C1332" t="s">
        <v>17</v>
      </c>
      <c r="D1332">
        <v>127647.966522</v>
      </c>
      <c r="E1332">
        <v>144190.231883</v>
      </c>
      <c r="F1332">
        <v>159264.22685899981</v>
      </c>
      <c r="G1332" s="39">
        <v>44501</v>
      </c>
    </row>
    <row r="1333" spans="1:7" x14ac:dyDescent="0.25">
      <c r="A1333" t="s">
        <v>39</v>
      </c>
      <c r="B1333">
        <v>2021</v>
      </c>
      <c r="C1333" t="s">
        <v>18</v>
      </c>
      <c r="D1333">
        <v>61857.559998999997</v>
      </c>
      <c r="E1333">
        <v>96463.665580000001</v>
      </c>
      <c r="F1333">
        <v>124658.1212779998</v>
      </c>
      <c r="G1333" s="39">
        <v>44531</v>
      </c>
    </row>
    <row r="1334" spans="1:7" x14ac:dyDescent="0.25">
      <c r="A1334" t="s">
        <v>39</v>
      </c>
      <c r="B1334">
        <v>2022</v>
      </c>
      <c r="C1334" t="s">
        <v>7</v>
      </c>
      <c r="D1334">
        <v>125576.33</v>
      </c>
      <c r="E1334">
        <v>105106.68531299999</v>
      </c>
      <c r="F1334">
        <v>145127.76596499979</v>
      </c>
      <c r="G1334" s="39">
        <v>44562</v>
      </c>
    </row>
    <row r="1335" spans="1:7" x14ac:dyDescent="0.25">
      <c r="A1335" t="s">
        <v>39</v>
      </c>
      <c r="B1335">
        <v>2022</v>
      </c>
      <c r="C1335" t="s">
        <v>8</v>
      </c>
      <c r="D1335">
        <v>184943.11999899999</v>
      </c>
      <c r="E1335">
        <v>169328.04515399999</v>
      </c>
      <c r="F1335">
        <v>160742.84080999979</v>
      </c>
      <c r="G1335" s="39">
        <v>44593</v>
      </c>
    </row>
    <row r="1336" spans="1:7" x14ac:dyDescent="0.25">
      <c r="A1336" t="s">
        <v>39</v>
      </c>
      <c r="B1336">
        <v>2022</v>
      </c>
      <c r="C1336" t="s">
        <v>9</v>
      </c>
      <c r="D1336">
        <v>203037.74999899999</v>
      </c>
      <c r="E1336">
        <v>186841.242983</v>
      </c>
      <c r="F1336">
        <v>176939.34782599978</v>
      </c>
      <c r="G1336" s="39">
        <v>44621</v>
      </c>
    </row>
    <row r="1337" spans="1:7" x14ac:dyDescent="0.25">
      <c r="A1337" t="s">
        <v>39</v>
      </c>
      <c r="B1337">
        <v>2022</v>
      </c>
      <c r="C1337" t="s">
        <v>10</v>
      </c>
      <c r="D1337">
        <v>124746.17</v>
      </c>
      <c r="E1337">
        <v>161866.80156299999</v>
      </c>
      <c r="F1337">
        <v>139818.71626299978</v>
      </c>
      <c r="G1337" s="39">
        <v>44652</v>
      </c>
    </row>
    <row r="1338" spans="1:7" x14ac:dyDescent="0.25">
      <c r="A1338" t="s">
        <v>39</v>
      </c>
      <c r="B1338">
        <v>2022</v>
      </c>
      <c r="C1338" t="s">
        <v>11</v>
      </c>
      <c r="D1338">
        <v>184198.753</v>
      </c>
      <c r="E1338">
        <v>154461.85566299999</v>
      </c>
      <c r="F1338">
        <v>169555.61359999978</v>
      </c>
      <c r="G1338" s="39">
        <v>44682</v>
      </c>
    </row>
    <row r="1339" spans="1:7" x14ac:dyDescent="0.25">
      <c r="A1339" t="s">
        <v>39</v>
      </c>
      <c r="B1339">
        <v>2022</v>
      </c>
      <c r="C1339" t="s">
        <v>12</v>
      </c>
      <c r="D1339">
        <v>163348.29359399999</v>
      </c>
      <c r="E1339">
        <v>157397.15953100001</v>
      </c>
      <c r="F1339">
        <v>175506.74766299973</v>
      </c>
      <c r="G1339" s="39">
        <v>44713</v>
      </c>
    </row>
    <row r="1340" spans="1:7" x14ac:dyDescent="0.25">
      <c r="A1340" t="s">
        <v>39</v>
      </c>
      <c r="B1340">
        <v>2022</v>
      </c>
      <c r="C1340" t="s">
        <v>13</v>
      </c>
      <c r="D1340">
        <v>169260.35999900001</v>
      </c>
      <c r="E1340">
        <v>182364.466331</v>
      </c>
      <c r="F1340">
        <v>162402.64133099976</v>
      </c>
      <c r="G1340" s="39">
        <v>44743</v>
      </c>
    </row>
    <row r="1341" spans="1:7" x14ac:dyDescent="0.25">
      <c r="A1341" t="s">
        <v>39</v>
      </c>
      <c r="B1341">
        <v>2022</v>
      </c>
      <c r="C1341" t="s">
        <v>14</v>
      </c>
      <c r="D1341">
        <v>131219.47</v>
      </c>
      <c r="E1341">
        <v>116149.11051499999</v>
      </c>
      <c r="F1341">
        <v>177473.00081599975</v>
      </c>
      <c r="G1341" s="39">
        <v>44774</v>
      </c>
    </row>
    <row r="1342" spans="1:7" x14ac:dyDescent="0.25">
      <c r="A1342" t="s">
        <v>39</v>
      </c>
      <c r="B1342">
        <v>2022</v>
      </c>
      <c r="C1342" t="s">
        <v>15</v>
      </c>
      <c r="D1342">
        <v>111165.96</v>
      </c>
      <c r="E1342">
        <v>104173.182699</v>
      </c>
      <c r="F1342">
        <v>184465.77811699978</v>
      </c>
      <c r="G1342" s="39">
        <v>44805</v>
      </c>
    </row>
    <row r="1343" spans="1:7" x14ac:dyDescent="0.25">
      <c r="A1343" t="s">
        <v>39</v>
      </c>
      <c r="B1343">
        <v>2022</v>
      </c>
      <c r="C1343" t="s">
        <v>16</v>
      </c>
      <c r="D1343">
        <v>133299.74</v>
      </c>
      <c r="E1343">
        <v>157264.390915</v>
      </c>
      <c r="F1343">
        <v>160501.12720199977</v>
      </c>
      <c r="G1343" s="39">
        <v>44835</v>
      </c>
    </row>
    <row r="1344" spans="1:7" x14ac:dyDescent="0.25">
      <c r="A1344" t="s">
        <v>39</v>
      </c>
      <c r="B1344">
        <v>2022</v>
      </c>
      <c r="C1344" t="s">
        <v>17</v>
      </c>
      <c r="D1344">
        <v>209425.47000500001</v>
      </c>
      <c r="E1344">
        <v>225548.071933</v>
      </c>
      <c r="F1344">
        <v>144378.52527399978</v>
      </c>
      <c r="G1344" s="39">
        <v>44866</v>
      </c>
    </row>
    <row r="1345" spans="1:7" x14ac:dyDescent="0.25">
      <c r="A1345" t="s">
        <v>39</v>
      </c>
      <c r="B1345">
        <v>2022</v>
      </c>
      <c r="C1345" t="s">
        <v>18</v>
      </c>
      <c r="D1345">
        <v>148260.62999799999</v>
      </c>
      <c r="E1345">
        <v>169340.56827300001</v>
      </c>
      <c r="F1345">
        <v>123298.58699899976</v>
      </c>
      <c r="G1345" s="39">
        <v>44896</v>
      </c>
    </row>
    <row r="1346" spans="1:7" x14ac:dyDescent="0.25">
      <c r="A1346" t="s">
        <v>39</v>
      </c>
      <c r="B1346">
        <v>2023</v>
      </c>
      <c r="C1346" t="s">
        <v>7</v>
      </c>
      <c r="D1346">
        <v>120658.71</v>
      </c>
      <c r="E1346">
        <v>75363.641698000007</v>
      </c>
      <c r="F1346">
        <v>168593.65530099976</v>
      </c>
      <c r="G1346" s="39">
        <v>44927</v>
      </c>
    </row>
    <row r="1347" spans="1:7" x14ac:dyDescent="0.25">
      <c r="A1347" t="s">
        <v>39</v>
      </c>
      <c r="B1347">
        <v>2023</v>
      </c>
      <c r="C1347" t="s">
        <v>8</v>
      </c>
      <c r="D1347">
        <v>160190.35999999999</v>
      </c>
      <c r="E1347">
        <v>130499.6008</v>
      </c>
      <c r="F1347">
        <v>198284.41450099973</v>
      </c>
      <c r="G1347" s="39">
        <v>44958</v>
      </c>
    </row>
    <row r="1348" spans="1:7" x14ac:dyDescent="0.25">
      <c r="A1348" t="s">
        <v>39</v>
      </c>
      <c r="B1348">
        <v>2023</v>
      </c>
      <c r="C1348" t="s">
        <v>9</v>
      </c>
      <c r="D1348">
        <v>160915.45000000001</v>
      </c>
      <c r="E1348">
        <v>178710.21129199999</v>
      </c>
      <c r="F1348">
        <v>180489.65320899975</v>
      </c>
      <c r="G1348" s="39">
        <v>44986</v>
      </c>
    </row>
    <row r="1349" spans="1:7" x14ac:dyDescent="0.25">
      <c r="A1349" t="s">
        <v>39</v>
      </c>
      <c r="B1349">
        <v>2023</v>
      </c>
      <c r="C1349" t="s">
        <v>10</v>
      </c>
      <c r="D1349">
        <v>95262.720000000001</v>
      </c>
      <c r="E1349">
        <v>105994.27796599999</v>
      </c>
      <c r="F1349">
        <v>169758.09524299976</v>
      </c>
      <c r="G1349" s="39">
        <v>45017</v>
      </c>
    </row>
    <row r="1350" spans="1:7" x14ac:dyDescent="0.25">
      <c r="A1350" t="s">
        <v>39</v>
      </c>
      <c r="B1350">
        <v>2023</v>
      </c>
      <c r="C1350" t="s">
        <v>11</v>
      </c>
      <c r="D1350">
        <v>191384.38</v>
      </c>
      <c r="E1350">
        <v>180305.244339</v>
      </c>
      <c r="F1350">
        <v>180837.23090399973</v>
      </c>
      <c r="G1350" s="39">
        <v>45047</v>
      </c>
    </row>
    <row r="1351" spans="1:7" x14ac:dyDescent="0.25">
      <c r="A1351" t="s">
        <v>39</v>
      </c>
      <c r="B1351">
        <v>2023</v>
      </c>
      <c r="C1351" t="s">
        <v>12</v>
      </c>
      <c r="D1351">
        <v>169830.91</v>
      </c>
      <c r="E1351">
        <v>122049.97483200001</v>
      </c>
      <c r="F1351">
        <v>228618.16607199973</v>
      </c>
      <c r="G1351" s="39">
        <v>45078</v>
      </c>
    </row>
    <row r="1352" spans="1:7" x14ac:dyDescent="0.25">
      <c r="A1352" t="s">
        <v>39</v>
      </c>
      <c r="B1352">
        <v>2023</v>
      </c>
      <c r="C1352" t="s">
        <v>13</v>
      </c>
      <c r="D1352">
        <v>76288.27</v>
      </c>
      <c r="E1352">
        <v>110870.891712</v>
      </c>
      <c r="F1352">
        <v>194035.54435999971</v>
      </c>
      <c r="G1352" s="39">
        <v>45108</v>
      </c>
    </row>
    <row r="1353" spans="1:7" x14ac:dyDescent="0.25">
      <c r="A1353" t="s">
        <v>39</v>
      </c>
      <c r="B1353">
        <v>2023</v>
      </c>
      <c r="C1353" t="s">
        <v>14</v>
      </c>
      <c r="D1353">
        <v>179273.599999</v>
      </c>
      <c r="E1353">
        <v>164668.27729900001</v>
      </c>
      <c r="F1353">
        <v>208640.86705999967</v>
      </c>
      <c r="G1353" s="39">
        <v>45139</v>
      </c>
    </row>
    <row r="1354" spans="1:7" x14ac:dyDescent="0.25">
      <c r="A1354" t="s">
        <v>39</v>
      </c>
      <c r="B1354">
        <v>2023</v>
      </c>
      <c r="C1354" t="s">
        <v>15</v>
      </c>
      <c r="D1354">
        <v>196506.5</v>
      </c>
      <c r="E1354">
        <v>183120.95744100001</v>
      </c>
      <c r="F1354">
        <v>222026.40961899966</v>
      </c>
      <c r="G1354" s="39">
        <v>45170</v>
      </c>
    </row>
    <row r="1355" spans="1:7" x14ac:dyDescent="0.25">
      <c r="A1355" t="s">
        <v>39</v>
      </c>
      <c r="B1355">
        <v>2023</v>
      </c>
      <c r="C1355" t="s">
        <v>16</v>
      </c>
      <c r="D1355">
        <v>199086.99</v>
      </c>
      <c r="E1355">
        <v>200924.12177100001</v>
      </c>
      <c r="F1355">
        <v>220189.27784799968</v>
      </c>
      <c r="G1355" s="39">
        <v>45200</v>
      </c>
    </row>
    <row r="1356" spans="1:7" x14ac:dyDescent="0.25">
      <c r="A1356" t="s">
        <v>39</v>
      </c>
      <c r="B1356">
        <v>2023</v>
      </c>
      <c r="C1356" t="s">
        <v>17</v>
      </c>
      <c r="D1356">
        <v>119746.94</v>
      </c>
      <c r="E1356">
        <v>123691.299053</v>
      </c>
      <c r="F1356">
        <v>216244.91879499966</v>
      </c>
      <c r="G1356" s="39">
        <v>45231</v>
      </c>
    </row>
    <row r="1357" spans="1:7" x14ac:dyDescent="0.25">
      <c r="A1357" t="s">
        <v>39</v>
      </c>
      <c r="B1357">
        <v>2023</v>
      </c>
      <c r="C1357" t="s">
        <v>18</v>
      </c>
      <c r="D1357">
        <v>94889.45</v>
      </c>
      <c r="E1357">
        <v>87980.695024999994</v>
      </c>
      <c r="F1357">
        <v>223153.67376999967</v>
      </c>
      <c r="G1357" s="39">
        <v>45261</v>
      </c>
    </row>
    <row r="1358" spans="1:7" x14ac:dyDescent="0.25">
      <c r="A1358" t="s">
        <v>39</v>
      </c>
      <c r="B1358">
        <v>2024</v>
      </c>
      <c r="C1358" t="s">
        <v>7</v>
      </c>
      <c r="F1358">
        <v>223153.67376999967</v>
      </c>
      <c r="G1358" s="39">
        <v>45292</v>
      </c>
    </row>
    <row r="1359" spans="1:7" x14ac:dyDescent="0.25">
      <c r="A1359" t="s">
        <v>39</v>
      </c>
      <c r="B1359">
        <v>2024</v>
      </c>
      <c r="C1359" t="s">
        <v>8</v>
      </c>
      <c r="F1359">
        <v>223153.67376999967</v>
      </c>
      <c r="G1359" s="39">
        <v>45323</v>
      </c>
    </row>
    <row r="1360" spans="1:7" x14ac:dyDescent="0.25">
      <c r="A1360" t="s">
        <v>39</v>
      </c>
      <c r="B1360">
        <v>2024</v>
      </c>
      <c r="C1360" t="s">
        <v>9</v>
      </c>
      <c r="F1360">
        <v>223153.67376999967</v>
      </c>
      <c r="G1360" s="39">
        <v>45352</v>
      </c>
    </row>
    <row r="1361" spans="1:7" x14ac:dyDescent="0.25">
      <c r="A1361" t="s">
        <v>39</v>
      </c>
      <c r="B1361">
        <v>2024</v>
      </c>
      <c r="C1361" t="s">
        <v>10</v>
      </c>
      <c r="F1361">
        <v>223153.67376999967</v>
      </c>
      <c r="G1361" s="39">
        <v>45383</v>
      </c>
    </row>
    <row r="1362" spans="1:7" x14ac:dyDescent="0.25">
      <c r="A1362" t="s">
        <v>39</v>
      </c>
      <c r="B1362">
        <v>2024</v>
      </c>
      <c r="C1362" t="s">
        <v>11</v>
      </c>
      <c r="F1362">
        <v>223153.67376999967</v>
      </c>
      <c r="G1362" s="39">
        <v>45413</v>
      </c>
    </row>
    <row r="1363" spans="1:7" x14ac:dyDescent="0.25">
      <c r="A1363" t="s">
        <v>39</v>
      </c>
      <c r="B1363">
        <v>2024</v>
      </c>
      <c r="C1363" t="s">
        <v>12</v>
      </c>
      <c r="F1363">
        <v>223153.67376999967</v>
      </c>
      <c r="G1363" s="39">
        <v>45444</v>
      </c>
    </row>
    <row r="1364" spans="1:7" x14ac:dyDescent="0.25">
      <c r="A1364" t="s">
        <v>39</v>
      </c>
      <c r="B1364">
        <v>2024</v>
      </c>
      <c r="C1364" t="s">
        <v>13</v>
      </c>
      <c r="F1364">
        <v>223153.67376999967</v>
      </c>
      <c r="G1364" s="39">
        <v>45474</v>
      </c>
    </row>
    <row r="1365" spans="1:7" x14ac:dyDescent="0.25">
      <c r="A1365" t="s">
        <v>39</v>
      </c>
      <c r="B1365">
        <v>2024</v>
      </c>
      <c r="C1365" t="s">
        <v>14</v>
      </c>
      <c r="F1365">
        <v>223153.67376999967</v>
      </c>
      <c r="G1365" s="39">
        <v>45505</v>
      </c>
    </row>
    <row r="1366" spans="1:7" x14ac:dyDescent="0.25">
      <c r="A1366" t="s">
        <v>39</v>
      </c>
      <c r="B1366">
        <v>2024</v>
      </c>
      <c r="C1366" t="s">
        <v>15</v>
      </c>
      <c r="F1366">
        <v>223153.67376999967</v>
      </c>
      <c r="G1366" s="39">
        <v>45536</v>
      </c>
    </row>
    <row r="1367" spans="1:7" x14ac:dyDescent="0.25">
      <c r="A1367" t="s">
        <v>39</v>
      </c>
      <c r="B1367">
        <v>2024</v>
      </c>
      <c r="C1367" t="s">
        <v>16</v>
      </c>
      <c r="F1367">
        <v>223153.67376999967</v>
      </c>
      <c r="G1367" s="39">
        <v>45566</v>
      </c>
    </row>
    <row r="1368" spans="1:7" x14ac:dyDescent="0.25">
      <c r="A1368" t="s">
        <v>39</v>
      </c>
      <c r="B1368">
        <v>2024</v>
      </c>
      <c r="C1368" t="s">
        <v>17</v>
      </c>
      <c r="F1368">
        <v>223153.67376999967</v>
      </c>
      <c r="G1368" s="39">
        <v>45597</v>
      </c>
    </row>
    <row r="1369" spans="1:7" x14ac:dyDescent="0.25">
      <c r="A1369" t="s">
        <v>39</v>
      </c>
      <c r="B1369">
        <v>2024</v>
      </c>
      <c r="C1369" t="s">
        <v>18</v>
      </c>
      <c r="F1369">
        <v>223153.67376999967</v>
      </c>
      <c r="G1369" s="39">
        <v>45627</v>
      </c>
    </row>
    <row r="1370" spans="1:7" x14ac:dyDescent="0.25">
      <c r="A1370" t="s">
        <v>40</v>
      </c>
      <c r="B1370">
        <v>2019</v>
      </c>
      <c r="C1370" t="s">
        <v>7</v>
      </c>
      <c r="D1370">
        <v>61606.476007999998</v>
      </c>
      <c r="E1370">
        <v>56432.518329999999</v>
      </c>
      <c r="F1370">
        <v>40554.710627999993</v>
      </c>
      <c r="G1370" s="39">
        <v>43466</v>
      </c>
    </row>
    <row r="1371" spans="1:7" x14ac:dyDescent="0.25">
      <c r="A1371" t="s">
        <v>40</v>
      </c>
      <c r="B1371">
        <v>2019</v>
      </c>
      <c r="C1371" t="s">
        <v>8</v>
      </c>
      <c r="D1371">
        <v>118049.965</v>
      </c>
      <c r="E1371">
        <v>52427.369191999998</v>
      </c>
      <c r="F1371">
        <v>106177.306436</v>
      </c>
      <c r="G1371" s="39">
        <v>43497</v>
      </c>
    </row>
    <row r="1372" spans="1:7" x14ac:dyDescent="0.25">
      <c r="A1372" t="s">
        <v>40</v>
      </c>
      <c r="B1372">
        <v>2019</v>
      </c>
      <c r="C1372" t="s">
        <v>9</v>
      </c>
      <c r="D1372">
        <v>86959.710017000005</v>
      </c>
      <c r="E1372">
        <v>105466.45843499999</v>
      </c>
      <c r="F1372">
        <v>87670.558018000025</v>
      </c>
      <c r="G1372" s="39">
        <v>43525</v>
      </c>
    </row>
    <row r="1373" spans="1:7" x14ac:dyDescent="0.25">
      <c r="A1373" t="s">
        <v>40</v>
      </c>
      <c r="B1373">
        <v>2019</v>
      </c>
      <c r="C1373" t="s">
        <v>10</v>
      </c>
      <c r="D1373">
        <v>109114.9075</v>
      </c>
      <c r="E1373">
        <v>137055.77268600001</v>
      </c>
      <c r="F1373">
        <v>59729.692832000001</v>
      </c>
      <c r="G1373" s="39">
        <v>43556</v>
      </c>
    </row>
    <row r="1374" spans="1:7" x14ac:dyDescent="0.25">
      <c r="A1374" t="s">
        <v>40</v>
      </c>
      <c r="B1374">
        <v>2019</v>
      </c>
      <c r="C1374" t="s">
        <v>11</v>
      </c>
      <c r="D1374">
        <v>72056.350000000006</v>
      </c>
      <c r="E1374">
        <v>64676.878936000001</v>
      </c>
      <c r="F1374">
        <v>67109.163896000013</v>
      </c>
      <c r="G1374" s="39">
        <v>43586</v>
      </c>
    </row>
    <row r="1375" spans="1:7" x14ac:dyDescent="0.25">
      <c r="A1375" t="s">
        <v>40</v>
      </c>
      <c r="B1375">
        <v>2019</v>
      </c>
      <c r="C1375" t="s">
        <v>12</v>
      </c>
      <c r="D1375">
        <v>48956.88</v>
      </c>
      <c r="E1375">
        <v>48424.059647000002</v>
      </c>
      <c r="F1375">
        <v>67641.984249000016</v>
      </c>
      <c r="G1375" s="39">
        <v>43617</v>
      </c>
    </row>
    <row r="1376" spans="1:7" x14ac:dyDescent="0.25">
      <c r="A1376" t="s">
        <v>40</v>
      </c>
      <c r="B1376">
        <v>2019</v>
      </c>
      <c r="C1376" t="s">
        <v>13</v>
      </c>
      <c r="D1376">
        <v>54031.95</v>
      </c>
      <c r="E1376">
        <v>53303.621914000003</v>
      </c>
      <c r="F1376">
        <v>68370.31233500001</v>
      </c>
      <c r="G1376" s="39">
        <v>43647</v>
      </c>
    </row>
    <row r="1377" spans="1:7" x14ac:dyDescent="0.25">
      <c r="A1377" t="s">
        <v>40</v>
      </c>
      <c r="B1377">
        <v>2019</v>
      </c>
      <c r="C1377" t="s">
        <v>14</v>
      </c>
      <c r="D1377">
        <v>90089.85</v>
      </c>
      <c r="E1377">
        <v>91075.958874000004</v>
      </c>
      <c r="F1377">
        <v>67384.203460999997</v>
      </c>
      <c r="G1377" s="39">
        <v>43678</v>
      </c>
    </row>
    <row r="1378" spans="1:7" x14ac:dyDescent="0.25">
      <c r="A1378" t="s">
        <v>40</v>
      </c>
      <c r="B1378">
        <v>2019</v>
      </c>
      <c r="C1378" t="s">
        <v>15</v>
      </c>
      <c r="D1378">
        <v>58269.07</v>
      </c>
      <c r="E1378">
        <v>74670.383822000003</v>
      </c>
      <c r="F1378">
        <v>50982.889639000001</v>
      </c>
      <c r="G1378" s="39">
        <v>43709</v>
      </c>
    </row>
    <row r="1379" spans="1:7" x14ac:dyDescent="0.25">
      <c r="A1379" t="s">
        <v>40</v>
      </c>
      <c r="B1379">
        <v>2019</v>
      </c>
      <c r="C1379" t="s">
        <v>16</v>
      </c>
      <c r="D1379">
        <v>217725.25</v>
      </c>
      <c r="E1379">
        <v>170132.71316000001</v>
      </c>
      <c r="F1379">
        <v>98575.426478999987</v>
      </c>
      <c r="G1379" s="39">
        <v>43739</v>
      </c>
    </row>
    <row r="1380" spans="1:7" x14ac:dyDescent="0.25">
      <c r="A1380" t="s">
        <v>40</v>
      </c>
      <c r="B1380">
        <v>2019</v>
      </c>
      <c r="C1380" t="s">
        <v>17</v>
      </c>
      <c r="D1380">
        <v>59061.1</v>
      </c>
      <c r="E1380">
        <v>78505.338533999995</v>
      </c>
      <c r="F1380">
        <v>79131.187944999998</v>
      </c>
      <c r="G1380" s="39">
        <v>43770</v>
      </c>
    </row>
    <row r="1381" spans="1:7" x14ac:dyDescent="0.25">
      <c r="A1381" t="s">
        <v>40</v>
      </c>
      <c r="B1381">
        <v>2019</v>
      </c>
      <c r="C1381" t="s">
        <v>18</v>
      </c>
      <c r="D1381">
        <v>46424.52</v>
      </c>
      <c r="E1381">
        <v>77322.404622000002</v>
      </c>
      <c r="F1381">
        <v>48233.303323</v>
      </c>
      <c r="G1381" s="39">
        <v>43800</v>
      </c>
    </row>
    <row r="1382" spans="1:7" x14ac:dyDescent="0.25">
      <c r="A1382" t="s">
        <v>40</v>
      </c>
      <c r="B1382">
        <v>2020</v>
      </c>
      <c r="C1382" t="s">
        <v>7</v>
      </c>
      <c r="D1382">
        <v>31140.73</v>
      </c>
      <c r="E1382">
        <v>28565.778140999999</v>
      </c>
      <c r="F1382">
        <v>50808.255181999994</v>
      </c>
      <c r="G1382" s="39">
        <v>43831</v>
      </c>
    </row>
    <row r="1383" spans="1:7" x14ac:dyDescent="0.25">
      <c r="A1383" t="s">
        <v>40</v>
      </c>
      <c r="B1383">
        <v>2020</v>
      </c>
      <c r="C1383" t="s">
        <v>8</v>
      </c>
      <c r="D1383">
        <v>131027.82</v>
      </c>
      <c r="E1383">
        <v>96833.769400999998</v>
      </c>
      <c r="F1383">
        <v>85002.305781000003</v>
      </c>
      <c r="G1383" s="39">
        <v>43862</v>
      </c>
    </row>
    <row r="1384" spans="1:7" x14ac:dyDescent="0.25">
      <c r="A1384" t="s">
        <v>40</v>
      </c>
      <c r="B1384">
        <v>2020</v>
      </c>
      <c r="C1384" t="s">
        <v>9</v>
      </c>
      <c r="D1384">
        <v>118648.1</v>
      </c>
      <c r="E1384">
        <v>81447.586116999999</v>
      </c>
      <c r="F1384">
        <v>122202.81966400001</v>
      </c>
      <c r="G1384" s="39">
        <v>43891</v>
      </c>
    </row>
    <row r="1385" spans="1:7" x14ac:dyDescent="0.25">
      <c r="A1385" t="s">
        <v>40</v>
      </c>
      <c r="B1385">
        <v>2020</v>
      </c>
      <c r="C1385" t="s">
        <v>10</v>
      </c>
      <c r="D1385">
        <v>154325.17000000001</v>
      </c>
      <c r="E1385">
        <v>199370.99887400001</v>
      </c>
      <c r="F1385">
        <v>77156.990789999982</v>
      </c>
      <c r="G1385" s="39">
        <v>43922</v>
      </c>
    </row>
    <row r="1386" spans="1:7" x14ac:dyDescent="0.25">
      <c r="A1386" t="s">
        <v>40</v>
      </c>
      <c r="B1386">
        <v>2020</v>
      </c>
      <c r="C1386" t="s">
        <v>11</v>
      </c>
      <c r="D1386">
        <v>71278.880000000005</v>
      </c>
      <c r="E1386">
        <v>93674.999865999998</v>
      </c>
      <c r="F1386">
        <v>54760.870923999988</v>
      </c>
      <c r="G1386" s="39">
        <v>43952</v>
      </c>
    </row>
    <row r="1387" spans="1:7" x14ac:dyDescent="0.25">
      <c r="A1387" t="s">
        <v>40</v>
      </c>
      <c r="B1387">
        <v>2020</v>
      </c>
      <c r="C1387" t="s">
        <v>12</v>
      </c>
      <c r="D1387">
        <v>103402.55</v>
      </c>
      <c r="E1387">
        <v>91693.012478999997</v>
      </c>
      <c r="F1387">
        <v>66470.408444999979</v>
      </c>
      <c r="G1387" s="39">
        <v>43983</v>
      </c>
    </row>
    <row r="1388" spans="1:7" x14ac:dyDescent="0.25">
      <c r="A1388" t="s">
        <v>40</v>
      </c>
      <c r="B1388">
        <v>2020</v>
      </c>
      <c r="C1388" t="s">
        <v>13</v>
      </c>
      <c r="D1388">
        <v>120100.1</v>
      </c>
      <c r="E1388">
        <v>98789.344383000003</v>
      </c>
      <c r="F1388">
        <v>87781.164061999982</v>
      </c>
      <c r="G1388" s="39">
        <v>44013</v>
      </c>
    </row>
    <row r="1389" spans="1:7" x14ac:dyDescent="0.25">
      <c r="A1389" t="s">
        <v>40</v>
      </c>
      <c r="B1389">
        <v>2020</v>
      </c>
      <c r="C1389" t="s">
        <v>14</v>
      </c>
      <c r="D1389">
        <v>179724.34</v>
      </c>
      <c r="E1389">
        <v>200933.615639</v>
      </c>
      <c r="F1389">
        <v>66571.888422999968</v>
      </c>
      <c r="G1389" s="39">
        <v>44044</v>
      </c>
    </row>
    <row r="1390" spans="1:7" x14ac:dyDescent="0.25">
      <c r="A1390" t="s">
        <v>40</v>
      </c>
      <c r="B1390">
        <v>2020</v>
      </c>
      <c r="C1390" t="s">
        <v>15</v>
      </c>
      <c r="D1390">
        <v>211945.68</v>
      </c>
      <c r="E1390">
        <v>202561.76866500001</v>
      </c>
      <c r="F1390">
        <v>75955.799757999921</v>
      </c>
      <c r="G1390" s="39">
        <v>44075</v>
      </c>
    </row>
    <row r="1391" spans="1:7" x14ac:dyDescent="0.25">
      <c r="A1391" t="s">
        <v>40</v>
      </c>
      <c r="B1391">
        <v>2020</v>
      </c>
      <c r="C1391" t="s">
        <v>16</v>
      </c>
      <c r="D1391">
        <v>92155.27</v>
      </c>
      <c r="E1391">
        <v>90528.679514999996</v>
      </c>
      <c r="F1391">
        <v>77582.390242999914</v>
      </c>
      <c r="G1391" s="39">
        <v>44105</v>
      </c>
    </row>
    <row r="1392" spans="1:7" x14ac:dyDescent="0.25">
      <c r="A1392" t="s">
        <v>40</v>
      </c>
      <c r="B1392">
        <v>2020</v>
      </c>
      <c r="C1392" t="s">
        <v>17</v>
      </c>
      <c r="D1392">
        <v>148016.44</v>
      </c>
      <c r="E1392">
        <v>153557.33360799999</v>
      </c>
      <c r="F1392">
        <v>72041.49663499993</v>
      </c>
      <c r="G1392" s="39">
        <v>44136</v>
      </c>
    </row>
    <row r="1393" spans="1:7" x14ac:dyDescent="0.25">
      <c r="A1393" t="s">
        <v>40</v>
      </c>
      <c r="B1393">
        <v>2020</v>
      </c>
      <c r="C1393" t="s">
        <v>18</v>
      </c>
      <c r="D1393">
        <v>98838.59</v>
      </c>
      <c r="E1393">
        <v>114212.08994599999</v>
      </c>
      <c r="F1393">
        <v>56667.996688999934</v>
      </c>
      <c r="G1393" s="39">
        <v>44166</v>
      </c>
    </row>
    <row r="1394" spans="1:7" x14ac:dyDescent="0.25">
      <c r="A1394" t="s">
        <v>40</v>
      </c>
      <c r="B1394">
        <v>2021</v>
      </c>
      <c r="C1394" t="s">
        <v>7</v>
      </c>
      <c r="D1394">
        <v>59647.66</v>
      </c>
      <c r="E1394">
        <v>39831.1368</v>
      </c>
      <c r="F1394">
        <v>76484.51988899993</v>
      </c>
      <c r="G1394" s="39">
        <v>44197</v>
      </c>
    </row>
    <row r="1395" spans="1:7" x14ac:dyDescent="0.25">
      <c r="A1395" t="s">
        <v>40</v>
      </c>
      <c r="B1395">
        <v>2021</v>
      </c>
      <c r="C1395" t="s">
        <v>8</v>
      </c>
      <c r="D1395">
        <v>88435.17</v>
      </c>
      <c r="E1395">
        <v>89738.909299999999</v>
      </c>
      <c r="F1395">
        <v>75180.780588999914</v>
      </c>
      <c r="G1395" s="39">
        <v>44228</v>
      </c>
    </row>
    <row r="1396" spans="1:7" x14ac:dyDescent="0.25">
      <c r="A1396" t="s">
        <v>40</v>
      </c>
      <c r="B1396">
        <v>2021</v>
      </c>
      <c r="C1396" t="s">
        <v>9</v>
      </c>
      <c r="D1396">
        <v>166424.57</v>
      </c>
      <c r="E1396">
        <v>138139.69080000001</v>
      </c>
      <c r="F1396">
        <v>103465.65978899991</v>
      </c>
      <c r="G1396" s="39">
        <v>44256</v>
      </c>
    </row>
    <row r="1397" spans="1:7" x14ac:dyDescent="0.25">
      <c r="A1397" t="s">
        <v>40</v>
      </c>
      <c r="B1397">
        <v>2021</v>
      </c>
      <c r="C1397" t="s">
        <v>10</v>
      </c>
      <c r="D1397">
        <v>91627.46</v>
      </c>
      <c r="E1397">
        <v>97840.774000000005</v>
      </c>
      <c r="F1397">
        <v>97252.345788999897</v>
      </c>
      <c r="G1397" s="39">
        <v>44287</v>
      </c>
    </row>
    <row r="1398" spans="1:7" x14ac:dyDescent="0.25">
      <c r="A1398" t="s">
        <v>40</v>
      </c>
      <c r="B1398">
        <v>2021</v>
      </c>
      <c r="C1398" t="s">
        <v>11</v>
      </c>
      <c r="D1398">
        <v>69516.44</v>
      </c>
      <c r="E1398">
        <v>71092.498000000007</v>
      </c>
      <c r="F1398">
        <v>95676.287788999893</v>
      </c>
      <c r="G1398" s="39">
        <v>44317</v>
      </c>
    </row>
    <row r="1399" spans="1:7" x14ac:dyDescent="0.25">
      <c r="A1399" t="s">
        <v>40</v>
      </c>
      <c r="B1399">
        <v>2021</v>
      </c>
      <c r="C1399" t="s">
        <v>12</v>
      </c>
      <c r="D1399">
        <v>145600.60999999999</v>
      </c>
      <c r="E1399">
        <v>159689.49100000001</v>
      </c>
      <c r="F1399">
        <v>81587.406788999884</v>
      </c>
      <c r="G1399" s="39">
        <v>44348</v>
      </c>
    </row>
    <row r="1400" spans="1:7" x14ac:dyDescent="0.25">
      <c r="A1400" t="s">
        <v>40</v>
      </c>
      <c r="B1400">
        <v>2021</v>
      </c>
      <c r="C1400" t="s">
        <v>13</v>
      </c>
      <c r="D1400">
        <v>100224.44</v>
      </c>
      <c r="E1400">
        <v>103326.031</v>
      </c>
      <c r="F1400">
        <v>78485.815788999884</v>
      </c>
      <c r="G1400" s="39">
        <v>44378</v>
      </c>
    </row>
    <row r="1401" spans="1:7" x14ac:dyDescent="0.25">
      <c r="A1401" t="s">
        <v>40</v>
      </c>
      <c r="B1401">
        <v>2021</v>
      </c>
      <c r="C1401" t="s">
        <v>14</v>
      </c>
      <c r="D1401">
        <v>248908.7</v>
      </c>
      <c r="E1401">
        <v>192872.21133300001</v>
      </c>
      <c r="F1401">
        <v>134522.3044559999</v>
      </c>
      <c r="G1401" s="39">
        <v>44409</v>
      </c>
    </row>
    <row r="1402" spans="1:7" x14ac:dyDescent="0.25">
      <c r="A1402" t="s">
        <v>40</v>
      </c>
      <c r="B1402">
        <v>2021</v>
      </c>
      <c r="C1402" t="s">
        <v>15</v>
      </c>
      <c r="D1402">
        <v>89593.07</v>
      </c>
      <c r="E1402">
        <v>126746.272</v>
      </c>
      <c r="F1402">
        <v>97369.102455999906</v>
      </c>
      <c r="G1402" s="39">
        <v>44440</v>
      </c>
    </row>
    <row r="1403" spans="1:7" x14ac:dyDescent="0.25">
      <c r="A1403" t="s">
        <v>40</v>
      </c>
      <c r="B1403">
        <v>2021</v>
      </c>
      <c r="C1403" t="s">
        <v>16</v>
      </c>
      <c r="D1403">
        <v>189729.52</v>
      </c>
      <c r="E1403">
        <v>175130.82398300001</v>
      </c>
      <c r="F1403">
        <v>111967.79847299989</v>
      </c>
      <c r="G1403" s="39">
        <v>44470</v>
      </c>
    </row>
    <row r="1404" spans="1:7" x14ac:dyDescent="0.25">
      <c r="A1404" t="s">
        <v>40</v>
      </c>
      <c r="B1404">
        <v>2021</v>
      </c>
      <c r="C1404" t="s">
        <v>17</v>
      </c>
      <c r="D1404">
        <v>226484.97</v>
      </c>
      <c r="E1404">
        <v>255172.76478200001</v>
      </c>
      <c r="F1404">
        <v>83280.003690999903</v>
      </c>
      <c r="G1404" s="39">
        <v>44501</v>
      </c>
    </row>
    <row r="1405" spans="1:7" x14ac:dyDescent="0.25">
      <c r="A1405" t="s">
        <v>40</v>
      </c>
      <c r="B1405">
        <v>2021</v>
      </c>
      <c r="C1405" t="s">
        <v>18</v>
      </c>
      <c r="D1405">
        <v>137993.98800000001</v>
      </c>
      <c r="E1405">
        <v>131806.001781</v>
      </c>
      <c r="F1405">
        <v>89467.989909999917</v>
      </c>
      <c r="G1405" s="39">
        <v>44531</v>
      </c>
    </row>
    <row r="1406" spans="1:7" x14ac:dyDescent="0.25">
      <c r="A1406" t="s">
        <v>40</v>
      </c>
      <c r="B1406">
        <v>2022</v>
      </c>
      <c r="C1406" t="s">
        <v>7</v>
      </c>
      <c r="D1406">
        <v>186221.62</v>
      </c>
      <c r="E1406">
        <v>97616.764999999999</v>
      </c>
      <c r="F1406">
        <v>178072.84490999987</v>
      </c>
      <c r="G1406" s="39">
        <v>44562</v>
      </c>
    </row>
    <row r="1407" spans="1:7" x14ac:dyDescent="0.25">
      <c r="A1407" t="s">
        <v>40</v>
      </c>
      <c r="B1407">
        <v>2022</v>
      </c>
      <c r="C1407" t="s">
        <v>8</v>
      </c>
      <c r="D1407">
        <v>41314.269999999997</v>
      </c>
      <c r="E1407">
        <v>83313.415200000003</v>
      </c>
      <c r="F1407">
        <v>136073.69970999984</v>
      </c>
      <c r="G1407" s="39">
        <v>44593</v>
      </c>
    </row>
    <row r="1408" spans="1:7" x14ac:dyDescent="0.25">
      <c r="A1408" t="s">
        <v>40</v>
      </c>
      <c r="B1408">
        <v>2022</v>
      </c>
      <c r="C1408" t="s">
        <v>9</v>
      </c>
      <c r="D1408">
        <v>72563.91</v>
      </c>
      <c r="E1408">
        <v>101072.0956</v>
      </c>
      <c r="F1408">
        <v>107565.51410999984</v>
      </c>
      <c r="G1408" s="39">
        <v>44621</v>
      </c>
    </row>
    <row r="1409" spans="1:7" x14ac:dyDescent="0.25">
      <c r="A1409" t="s">
        <v>40</v>
      </c>
      <c r="B1409">
        <v>2022</v>
      </c>
      <c r="C1409" t="s">
        <v>10</v>
      </c>
      <c r="D1409">
        <v>148910.96</v>
      </c>
      <c r="E1409">
        <v>100729.788846</v>
      </c>
      <c r="F1409">
        <v>155746.68526399985</v>
      </c>
      <c r="G1409" s="39">
        <v>44652</v>
      </c>
    </row>
    <row r="1410" spans="1:7" x14ac:dyDescent="0.25">
      <c r="A1410" t="s">
        <v>40</v>
      </c>
      <c r="B1410">
        <v>2022</v>
      </c>
      <c r="C1410" t="s">
        <v>11</v>
      </c>
      <c r="D1410">
        <v>58288.41</v>
      </c>
      <c r="E1410">
        <v>83497.305128000007</v>
      </c>
      <c r="F1410">
        <v>130537.79013599985</v>
      </c>
      <c r="G1410" s="39">
        <v>44682</v>
      </c>
    </row>
    <row r="1411" spans="1:7" x14ac:dyDescent="0.25">
      <c r="A1411" t="s">
        <v>40</v>
      </c>
      <c r="B1411">
        <v>2022</v>
      </c>
      <c r="C1411" t="s">
        <v>12</v>
      </c>
      <c r="D1411">
        <v>34329</v>
      </c>
      <c r="E1411">
        <v>55974.722952999997</v>
      </c>
      <c r="F1411">
        <v>108892.06718299986</v>
      </c>
      <c r="G1411" s="39">
        <v>44713</v>
      </c>
    </row>
    <row r="1412" spans="1:7" x14ac:dyDescent="0.25">
      <c r="A1412" t="s">
        <v>40</v>
      </c>
      <c r="B1412">
        <v>2022</v>
      </c>
      <c r="C1412" t="s">
        <v>13</v>
      </c>
      <c r="D1412">
        <v>81453.039999999994</v>
      </c>
      <c r="E1412">
        <v>96119.724847000005</v>
      </c>
      <c r="F1412">
        <v>94225.382335999835</v>
      </c>
      <c r="G1412" s="39">
        <v>44743</v>
      </c>
    </row>
    <row r="1413" spans="1:7" x14ac:dyDescent="0.25">
      <c r="A1413" t="s">
        <v>40</v>
      </c>
      <c r="B1413">
        <v>2022</v>
      </c>
      <c r="C1413" t="s">
        <v>14</v>
      </c>
      <c r="D1413">
        <v>86029.09</v>
      </c>
      <c r="E1413">
        <v>102723.41890999999</v>
      </c>
      <c r="F1413">
        <v>77531.053425999839</v>
      </c>
      <c r="G1413" s="39">
        <v>44774</v>
      </c>
    </row>
    <row r="1414" spans="1:7" x14ac:dyDescent="0.25">
      <c r="A1414" t="s">
        <v>40</v>
      </c>
      <c r="B1414">
        <v>2022</v>
      </c>
      <c r="C1414" t="s">
        <v>15</v>
      </c>
      <c r="D1414">
        <v>85923.25</v>
      </c>
      <c r="E1414">
        <v>83036.010974999997</v>
      </c>
      <c r="F1414">
        <v>80418.292450999827</v>
      </c>
      <c r="G1414" s="39">
        <v>44805</v>
      </c>
    </row>
    <row r="1415" spans="1:7" x14ac:dyDescent="0.25">
      <c r="A1415" t="s">
        <v>40</v>
      </c>
      <c r="B1415">
        <v>2022</v>
      </c>
      <c r="C1415" t="s">
        <v>16</v>
      </c>
      <c r="D1415">
        <v>95336.12</v>
      </c>
      <c r="E1415">
        <v>96559.880499999999</v>
      </c>
      <c r="F1415">
        <v>79194.531950999837</v>
      </c>
      <c r="G1415" s="39">
        <v>44835</v>
      </c>
    </row>
    <row r="1416" spans="1:7" x14ac:dyDescent="0.25">
      <c r="A1416" t="s">
        <v>40</v>
      </c>
      <c r="B1416">
        <v>2022</v>
      </c>
      <c r="C1416" t="s">
        <v>17</v>
      </c>
      <c r="D1416">
        <v>157254.07</v>
      </c>
      <c r="E1416">
        <v>117762.1752</v>
      </c>
      <c r="F1416">
        <v>118686.42675099985</v>
      </c>
      <c r="G1416" s="39">
        <v>44866</v>
      </c>
    </row>
    <row r="1417" spans="1:7" x14ac:dyDescent="0.25">
      <c r="A1417" t="s">
        <v>40</v>
      </c>
      <c r="B1417">
        <v>2022</v>
      </c>
      <c r="C1417" t="s">
        <v>18</v>
      </c>
      <c r="D1417">
        <v>29686.89</v>
      </c>
      <c r="E1417">
        <v>92698.168799999999</v>
      </c>
      <c r="F1417">
        <v>55675.147950999832</v>
      </c>
      <c r="G1417" s="39">
        <v>44896</v>
      </c>
    </row>
    <row r="1418" spans="1:7" x14ac:dyDescent="0.25">
      <c r="A1418" t="s">
        <v>40</v>
      </c>
      <c r="B1418">
        <v>2023</v>
      </c>
      <c r="C1418" t="s">
        <v>7</v>
      </c>
      <c r="D1418">
        <v>47427.63</v>
      </c>
      <c r="E1418">
        <v>34855.405484000003</v>
      </c>
      <c r="F1418">
        <v>68247.372466999819</v>
      </c>
      <c r="G1418" s="39">
        <v>44927</v>
      </c>
    </row>
    <row r="1419" spans="1:7" x14ac:dyDescent="0.25">
      <c r="A1419" t="s">
        <v>40</v>
      </c>
      <c r="B1419">
        <v>2023</v>
      </c>
      <c r="C1419" t="s">
        <v>8</v>
      </c>
      <c r="D1419">
        <v>71462.259999999995</v>
      </c>
      <c r="E1419">
        <v>82307.519159000003</v>
      </c>
      <c r="F1419">
        <v>57402.113307999811</v>
      </c>
      <c r="G1419" s="39">
        <v>44958</v>
      </c>
    </row>
    <row r="1420" spans="1:7" x14ac:dyDescent="0.25">
      <c r="A1420" t="s">
        <v>40</v>
      </c>
      <c r="B1420">
        <v>2023</v>
      </c>
      <c r="C1420" t="s">
        <v>9</v>
      </c>
      <c r="D1420">
        <v>87706.67</v>
      </c>
      <c r="E1420">
        <v>91574.555338000006</v>
      </c>
      <c r="F1420">
        <v>53534.227969999803</v>
      </c>
      <c r="G1420" s="39">
        <v>44986</v>
      </c>
    </row>
    <row r="1421" spans="1:7" x14ac:dyDescent="0.25">
      <c r="A1421" t="s">
        <v>40</v>
      </c>
      <c r="B1421">
        <v>2023</v>
      </c>
      <c r="C1421" t="s">
        <v>10</v>
      </c>
      <c r="D1421">
        <v>30713.9</v>
      </c>
      <c r="E1421">
        <v>30150.358585999998</v>
      </c>
      <c r="F1421">
        <v>54097.769383999796</v>
      </c>
      <c r="G1421" s="39">
        <v>45017</v>
      </c>
    </row>
    <row r="1422" spans="1:7" x14ac:dyDescent="0.25">
      <c r="A1422" t="s">
        <v>40</v>
      </c>
      <c r="B1422">
        <v>2023</v>
      </c>
      <c r="C1422" t="s">
        <v>11</v>
      </c>
      <c r="D1422">
        <v>76027.48</v>
      </c>
      <c r="E1422">
        <v>90490.205455999996</v>
      </c>
      <c r="F1422">
        <v>39635.043927999795</v>
      </c>
      <c r="G1422" s="39">
        <v>45047</v>
      </c>
    </row>
    <row r="1423" spans="1:7" x14ac:dyDescent="0.25">
      <c r="A1423" t="s">
        <v>40</v>
      </c>
      <c r="B1423">
        <v>2023</v>
      </c>
      <c r="C1423" t="s">
        <v>12</v>
      </c>
      <c r="D1423">
        <v>24157.23</v>
      </c>
      <c r="E1423">
        <v>36938.320500000002</v>
      </c>
      <c r="F1423">
        <v>26853.95342799979</v>
      </c>
      <c r="G1423" s="39">
        <v>45078</v>
      </c>
    </row>
    <row r="1424" spans="1:7" x14ac:dyDescent="0.25">
      <c r="A1424" t="s">
        <v>40</v>
      </c>
      <c r="B1424">
        <v>2023</v>
      </c>
      <c r="C1424" t="s">
        <v>13</v>
      </c>
      <c r="D1424">
        <v>13923.793333</v>
      </c>
      <c r="E1424">
        <v>18381.803266999999</v>
      </c>
      <c r="F1424">
        <v>22395.943493999792</v>
      </c>
      <c r="G1424" s="39">
        <v>45108</v>
      </c>
    </row>
    <row r="1425" spans="1:7" x14ac:dyDescent="0.25">
      <c r="A1425" t="s">
        <v>40</v>
      </c>
      <c r="B1425">
        <v>2023</v>
      </c>
      <c r="C1425" t="s">
        <v>14</v>
      </c>
      <c r="D1425">
        <v>14864.53</v>
      </c>
      <c r="E1425">
        <v>6900.1854000000003</v>
      </c>
      <c r="F1425">
        <v>30360.288093999792</v>
      </c>
      <c r="G1425" s="39">
        <v>45139</v>
      </c>
    </row>
    <row r="1426" spans="1:7" x14ac:dyDescent="0.25">
      <c r="A1426" t="s">
        <v>40</v>
      </c>
      <c r="B1426">
        <v>2023</v>
      </c>
      <c r="C1426" t="s">
        <v>15</v>
      </c>
      <c r="D1426">
        <v>107924.35</v>
      </c>
      <c r="E1426">
        <v>101370.96</v>
      </c>
      <c r="F1426">
        <v>36913.678093999784</v>
      </c>
      <c r="G1426" s="39">
        <v>45170</v>
      </c>
    </row>
    <row r="1427" spans="1:7" x14ac:dyDescent="0.25">
      <c r="A1427" t="s">
        <v>40</v>
      </c>
      <c r="B1427">
        <v>2023</v>
      </c>
      <c r="C1427" t="s">
        <v>16</v>
      </c>
      <c r="D1427">
        <v>29673.65</v>
      </c>
      <c r="E1427">
        <v>29318.498500000002</v>
      </c>
      <c r="F1427">
        <v>37268.829593999792</v>
      </c>
      <c r="G1427" s="39">
        <v>45200</v>
      </c>
    </row>
    <row r="1428" spans="1:7" x14ac:dyDescent="0.25">
      <c r="A1428" t="s">
        <v>40</v>
      </c>
      <c r="B1428">
        <v>2023</v>
      </c>
      <c r="C1428" t="s">
        <v>17</v>
      </c>
      <c r="D1428">
        <v>18968.18</v>
      </c>
      <c r="E1428">
        <v>35867.543100000003</v>
      </c>
      <c r="F1428">
        <v>20369.466493999789</v>
      </c>
      <c r="G1428" s="39">
        <v>45231</v>
      </c>
    </row>
    <row r="1429" spans="1:7" x14ac:dyDescent="0.25">
      <c r="A1429" t="s">
        <v>40</v>
      </c>
      <c r="B1429">
        <v>2023</v>
      </c>
      <c r="C1429" t="s">
        <v>18</v>
      </c>
      <c r="D1429">
        <v>22942.3</v>
      </c>
      <c r="E1429">
        <v>24202.02</v>
      </c>
      <c r="F1429">
        <v>19109.746493999792</v>
      </c>
      <c r="G1429" s="39">
        <v>45261</v>
      </c>
    </row>
    <row r="1430" spans="1:7" x14ac:dyDescent="0.25">
      <c r="A1430" t="s">
        <v>40</v>
      </c>
      <c r="B1430">
        <v>2024</v>
      </c>
      <c r="C1430" t="s">
        <v>7</v>
      </c>
      <c r="F1430">
        <v>19109.746493999792</v>
      </c>
      <c r="G1430" s="39">
        <v>45292</v>
      </c>
    </row>
    <row r="1431" spans="1:7" x14ac:dyDescent="0.25">
      <c r="A1431" t="s">
        <v>40</v>
      </c>
      <c r="B1431">
        <v>2024</v>
      </c>
      <c r="C1431" t="s">
        <v>8</v>
      </c>
      <c r="F1431">
        <v>19109.746493999792</v>
      </c>
      <c r="G1431" s="39">
        <v>45323</v>
      </c>
    </row>
    <row r="1432" spans="1:7" x14ac:dyDescent="0.25">
      <c r="A1432" t="s">
        <v>40</v>
      </c>
      <c r="B1432">
        <v>2024</v>
      </c>
      <c r="C1432" t="s">
        <v>9</v>
      </c>
      <c r="F1432">
        <v>19109.746493999792</v>
      </c>
      <c r="G1432" s="39">
        <v>45352</v>
      </c>
    </row>
    <row r="1433" spans="1:7" x14ac:dyDescent="0.25">
      <c r="A1433" t="s">
        <v>40</v>
      </c>
      <c r="B1433">
        <v>2024</v>
      </c>
      <c r="C1433" t="s">
        <v>10</v>
      </c>
      <c r="F1433">
        <v>19109.746493999792</v>
      </c>
      <c r="G1433" s="39">
        <v>45383</v>
      </c>
    </row>
    <row r="1434" spans="1:7" x14ac:dyDescent="0.25">
      <c r="A1434" t="s">
        <v>40</v>
      </c>
      <c r="B1434">
        <v>2024</v>
      </c>
      <c r="C1434" t="s">
        <v>11</v>
      </c>
      <c r="F1434">
        <v>19109.746493999792</v>
      </c>
      <c r="G1434" s="39">
        <v>45413</v>
      </c>
    </row>
    <row r="1435" spans="1:7" x14ac:dyDescent="0.25">
      <c r="A1435" t="s">
        <v>40</v>
      </c>
      <c r="B1435">
        <v>2024</v>
      </c>
      <c r="C1435" t="s">
        <v>12</v>
      </c>
      <c r="F1435">
        <v>19109.746493999792</v>
      </c>
      <c r="G1435" s="39">
        <v>45444</v>
      </c>
    </row>
    <row r="1436" spans="1:7" x14ac:dyDescent="0.25">
      <c r="A1436" t="s">
        <v>40</v>
      </c>
      <c r="B1436">
        <v>2024</v>
      </c>
      <c r="C1436" t="s">
        <v>13</v>
      </c>
      <c r="F1436">
        <v>19109.746493999792</v>
      </c>
      <c r="G1436" s="39">
        <v>45474</v>
      </c>
    </row>
    <row r="1437" spans="1:7" x14ac:dyDescent="0.25">
      <c r="A1437" t="s">
        <v>40</v>
      </c>
      <c r="B1437">
        <v>2024</v>
      </c>
      <c r="C1437" t="s">
        <v>14</v>
      </c>
      <c r="F1437">
        <v>19109.746493999792</v>
      </c>
      <c r="G1437" s="39">
        <v>45505</v>
      </c>
    </row>
    <row r="1438" spans="1:7" x14ac:dyDescent="0.25">
      <c r="A1438" t="s">
        <v>40</v>
      </c>
      <c r="B1438">
        <v>2024</v>
      </c>
      <c r="C1438" t="s">
        <v>15</v>
      </c>
      <c r="F1438">
        <v>19109.746493999792</v>
      </c>
      <c r="G1438" s="39">
        <v>45536</v>
      </c>
    </row>
    <row r="1439" spans="1:7" x14ac:dyDescent="0.25">
      <c r="A1439" t="s">
        <v>40</v>
      </c>
      <c r="B1439">
        <v>2024</v>
      </c>
      <c r="C1439" t="s">
        <v>16</v>
      </c>
      <c r="F1439">
        <v>19109.746493999792</v>
      </c>
      <c r="G1439" s="39">
        <v>45566</v>
      </c>
    </row>
    <row r="1440" spans="1:7" x14ac:dyDescent="0.25">
      <c r="A1440" t="s">
        <v>40</v>
      </c>
      <c r="B1440">
        <v>2024</v>
      </c>
      <c r="C1440" t="s">
        <v>17</v>
      </c>
      <c r="F1440">
        <v>19109.746493999792</v>
      </c>
      <c r="G1440" s="39">
        <v>45597</v>
      </c>
    </row>
    <row r="1441" spans="1:7" x14ac:dyDescent="0.25">
      <c r="A1441" t="s">
        <v>40</v>
      </c>
      <c r="B1441">
        <v>2024</v>
      </c>
      <c r="C1441" t="s">
        <v>18</v>
      </c>
      <c r="F1441">
        <v>19109.746493999792</v>
      </c>
      <c r="G1441" s="39">
        <v>45627</v>
      </c>
    </row>
    <row r="1442" spans="1:7" x14ac:dyDescent="0.25">
      <c r="A1442" t="s">
        <v>41</v>
      </c>
      <c r="B1442">
        <v>2019</v>
      </c>
      <c r="C1442" t="s">
        <v>7</v>
      </c>
      <c r="D1442">
        <v>32231.35</v>
      </c>
      <c r="E1442">
        <v>26781.030233000001</v>
      </c>
      <c r="F1442">
        <v>64049.935946999991</v>
      </c>
      <c r="G1442" s="39">
        <v>43466</v>
      </c>
    </row>
    <row r="1443" spans="1:7" x14ac:dyDescent="0.25">
      <c r="A1443" t="s">
        <v>41</v>
      </c>
      <c r="B1443">
        <v>2019</v>
      </c>
      <c r="C1443" t="s">
        <v>8</v>
      </c>
      <c r="D1443">
        <v>26189.7</v>
      </c>
      <c r="E1443">
        <v>24046.29925</v>
      </c>
      <c r="F1443">
        <v>66193.336696999992</v>
      </c>
      <c r="G1443" s="39">
        <v>43497</v>
      </c>
    </row>
    <row r="1444" spans="1:7" x14ac:dyDescent="0.25">
      <c r="A1444" t="s">
        <v>41</v>
      </c>
      <c r="B1444">
        <v>2019</v>
      </c>
      <c r="C1444" t="s">
        <v>9</v>
      </c>
      <c r="D1444">
        <v>87513.37</v>
      </c>
      <c r="E1444">
        <v>30628.347632000001</v>
      </c>
      <c r="F1444">
        <v>123078.35906499998</v>
      </c>
      <c r="G1444" s="39">
        <v>43525</v>
      </c>
    </row>
    <row r="1445" spans="1:7" x14ac:dyDescent="0.25">
      <c r="A1445" t="s">
        <v>41</v>
      </c>
      <c r="B1445">
        <v>2019</v>
      </c>
      <c r="C1445" t="s">
        <v>10</v>
      </c>
      <c r="D1445">
        <v>40128.639999999999</v>
      </c>
      <c r="E1445">
        <v>33088.545413</v>
      </c>
      <c r="F1445">
        <v>130118.45365199998</v>
      </c>
      <c r="G1445" s="39">
        <v>43556</v>
      </c>
    </row>
    <row r="1446" spans="1:7" x14ac:dyDescent="0.25">
      <c r="A1446" t="s">
        <v>41</v>
      </c>
      <c r="B1446">
        <v>2019</v>
      </c>
      <c r="C1446" t="s">
        <v>11</v>
      </c>
      <c r="D1446">
        <v>53862.33</v>
      </c>
      <c r="E1446">
        <v>61469.728743</v>
      </c>
      <c r="F1446">
        <v>122511.05490899998</v>
      </c>
      <c r="G1446" s="39">
        <v>43586</v>
      </c>
    </row>
    <row r="1447" spans="1:7" x14ac:dyDescent="0.25">
      <c r="A1447" t="s">
        <v>41</v>
      </c>
      <c r="B1447">
        <v>2019</v>
      </c>
      <c r="C1447" t="s">
        <v>12</v>
      </c>
      <c r="D1447">
        <v>20890.13</v>
      </c>
      <c r="E1447">
        <v>25979.843324000001</v>
      </c>
      <c r="F1447">
        <v>117421.34158499997</v>
      </c>
      <c r="G1447" s="39">
        <v>43617</v>
      </c>
    </row>
    <row r="1448" spans="1:7" x14ac:dyDescent="0.25">
      <c r="A1448" t="s">
        <v>41</v>
      </c>
      <c r="B1448">
        <v>2019</v>
      </c>
      <c r="C1448" t="s">
        <v>13</v>
      </c>
      <c r="D1448">
        <v>24142.19</v>
      </c>
      <c r="E1448">
        <v>23406.369951000001</v>
      </c>
      <c r="F1448">
        <v>118157.16163399996</v>
      </c>
      <c r="G1448" s="39">
        <v>43647</v>
      </c>
    </row>
    <row r="1449" spans="1:7" x14ac:dyDescent="0.25">
      <c r="A1449" t="s">
        <v>41</v>
      </c>
      <c r="B1449">
        <v>2019</v>
      </c>
      <c r="C1449" t="s">
        <v>14</v>
      </c>
      <c r="D1449">
        <v>12325.698</v>
      </c>
      <c r="E1449">
        <v>24542.213145999998</v>
      </c>
      <c r="F1449">
        <v>105940.64648799997</v>
      </c>
      <c r="G1449" s="39">
        <v>43678</v>
      </c>
    </row>
    <row r="1450" spans="1:7" x14ac:dyDescent="0.25">
      <c r="A1450" t="s">
        <v>41</v>
      </c>
      <c r="B1450">
        <v>2019</v>
      </c>
      <c r="C1450" t="s">
        <v>15</v>
      </c>
      <c r="D1450">
        <v>11322.04</v>
      </c>
      <c r="E1450">
        <v>21630.967397</v>
      </c>
      <c r="F1450">
        <v>95631.719090999977</v>
      </c>
      <c r="G1450" s="39">
        <v>43709</v>
      </c>
    </row>
    <row r="1451" spans="1:7" x14ac:dyDescent="0.25">
      <c r="A1451" t="s">
        <v>41</v>
      </c>
      <c r="B1451">
        <v>2019</v>
      </c>
      <c r="C1451" t="s">
        <v>16</v>
      </c>
      <c r="D1451">
        <v>27209.32</v>
      </c>
      <c r="E1451">
        <v>33219.289965999997</v>
      </c>
      <c r="F1451">
        <v>89621.749124999988</v>
      </c>
      <c r="G1451" s="39">
        <v>43739</v>
      </c>
    </row>
    <row r="1452" spans="1:7" x14ac:dyDescent="0.25">
      <c r="A1452" t="s">
        <v>41</v>
      </c>
      <c r="B1452">
        <v>2019</v>
      </c>
      <c r="C1452" t="s">
        <v>17</v>
      </c>
      <c r="D1452">
        <v>3627.4469140000001</v>
      </c>
      <c r="E1452">
        <v>31399.241859000002</v>
      </c>
      <c r="F1452">
        <v>61849.954179999986</v>
      </c>
      <c r="G1452" s="39">
        <v>43770</v>
      </c>
    </row>
    <row r="1453" spans="1:7" x14ac:dyDescent="0.25">
      <c r="A1453" t="s">
        <v>41</v>
      </c>
      <c r="B1453">
        <v>2019</v>
      </c>
      <c r="C1453" t="s">
        <v>18</v>
      </c>
      <c r="D1453">
        <v>23143.844799999999</v>
      </c>
      <c r="E1453">
        <v>32126.832020999998</v>
      </c>
      <c r="F1453">
        <v>52866.966958999998</v>
      </c>
      <c r="G1453" s="39">
        <v>43800</v>
      </c>
    </row>
    <row r="1454" spans="1:7" x14ac:dyDescent="0.25">
      <c r="A1454" t="s">
        <v>41</v>
      </c>
      <c r="B1454">
        <v>2020</v>
      </c>
      <c r="C1454" t="s">
        <v>7</v>
      </c>
      <c r="D1454">
        <v>15590.1</v>
      </c>
      <c r="E1454">
        <v>13182.660918</v>
      </c>
      <c r="F1454">
        <v>55274.406041000002</v>
      </c>
      <c r="G1454" s="39">
        <v>43831</v>
      </c>
    </row>
    <row r="1455" spans="1:7" x14ac:dyDescent="0.25">
      <c r="A1455" t="s">
        <v>41</v>
      </c>
      <c r="B1455">
        <v>2020</v>
      </c>
      <c r="C1455" t="s">
        <v>8</v>
      </c>
      <c r="D1455">
        <v>31992.31</v>
      </c>
      <c r="E1455">
        <v>35571.156556000002</v>
      </c>
      <c r="F1455">
        <v>51695.559485000005</v>
      </c>
      <c r="G1455" s="39">
        <v>43862</v>
      </c>
    </row>
    <row r="1456" spans="1:7" x14ac:dyDescent="0.25">
      <c r="A1456" t="s">
        <v>41</v>
      </c>
      <c r="B1456">
        <v>2020</v>
      </c>
      <c r="C1456" t="s">
        <v>9</v>
      </c>
      <c r="D1456">
        <v>26321.99</v>
      </c>
      <c r="E1456">
        <v>25835.463845999999</v>
      </c>
      <c r="F1456">
        <v>52182.085639000012</v>
      </c>
      <c r="G1456" s="39">
        <v>43891</v>
      </c>
    </row>
    <row r="1457" spans="1:7" x14ac:dyDescent="0.25">
      <c r="A1457" t="s">
        <v>41</v>
      </c>
      <c r="B1457">
        <v>2020</v>
      </c>
      <c r="C1457" t="s">
        <v>10</v>
      </c>
      <c r="D1457">
        <v>7061.83</v>
      </c>
      <c r="E1457">
        <v>14510.101911</v>
      </c>
      <c r="F1457">
        <v>44733.813728000016</v>
      </c>
      <c r="G1457" s="39">
        <v>43922</v>
      </c>
    </row>
    <row r="1458" spans="1:7" x14ac:dyDescent="0.25">
      <c r="A1458" t="s">
        <v>41</v>
      </c>
      <c r="B1458">
        <v>2020</v>
      </c>
      <c r="C1458" t="s">
        <v>11</v>
      </c>
      <c r="D1458">
        <v>34048.120000000003</v>
      </c>
      <c r="E1458">
        <v>21640.103977999999</v>
      </c>
      <c r="F1458">
        <v>57141.829750000019</v>
      </c>
      <c r="G1458" s="39">
        <v>43952</v>
      </c>
    </row>
    <row r="1459" spans="1:7" x14ac:dyDescent="0.25">
      <c r="A1459" t="s">
        <v>41</v>
      </c>
      <c r="B1459">
        <v>2020</v>
      </c>
      <c r="C1459" t="s">
        <v>12</v>
      </c>
      <c r="D1459">
        <v>32415.919999999998</v>
      </c>
      <c r="E1459">
        <v>29729.388158999998</v>
      </c>
      <c r="F1459">
        <v>59828.361591000023</v>
      </c>
      <c r="G1459" s="39">
        <v>43983</v>
      </c>
    </row>
    <row r="1460" spans="1:7" x14ac:dyDescent="0.25">
      <c r="A1460" t="s">
        <v>41</v>
      </c>
      <c r="B1460">
        <v>2020</v>
      </c>
      <c r="C1460" t="s">
        <v>13</v>
      </c>
      <c r="D1460">
        <v>89572.84</v>
      </c>
      <c r="E1460">
        <v>86128.436425000007</v>
      </c>
      <c r="F1460">
        <v>63272.765166000012</v>
      </c>
      <c r="G1460" s="39">
        <v>44013</v>
      </c>
    </row>
    <row r="1461" spans="1:7" x14ac:dyDescent="0.25">
      <c r="A1461" t="s">
        <v>41</v>
      </c>
      <c r="B1461">
        <v>2020</v>
      </c>
      <c r="C1461" t="s">
        <v>14</v>
      </c>
      <c r="D1461">
        <v>143104.10999999999</v>
      </c>
      <c r="E1461">
        <v>40031.716149</v>
      </c>
      <c r="F1461">
        <v>166345.159017</v>
      </c>
      <c r="G1461" s="39">
        <v>44044</v>
      </c>
    </row>
    <row r="1462" spans="1:7" x14ac:dyDescent="0.25">
      <c r="A1462" t="s">
        <v>41</v>
      </c>
      <c r="B1462">
        <v>2020</v>
      </c>
      <c r="C1462" t="s">
        <v>15</v>
      </c>
      <c r="D1462">
        <v>71957.919999999998</v>
      </c>
      <c r="E1462">
        <v>71184.371734999993</v>
      </c>
      <c r="F1462">
        <v>167118.70728199999</v>
      </c>
      <c r="G1462" s="39">
        <v>44075</v>
      </c>
    </row>
    <row r="1463" spans="1:7" x14ac:dyDescent="0.25">
      <c r="A1463" t="s">
        <v>41</v>
      </c>
      <c r="B1463">
        <v>2020</v>
      </c>
      <c r="C1463" t="s">
        <v>16</v>
      </c>
      <c r="D1463">
        <v>55314.61</v>
      </c>
      <c r="E1463">
        <v>53675.538566000003</v>
      </c>
      <c r="F1463">
        <v>168757.77871599997</v>
      </c>
      <c r="G1463" s="39">
        <v>44105</v>
      </c>
    </row>
    <row r="1464" spans="1:7" x14ac:dyDescent="0.25">
      <c r="A1464" t="s">
        <v>41</v>
      </c>
      <c r="B1464">
        <v>2020</v>
      </c>
      <c r="C1464" t="s">
        <v>17</v>
      </c>
      <c r="D1464">
        <v>48340.6</v>
      </c>
      <c r="E1464">
        <v>62105.592593000001</v>
      </c>
      <c r="F1464">
        <v>154992.78612299997</v>
      </c>
      <c r="G1464" s="39">
        <v>44136</v>
      </c>
    </row>
    <row r="1465" spans="1:7" x14ac:dyDescent="0.25">
      <c r="A1465" t="s">
        <v>41</v>
      </c>
      <c r="B1465">
        <v>2020</v>
      </c>
      <c r="C1465" t="s">
        <v>18</v>
      </c>
      <c r="D1465">
        <v>-14918.184556</v>
      </c>
      <c r="E1465">
        <v>19840.735175999998</v>
      </c>
      <c r="F1465">
        <v>120233.86639099997</v>
      </c>
      <c r="G1465" s="39">
        <v>44166</v>
      </c>
    </row>
    <row r="1466" spans="1:7" x14ac:dyDescent="0.25">
      <c r="A1466" t="s">
        <v>41</v>
      </c>
      <c r="B1466">
        <v>2021</v>
      </c>
      <c r="C1466" t="s">
        <v>7</v>
      </c>
      <c r="D1466">
        <v>16982.52</v>
      </c>
      <c r="E1466">
        <v>23229.605932999999</v>
      </c>
      <c r="F1466">
        <v>113986.78045799998</v>
      </c>
      <c r="G1466" s="39">
        <v>44197</v>
      </c>
    </row>
    <row r="1467" spans="1:7" x14ac:dyDescent="0.25">
      <c r="A1467" t="s">
        <v>41</v>
      </c>
      <c r="B1467">
        <v>2021</v>
      </c>
      <c r="C1467" t="s">
        <v>8</v>
      </c>
      <c r="D1467">
        <v>26015.29</v>
      </c>
      <c r="E1467">
        <v>30342.801645</v>
      </c>
      <c r="F1467">
        <v>109659.26881299997</v>
      </c>
      <c r="G1467" s="39">
        <v>44228</v>
      </c>
    </row>
    <row r="1468" spans="1:7" x14ac:dyDescent="0.25">
      <c r="A1468" t="s">
        <v>41</v>
      </c>
      <c r="B1468">
        <v>2021</v>
      </c>
      <c r="C1468" t="s">
        <v>9</v>
      </c>
      <c r="D1468">
        <v>56514.555</v>
      </c>
      <c r="E1468">
        <v>64427.820183000003</v>
      </c>
      <c r="F1468">
        <v>101746.00362999996</v>
      </c>
      <c r="G1468" s="39">
        <v>44256</v>
      </c>
    </row>
    <row r="1469" spans="1:7" x14ac:dyDescent="0.25">
      <c r="A1469" t="s">
        <v>41</v>
      </c>
      <c r="B1469">
        <v>2021</v>
      </c>
      <c r="C1469" t="s">
        <v>10</v>
      </c>
      <c r="D1469">
        <v>76905.820000000007</v>
      </c>
      <c r="E1469">
        <v>69697.087765999997</v>
      </c>
      <c r="F1469">
        <v>108954.73586399997</v>
      </c>
      <c r="G1469" s="39">
        <v>44287</v>
      </c>
    </row>
    <row r="1470" spans="1:7" x14ac:dyDescent="0.25">
      <c r="A1470" t="s">
        <v>41</v>
      </c>
      <c r="B1470">
        <v>2021</v>
      </c>
      <c r="C1470" t="s">
        <v>11</v>
      </c>
      <c r="D1470">
        <v>30185.55</v>
      </c>
      <c r="E1470">
        <v>39547.069733999997</v>
      </c>
      <c r="F1470">
        <v>99593.216129999986</v>
      </c>
      <c r="G1470" s="39">
        <v>44317</v>
      </c>
    </row>
    <row r="1471" spans="1:7" x14ac:dyDescent="0.25">
      <c r="A1471" t="s">
        <v>41</v>
      </c>
      <c r="B1471">
        <v>2021</v>
      </c>
      <c r="C1471" t="s">
        <v>12</v>
      </c>
      <c r="D1471">
        <v>93993.687000000005</v>
      </c>
      <c r="E1471">
        <v>73655.033070999998</v>
      </c>
      <c r="F1471">
        <v>119931.87005899999</v>
      </c>
      <c r="G1471" s="39">
        <v>44348</v>
      </c>
    </row>
    <row r="1472" spans="1:7" x14ac:dyDescent="0.25">
      <c r="A1472" t="s">
        <v>41</v>
      </c>
      <c r="B1472">
        <v>2021</v>
      </c>
      <c r="C1472" t="s">
        <v>13</v>
      </c>
      <c r="D1472">
        <v>41915.96</v>
      </c>
      <c r="E1472">
        <v>42748.001456999998</v>
      </c>
      <c r="F1472">
        <v>119099.82860199999</v>
      </c>
      <c r="G1472" s="39">
        <v>44378</v>
      </c>
    </row>
    <row r="1473" spans="1:7" x14ac:dyDescent="0.25">
      <c r="A1473" t="s">
        <v>41</v>
      </c>
      <c r="B1473">
        <v>2021</v>
      </c>
      <c r="C1473" t="s">
        <v>14</v>
      </c>
      <c r="D1473">
        <v>92362.240000000005</v>
      </c>
      <c r="E1473">
        <v>103752.489777</v>
      </c>
      <c r="F1473">
        <v>107709.57882500002</v>
      </c>
      <c r="G1473" s="39">
        <v>44409</v>
      </c>
    </row>
    <row r="1474" spans="1:7" x14ac:dyDescent="0.25">
      <c r="A1474" t="s">
        <v>41</v>
      </c>
      <c r="B1474">
        <v>2021</v>
      </c>
      <c r="C1474" t="s">
        <v>15</v>
      </c>
      <c r="D1474">
        <v>105965.485354</v>
      </c>
      <c r="E1474">
        <v>80317.861883000005</v>
      </c>
      <c r="F1474">
        <v>133357.20229600003</v>
      </c>
      <c r="G1474" s="39">
        <v>44440</v>
      </c>
    </row>
    <row r="1475" spans="1:7" x14ac:dyDescent="0.25">
      <c r="A1475" t="s">
        <v>41</v>
      </c>
      <c r="B1475">
        <v>2021</v>
      </c>
      <c r="C1475" t="s">
        <v>16</v>
      </c>
      <c r="D1475">
        <v>72752.66</v>
      </c>
      <c r="E1475">
        <v>54065.532934000003</v>
      </c>
      <c r="F1475">
        <v>152044.32936200005</v>
      </c>
      <c r="G1475" s="39">
        <v>44470</v>
      </c>
    </row>
    <row r="1476" spans="1:7" x14ac:dyDescent="0.25">
      <c r="A1476" t="s">
        <v>41</v>
      </c>
      <c r="B1476">
        <v>2021</v>
      </c>
      <c r="C1476" t="s">
        <v>17</v>
      </c>
      <c r="D1476">
        <v>45836.88</v>
      </c>
      <c r="E1476">
        <v>66852.501340000003</v>
      </c>
      <c r="F1476">
        <v>131028.70802200005</v>
      </c>
      <c r="G1476" s="39">
        <v>44501</v>
      </c>
    </row>
    <row r="1477" spans="1:7" x14ac:dyDescent="0.25">
      <c r="A1477" t="s">
        <v>41</v>
      </c>
      <c r="B1477">
        <v>2021</v>
      </c>
      <c r="C1477" t="s">
        <v>18</v>
      </c>
      <c r="D1477">
        <v>74237.289999999994</v>
      </c>
      <c r="E1477">
        <v>89706.163</v>
      </c>
      <c r="F1477">
        <v>115559.83502200004</v>
      </c>
      <c r="G1477" s="39">
        <v>44531</v>
      </c>
    </row>
    <row r="1478" spans="1:7" x14ac:dyDescent="0.25">
      <c r="A1478" t="s">
        <v>41</v>
      </c>
      <c r="B1478">
        <v>2022</v>
      </c>
      <c r="C1478" t="s">
        <v>7</v>
      </c>
      <c r="D1478">
        <v>37570.94</v>
      </c>
      <c r="E1478">
        <v>38135.057337999999</v>
      </c>
      <c r="F1478">
        <v>114995.71768400005</v>
      </c>
      <c r="G1478" s="39">
        <v>44562</v>
      </c>
    </row>
    <row r="1479" spans="1:7" x14ac:dyDescent="0.25">
      <c r="A1479" t="s">
        <v>41</v>
      </c>
      <c r="B1479">
        <v>2022</v>
      </c>
      <c r="C1479" t="s">
        <v>8</v>
      </c>
      <c r="D1479">
        <v>62944.56</v>
      </c>
      <c r="E1479">
        <v>33673.152147000001</v>
      </c>
      <c r="F1479">
        <v>144267.12553700001</v>
      </c>
      <c r="G1479" s="39">
        <v>44593</v>
      </c>
    </row>
    <row r="1480" spans="1:7" x14ac:dyDescent="0.25">
      <c r="A1480" t="s">
        <v>41</v>
      </c>
      <c r="B1480">
        <v>2022</v>
      </c>
      <c r="C1480" t="s">
        <v>9</v>
      </c>
      <c r="D1480">
        <v>65550.2</v>
      </c>
      <c r="E1480">
        <v>86993.312439000001</v>
      </c>
      <c r="F1480">
        <v>122824.01309800002</v>
      </c>
      <c r="G1480" s="39">
        <v>44621</v>
      </c>
    </row>
    <row r="1481" spans="1:7" x14ac:dyDescent="0.25">
      <c r="A1481" t="s">
        <v>41</v>
      </c>
      <c r="B1481">
        <v>2022</v>
      </c>
      <c r="C1481" t="s">
        <v>10</v>
      </c>
      <c r="D1481">
        <v>36318.42</v>
      </c>
      <c r="E1481">
        <v>47285.452062999997</v>
      </c>
      <c r="F1481">
        <v>111856.981035</v>
      </c>
      <c r="G1481" s="39">
        <v>44652</v>
      </c>
    </row>
    <row r="1482" spans="1:7" x14ac:dyDescent="0.25">
      <c r="A1482" t="s">
        <v>41</v>
      </c>
      <c r="B1482">
        <v>2022</v>
      </c>
      <c r="C1482" t="s">
        <v>11</v>
      </c>
      <c r="D1482">
        <v>47993.4</v>
      </c>
      <c r="E1482">
        <v>42106.150494000001</v>
      </c>
      <c r="F1482">
        <v>117744.230541</v>
      </c>
      <c r="G1482" s="39">
        <v>44682</v>
      </c>
    </row>
    <row r="1483" spans="1:7" x14ac:dyDescent="0.25">
      <c r="A1483" t="s">
        <v>41</v>
      </c>
      <c r="B1483">
        <v>2022</v>
      </c>
      <c r="C1483" t="s">
        <v>12</v>
      </c>
      <c r="D1483">
        <v>35871.599999999999</v>
      </c>
      <c r="E1483">
        <v>41157.338483</v>
      </c>
      <c r="F1483">
        <v>112458.492058</v>
      </c>
      <c r="G1483" s="39">
        <v>44713</v>
      </c>
    </row>
    <row r="1484" spans="1:7" x14ac:dyDescent="0.25">
      <c r="A1484" t="s">
        <v>41</v>
      </c>
      <c r="B1484">
        <v>2022</v>
      </c>
      <c r="C1484" t="s">
        <v>13</v>
      </c>
      <c r="D1484">
        <v>46951.56</v>
      </c>
      <c r="E1484">
        <v>42854.856418000003</v>
      </c>
      <c r="F1484">
        <v>116555.19563999999</v>
      </c>
      <c r="G1484" s="39">
        <v>44743</v>
      </c>
    </row>
    <row r="1485" spans="1:7" x14ac:dyDescent="0.25">
      <c r="A1485" t="s">
        <v>41</v>
      </c>
      <c r="B1485">
        <v>2022</v>
      </c>
      <c r="C1485" t="s">
        <v>14</v>
      </c>
      <c r="D1485">
        <v>41651.51</v>
      </c>
      <c r="E1485">
        <v>34330.115259999999</v>
      </c>
      <c r="F1485">
        <v>123876.59038000001</v>
      </c>
      <c r="G1485" s="39">
        <v>44774</v>
      </c>
    </row>
    <row r="1486" spans="1:7" x14ac:dyDescent="0.25">
      <c r="A1486" t="s">
        <v>41</v>
      </c>
      <c r="B1486">
        <v>2022</v>
      </c>
      <c r="C1486" t="s">
        <v>15</v>
      </c>
      <c r="D1486">
        <v>49714.89</v>
      </c>
      <c r="E1486">
        <v>63795.831060999997</v>
      </c>
      <c r="F1486">
        <v>109795.64931900002</v>
      </c>
      <c r="G1486" s="39">
        <v>44805</v>
      </c>
    </row>
    <row r="1487" spans="1:7" x14ac:dyDescent="0.25">
      <c r="A1487" t="s">
        <v>41</v>
      </c>
      <c r="B1487">
        <v>2022</v>
      </c>
      <c r="C1487" t="s">
        <v>16</v>
      </c>
      <c r="D1487">
        <v>36223.4</v>
      </c>
      <c r="E1487">
        <v>38283.532300999999</v>
      </c>
      <c r="F1487">
        <v>107735.51701800001</v>
      </c>
      <c r="G1487" s="39">
        <v>44835</v>
      </c>
    </row>
    <row r="1488" spans="1:7" x14ac:dyDescent="0.25">
      <c r="A1488" t="s">
        <v>41</v>
      </c>
      <c r="B1488">
        <v>2022</v>
      </c>
      <c r="C1488" t="s">
        <v>17</v>
      </c>
      <c r="D1488">
        <v>95837.98</v>
      </c>
      <c r="E1488">
        <v>91253.011144999997</v>
      </c>
      <c r="F1488">
        <v>112320.485873</v>
      </c>
      <c r="G1488" s="39">
        <v>44866</v>
      </c>
    </row>
    <row r="1489" spans="1:7" x14ac:dyDescent="0.25">
      <c r="A1489" t="s">
        <v>41</v>
      </c>
      <c r="B1489">
        <v>2022</v>
      </c>
      <c r="C1489" t="s">
        <v>18</v>
      </c>
      <c r="D1489">
        <v>20443.803333</v>
      </c>
      <c r="E1489">
        <v>48855.259015000003</v>
      </c>
      <c r="F1489">
        <v>83909.030190999983</v>
      </c>
      <c r="G1489" s="39">
        <v>44896</v>
      </c>
    </row>
    <row r="1490" spans="1:7" x14ac:dyDescent="0.25">
      <c r="A1490" t="s">
        <v>41</v>
      </c>
      <c r="B1490">
        <v>2023</v>
      </c>
      <c r="C1490" t="s">
        <v>7</v>
      </c>
      <c r="D1490">
        <v>51045.47</v>
      </c>
      <c r="E1490">
        <v>22064.036425999999</v>
      </c>
      <c r="F1490">
        <v>112890.46376499999</v>
      </c>
      <c r="G1490" s="39">
        <v>44927</v>
      </c>
    </row>
    <row r="1491" spans="1:7" x14ac:dyDescent="0.25">
      <c r="A1491" t="s">
        <v>41</v>
      </c>
      <c r="B1491">
        <v>2023</v>
      </c>
      <c r="C1491" t="s">
        <v>8</v>
      </c>
      <c r="D1491">
        <v>102382.42</v>
      </c>
      <c r="E1491">
        <v>61576.544910999997</v>
      </c>
      <c r="F1491">
        <v>153696.33885399997</v>
      </c>
      <c r="G1491" s="39">
        <v>44958</v>
      </c>
    </row>
    <row r="1492" spans="1:7" x14ac:dyDescent="0.25">
      <c r="A1492" t="s">
        <v>41</v>
      </c>
      <c r="B1492">
        <v>2023</v>
      </c>
      <c r="C1492" t="s">
        <v>9</v>
      </c>
      <c r="D1492">
        <v>62563.199999999997</v>
      </c>
      <c r="E1492">
        <v>100133.907496</v>
      </c>
      <c r="F1492">
        <v>116125.63135799998</v>
      </c>
      <c r="G1492" s="39">
        <v>44986</v>
      </c>
    </row>
    <row r="1493" spans="1:7" x14ac:dyDescent="0.25">
      <c r="A1493" t="s">
        <v>41</v>
      </c>
      <c r="B1493">
        <v>2023</v>
      </c>
      <c r="C1493" t="s">
        <v>10</v>
      </c>
      <c r="D1493">
        <v>44614</v>
      </c>
      <c r="E1493">
        <v>45661.3992</v>
      </c>
      <c r="F1493">
        <v>115078.23215799998</v>
      </c>
      <c r="G1493" s="39">
        <v>45017</v>
      </c>
    </row>
    <row r="1494" spans="1:7" x14ac:dyDescent="0.25">
      <c r="A1494" t="s">
        <v>41</v>
      </c>
      <c r="B1494">
        <v>2023</v>
      </c>
      <c r="C1494" t="s">
        <v>11</v>
      </c>
      <c r="D1494">
        <v>76620.61</v>
      </c>
      <c r="E1494">
        <v>72651.417671999996</v>
      </c>
      <c r="F1494">
        <v>119047.42448599999</v>
      </c>
      <c r="G1494" s="39">
        <v>45047</v>
      </c>
    </row>
    <row r="1495" spans="1:7" x14ac:dyDescent="0.25">
      <c r="A1495" t="s">
        <v>41</v>
      </c>
      <c r="B1495">
        <v>2023</v>
      </c>
      <c r="C1495" t="s">
        <v>12</v>
      </c>
      <c r="D1495">
        <v>87591.74</v>
      </c>
      <c r="E1495">
        <v>52125.435733999999</v>
      </c>
      <c r="F1495">
        <v>154513.728752</v>
      </c>
      <c r="G1495" s="39">
        <v>45078</v>
      </c>
    </row>
    <row r="1496" spans="1:7" x14ac:dyDescent="0.25">
      <c r="A1496" t="s">
        <v>41</v>
      </c>
      <c r="B1496">
        <v>2023</v>
      </c>
      <c r="C1496" t="s">
        <v>13</v>
      </c>
      <c r="D1496">
        <v>117658.28</v>
      </c>
      <c r="E1496">
        <v>65539.784283999994</v>
      </c>
      <c r="F1496">
        <v>206632.224468</v>
      </c>
      <c r="G1496" s="39">
        <v>45108</v>
      </c>
    </row>
    <row r="1497" spans="1:7" x14ac:dyDescent="0.25">
      <c r="A1497" t="s">
        <v>41</v>
      </c>
      <c r="B1497">
        <v>2023</v>
      </c>
      <c r="C1497" t="s">
        <v>14</v>
      </c>
      <c r="D1497">
        <v>119748.9</v>
      </c>
      <c r="E1497">
        <v>189796.46566799999</v>
      </c>
      <c r="F1497">
        <v>136584.65880000003</v>
      </c>
      <c r="G1497" s="39">
        <v>45139</v>
      </c>
    </row>
    <row r="1498" spans="1:7" x14ac:dyDescent="0.25">
      <c r="A1498" t="s">
        <v>41</v>
      </c>
      <c r="B1498">
        <v>2023</v>
      </c>
      <c r="C1498" t="s">
        <v>15</v>
      </c>
      <c r="D1498">
        <v>86409</v>
      </c>
      <c r="E1498">
        <v>92030.324594999998</v>
      </c>
      <c r="F1498">
        <v>130963.33420500004</v>
      </c>
      <c r="G1498" s="39">
        <v>45170</v>
      </c>
    </row>
    <row r="1499" spans="1:7" x14ac:dyDescent="0.25">
      <c r="A1499" t="s">
        <v>41</v>
      </c>
      <c r="B1499">
        <v>2023</v>
      </c>
      <c r="C1499" t="s">
        <v>16</v>
      </c>
      <c r="D1499">
        <v>176921.56</v>
      </c>
      <c r="E1499">
        <v>169463.35533699999</v>
      </c>
      <c r="F1499">
        <v>138421.53886800003</v>
      </c>
      <c r="G1499" s="39">
        <v>45200</v>
      </c>
    </row>
    <row r="1500" spans="1:7" x14ac:dyDescent="0.25">
      <c r="A1500" t="s">
        <v>41</v>
      </c>
      <c r="B1500">
        <v>2023</v>
      </c>
      <c r="C1500" t="s">
        <v>17</v>
      </c>
      <c r="D1500">
        <v>138331.51</v>
      </c>
      <c r="E1500">
        <v>97653.880516999998</v>
      </c>
      <c r="F1500">
        <v>179099.16835100006</v>
      </c>
      <c r="G1500" s="39">
        <v>45231</v>
      </c>
    </row>
    <row r="1501" spans="1:7" x14ac:dyDescent="0.25">
      <c r="A1501" t="s">
        <v>41</v>
      </c>
      <c r="B1501">
        <v>2023</v>
      </c>
      <c r="C1501" t="s">
        <v>18</v>
      </c>
      <c r="D1501">
        <v>87577.57</v>
      </c>
      <c r="E1501">
        <v>134169.268171</v>
      </c>
      <c r="F1501">
        <v>132507.47018000006</v>
      </c>
      <c r="G1501" s="39">
        <v>45261</v>
      </c>
    </row>
    <row r="1502" spans="1:7" x14ac:dyDescent="0.25">
      <c r="A1502" t="s">
        <v>41</v>
      </c>
      <c r="B1502">
        <v>2024</v>
      </c>
      <c r="C1502" t="s">
        <v>7</v>
      </c>
      <c r="F1502">
        <v>132507.47018000006</v>
      </c>
      <c r="G1502" s="39">
        <v>45292</v>
      </c>
    </row>
    <row r="1503" spans="1:7" x14ac:dyDescent="0.25">
      <c r="A1503" t="s">
        <v>41</v>
      </c>
      <c r="B1503">
        <v>2024</v>
      </c>
      <c r="C1503" t="s">
        <v>8</v>
      </c>
      <c r="F1503">
        <v>132507.47018000006</v>
      </c>
      <c r="G1503" s="39">
        <v>45323</v>
      </c>
    </row>
    <row r="1504" spans="1:7" x14ac:dyDescent="0.25">
      <c r="A1504" t="s">
        <v>41</v>
      </c>
      <c r="B1504">
        <v>2024</v>
      </c>
      <c r="C1504" t="s">
        <v>9</v>
      </c>
      <c r="F1504">
        <v>132507.47018000006</v>
      </c>
      <c r="G1504" s="39">
        <v>45352</v>
      </c>
    </row>
    <row r="1505" spans="1:7" x14ac:dyDescent="0.25">
      <c r="A1505" t="s">
        <v>41</v>
      </c>
      <c r="B1505">
        <v>2024</v>
      </c>
      <c r="C1505" t="s">
        <v>10</v>
      </c>
      <c r="F1505">
        <v>132507.47018000006</v>
      </c>
      <c r="G1505" s="39">
        <v>45383</v>
      </c>
    </row>
    <row r="1506" spans="1:7" x14ac:dyDescent="0.25">
      <c r="A1506" t="s">
        <v>41</v>
      </c>
      <c r="B1506">
        <v>2024</v>
      </c>
      <c r="C1506" t="s">
        <v>11</v>
      </c>
      <c r="F1506">
        <v>132507.47018000006</v>
      </c>
      <c r="G1506" s="39">
        <v>45413</v>
      </c>
    </row>
    <row r="1507" spans="1:7" x14ac:dyDescent="0.25">
      <c r="A1507" t="s">
        <v>41</v>
      </c>
      <c r="B1507">
        <v>2024</v>
      </c>
      <c r="C1507" t="s">
        <v>12</v>
      </c>
      <c r="F1507">
        <v>132507.47018000006</v>
      </c>
      <c r="G1507" s="39">
        <v>45444</v>
      </c>
    </row>
    <row r="1508" spans="1:7" x14ac:dyDescent="0.25">
      <c r="A1508" t="s">
        <v>41</v>
      </c>
      <c r="B1508">
        <v>2024</v>
      </c>
      <c r="C1508" t="s">
        <v>13</v>
      </c>
      <c r="F1508">
        <v>132507.47018000006</v>
      </c>
      <c r="G1508" s="39">
        <v>45474</v>
      </c>
    </row>
    <row r="1509" spans="1:7" x14ac:dyDescent="0.25">
      <c r="A1509" t="s">
        <v>41</v>
      </c>
      <c r="B1509">
        <v>2024</v>
      </c>
      <c r="C1509" t="s">
        <v>14</v>
      </c>
      <c r="F1509">
        <v>132507.47018000006</v>
      </c>
      <c r="G1509" s="39">
        <v>45505</v>
      </c>
    </row>
    <row r="1510" spans="1:7" x14ac:dyDescent="0.25">
      <c r="A1510" t="s">
        <v>41</v>
      </c>
      <c r="B1510">
        <v>2024</v>
      </c>
      <c r="C1510" t="s">
        <v>15</v>
      </c>
      <c r="F1510">
        <v>132507.47018000006</v>
      </c>
      <c r="G1510" s="39">
        <v>45536</v>
      </c>
    </row>
    <row r="1511" spans="1:7" x14ac:dyDescent="0.25">
      <c r="A1511" t="s">
        <v>41</v>
      </c>
      <c r="B1511">
        <v>2024</v>
      </c>
      <c r="C1511" t="s">
        <v>16</v>
      </c>
      <c r="F1511">
        <v>132507.47018000006</v>
      </c>
      <c r="G1511" s="39">
        <v>45566</v>
      </c>
    </row>
    <row r="1512" spans="1:7" x14ac:dyDescent="0.25">
      <c r="A1512" t="s">
        <v>41</v>
      </c>
      <c r="B1512">
        <v>2024</v>
      </c>
      <c r="C1512" t="s">
        <v>17</v>
      </c>
      <c r="F1512">
        <v>132507.47018000006</v>
      </c>
      <c r="G1512" s="39">
        <v>45597</v>
      </c>
    </row>
    <row r="1513" spans="1:7" x14ac:dyDescent="0.25">
      <c r="A1513" t="s">
        <v>41</v>
      </c>
      <c r="B1513">
        <v>2024</v>
      </c>
      <c r="C1513" t="s">
        <v>18</v>
      </c>
      <c r="F1513">
        <v>132507.47018000006</v>
      </c>
      <c r="G1513" s="39">
        <v>45627</v>
      </c>
    </row>
    <row r="1514" spans="1:7" x14ac:dyDescent="0.25">
      <c r="A1514" t="s">
        <v>48</v>
      </c>
      <c r="B1514">
        <v>2019</v>
      </c>
      <c r="C1514" t="s">
        <v>7</v>
      </c>
      <c r="F1514">
        <v>0</v>
      </c>
      <c r="G1514" s="39">
        <v>43466</v>
      </c>
    </row>
    <row r="1515" spans="1:7" x14ac:dyDescent="0.25">
      <c r="A1515" t="s">
        <v>48</v>
      </c>
      <c r="B1515">
        <v>2019</v>
      </c>
      <c r="C1515" t="s">
        <v>8</v>
      </c>
      <c r="F1515">
        <v>0</v>
      </c>
      <c r="G1515" s="39">
        <v>43497</v>
      </c>
    </row>
    <row r="1516" spans="1:7" x14ac:dyDescent="0.25">
      <c r="A1516" t="s">
        <v>48</v>
      </c>
      <c r="B1516">
        <v>2019</v>
      </c>
      <c r="C1516" t="s">
        <v>9</v>
      </c>
      <c r="F1516">
        <v>0</v>
      </c>
      <c r="G1516" s="39">
        <v>43525</v>
      </c>
    </row>
    <row r="1517" spans="1:7" x14ac:dyDescent="0.25">
      <c r="A1517" t="s">
        <v>48</v>
      </c>
      <c r="B1517">
        <v>2019</v>
      </c>
      <c r="C1517" t="s">
        <v>10</v>
      </c>
      <c r="F1517">
        <v>0</v>
      </c>
      <c r="G1517" s="39">
        <v>43556</v>
      </c>
    </row>
    <row r="1518" spans="1:7" x14ac:dyDescent="0.25">
      <c r="A1518" t="s">
        <v>48</v>
      </c>
      <c r="B1518">
        <v>2019</v>
      </c>
      <c r="C1518" t="s">
        <v>11</v>
      </c>
      <c r="F1518">
        <v>0</v>
      </c>
      <c r="G1518" s="39">
        <v>43586</v>
      </c>
    </row>
    <row r="1519" spans="1:7" x14ac:dyDescent="0.25">
      <c r="A1519" t="s">
        <v>48</v>
      </c>
      <c r="B1519">
        <v>2019</v>
      </c>
      <c r="C1519" t="s">
        <v>12</v>
      </c>
      <c r="F1519">
        <v>0</v>
      </c>
      <c r="G1519" s="39">
        <v>43617</v>
      </c>
    </row>
    <row r="1520" spans="1:7" x14ac:dyDescent="0.25">
      <c r="A1520" t="s">
        <v>48</v>
      </c>
      <c r="B1520">
        <v>2019</v>
      </c>
      <c r="C1520" t="s">
        <v>13</v>
      </c>
      <c r="F1520">
        <v>0</v>
      </c>
      <c r="G1520" s="39">
        <v>43647</v>
      </c>
    </row>
    <row r="1521" spans="1:7" x14ac:dyDescent="0.25">
      <c r="A1521" t="s">
        <v>48</v>
      </c>
      <c r="B1521">
        <v>2019</v>
      </c>
      <c r="C1521" t="s">
        <v>14</v>
      </c>
      <c r="F1521">
        <v>0</v>
      </c>
      <c r="G1521" s="39">
        <v>43678</v>
      </c>
    </row>
    <row r="1522" spans="1:7" x14ac:dyDescent="0.25">
      <c r="A1522" t="s">
        <v>48</v>
      </c>
      <c r="B1522">
        <v>2019</v>
      </c>
      <c r="C1522" t="s">
        <v>15</v>
      </c>
      <c r="F1522">
        <v>0</v>
      </c>
      <c r="G1522" s="39">
        <v>43709</v>
      </c>
    </row>
    <row r="1523" spans="1:7" x14ac:dyDescent="0.25">
      <c r="A1523" t="s">
        <v>48</v>
      </c>
      <c r="B1523">
        <v>2019</v>
      </c>
      <c r="C1523" t="s">
        <v>16</v>
      </c>
      <c r="F1523">
        <v>0</v>
      </c>
      <c r="G1523" s="39">
        <v>43739</v>
      </c>
    </row>
    <row r="1524" spans="1:7" x14ac:dyDescent="0.25">
      <c r="A1524" t="s">
        <v>48</v>
      </c>
      <c r="B1524">
        <v>2019</v>
      </c>
      <c r="C1524" t="s">
        <v>17</v>
      </c>
      <c r="F1524">
        <v>0</v>
      </c>
      <c r="G1524" s="39">
        <v>43770</v>
      </c>
    </row>
    <row r="1525" spans="1:7" x14ac:dyDescent="0.25">
      <c r="A1525" t="s">
        <v>48</v>
      </c>
      <c r="B1525">
        <v>2019</v>
      </c>
      <c r="C1525" t="s">
        <v>18</v>
      </c>
      <c r="F1525">
        <v>0</v>
      </c>
      <c r="G1525" s="39">
        <v>43800</v>
      </c>
    </row>
    <row r="1526" spans="1:7" x14ac:dyDescent="0.25">
      <c r="A1526" t="s">
        <v>48</v>
      </c>
      <c r="B1526">
        <v>2020</v>
      </c>
      <c r="C1526" t="s">
        <v>7</v>
      </c>
      <c r="F1526">
        <v>0</v>
      </c>
      <c r="G1526" s="39">
        <v>43831</v>
      </c>
    </row>
    <row r="1527" spans="1:7" x14ac:dyDescent="0.25">
      <c r="A1527" t="s">
        <v>48</v>
      </c>
      <c r="B1527">
        <v>2020</v>
      </c>
      <c r="C1527" t="s">
        <v>8</v>
      </c>
      <c r="F1527">
        <v>0</v>
      </c>
      <c r="G1527" s="39">
        <v>43862</v>
      </c>
    </row>
    <row r="1528" spans="1:7" x14ac:dyDescent="0.25">
      <c r="A1528" t="s">
        <v>48</v>
      </c>
      <c r="B1528">
        <v>2020</v>
      </c>
      <c r="C1528" t="s">
        <v>9</v>
      </c>
      <c r="F1528">
        <v>0</v>
      </c>
      <c r="G1528" s="39">
        <v>43891</v>
      </c>
    </row>
    <row r="1529" spans="1:7" x14ac:dyDescent="0.25">
      <c r="A1529" t="s">
        <v>48</v>
      </c>
      <c r="B1529">
        <v>2020</v>
      </c>
      <c r="C1529" t="s">
        <v>10</v>
      </c>
      <c r="F1529">
        <v>0</v>
      </c>
      <c r="G1529" s="39">
        <v>43922</v>
      </c>
    </row>
    <row r="1530" spans="1:7" x14ac:dyDescent="0.25">
      <c r="A1530" t="s">
        <v>48</v>
      </c>
      <c r="B1530">
        <v>2020</v>
      </c>
      <c r="C1530" t="s">
        <v>11</v>
      </c>
      <c r="F1530">
        <v>0</v>
      </c>
      <c r="G1530" s="39">
        <v>43952</v>
      </c>
    </row>
    <row r="1531" spans="1:7" x14ac:dyDescent="0.25">
      <c r="A1531" t="s">
        <v>48</v>
      </c>
      <c r="B1531">
        <v>2020</v>
      </c>
      <c r="C1531" t="s">
        <v>12</v>
      </c>
      <c r="F1531">
        <v>0</v>
      </c>
      <c r="G1531" s="39">
        <v>43983</v>
      </c>
    </row>
    <row r="1532" spans="1:7" x14ac:dyDescent="0.25">
      <c r="A1532" t="s">
        <v>48</v>
      </c>
      <c r="B1532">
        <v>2020</v>
      </c>
      <c r="C1532" t="s">
        <v>13</v>
      </c>
      <c r="F1532">
        <v>0</v>
      </c>
      <c r="G1532" s="39">
        <v>44013</v>
      </c>
    </row>
    <row r="1533" spans="1:7" x14ac:dyDescent="0.25">
      <c r="A1533" t="s">
        <v>48</v>
      </c>
      <c r="B1533">
        <v>2020</v>
      </c>
      <c r="C1533" t="s">
        <v>14</v>
      </c>
      <c r="F1533">
        <v>0</v>
      </c>
      <c r="G1533" s="39">
        <v>44044</v>
      </c>
    </row>
    <row r="1534" spans="1:7" x14ac:dyDescent="0.25">
      <c r="A1534" t="s">
        <v>48</v>
      </c>
      <c r="B1534">
        <v>2020</v>
      </c>
      <c r="C1534" t="s">
        <v>15</v>
      </c>
      <c r="F1534">
        <v>0</v>
      </c>
      <c r="G1534" s="39">
        <v>44075</v>
      </c>
    </row>
    <row r="1535" spans="1:7" x14ac:dyDescent="0.25">
      <c r="A1535" t="s">
        <v>48</v>
      </c>
      <c r="B1535">
        <v>2020</v>
      </c>
      <c r="C1535" t="s">
        <v>16</v>
      </c>
      <c r="F1535">
        <v>0</v>
      </c>
      <c r="G1535" s="39">
        <v>44105</v>
      </c>
    </row>
    <row r="1536" spans="1:7" x14ac:dyDescent="0.25">
      <c r="A1536" t="s">
        <v>48</v>
      </c>
      <c r="B1536">
        <v>2020</v>
      </c>
      <c r="C1536" t="s">
        <v>17</v>
      </c>
      <c r="F1536">
        <v>0</v>
      </c>
      <c r="G1536" s="39">
        <v>44136</v>
      </c>
    </row>
    <row r="1537" spans="1:7" x14ac:dyDescent="0.25">
      <c r="A1537" t="s">
        <v>48</v>
      </c>
      <c r="B1537">
        <v>2020</v>
      </c>
      <c r="C1537" t="s">
        <v>18</v>
      </c>
      <c r="F1537">
        <v>0</v>
      </c>
      <c r="G1537" s="39">
        <v>44166</v>
      </c>
    </row>
    <row r="1538" spans="1:7" x14ac:dyDescent="0.25">
      <c r="A1538" t="s">
        <v>48</v>
      </c>
      <c r="B1538">
        <v>2021</v>
      </c>
      <c r="C1538" t="s">
        <v>7</v>
      </c>
      <c r="F1538">
        <v>0</v>
      </c>
      <c r="G1538" s="39">
        <v>44197</v>
      </c>
    </row>
    <row r="1539" spans="1:7" x14ac:dyDescent="0.25">
      <c r="A1539" t="s">
        <v>48</v>
      </c>
      <c r="B1539">
        <v>2021</v>
      </c>
      <c r="C1539" t="s">
        <v>8</v>
      </c>
      <c r="F1539">
        <v>0</v>
      </c>
      <c r="G1539" s="39">
        <v>44228</v>
      </c>
    </row>
    <row r="1540" spans="1:7" x14ac:dyDescent="0.25">
      <c r="A1540" t="s">
        <v>48</v>
      </c>
      <c r="B1540">
        <v>2021</v>
      </c>
      <c r="C1540" t="s">
        <v>9</v>
      </c>
      <c r="F1540">
        <v>0</v>
      </c>
      <c r="G1540" s="39">
        <v>44256</v>
      </c>
    </row>
    <row r="1541" spans="1:7" x14ac:dyDescent="0.25">
      <c r="A1541" t="s">
        <v>48</v>
      </c>
      <c r="B1541">
        <v>2021</v>
      </c>
      <c r="C1541" t="s">
        <v>10</v>
      </c>
      <c r="F1541">
        <v>0</v>
      </c>
      <c r="G1541" s="39">
        <v>44287</v>
      </c>
    </row>
    <row r="1542" spans="1:7" x14ac:dyDescent="0.25">
      <c r="A1542" t="s">
        <v>48</v>
      </c>
      <c r="B1542">
        <v>2021</v>
      </c>
      <c r="C1542" t="s">
        <v>11</v>
      </c>
      <c r="F1542">
        <v>0</v>
      </c>
      <c r="G1542" s="39">
        <v>44317</v>
      </c>
    </row>
    <row r="1543" spans="1:7" x14ac:dyDescent="0.25">
      <c r="A1543" t="s">
        <v>48</v>
      </c>
      <c r="B1543">
        <v>2021</v>
      </c>
      <c r="C1543" t="s">
        <v>12</v>
      </c>
      <c r="F1543">
        <v>0</v>
      </c>
      <c r="G1543" s="39">
        <v>44348</v>
      </c>
    </row>
    <row r="1544" spans="1:7" x14ac:dyDescent="0.25">
      <c r="A1544" t="s">
        <v>48</v>
      </c>
      <c r="B1544">
        <v>2021</v>
      </c>
      <c r="C1544" t="s">
        <v>13</v>
      </c>
      <c r="F1544">
        <v>0</v>
      </c>
      <c r="G1544" s="39">
        <v>44378</v>
      </c>
    </row>
    <row r="1545" spans="1:7" x14ac:dyDescent="0.25">
      <c r="A1545" t="s">
        <v>48</v>
      </c>
      <c r="B1545">
        <v>2021</v>
      </c>
      <c r="C1545" t="s">
        <v>14</v>
      </c>
      <c r="F1545">
        <v>0</v>
      </c>
      <c r="G1545" s="39">
        <v>44409</v>
      </c>
    </row>
    <row r="1546" spans="1:7" x14ac:dyDescent="0.25">
      <c r="A1546" t="s">
        <v>48</v>
      </c>
      <c r="B1546">
        <v>2021</v>
      </c>
      <c r="C1546" t="s">
        <v>15</v>
      </c>
      <c r="F1546">
        <v>0</v>
      </c>
      <c r="G1546" s="39">
        <v>44440</v>
      </c>
    </row>
    <row r="1547" spans="1:7" x14ac:dyDescent="0.25">
      <c r="A1547" t="s">
        <v>48</v>
      </c>
      <c r="B1547">
        <v>2021</v>
      </c>
      <c r="C1547" t="s">
        <v>16</v>
      </c>
      <c r="F1547">
        <v>0</v>
      </c>
      <c r="G1547" s="39">
        <v>44470</v>
      </c>
    </row>
    <row r="1548" spans="1:7" x14ac:dyDescent="0.25">
      <c r="A1548" t="s">
        <v>48</v>
      </c>
      <c r="B1548">
        <v>2021</v>
      </c>
      <c r="C1548" t="s">
        <v>17</v>
      </c>
      <c r="F1548">
        <v>0</v>
      </c>
      <c r="G1548" s="39">
        <v>44501</v>
      </c>
    </row>
    <row r="1549" spans="1:7" x14ac:dyDescent="0.25">
      <c r="A1549" t="s">
        <v>48</v>
      </c>
      <c r="B1549">
        <v>2021</v>
      </c>
      <c r="C1549" t="s">
        <v>18</v>
      </c>
      <c r="F1549">
        <v>0</v>
      </c>
      <c r="G1549" s="39">
        <v>44531</v>
      </c>
    </row>
    <row r="1550" spans="1:7" x14ac:dyDescent="0.25">
      <c r="A1550" t="s">
        <v>48</v>
      </c>
      <c r="B1550">
        <v>2022</v>
      </c>
      <c r="C1550" t="s">
        <v>7</v>
      </c>
      <c r="F1550">
        <v>0</v>
      </c>
      <c r="G1550" s="39">
        <v>44562</v>
      </c>
    </row>
    <row r="1551" spans="1:7" x14ac:dyDescent="0.25">
      <c r="A1551" t="s">
        <v>48</v>
      </c>
      <c r="B1551">
        <v>2022</v>
      </c>
      <c r="C1551" t="s">
        <v>8</v>
      </c>
      <c r="F1551">
        <v>0</v>
      </c>
      <c r="G1551" s="39">
        <v>44593</v>
      </c>
    </row>
    <row r="1552" spans="1:7" x14ac:dyDescent="0.25">
      <c r="A1552" t="s">
        <v>48</v>
      </c>
      <c r="B1552">
        <v>2022</v>
      </c>
      <c r="C1552" t="s">
        <v>9</v>
      </c>
      <c r="F1552">
        <v>0</v>
      </c>
      <c r="G1552" s="39">
        <v>44621</v>
      </c>
    </row>
    <row r="1553" spans="1:7" x14ac:dyDescent="0.25">
      <c r="A1553" t="s">
        <v>48</v>
      </c>
      <c r="B1553">
        <v>2022</v>
      </c>
      <c r="C1553" t="s">
        <v>10</v>
      </c>
      <c r="F1553">
        <v>0</v>
      </c>
      <c r="G1553" s="39">
        <v>44652</v>
      </c>
    </row>
    <row r="1554" spans="1:7" x14ac:dyDescent="0.25">
      <c r="A1554" t="s">
        <v>48</v>
      </c>
      <c r="B1554">
        <v>2022</v>
      </c>
      <c r="C1554" t="s">
        <v>11</v>
      </c>
      <c r="F1554">
        <v>0</v>
      </c>
      <c r="G1554" s="39">
        <v>44682</v>
      </c>
    </row>
    <row r="1555" spans="1:7" x14ac:dyDescent="0.25">
      <c r="A1555" t="s">
        <v>48</v>
      </c>
      <c r="B1555">
        <v>2022</v>
      </c>
      <c r="C1555" t="s">
        <v>12</v>
      </c>
      <c r="F1555">
        <v>0</v>
      </c>
      <c r="G1555" s="39">
        <v>44713</v>
      </c>
    </row>
    <row r="1556" spans="1:7" x14ac:dyDescent="0.25">
      <c r="A1556" t="s">
        <v>48</v>
      </c>
      <c r="B1556">
        <v>2022</v>
      </c>
      <c r="C1556" t="s">
        <v>13</v>
      </c>
      <c r="D1556">
        <v>514074</v>
      </c>
      <c r="E1556">
        <v>514074</v>
      </c>
      <c r="F1556">
        <v>0</v>
      </c>
      <c r="G1556" s="39">
        <v>44743</v>
      </c>
    </row>
    <row r="1557" spans="1:7" x14ac:dyDescent="0.25">
      <c r="A1557" t="s">
        <v>48</v>
      </c>
      <c r="B1557">
        <v>2022</v>
      </c>
      <c r="C1557" t="s">
        <v>14</v>
      </c>
      <c r="D1557">
        <v>438269.45</v>
      </c>
      <c r="E1557">
        <v>88981.979240999994</v>
      </c>
      <c r="F1557">
        <v>349287.47075900005</v>
      </c>
      <c r="G1557" s="39">
        <v>44774</v>
      </c>
    </row>
    <row r="1558" spans="1:7" x14ac:dyDescent="0.25">
      <c r="A1558" t="s">
        <v>48</v>
      </c>
      <c r="B1558">
        <v>2022</v>
      </c>
      <c r="C1558" t="s">
        <v>15</v>
      </c>
      <c r="D1558">
        <v>448488.42</v>
      </c>
      <c r="E1558">
        <v>371094.29699599999</v>
      </c>
      <c r="F1558">
        <v>426681.5937630001</v>
      </c>
      <c r="G1558" s="39">
        <v>44805</v>
      </c>
    </row>
    <row r="1559" spans="1:7" x14ac:dyDescent="0.25">
      <c r="A1559" t="s">
        <v>48</v>
      </c>
      <c r="B1559">
        <v>2022</v>
      </c>
      <c r="C1559" t="s">
        <v>16</v>
      </c>
      <c r="D1559">
        <v>442490.92</v>
      </c>
      <c r="E1559">
        <v>435493.59945500002</v>
      </c>
      <c r="F1559">
        <v>433678.91430800001</v>
      </c>
      <c r="G1559" s="39">
        <v>44835</v>
      </c>
    </row>
    <row r="1560" spans="1:7" x14ac:dyDescent="0.25">
      <c r="A1560" t="s">
        <v>48</v>
      </c>
      <c r="B1560">
        <v>2022</v>
      </c>
      <c r="C1560" t="s">
        <v>17</v>
      </c>
      <c r="D1560">
        <v>449274.63</v>
      </c>
      <c r="E1560">
        <v>459417.68524199998</v>
      </c>
      <c r="F1560">
        <v>423535.85906600003</v>
      </c>
      <c r="G1560" s="39">
        <v>44866</v>
      </c>
    </row>
    <row r="1561" spans="1:7" x14ac:dyDescent="0.25">
      <c r="A1561" t="s">
        <v>48</v>
      </c>
      <c r="B1561">
        <v>2022</v>
      </c>
      <c r="C1561" t="s">
        <v>18</v>
      </c>
      <c r="D1561">
        <v>576972</v>
      </c>
      <c r="E1561">
        <v>109728.41075700001</v>
      </c>
      <c r="F1561">
        <v>890779.448309</v>
      </c>
      <c r="G1561" s="39">
        <v>44896</v>
      </c>
    </row>
    <row r="1562" spans="1:7" x14ac:dyDescent="0.25">
      <c r="A1562" t="s">
        <v>48</v>
      </c>
      <c r="B1562">
        <v>2023</v>
      </c>
      <c r="C1562" t="s">
        <v>7</v>
      </c>
      <c r="D1562">
        <v>0</v>
      </c>
      <c r="E1562">
        <v>93413.651329999993</v>
      </c>
      <c r="F1562">
        <v>797365.79697899998</v>
      </c>
      <c r="G1562" s="39">
        <v>44927</v>
      </c>
    </row>
    <row r="1563" spans="1:7" x14ac:dyDescent="0.25">
      <c r="A1563" t="s">
        <v>48</v>
      </c>
      <c r="B1563">
        <v>2023</v>
      </c>
      <c r="C1563" t="s">
        <v>8</v>
      </c>
      <c r="D1563">
        <v>820405.08</v>
      </c>
      <c r="E1563">
        <v>432963.09649899998</v>
      </c>
      <c r="F1563">
        <v>1184807.78048</v>
      </c>
      <c r="G1563" s="39">
        <v>44958</v>
      </c>
    </row>
    <row r="1564" spans="1:7" x14ac:dyDescent="0.25">
      <c r="A1564" t="s">
        <v>48</v>
      </c>
      <c r="B1564">
        <v>2023</v>
      </c>
      <c r="C1564" t="s">
        <v>9</v>
      </c>
      <c r="D1564">
        <v>0</v>
      </c>
      <c r="E1564">
        <v>428659.03757300001</v>
      </c>
      <c r="F1564">
        <v>756148.74290700001</v>
      </c>
      <c r="G1564" s="39">
        <v>44986</v>
      </c>
    </row>
    <row r="1565" spans="1:7" x14ac:dyDescent="0.25">
      <c r="A1565" t="s">
        <v>48</v>
      </c>
      <c r="B1565">
        <v>2023</v>
      </c>
      <c r="C1565" t="s">
        <v>10</v>
      </c>
      <c r="D1565">
        <v>807921.42</v>
      </c>
      <c r="E1565">
        <v>142805.241373</v>
      </c>
      <c r="F1565">
        <v>1421264.9215340002</v>
      </c>
      <c r="G1565" s="39">
        <v>45017</v>
      </c>
    </row>
    <row r="1566" spans="1:7" x14ac:dyDescent="0.25">
      <c r="A1566" t="s">
        <v>48</v>
      </c>
      <c r="B1566">
        <v>2023</v>
      </c>
      <c r="C1566" t="s">
        <v>11</v>
      </c>
      <c r="D1566">
        <v>0</v>
      </c>
      <c r="E1566">
        <v>116652.56714100001</v>
      </c>
      <c r="F1566">
        <v>1304612.3543930002</v>
      </c>
      <c r="G1566" s="39">
        <v>45047</v>
      </c>
    </row>
    <row r="1567" spans="1:7" x14ac:dyDescent="0.25">
      <c r="A1567" t="s">
        <v>48</v>
      </c>
      <c r="B1567">
        <v>2023</v>
      </c>
      <c r="C1567" t="s">
        <v>12</v>
      </c>
      <c r="D1567">
        <v>0</v>
      </c>
      <c r="E1567">
        <v>202654.141711</v>
      </c>
      <c r="F1567">
        <v>1101958.2126820004</v>
      </c>
      <c r="G1567" s="39">
        <v>45078</v>
      </c>
    </row>
    <row r="1568" spans="1:7" x14ac:dyDescent="0.25">
      <c r="A1568" t="s">
        <v>48</v>
      </c>
      <c r="B1568">
        <v>2023</v>
      </c>
      <c r="C1568" t="s">
        <v>13</v>
      </c>
      <c r="D1568">
        <v>0</v>
      </c>
      <c r="E1568">
        <v>559466.14150100003</v>
      </c>
      <c r="F1568">
        <v>542492.07118100033</v>
      </c>
      <c r="G1568" s="39">
        <v>45108</v>
      </c>
    </row>
    <row r="1569" spans="1:7" x14ac:dyDescent="0.25">
      <c r="A1569" t="s">
        <v>48</v>
      </c>
      <c r="B1569">
        <v>2023</v>
      </c>
      <c r="C1569" t="s">
        <v>14</v>
      </c>
      <c r="D1569">
        <v>288966.19</v>
      </c>
      <c r="E1569">
        <v>208873.10386100001</v>
      </c>
      <c r="F1569">
        <v>622585.15732000035</v>
      </c>
      <c r="G1569" s="39">
        <v>45139</v>
      </c>
    </row>
    <row r="1570" spans="1:7" x14ac:dyDescent="0.25">
      <c r="A1570" t="s">
        <v>48</v>
      </c>
      <c r="B1570">
        <v>2023</v>
      </c>
      <c r="C1570" t="s">
        <v>15</v>
      </c>
      <c r="D1570">
        <v>0</v>
      </c>
      <c r="E1570">
        <v>448778.95894699998</v>
      </c>
      <c r="F1570">
        <v>173806.19837300037</v>
      </c>
      <c r="G1570" s="39">
        <v>45170</v>
      </c>
    </row>
    <row r="1571" spans="1:7" x14ac:dyDescent="0.25">
      <c r="A1571" t="s">
        <v>48</v>
      </c>
      <c r="B1571">
        <v>2023</v>
      </c>
      <c r="C1571" t="s">
        <v>16</v>
      </c>
      <c r="D1571">
        <v>277041.61</v>
      </c>
      <c r="E1571">
        <v>22674.592520999999</v>
      </c>
      <c r="F1571">
        <v>428173.21585200034</v>
      </c>
      <c r="G1571" s="39">
        <v>45200</v>
      </c>
    </row>
    <row r="1572" spans="1:7" x14ac:dyDescent="0.25">
      <c r="A1572" t="s">
        <v>48</v>
      </c>
      <c r="B1572">
        <v>2023</v>
      </c>
      <c r="C1572" t="s">
        <v>17</v>
      </c>
      <c r="D1572">
        <v>0</v>
      </c>
      <c r="E1572">
        <v>46785.192862999997</v>
      </c>
      <c r="F1572">
        <v>381388.02298900037</v>
      </c>
      <c r="G1572" s="39">
        <v>45231</v>
      </c>
    </row>
    <row r="1573" spans="1:7" x14ac:dyDescent="0.25">
      <c r="A1573" t="s">
        <v>48</v>
      </c>
      <c r="B1573">
        <v>2023</v>
      </c>
      <c r="C1573" t="s">
        <v>18</v>
      </c>
      <c r="D1573">
        <v>259336.33</v>
      </c>
      <c r="E1573">
        <v>257862.50420699999</v>
      </c>
      <c r="F1573">
        <v>382861.84878200036</v>
      </c>
      <c r="G1573" s="39">
        <v>45261</v>
      </c>
    </row>
    <row r="1574" spans="1:7" x14ac:dyDescent="0.25">
      <c r="A1574" t="s">
        <v>48</v>
      </c>
      <c r="B1574">
        <v>2024</v>
      </c>
      <c r="C1574" t="s">
        <v>7</v>
      </c>
      <c r="F1574">
        <v>382861.84878200036</v>
      </c>
      <c r="G1574" s="39">
        <v>45292</v>
      </c>
    </row>
    <row r="1575" spans="1:7" x14ac:dyDescent="0.25">
      <c r="A1575" t="s">
        <v>48</v>
      </c>
      <c r="B1575">
        <v>2024</v>
      </c>
      <c r="C1575" t="s">
        <v>8</v>
      </c>
      <c r="F1575">
        <v>382861.84878200036</v>
      </c>
      <c r="G1575" s="39">
        <v>45323</v>
      </c>
    </row>
    <row r="1576" spans="1:7" x14ac:dyDescent="0.25">
      <c r="A1576" t="s">
        <v>48</v>
      </c>
      <c r="B1576">
        <v>2024</v>
      </c>
      <c r="C1576" t="s">
        <v>9</v>
      </c>
      <c r="F1576">
        <v>382861.84878200036</v>
      </c>
      <c r="G1576" s="39">
        <v>45352</v>
      </c>
    </row>
    <row r="1577" spans="1:7" x14ac:dyDescent="0.25">
      <c r="A1577" t="s">
        <v>48</v>
      </c>
      <c r="B1577">
        <v>2024</v>
      </c>
      <c r="C1577" t="s">
        <v>10</v>
      </c>
      <c r="F1577">
        <v>382861.84878200036</v>
      </c>
      <c r="G1577" s="39">
        <v>45383</v>
      </c>
    </row>
    <row r="1578" spans="1:7" x14ac:dyDescent="0.25">
      <c r="A1578" t="s">
        <v>48</v>
      </c>
      <c r="B1578">
        <v>2024</v>
      </c>
      <c r="C1578" t="s">
        <v>11</v>
      </c>
      <c r="F1578">
        <v>382861.84878200036</v>
      </c>
      <c r="G1578" s="39">
        <v>45413</v>
      </c>
    </row>
    <row r="1579" spans="1:7" x14ac:dyDescent="0.25">
      <c r="A1579" t="s">
        <v>48</v>
      </c>
      <c r="B1579">
        <v>2024</v>
      </c>
      <c r="C1579" t="s">
        <v>12</v>
      </c>
      <c r="F1579">
        <v>382861.84878200036</v>
      </c>
      <c r="G1579" s="39">
        <v>45444</v>
      </c>
    </row>
    <row r="1580" spans="1:7" x14ac:dyDescent="0.25">
      <c r="A1580" t="s">
        <v>48</v>
      </c>
      <c r="B1580">
        <v>2024</v>
      </c>
      <c r="C1580" t="s">
        <v>13</v>
      </c>
      <c r="F1580">
        <v>382861.84878200036</v>
      </c>
      <c r="G1580" s="39">
        <v>45474</v>
      </c>
    </row>
    <row r="1581" spans="1:7" x14ac:dyDescent="0.25">
      <c r="A1581" t="s">
        <v>48</v>
      </c>
      <c r="B1581">
        <v>2024</v>
      </c>
      <c r="C1581" t="s">
        <v>14</v>
      </c>
      <c r="F1581">
        <v>382861.84878200036</v>
      </c>
      <c r="G1581" s="39">
        <v>45505</v>
      </c>
    </row>
    <row r="1582" spans="1:7" x14ac:dyDescent="0.25">
      <c r="A1582" t="s">
        <v>48</v>
      </c>
      <c r="B1582">
        <v>2024</v>
      </c>
      <c r="C1582" t="s">
        <v>15</v>
      </c>
      <c r="F1582">
        <v>382861.84878200036</v>
      </c>
      <c r="G1582" s="39">
        <v>45536</v>
      </c>
    </row>
    <row r="1583" spans="1:7" x14ac:dyDescent="0.25">
      <c r="A1583" t="s">
        <v>48</v>
      </c>
      <c r="B1583">
        <v>2024</v>
      </c>
      <c r="C1583" t="s">
        <v>16</v>
      </c>
      <c r="F1583">
        <v>382861.84878200036</v>
      </c>
      <c r="G1583" s="39">
        <v>45566</v>
      </c>
    </row>
    <row r="1584" spans="1:7" x14ac:dyDescent="0.25">
      <c r="A1584" t="s">
        <v>48</v>
      </c>
      <c r="B1584">
        <v>2024</v>
      </c>
      <c r="C1584" t="s">
        <v>17</v>
      </c>
      <c r="F1584">
        <v>382861.84878200036</v>
      </c>
      <c r="G1584" s="39">
        <v>45597</v>
      </c>
    </row>
    <row r="1585" spans="1:7" x14ac:dyDescent="0.25">
      <c r="A1585" t="s">
        <v>48</v>
      </c>
      <c r="B1585">
        <v>2024</v>
      </c>
      <c r="C1585" t="s">
        <v>18</v>
      </c>
      <c r="F1585">
        <v>382861.84878200036</v>
      </c>
      <c r="G1585" s="39">
        <v>45627</v>
      </c>
    </row>
    <row r="1586" spans="1:7" x14ac:dyDescent="0.25">
      <c r="A1586" t="s">
        <v>49</v>
      </c>
      <c r="B1586">
        <v>2019</v>
      </c>
      <c r="C1586" t="s">
        <v>7</v>
      </c>
      <c r="F1586">
        <v>236790</v>
      </c>
      <c r="G1586" s="39">
        <v>43466</v>
      </c>
    </row>
    <row r="1587" spans="1:7" x14ac:dyDescent="0.25">
      <c r="A1587" t="s">
        <v>49</v>
      </c>
      <c r="B1587">
        <v>2019</v>
      </c>
      <c r="C1587" t="s">
        <v>8</v>
      </c>
      <c r="F1587">
        <v>236790</v>
      </c>
      <c r="G1587" s="39">
        <v>43497</v>
      </c>
    </row>
    <row r="1588" spans="1:7" x14ac:dyDescent="0.25">
      <c r="A1588" t="s">
        <v>49</v>
      </c>
      <c r="B1588">
        <v>2019</v>
      </c>
      <c r="C1588" t="s">
        <v>9</v>
      </c>
      <c r="F1588">
        <v>236790</v>
      </c>
      <c r="G1588" s="39">
        <v>43525</v>
      </c>
    </row>
    <row r="1589" spans="1:7" x14ac:dyDescent="0.25">
      <c r="A1589" t="s">
        <v>49</v>
      </c>
      <c r="B1589">
        <v>2019</v>
      </c>
      <c r="C1589" t="s">
        <v>10</v>
      </c>
      <c r="F1589">
        <v>236790</v>
      </c>
      <c r="G1589" s="39">
        <v>43556</v>
      </c>
    </row>
    <row r="1590" spans="1:7" x14ac:dyDescent="0.25">
      <c r="A1590" t="s">
        <v>49</v>
      </c>
      <c r="B1590">
        <v>2019</v>
      </c>
      <c r="C1590" t="s">
        <v>11</v>
      </c>
      <c r="F1590">
        <v>236790</v>
      </c>
      <c r="G1590" s="39">
        <v>43586</v>
      </c>
    </row>
    <row r="1591" spans="1:7" x14ac:dyDescent="0.25">
      <c r="A1591" t="s">
        <v>49</v>
      </c>
      <c r="B1591">
        <v>2019</v>
      </c>
      <c r="C1591" t="s">
        <v>12</v>
      </c>
      <c r="F1591">
        <v>236790</v>
      </c>
      <c r="G1591" s="39">
        <v>43617</v>
      </c>
    </row>
    <row r="1592" spans="1:7" x14ac:dyDescent="0.25">
      <c r="A1592" t="s">
        <v>49</v>
      </c>
      <c r="B1592">
        <v>2019</v>
      </c>
      <c r="C1592" t="s">
        <v>13</v>
      </c>
      <c r="F1592">
        <v>236790</v>
      </c>
      <c r="G1592" s="39">
        <v>43647</v>
      </c>
    </row>
    <row r="1593" spans="1:7" x14ac:dyDescent="0.25">
      <c r="A1593" t="s">
        <v>49</v>
      </c>
      <c r="B1593">
        <v>2019</v>
      </c>
      <c r="C1593" t="s">
        <v>14</v>
      </c>
      <c r="F1593">
        <v>236790</v>
      </c>
      <c r="G1593" s="39">
        <v>43678</v>
      </c>
    </row>
    <row r="1594" spans="1:7" x14ac:dyDescent="0.25">
      <c r="A1594" t="s">
        <v>49</v>
      </c>
      <c r="B1594">
        <v>2019</v>
      </c>
      <c r="C1594" t="s">
        <v>15</v>
      </c>
      <c r="F1594">
        <v>236790</v>
      </c>
      <c r="G1594" s="39">
        <v>43709</v>
      </c>
    </row>
    <row r="1595" spans="1:7" x14ac:dyDescent="0.25">
      <c r="A1595" t="s">
        <v>49</v>
      </c>
      <c r="B1595">
        <v>2019</v>
      </c>
      <c r="C1595" t="s">
        <v>16</v>
      </c>
      <c r="F1595">
        <v>236790</v>
      </c>
      <c r="G1595" s="39">
        <v>43739</v>
      </c>
    </row>
    <row r="1596" spans="1:7" x14ac:dyDescent="0.25">
      <c r="A1596" t="s">
        <v>49</v>
      </c>
      <c r="B1596">
        <v>2019</v>
      </c>
      <c r="C1596" t="s">
        <v>17</v>
      </c>
      <c r="F1596">
        <v>236790</v>
      </c>
      <c r="G1596" s="39">
        <v>43770</v>
      </c>
    </row>
    <row r="1597" spans="1:7" x14ac:dyDescent="0.25">
      <c r="A1597" t="s">
        <v>49</v>
      </c>
      <c r="B1597">
        <v>2019</v>
      </c>
      <c r="C1597" t="s">
        <v>18</v>
      </c>
      <c r="F1597">
        <v>236790</v>
      </c>
      <c r="G1597" s="39">
        <v>43800</v>
      </c>
    </row>
    <row r="1598" spans="1:7" x14ac:dyDescent="0.25">
      <c r="A1598" t="s">
        <v>49</v>
      </c>
      <c r="B1598">
        <v>2020</v>
      </c>
      <c r="C1598" t="s">
        <v>7</v>
      </c>
      <c r="F1598">
        <v>236790</v>
      </c>
      <c r="G1598" s="39">
        <v>43831</v>
      </c>
    </row>
    <row r="1599" spans="1:7" x14ac:dyDescent="0.25">
      <c r="A1599" t="s">
        <v>49</v>
      </c>
      <c r="B1599">
        <v>2020</v>
      </c>
      <c r="C1599" t="s">
        <v>8</v>
      </c>
      <c r="F1599">
        <v>236790</v>
      </c>
      <c r="G1599" s="39">
        <v>43862</v>
      </c>
    </row>
    <row r="1600" spans="1:7" x14ac:dyDescent="0.25">
      <c r="A1600" t="s">
        <v>49</v>
      </c>
      <c r="B1600">
        <v>2020</v>
      </c>
      <c r="C1600" t="s">
        <v>9</v>
      </c>
      <c r="F1600">
        <v>236790</v>
      </c>
      <c r="G1600" s="39">
        <v>43891</v>
      </c>
    </row>
    <row r="1601" spans="1:7" x14ac:dyDescent="0.25">
      <c r="A1601" t="s">
        <v>49</v>
      </c>
      <c r="B1601">
        <v>2020</v>
      </c>
      <c r="C1601" t="s">
        <v>10</v>
      </c>
      <c r="F1601">
        <v>236790</v>
      </c>
      <c r="G1601" s="39">
        <v>43922</v>
      </c>
    </row>
    <row r="1602" spans="1:7" x14ac:dyDescent="0.25">
      <c r="A1602" t="s">
        <v>49</v>
      </c>
      <c r="B1602">
        <v>2020</v>
      </c>
      <c r="C1602" t="s">
        <v>11</v>
      </c>
      <c r="F1602">
        <v>236790</v>
      </c>
      <c r="G1602" s="39">
        <v>43952</v>
      </c>
    </row>
    <row r="1603" spans="1:7" x14ac:dyDescent="0.25">
      <c r="A1603" t="s">
        <v>49</v>
      </c>
      <c r="B1603">
        <v>2020</v>
      </c>
      <c r="C1603" t="s">
        <v>12</v>
      </c>
      <c r="F1603">
        <v>236790</v>
      </c>
      <c r="G1603" s="39">
        <v>43983</v>
      </c>
    </row>
    <row r="1604" spans="1:7" x14ac:dyDescent="0.25">
      <c r="A1604" t="s">
        <v>49</v>
      </c>
      <c r="B1604">
        <v>2020</v>
      </c>
      <c r="C1604" t="s">
        <v>13</v>
      </c>
      <c r="F1604">
        <v>236790</v>
      </c>
      <c r="G1604" s="39">
        <v>44013</v>
      </c>
    </row>
    <row r="1605" spans="1:7" x14ac:dyDescent="0.25">
      <c r="A1605" t="s">
        <v>49</v>
      </c>
      <c r="B1605">
        <v>2020</v>
      </c>
      <c r="C1605" t="s">
        <v>14</v>
      </c>
      <c r="F1605">
        <v>236790</v>
      </c>
      <c r="G1605" s="39">
        <v>44044</v>
      </c>
    </row>
    <row r="1606" spans="1:7" x14ac:dyDescent="0.25">
      <c r="A1606" t="s">
        <v>49</v>
      </c>
      <c r="B1606">
        <v>2020</v>
      </c>
      <c r="C1606" t="s">
        <v>15</v>
      </c>
      <c r="F1606">
        <v>236790</v>
      </c>
      <c r="G1606" s="39">
        <v>44075</v>
      </c>
    </row>
    <row r="1607" spans="1:7" x14ac:dyDescent="0.25">
      <c r="A1607" t="s">
        <v>49</v>
      </c>
      <c r="B1607">
        <v>2020</v>
      </c>
      <c r="C1607" t="s">
        <v>16</v>
      </c>
      <c r="F1607">
        <v>236790</v>
      </c>
      <c r="G1607" s="39">
        <v>44105</v>
      </c>
    </row>
    <row r="1608" spans="1:7" x14ac:dyDescent="0.25">
      <c r="A1608" t="s">
        <v>49</v>
      </c>
      <c r="B1608">
        <v>2020</v>
      </c>
      <c r="C1608" t="s">
        <v>17</v>
      </c>
      <c r="F1608">
        <v>236790</v>
      </c>
      <c r="G1608" s="39">
        <v>44136</v>
      </c>
    </row>
    <row r="1609" spans="1:7" x14ac:dyDescent="0.25">
      <c r="A1609" t="s">
        <v>49</v>
      </c>
      <c r="B1609">
        <v>2020</v>
      </c>
      <c r="C1609" t="s">
        <v>18</v>
      </c>
      <c r="F1609">
        <v>236790</v>
      </c>
      <c r="G1609" s="39">
        <v>44166</v>
      </c>
    </row>
    <row r="1610" spans="1:7" x14ac:dyDescent="0.25">
      <c r="A1610" t="s">
        <v>49</v>
      </c>
      <c r="B1610">
        <v>2021</v>
      </c>
      <c r="C1610" t="s">
        <v>7</v>
      </c>
      <c r="F1610">
        <v>236790</v>
      </c>
      <c r="G1610" s="39">
        <v>44197</v>
      </c>
    </row>
    <row r="1611" spans="1:7" x14ac:dyDescent="0.25">
      <c r="A1611" t="s">
        <v>49</v>
      </c>
      <c r="B1611">
        <v>2021</v>
      </c>
      <c r="C1611" t="s">
        <v>8</v>
      </c>
      <c r="F1611">
        <v>236790</v>
      </c>
      <c r="G1611" s="39">
        <v>44228</v>
      </c>
    </row>
    <row r="1612" spans="1:7" x14ac:dyDescent="0.25">
      <c r="A1612" t="s">
        <v>49</v>
      </c>
      <c r="B1612">
        <v>2021</v>
      </c>
      <c r="C1612" t="s">
        <v>9</v>
      </c>
      <c r="F1612">
        <v>236790</v>
      </c>
      <c r="G1612" s="39">
        <v>44256</v>
      </c>
    </row>
    <row r="1613" spans="1:7" x14ac:dyDescent="0.25">
      <c r="A1613" t="s">
        <v>49</v>
      </c>
      <c r="B1613">
        <v>2021</v>
      </c>
      <c r="C1613" t="s">
        <v>10</v>
      </c>
      <c r="F1613">
        <v>236790</v>
      </c>
      <c r="G1613" s="39">
        <v>44287</v>
      </c>
    </row>
    <row r="1614" spans="1:7" x14ac:dyDescent="0.25">
      <c r="A1614" t="s">
        <v>49</v>
      </c>
      <c r="B1614">
        <v>2021</v>
      </c>
      <c r="C1614" t="s">
        <v>11</v>
      </c>
      <c r="F1614">
        <v>236790</v>
      </c>
      <c r="G1614" s="39">
        <v>44317</v>
      </c>
    </row>
    <row r="1615" spans="1:7" x14ac:dyDescent="0.25">
      <c r="A1615" t="s">
        <v>49</v>
      </c>
      <c r="B1615">
        <v>2021</v>
      </c>
      <c r="C1615" t="s">
        <v>12</v>
      </c>
      <c r="F1615">
        <v>236790</v>
      </c>
      <c r="G1615" s="39">
        <v>44348</v>
      </c>
    </row>
    <row r="1616" spans="1:7" x14ac:dyDescent="0.25">
      <c r="A1616" t="s">
        <v>49</v>
      </c>
      <c r="B1616">
        <v>2021</v>
      </c>
      <c r="C1616" t="s">
        <v>13</v>
      </c>
      <c r="F1616">
        <v>236790</v>
      </c>
      <c r="G1616" s="39">
        <v>44378</v>
      </c>
    </row>
    <row r="1617" spans="1:7" x14ac:dyDescent="0.25">
      <c r="A1617" t="s">
        <v>49</v>
      </c>
      <c r="B1617">
        <v>2021</v>
      </c>
      <c r="C1617" t="s">
        <v>14</v>
      </c>
      <c r="F1617">
        <v>236790</v>
      </c>
      <c r="G1617" s="39">
        <v>44409</v>
      </c>
    </row>
    <row r="1618" spans="1:7" x14ac:dyDescent="0.25">
      <c r="A1618" t="s">
        <v>49</v>
      </c>
      <c r="B1618">
        <v>2021</v>
      </c>
      <c r="C1618" t="s">
        <v>15</v>
      </c>
      <c r="F1618">
        <v>236790</v>
      </c>
      <c r="G1618" s="39">
        <v>44440</v>
      </c>
    </row>
    <row r="1619" spans="1:7" x14ac:dyDescent="0.25">
      <c r="A1619" t="s">
        <v>49</v>
      </c>
      <c r="B1619">
        <v>2021</v>
      </c>
      <c r="C1619" t="s">
        <v>16</v>
      </c>
      <c r="F1619">
        <v>236790</v>
      </c>
      <c r="G1619" s="39">
        <v>44470</v>
      </c>
    </row>
    <row r="1620" spans="1:7" x14ac:dyDescent="0.25">
      <c r="A1620" t="s">
        <v>49</v>
      </c>
      <c r="B1620">
        <v>2021</v>
      </c>
      <c r="C1620" t="s">
        <v>17</v>
      </c>
      <c r="F1620">
        <v>236790</v>
      </c>
      <c r="G1620" s="39">
        <v>44501</v>
      </c>
    </row>
    <row r="1621" spans="1:7" x14ac:dyDescent="0.25">
      <c r="A1621" t="s">
        <v>49</v>
      </c>
      <c r="B1621">
        <v>2021</v>
      </c>
      <c r="C1621" t="s">
        <v>18</v>
      </c>
      <c r="F1621">
        <v>236790</v>
      </c>
      <c r="G1621" s="39">
        <v>44531</v>
      </c>
    </row>
    <row r="1622" spans="1:7" x14ac:dyDescent="0.25">
      <c r="A1622" t="s">
        <v>49</v>
      </c>
      <c r="B1622">
        <v>2022</v>
      </c>
      <c r="C1622" t="s">
        <v>7</v>
      </c>
      <c r="D1622">
        <v>130912.04</v>
      </c>
      <c r="E1622">
        <v>29078.150944000001</v>
      </c>
      <c r="F1622">
        <v>338623.88905599999</v>
      </c>
      <c r="G1622" s="39">
        <v>44562</v>
      </c>
    </row>
    <row r="1623" spans="1:7" x14ac:dyDescent="0.25">
      <c r="A1623" t="s">
        <v>49</v>
      </c>
      <c r="B1623">
        <v>2022</v>
      </c>
      <c r="C1623" t="s">
        <v>8</v>
      </c>
      <c r="D1623">
        <v>344665.81</v>
      </c>
      <c r="E1623">
        <v>157525.665041</v>
      </c>
      <c r="F1623">
        <v>525764.03401499998</v>
      </c>
      <c r="G1623" s="39">
        <v>44593</v>
      </c>
    </row>
    <row r="1624" spans="1:7" x14ac:dyDescent="0.25">
      <c r="A1624" t="s">
        <v>49</v>
      </c>
      <c r="B1624">
        <v>2022</v>
      </c>
      <c r="C1624" t="s">
        <v>9</v>
      </c>
      <c r="D1624">
        <v>164893.84</v>
      </c>
      <c r="E1624">
        <v>127321.03460699999</v>
      </c>
      <c r="F1624">
        <v>563336.839408</v>
      </c>
      <c r="G1624" s="39">
        <v>44621</v>
      </c>
    </row>
    <row r="1625" spans="1:7" x14ac:dyDescent="0.25">
      <c r="A1625" t="s">
        <v>49</v>
      </c>
      <c r="B1625">
        <v>2022</v>
      </c>
      <c r="C1625" t="s">
        <v>10</v>
      </c>
      <c r="D1625">
        <v>347729.86</v>
      </c>
      <c r="E1625">
        <v>174151.636612</v>
      </c>
      <c r="F1625">
        <v>736915.06279599993</v>
      </c>
      <c r="G1625" s="39">
        <v>44652</v>
      </c>
    </row>
    <row r="1626" spans="1:7" x14ac:dyDescent="0.25">
      <c r="A1626" t="s">
        <v>49</v>
      </c>
      <c r="B1626">
        <v>2022</v>
      </c>
      <c r="C1626" t="s">
        <v>11</v>
      </c>
      <c r="D1626">
        <v>166000.99</v>
      </c>
      <c r="E1626">
        <v>244451.31247</v>
      </c>
      <c r="F1626">
        <v>658464.74032599991</v>
      </c>
      <c r="G1626" s="39">
        <v>44682</v>
      </c>
    </row>
    <row r="1627" spans="1:7" x14ac:dyDescent="0.25">
      <c r="A1627" t="s">
        <v>49</v>
      </c>
      <c r="B1627">
        <v>2022</v>
      </c>
      <c r="C1627" t="s">
        <v>12</v>
      </c>
      <c r="D1627">
        <v>218238.33</v>
      </c>
      <c r="E1627">
        <v>166593.68257199999</v>
      </c>
      <c r="F1627">
        <v>710109.38775399991</v>
      </c>
      <c r="G1627" s="39">
        <v>44713</v>
      </c>
    </row>
    <row r="1628" spans="1:7" x14ac:dyDescent="0.25">
      <c r="A1628" t="s">
        <v>49</v>
      </c>
      <c r="B1628">
        <v>2022</v>
      </c>
      <c r="C1628" t="s">
        <v>13</v>
      </c>
      <c r="D1628">
        <v>215833.44</v>
      </c>
      <c r="E1628">
        <v>262433.54361599998</v>
      </c>
      <c r="F1628">
        <v>663509.28413799999</v>
      </c>
      <c r="G1628" s="39">
        <v>44743</v>
      </c>
    </row>
    <row r="1629" spans="1:7" x14ac:dyDescent="0.25">
      <c r="A1629" t="s">
        <v>49</v>
      </c>
      <c r="B1629">
        <v>2022</v>
      </c>
      <c r="C1629" t="s">
        <v>14</v>
      </c>
      <c r="D1629">
        <v>208338.49</v>
      </c>
      <c r="E1629">
        <v>319673.051912</v>
      </c>
      <c r="F1629">
        <v>552174.72222599993</v>
      </c>
      <c r="G1629" s="39">
        <v>44774</v>
      </c>
    </row>
    <row r="1630" spans="1:7" x14ac:dyDescent="0.25">
      <c r="A1630" t="s">
        <v>49</v>
      </c>
      <c r="B1630">
        <v>2022</v>
      </c>
      <c r="C1630" t="s">
        <v>15</v>
      </c>
      <c r="D1630">
        <v>214985.56</v>
      </c>
      <c r="E1630">
        <v>307986.82527799997</v>
      </c>
      <c r="F1630">
        <v>459173.45694800001</v>
      </c>
      <c r="G1630" s="39">
        <v>44805</v>
      </c>
    </row>
    <row r="1631" spans="1:7" x14ac:dyDescent="0.25">
      <c r="A1631" t="s">
        <v>49</v>
      </c>
      <c r="B1631">
        <v>2022</v>
      </c>
      <c r="C1631" t="s">
        <v>16</v>
      </c>
      <c r="D1631">
        <v>347184.61</v>
      </c>
      <c r="E1631">
        <v>270403.53736199997</v>
      </c>
      <c r="F1631">
        <v>535954.52958600002</v>
      </c>
      <c r="G1631" s="39">
        <v>44835</v>
      </c>
    </row>
    <row r="1632" spans="1:7" x14ac:dyDescent="0.25">
      <c r="A1632" t="s">
        <v>49</v>
      </c>
      <c r="B1632">
        <v>2022</v>
      </c>
      <c r="C1632" t="s">
        <v>17</v>
      </c>
      <c r="D1632">
        <v>380907.7</v>
      </c>
      <c r="E1632">
        <v>278090.19790600002</v>
      </c>
      <c r="F1632">
        <v>638772.03168000001</v>
      </c>
      <c r="G1632" s="39">
        <v>44866</v>
      </c>
    </row>
    <row r="1633" spans="1:7" x14ac:dyDescent="0.25">
      <c r="A1633" t="s">
        <v>49</v>
      </c>
      <c r="B1633">
        <v>2022</v>
      </c>
      <c r="C1633" t="s">
        <v>18</v>
      </c>
      <c r="D1633">
        <v>0</v>
      </c>
      <c r="E1633">
        <v>218147.274836</v>
      </c>
      <c r="F1633">
        <v>420624.75684400002</v>
      </c>
      <c r="G1633" s="39">
        <v>44896</v>
      </c>
    </row>
    <row r="1634" spans="1:7" x14ac:dyDescent="0.25">
      <c r="A1634" t="s">
        <v>49</v>
      </c>
      <c r="B1634">
        <v>2023</v>
      </c>
      <c r="C1634" t="s">
        <v>7</v>
      </c>
      <c r="D1634">
        <v>157024.69</v>
      </c>
      <c r="E1634">
        <v>109304.615745</v>
      </c>
      <c r="F1634">
        <v>468344.831099</v>
      </c>
      <c r="G1634" s="39">
        <v>44927</v>
      </c>
    </row>
    <row r="1635" spans="1:7" x14ac:dyDescent="0.25">
      <c r="A1635" t="s">
        <v>49</v>
      </c>
      <c r="B1635">
        <v>2023</v>
      </c>
      <c r="C1635" t="s">
        <v>8</v>
      </c>
      <c r="D1635">
        <v>156065.32999999999</v>
      </c>
      <c r="E1635">
        <v>192224.87976099999</v>
      </c>
      <c r="F1635">
        <v>432185.28133800003</v>
      </c>
      <c r="G1635" s="39">
        <v>44958</v>
      </c>
    </row>
    <row r="1636" spans="1:7" x14ac:dyDescent="0.25">
      <c r="A1636" t="s">
        <v>49</v>
      </c>
      <c r="B1636">
        <v>2023</v>
      </c>
      <c r="C1636" t="s">
        <v>9</v>
      </c>
      <c r="D1636">
        <v>299228.09000000003</v>
      </c>
      <c r="E1636">
        <v>234840.201565</v>
      </c>
      <c r="F1636">
        <v>496573.16977300006</v>
      </c>
      <c r="G1636" s="39">
        <v>44986</v>
      </c>
    </row>
    <row r="1637" spans="1:7" x14ac:dyDescent="0.25">
      <c r="A1637" t="s">
        <v>49</v>
      </c>
      <c r="B1637">
        <v>2023</v>
      </c>
      <c r="C1637" t="s">
        <v>10</v>
      </c>
      <c r="D1637">
        <v>163075.51</v>
      </c>
      <c r="E1637">
        <v>299599.44547400001</v>
      </c>
      <c r="F1637">
        <v>360049.23429900006</v>
      </c>
      <c r="G1637" s="39">
        <v>45017</v>
      </c>
    </row>
    <row r="1638" spans="1:7" x14ac:dyDescent="0.25">
      <c r="A1638" t="s">
        <v>49</v>
      </c>
      <c r="B1638">
        <v>2023</v>
      </c>
      <c r="C1638" t="s">
        <v>11</v>
      </c>
      <c r="D1638">
        <v>497849.86</v>
      </c>
      <c r="E1638">
        <v>271874.98008000001</v>
      </c>
      <c r="F1638">
        <v>586024.11421899998</v>
      </c>
      <c r="G1638" s="39">
        <v>45047</v>
      </c>
    </row>
    <row r="1639" spans="1:7" x14ac:dyDescent="0.25">
      <c r="A1639" t="s">
        <v>49</v>
      </c>
      <c r="B1639">
        <v>2023</v>
      </c>
      <c r="C1639" t="s">
        <v>12</v>
      </c>
      <c r="D1639">
        <v>316648.42</v>
      </c>
      <c r="E1639">
        <v>443501.512628</v>
      </c>
      <c r="F1639">
        <v>459171.02159100003</v>
      </c>
      <c r="G1639" s="39">
        <v>45078</v>
      </c>
    </row>
    <row r="1640" spans="1:7" x14ac:dyDescent="0.25">
      <c r="A1640" t="s">
        <v>49</v>
      </c>
      <c r="B1640">
        <v>2023</v>
      </c>
      <c r="C1640" t="s">
        <v>13</v>
      </c>
      <c r="D1640">
        <v>351640.36</v>
      </c>
      <c r="E1640">
        <v>392520.11839800002</v>
      </c>
      <c r="F1640">
        <v>418291.26319299999</v>
      </c>
      <c r="G1640" s="39">
        <v>45108</v>
      </c>
    </row>
    <row r="1641" spans="1:7" x14ac:dyDescent="0.25">
      <c r="A1641" t="s">
        <v>49</v>
      </c>
      <c r="B1641">
        <v>2023</v>
      </c>
      <c r="C1641" t="s">
        <v>14</v>
      </c>
      <c r="D1641">
        <v>317928.88</v>
      </c>
      <c r="E1641">
        <v>281169.07825199998</v>
      </c>
      <c r="F1641">
        <v>455051.06494100002</v>
      </c>
      <c r="G1641" s="39">
        <v>45139</v>
      </c>
    </row>
    <row r="1642" spans="1:7" x14ac:dyDescent="0.25">
      <c r="A1642" t="s">
        <v>49</v>
      </c>
      <c r="B1642">
        <v>2023</v>
      </c>
      <c r="C1642" t="s">
        <v>15</v>
      </c>
      <c r="D1642">
        <v>886350.25</v>
      </c>
      <c r="E1642">
        <v>857516.71496699995</v>
      </c>
      <c r="F1642">
        <v>483884.59997400001</v>
      </c>
      <c r="G1642" s="39">
        <v>45170</v>
      </c>
    </row>
    <row r="1643" spans="1:7" x14ac:dyDescent="0.25">
      <c r="A1643" t="s">
        <v>49</v>
      </c>
      <c r="B1643">
        <v>2023</v>
      </c>
      <c r="C1643" t="s">
        <v>16</v>
      </c>
      <c r="D1643">
        <v>530622.19999999995</v>
      </c>
      <c r="E1643">
        <v>590930.31525099999</v>
      </c>
      <c r="F1643">
        <v>423576.48472299997</v>
      </c>
      <c r="G1643" s="39">
        <v>45200</v>
      </c>
    </row>
    <row r="1644" spans="1:7" x14ac:dyDescent="0.25">
      <c r="A1644" t="s">
        <v>49</v>
      </c>
      <c r="B1644">
        <v>2023</v>
      </c>
      <c r="C1644" t="s">
        <v>17</v>
      </c>
      <c r="D1644">
        <v>500472.28</v>
      </c>
      <c r="E1644">
        <v>304434.42344500002</v>
      </c>
      <c r="F1644">
        <v>619614.34127800004</v>
      </c>
      <c r="G1644" s="39">
        <v>45231</v>
      </c>
    </row>
    <row r="1645" spans="1:7" x14ac:dyDescent="0.25">
      <c r="A1645" t="s">
        <v>49</v>
      </c>
      <c r="B1645">
        <v>2023</v>
      </c>
      <c r="C1645" t="s">
        <v>18</v>
      </c>
      <c r="D1645">
        <v>176895.55</v>
      </c>
      <c r="E1645">
        <v>191025.619687</v>
      </c>
      <c r="F1645">
        <v>605484.27159100003</v>
      </c>
      <c r="G1645" s="39">
        <v>45261</v>
      </c>
    </row>
    <row r="1646" spans="1:7" x14ac:dyDescent="0.25">
      <c r="A1646" t="s">
        <v>49</v>
      </c>
      <c r="B1646">
        <v>2024</v>
      </c>
      <c r="C1646" t="s">
        <v>7</v>
      </c>
      <c r="F1646">
        <v>605484.27159100003</v>
      </c>
      <c r="G1646" s="39">
        <v>45292</v>
      </c>
    </row>
    <row r="1647" spans="1:7" x14ac:dyDescent="0.25">
      <c r="A1647" t="s">
        <v>49</v>
      </c>
      <c r="B1647">
        <v>2024</v>
      </c>
      <c r="C1647" t="s">
        <v>8</v>
      </c>
      <c r="F1647">
        <v>605484.27159100003</v>
      </c>
      <c r="G1647" s="39">
        <v>45323</v>
      </c>
    </row>
    <row r="1648" spans="1:7" x14ac:dyDescent="0.25">
      <c r="A1648" t="s">
        <v>49</v>
      </c>
      <c r="B1648">
        <v>2024</v>
      </c>
      <c r="C1648" t="s">
        <v>9</v>
      </c>
      <c r="F1648">
        <v>605484.27159100003</v>
      </c>
      <c r="G1648" s="39">
        <v>45352</v>
      </c>
    </row>
    <row r="1649" spans="1:7" x14ac:dyDescent="0.25">
      <c r="A1649" t="s">
        <v>49</v>
      </c>
      <c r="B1649">
        <v>2024</v>
      </c>
      <c r="C1649" t="s">
        <v>10</v>
      </c>
      <c r="F1649">
        <v>605484.27159100003</v>
      </c>
      <c r="G1649" s="39">
        <v>45383</v>
      </c>
    </row>
    <row r="1650" spans="1:7" x14ac:dyDescent="0.25">
      <c r="A1650" t="s">
        <v>49</v>
      </c>
      <c r="B1650">
        <v>2024</v>
      </c>
      <c r="C1650" t="s">
        <v>11</v>
      </c>
      <c r="F1650">
        <v>605484.27159100003</v>
      </c>
      <c r="G1650" s="39">
        <v>45413</v>
      </c>
    </row>
    <row r="1651" spans="1:7" x14ac:dyDescent="0.25">
      <c r="A1651" t="s">
        <v>49</v>
      </c>
      <c r="B1651">
        <v>2024</v>
      </c>
      <c r="C1651" t="s">
        <v>12</v>
      </c>
      <c r="F1651">
        <v>605484.27159100003</v>
      </c>
      <c r="G1651" s="39">
        <v>45444</v>
      </c>
    </row>
    <row r="1652" spans="1:7" x14ac:dyDescent="0.25">
      <c r="A1652" t="s">
        <v>49</v>
      </c>
      <c r="B1652">
        <v>2024</v>
      </c>
      <c r="C1652" t="s">
        <v>13</v>
      </c>
      <c r="F1652">
        <v>605484.27159100003</v>
      </c>
      <c r="G1652" s="39">
        <v>45474</v>
      </c>
    </row>
    <row r="1653" spans="1:7" x14ac:dyDescent="0.25">
      <c r="A1653" t="s">
        <v>49</v>
      </c>
      <c r="B1653">
        <v>2024</v>
      </c>
      <c r="C1653" t="s">
        <v>14</v>
      </c>
      <c r="F1653">
        <v>605484.27159100003</v>
      </c>
      <c r="G1653" s="39">
        <v>45505</v>
      </c>
    </row>
    <row r="1654" spans="1:7" x14ac:dyDescent="0.25">
      <c r="A1654" t="s">
        <v>49</v>
      </c>
      <c r="B1654">
        <v>2024</v>
      </c>
      <c r="C1654" t="s">
        <v>15</v>
      </c>
      <c r="F1654">
        <v>605484.27159100003</v>
      </c>
      <c r="G1654" s="39">
        <v>45536</v>
      </c>
    </row>
    <row r="1655" spans="1:7" x14ac:dyDescent="0.25">
      <c r="A1655" t="s">
        <v>49</v>
      </c>
      <c r="B1655">
        <v>2024</v>
      </c>
      <c r="C1655" t="s">
        <v>16</v>
      </c>
      <c r="F1655">
        <v>605484.27159100003</v>
      </c>
      <c r="G1655" s="39">
        <v>45566</v>
      </c>
    </row>
    <row r="1656" spans="1:7" x14ac:dyDescent="0.25">
      <c r="A1656" t="s">
        <v>49</v>
      </c>
      <c r="B1656">
        <v>2024</v>
      </c>
      <c r="C1656" t="s">
        <v>17</v>
      </c>
      <c r="F1656">
        <v>605484.27159100003</v>
      </c>
      <c r="G1656" s="39">
        <v>45597</v>
      </c>
    </row>
    <row r="1657" spans="1:7" x14ac:dyDescent="0.25">
      <c r="A1657" t="s">
        <v>49</v>
      </c>
      <c r="B1657">
        <v>2024</v>
      </c>
      <c r="C1657" t="s">
        <v>18</v>
      </c>
      <c r="F1657">
        <v>605484.27159100003</v>
      </c>
      <c r="G1657" s="39">
        <v>45627</v>
      </c>
    </row>
    <row r="1658" spans="1:7" x14ac:dyDescent="0.25">
      <c r="A1658" t="e">
        <v>#N/A</v>
      </c>
      <c r="B1658" t="e">
        <v>#N/A</v>
      </c>
      <c r="C1658" t="e">
        <v>#N/A</v>
      </c>
      <c r="D1658" t="e">
        <v>#N/A</v>
      </c>
      <c r="E1658" t="e">
        <v>#N/A</v>
      </c>
      <c r="F1658" t="e">
        <v>#N/A</v>
      </c>
      <c r="G1658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0A4A-C374-4F1A-A585-E325E83E0CA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B40F-941F-4295-87E1-ADE1C2B1CB64}">
  <sheetPr codeName="Sheet2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143897.40046599999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31000.94</v>
      </c>
      <c r="D4" s="13">
        <v>30214.679660000002</v>
      </c>
      <c r="E4" s="14">
        <f>E3+C4-D4</f>
        <v>144683.660806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124806.03428000001</v>
      </c>
      <c r="D5" s="13">
        <v>40235.456005</v>
      </c>
      <c r="E5" s="14">
        <f>E4+C5-D5</f>
        <v>229254.23908100004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129570.479998</v>
      </c>
      <c r="D6" s="13">
        <v>56430.359065999997</v>
      </c>
      <c r="E6" s="14">
        <f>E5+C6-D6</f>
        <v>302394.36001300009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212578.864955</v>
      </c>
      <c r="D7" s="13">
        <v>66505.296749999994</v>
      </c>
      <c r="E7" s="14">
        <f>E6+C7-D7</f>
        <v>448467.9282180001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69742.159998000003</v>
      </c>
      <c r="D8" s="13">
        <v>123262.72442099999</v>
      </c>
      <c r="E8" s="14">
        <f>E7+C8-D8</f>
        <v>394947.36379500013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258120.83525999999</v>
      </c>
      <c r="D9" s="13">
        <v>151792.26027900001</v>
      </c>
      <c r="E9" s="14">
        <f>E8+C9-D9</f>
        <v>501275.93877600005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238821.37553200001</v>
      </c>
      <c r="D10" s="13">
        <v>190768.29277899998</v>
      </c>
      <c r="E10" s="14">
        <f>E9+C10-D10</f>
        <v>549329.02152900002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322027.93732199998</v>
      </c>
      <c r="D11" s="13">
        <v>192491.55415899999</v>
      </c>
      <c r="E11" s="14">
        <f>E10+C11-D11</f>
        <v>678865.40469200001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153573.51</v>
      </c>
      <c r="D12" s="13">
        <v>198934.60237300003</v>
      </c>
      <c r="E12" s="14">
        <f>E11+C12-D12</f>
        <v>633504.31231900002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311711.72906199994</v>
      </c>
      <c r="D13" s="13">
        <v>269363.39895399997</v>
      </c>
      <c r="E13" s="14">
        <f>E12+C13-D13</f>
        <v>675852.64242699998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276509.67949900002</v>
      </c>
      <c r="D14" s="13">
        <v>271023.60680200002</v>
      </c>
      <c r="E14" s="14">
        <f>E13+C14-D14</f>
        <v>681338.7151240001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137116.02795799999</v>
      </c>
      <c r="D15" s="18">
        <v>165803.10760799996</v>
      </c>
      <c r="E15" s="19">
        <f>E14+C15-D15</f>
        <v>652651.63547400013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2265579.5738639999</v>
      </c>
      <c r="D16" s="23">
        <f>SUM(D4:D15)</f>
        <v>1756825.338856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188798.29782199999</v>
      </c>
      <c r="D17" s="23">
        <f>AVERAGE(D4:D15)</f>
        <v>146402.11157133334</v>
      </c>
      <c r="E17" s="24">
        <f>C17/D17-1</f>
        <v>0.28958725933409379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652651.63547400013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124350.52466499999</v>
      </c>
      <c r="D19" s="27">
        <v>170376.933907</v>
      </c>
      <c r="E19" s="28">
        <f>E18+C19-D19</f>
        <v>606625.22623200016</v>
      </c>
      <c r="F19" s="25"/>
      <c r="G19" s="25" t="s">
        <v>7</v>
      </c>
      <c r="H19" s="29">
        <f>IF(C19="", "", IF(D19="", "",D19-D4))</f>
        <v>140162.254247</v>
      </c>
      <c r="I19" s="29">
        <f>IF(D19="", "", IF(E19="", "",E19-E4))</f>
        <v>461941.56542600016</v>
      </c>
    </row>
    <row r="20" spans="1:9" x14ac:dyDescent="0.25">
      <c r="A20" s="25"/>
      <c r="B20" s="25" t="s">
        <v>8</v>
      </c>
      <c r="C20" s="26">
        <v>304976.75881999999</v>
      </c>
      <c r="D20" s="27">
        <v>242346.93078899998</v>
      </c>
      <c r="E20" s="28">
        <f>E19+C20-D20</f>
        <v>669255.05426300014</v>
      </c>
      <c r="F20" s="25"/>
      <c r="G20" s="25" t="s">
        <v>8</v>
      </c>
      <c r="H20" s="29">
        <f>IF(C20="", "", IF(D20="", "",D20-D5))</f>
        <v>202111.47478399996</v>
      </c>
      <c r="I20" s="29">
        <f>IF(D20="", "", IF(E20="", "",E20-E5))</f>
        <v>440000.81518200011</v>
      </c>
    </row>
    <row r="21" spans="1:9" x14ac:dyDescent="0.25">
      <c r="A21" s="25"/>
      <c r="B21" s="25" t="s">
        <v>9</v>
      </c>
      <c r="C21" s="26">
        <v>701848.98586699995</v>
      </c>
      <c r="D21" s="27">
        <v>253131.09002800001</v>
      </c>
      <c r="E21" s="28">
        <f>E20+C21-D21</f>
        <v>1117972.950102</v>
      </c>
      <c r="F21" s="25"/>
      <c r="G21" s="25" t="s">
        <v>9</v>
      </c>
      <c r="H21" s="29">
        <f>IF(C21="", "", IF(D21="", "",D21-D6))</f>
        <v>196700.730962</v>
      </c>
      <c r="I21" s="29">
        <f>IF(D21="", "", IF(E21="", "",E21-E6))</f>
        <v>815578.59008899995</v>
      </c>
    </row>
    <row r="22" spans="1:9" x14ac:dyDescent="0.25">
      <c r="A22" s="25"/>
      <c r="B22" s="25" t="s">
        <v>10</v>
      </c>
      <c r="C22" s="26">
        <v>16840.630815</v>
      </c>
      <c r="D22" s="27">
        <v>192171.235453</v>
      </c>
      <c r="E22" s="28">
        <f>E21+C22-D22</f>
        <v>942642.34546400001</v>
      </c>
      <c r="F22" s="25"/>
      <c r="G22" s="25" t="s">
        <v>10</v>
      </c>
      <c r="H22" s="29">
        <f>IF(C22="", "", IF(D22="", "",D22-D7))</f>
        <v>125665.93870300001</v>
      </c>
      <c r="I22" s="29">
        <f>IF(D22="", "", IF(E22="", "",E22-E7))</f>
        <v>494174.41724599991</v>
      </c>
    </row>
    <row r="23" spans="1:9" x14ac:dyDescent="0.25">
      <c r="A23" s="25"/>
      <c r="B23" s="25" t="s">
        <v>11</v>
      </c>
      <c r="C23" s="26">
        <v>137969.81264300001</v>
      </c>
      <c r="D23" s="27">
        <v>323773.86048100004</v>
      </c>
      <c r="E23" s="28">
        <f>E22+C23-D23</f>
        <v>756838.2976259999</v>
      </c>
      <c r="F23" s="25"/>
      <c r="G23" s="25" t="s">
        <v>11</v>
      </c>
      <c r="H23" s="29">
        <f>IF(C23="", "", IF(D23="", "",D23-D8))</f>
        <v>200511.13606000005</v>
      </c>
      <c r="I23" s="29">
        <f>IF(D23="", "", IF(E23="", "",E23-E8))</f>
        <v>361890.93383099977</v>
      </c>
    </row>
    <row r="24" spans="1:9" x14ac:dyDescent="0.25">
      <c r="A24" s="25"/>
      <c r="B24" s="25" t="s">
        <v>12</v>
      </c>
      <c r="C24" s="26">
        <v>276390.15261700004</v>
      </c>
      <c r="D24" s="27">
        <v>267911.59980099997</v>
      </c>
      <c r="E24" s="28">
        <f>E23+C24-D24</f>
        <v>765316.85044199997</v>
      </c>
      <c r="F24" s="25"/>
      <c r="G24" s="25" t="s">
        <v>12</v>
      </c>
      <c r="H24" s="29">
        <f>IF(C24="", "", IF(D24="", "",D24-D9))</f>
        <v>116119.33952199997</v>
      </c>
      <c r="I24" s="29">
        <f>IF(D24="", "", IF(E24="", "",E24-E9))</f>
        <v>264040.91166599991</v>
      </c>
    </row>
    <row r="25" spans="1:9" x14ac:dyDescent="0.25">
      <c r="A25" s="25"/>
      <c r="B25" s="25" t="s">
        <v>13</v>
      </c>
      <c r="C25" s="26">
        <v>434201.90070499998</v>
      </c>
      <c r="D25" s="27">
        <v>355587.23432100005</v>
      </c>
      <c r="E25" s="28">
        <f>E24+C25-D25</f>
        <v>843931.51682599983</v>
      </c>
      <c r="F25" s="25"/>
      <c r="G25" s="25" t="s">
        <v>13</v>
      </c>
      <c r="H25" s="29">
        <f>IF(C25="", "", IF(D25="", "",D25-D10))</f>
        <v>164818.94154200007</v>
      </c>
      <c r="I25" s="29">
        <f>IF(D25="", "", IF(E25="", "",E25-E10))</f>
        <v>294602.49529699981</v>
      </c>
    </row>
    <row r="26" spans="1:9" x14ac:dyDescent="0.25">
      <c r="A26" s="25"/>
      <c r="B26" s="25" t="s">
        <v>14</v>
      </c>
      <c r="C26" s="26">
        <v>541418.875871</v>
      </c>
      <c r="D26" s="27">
        <v>367655.99641799997</v>
      </c>
      <c r="E26" s="28">
        <f>E25+C26-D26</f>
        <v>1017694.396279</v>
      </c>
      <c r="F26" s="25"/>
      <c r="G26" s="25" t="s">
        <v>14</v>
      </c>
      <c r="H26" s="29">
        <f>IF(C26="", "", IF(D26="", "",D26-D11))</f>
        <v>175164.44225899997</v>
      </c>
      <c r="I26" s="29">
        <f>IF(D26="", "", IF(E26="", "",E26-E11))</f>
        <v>338828.99158699997</v>
      </c>
    </row>
    <row r="27" spans="1:9" x14ac:dyDescent="0.25">
      <c r="A27" s="25"/>
      <c r="B27" s="25" t="s">
        <v>15</v>
      </c>
      <c r="C27" s="26">
        <v>486550.279545</v>
      </c>
      <c r="D27" s="27">
        <v>368361.25896800001</v>
      </c>
      <c r="E27" s="28">
        <f>E26+C27-D27</f>
        <v>1135883.416856</v>
      </c>
      <c r="F27" s="25"/>
      <c r="G27" s="25" t="s">
        <v>15</v>
      </c>
      <c r="H27" s="29">
        <f>IF(C27="", "", IF(D27="", "",D27-D12))</f>
        <v>169426.65659499998</v>
      </c>
      <c r="I27" s="29">
        <f>IF(D27="", "", IF(E27="", "",E27-E12))</f>
        <v>502379.10453699995</v>
      </c>
    </row>
    <row r="28" spans="1:9" x14ac:dyDescent="0.25">
      <c r="A28" s="25"/>
      <c r="B28" s="25" t="s">
        <v>16</v>
      </c>
      <c r="C28" s="26">
        <v>429319.04099999997</v>
      </c>
      <c r="D28" s="27">
        <v>437381.08394300006</v>
      </c>
      <c r="E28" s="28">
        <f>E27+C28-D28</f>
        <v>1127821.3739129999</v>
      </c>
      <c r="F28" s="25"/>
      <c r="G28" s="25" t="s">
        <v>16</v>
      </c>
      <c r="H28" s="29">
        <f>IF(C28="", "", IF(D28="", "",D28-D13))</f>
        <v>168017.68498900009</v>
      </c>
      <c r="I28" s="29">
        <f>IF(D28="", "", IF(E28="", "",E28-E13))</f>
        <v>451968.73148599989</v>
      </c>
    </row>
    <row r="29" spans="1:9" x14ac:dyDescent="0.25">
      <c r="A29" s="25"/>
      <c r="B29" s="25" t="s">
        <v>17</v>
      </c>
      <c r="C29" s="26">
        <v>591807.73712900002</v>
      </c>
      <c r="D29" s="27">
        <v>366524.91648899997</v>
      </c>
      <c r="E29" s="28">
        <f>E28+C29-D29</f>
        <v>1353104.1945529999</v>
      </c>
      <c r="F29" s="25"/>
      <c r="G29" s="25" t="s">
        <v>17</v>
      </c>
      <c r="H29" s="29">
        <f>IF(C29="", "", IF(D29="", "",D29-D14))</f>
        <v>95501.309686999943</v>
      </c>
      <c r="I29" s="29">
        <f>IF(D29="", "", IF(E29="", "",E29-E14))</f>
        <v>671765.47942899982</v>
      </c>
    </row>
    <row r="30" spans="1:9" x14ac:dyDescent="0.25">
      <c r="A30" s="30"/>
      <c r="B30" s="30" t="s">
        <v>18</v>
      </c>
      <c r="C30" s="31">
        <v>214970.90125699999</v>
      </c>
      <c r="D30" s="32">
        <v>318523.54706000001</v>
      </c>
      <c r="E30" s="33">
        <f>E29+C30-D30</f>
        <v>1249551.5487499998</v>
      </c>
      <c r="F30" s="30"/>
      <c r="G30" s="30" t="s">
        <v>18</v>
      </c>
      <c r="H30" s="34">
        <f>IF(C30="", "", IF(D30="", "",D30-D15))</f>
        <v>152720.43945200005</v>
      </c>
      <c r="I30" s="34">
        <f>IF(D30="", "", IF(E30="", "",E30-E15))</f>
        <v>596899.91327599972</v>
      </c>
    </row>
    <row r="31" spans="1:9" s="2" customFormat="1" x14ac:dyDescent="0.25">
      <c r="A31" s="35"/>
      <c r="B31" s="35" t="s">
        <v>19</v>
      </c>
      <c r="C31" s="36">
        <f>SUM(C19:C30)</f>
        <v>4260645.6009339998</v>
      </c>
      <c r="D31" s="37">
        <f>SUM(D19:D30)</f>
        <v>3663745.6876579998</v>
      </c>
      <c r="E31" s="28"/>
      <c r="F31" s="35"/>
      <c r="G31" s="35"/>
      <c r="H31" s="28">
        <f>SUMIF(C19:C30,"&gt;=0",H19:H30)</f>
        <v>1906920.3488020001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355053.80007783329</v>
      </c>
      <c r="D32" s="37">
        <f>AVERAGE(D19:D30)</f>
        <v>305312.14063816663</v>
      </c>
      <c r="E32" s="38">
        <f>C32/D32-1</f>
        <v>0.16292067303873381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1249551.5487499998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384476.031433</v>
      </c>
      <c r="D34" s="13">
        <v>314199.586412</v>
      </c>
      <c r="E34" s="14">
        <f>E33+C34-D34</f>
        <v>1319827.9937709998</v>
      </c>
      <c r="F34" s="11"/>
      <c r="G34" s="11" t="s">
        <v>7</v>
      </c>
      <c r="H34" s="15">
        <f>IF(C34="", "", IF(D34="", "",D34-D19))</f>
        <v>143822.65250500001</v>
      </c>
      <c r="I34" s="15">
        <f>IF(D34="", "", IF(E34="", "",E34-E19))</f>
        <v>713202.76753899967</v>
      </c>
    </row>
    <row r="35" spans="1:9" x14ac:dyDescent="0.25">
      <c r="A35" s="11"/>
      <c r="B35" s="11" t="s">
        <v>8</v>
      </c>
      <c r="C35" s="12">
        <v>614051.82440600009</v>
      </c>
      <c r="D35" s="13">
        <v>515083.49489500007</v>
      </c>
      <c r="E35" s="14">
        <f>E34+C35-D35</f>
        <v>1418796.3232819999</v>
      </c>
      <c r="F35" s="11"/>
      <c r="G35" s="11" t="s">
        <v>8</v>
      </c>
      <c r="H35" s="15">
        <f>IF(C35="", "", IF(D35="", "",D35-D20))</f>
        <v>272736.56410600012</v>
      </c>
      <c r="I35" s="15">
        <f>IF(D35="", "", IF(E35="", "",E35-E20))</f>
        <v>749541.26901899977</v>
      </c>
    </row>
    <row r="36" spans="1:9" x14ac:dyDescent="0.25">
      <c r="A36" s="11"/>
      <c r="B36" s="11" t="s">
        <v>9</v>
      </c>
      <c r="C36" s="12">
        <v>999192.20959900005</v>
      </c>
      <c r="D36" s="13">
        <v>548255.95034799993</v>
      </c>
      <c r="E36" s="14">
        <f>E35+C36-D36</f>
        <v>1869732.582533</v>
      </c>
      <c r="F36" s="11"/>
      <c r="G36" s="11" t="s">
        <v>9</v>
      </c>
      <c r="H36" s="15">
        <f>IF(C36="", "", IF(D36="", "",D36-D21))</f>
        <v>295124.86031999992</v>
      </c>
      <c r="I36" s="15">
        <f>IF(D36="", "", IF(E36="", "",E36-E21))</f>
        <v>751759.63243100001</v>
      </c>
    </row>
    <row r="37" spans="1:9" x14ac:dyDescent="0.25">
      <c r="A37" s="11"/>
      <c r="B37" s="11" t="s">
        <v>10</v>
      </c>
      <c r="C37" s="12">
        <v>948489.28980000003</v>
      </c>
      <c r="D37" s="13">
        <v>540308.80611699994</v>
      </c>
      <c r="E37" s="14">
        <f>E36+C37-D37</f>
        <v>2277913.0662159999</v>
      </c>
      <c r="F37" s="11"/>
      <c r="G37" s="11" t="s">
        <v>10</v>
      </c>
      <c r="H37" s="15">
        <f>IF(C37="", "", IF(D37="", "",D37-D22))</f>
        <v>348137.57066399994</v>
      </c>
      <c r="I37" s="15">
        <f>IF(D37="", "", IF(E37="", "",E37-E22))</f>
        <v>1335270.7207519999</v>
      </c>
    </row>
    <row r="38" spans="1:9" x14ac:dyDescent="0.25">
      <c r="A38" s="11"/>
      <c r="B38" s="11" t="s">
        <v>11</v>
      </c>
      <c r="C38" s="12">
        <v>321873.04395000008</v>
      </c>
      <c r="D38" s="13">
        <v>498308.79107999994</v>
      </c>
      <c r="E38" s="14">
        <f>E37+C38-D38</f>
        <v>2101477.3190860003</v>
      </c>
      <c r="F38" s="11"/>
      <c r="G38" s="11" t="s">
        <v>11</v>
      </c>
      <c r="H38" s="15">
        <f>IF(C38="", "", IF(D38="", "",D38-D23))</f>
        <v>174534.9305989999</v>
      </c>
      <c r="I38" s="15">
        <f>IF(D38="", "", IF(E38="", "",E38-E23))</f>
        <v>1344639.0214600004</v>
      </c>
    </row>
    <row r="39" spans="1:9" x14ac:dyDescent="0.25">
      <c r="A39" s="11"/>
      <c r="B39" s="11" t="s">
        <v>12</v>
      </c>
      <c r="C39" s="12">
        <v>725750.11503800005</v>
      </c>
      <c r="D39" s="13">
        <v>571330.28898399998</v>
      </c>
      <c r="E39" s="14">
        <f>E38+C39-D39</f>
        <v>2255897.1451400006</v>
      </c>
      <c r="F39" s="11"/>
      <c r="G39" s="11" t="s">
        <v>12</v>
      </c>
      <c r="H39" s="15">
        <f>IF(C39="", "", IF(D39="", "",D39-D24))</f>
        <v>303418.68918300001</v>
      </c>
      <c r="I39" s="15">
        <f>IF(D39="", "", IF(E39="", "",E39-E24))</f>
        <v>1490580.2946980007</v>
      </c>
    </row>
    <row r="40" spans="1:9" x14ac:dyDescent="0.25">
      <c r="A40" s="11"/>
      <c r="B40" s="11" t="s">
        <v>13</v>
      </c>
      <c r="C40" s="12">
        <v>764043.54241200001</v>
      </c>
      <c r="D40" s="13">
        <v>549870.33468899992</v>
      </c>
      <c r="E40" s="14">
        <f>E39+C40-D40</f>
        <v>2470070.3528630007</v>
      </c>
      <c r="F40" s="11"/>
      <c r="G40" s="11" t="s">
        <v>13</v>
      </c>
      <c r="H40" s="15">
        <f>IF(C40="", "", IF(D40="", "",D40-D25))</f>
        <v>194283.10036799987</v>
      </c>
      <c r="I40" s="15">
        <f>IF(D40="", "", IF(E40="", "",E40-E25))</f>
        <v>1626138.8360370009</v>
      </c>
    </row>
    <row r="41" spans="1:9" x14ac:dyDescent="0.25">
      <c r="A41" s="11"/>
      <c r="B41" s="11" t="s">
        <v>14</v>
      </c>
      <c r="C41" s="12">
        <v>441161.98456900002</v>
      </c>
      <c r="D41" s="13">
        <v>723144.99782600009</v>
      </c>
      <c r="E41" s="14">
        <f>E40+C41-D41</f>
        <v>2188087.3396060006</v>
      </c>
      <c r="F41" s="11"/>
      <c r="G41" s="11" t="s">
        <v>14</v>
      </c>
      <c r="H41" s="15">
        <f>IF(C41="", "", IF(D41="", "",D41-D26))</f>
        <v>355489.00140800013</v>
      </c>
      <c r="I41" s="15">
        <f>IF(D41="", "", IF(E41="", "",E41-E26))</f>
        <v>1170392.9433270006</v>
      </c>
    </row>
    <row r="42" spans="1:9" x14ac:dyDescent="0.25">
      <c r="A42" s="11"/>
      <c r="B42" s="11" t="s">
        <v>15</v>
      </c>
      <c r="C42" s="12">
        <v>644604.49093500001</v>
      </c>
      <c r="D42" s="13">
        <v>632265.61389200005</v>
      </c>
      <c r="E42" s="14">
        <f>E41+C42-D42</f>
        <v>2200426.2166490005</v>
      </c>
      <c r="F42" s="11"/>
      <c r="G42" s="11" t="s">
        <v>15</v>
      </c>
      <c r="H42" s="15">
        <f>IF(C42="", "", IF(D42="", "",D42-D27))</f>
        <v>263904.35492400004</v>
      </c>
      <c r="I42" s="15">
        <f>IF(D42="", "", IF(E42="", "",E42-E27))</f>
        <v>1064542.7997930006</v>
      </c>
    </row>
    <row r="43" spans="1:9" x14ac:dyDescent="0.25">
      <c r="A43" s="11"/>
      <c r="B43" s="11" t="s">
        <v>16</v>
      </c>
      <c r="C43" s="12">
        <v>433189.67737400002</v>
      </c>
      <c r="D43" s="13">
        <v>517745.07293700002</v>
      </c>
      <c r="E43" s="14">
        <f>E42+C43-D43</f>
        <v>2115870.8210860007</v>
      </c>
      <c r="F43" s="11"/>
      <c r="G43" s="11" t="s">
        <v>16</v>
      </c>
      <c r="H43" s="15">
        <f>IF(C43="", "", IF(D43="", "",D43-D28))</f>
        <v>80363.988993999956</v>
      </c>
      <c r="I43" s="15">
        <f>IF(D43="", "", IF(E43="", "",E43-E28))</f>
        <v>988049.44717300078</v>
      </c>
    </row>
    <row r="44" spans="1:9" x14ac:dyDescent="0.25">
      <c r="A44" s="11"/>
      <c r="B44" s="11" t="s">
        <v>17</v>
      </c>
      <c r="C44" s="12">
        <v>763207.63570299989</v>
      </c>
      <c r="D44" s="13">
        <v>662579.53922400007</v>
      </c>
      <c r="E44" s="14">
        <f>E43+C44-D44</f>
        <v>2216498.9175650002</v>
      </c>
      <c r="F44" s="11"/>
      <c r="G44" s="11" t="s">
        <v>17</v>
      </c>
      <c r="H44" s="15">
        <f>IF(C44="", "", IF(D44="", "",D44-D29))</f>
        <v>296054.6227350001</v>
      </c>
      <c r="I44" s="15">
        <f>IF(D44="", "", IF(E44="", "",E44-E29))</f>
        <v>863394.72301200032</v>
      </c>
    </row>
    <row r="45" spans="1:9" x14ac:dyDescent="0.25">
      <c r="A45" s="16"/>
      <c r="B45" s="16" t="s">
        <v>18</v>
      </c>
      <c r="C45" s="17">
        <v>495249.09054</v>
      </c>
      <c r="D45" s="18">
        <v>597700.99319900014</v>
      </c>
      <c r="E45" s="19">
        <f>E44+C45-D45</f>
        <v>2114047.0149060003</v>
      </c>
      <c r="F45" s="16"/>
      <c r="G45" s="16" t="s">
        <v>18</v>
      </c>
      <c r="H45" s="20">
        <f>IF(C45="", "", IF(D45="", "",D45-D30))</f>
        <v>279177.44613900012</v>
      </c>
      <c r="I45" s="20">
        <f>IF(D45="", "", IF(E45="", "",E45-E30))</f>
        <v>864495.4661560005</v>
      </c>
    </row>
    <row r="46" spans="1:9" s="2" customFormat="1" x14ac:dyDescent="0.25">
      <c r="A46" s="21"/>
      <c r="B46" s="21" t="s">
        <v>19</v>
      </c>
      <c r="C46" s="22">
        <f>SUM(C34:C45)</f>
        <v>7535288.9357589995</v>
      </c>
      <c r="D46" s="23">
        <f>SUM(D34:D45)</f>
        <v>6670793.4696029993</v>
      </c>
      <c r="E46" s="14"/>
      <c r="F46" s="21"/>
      <c r="G46" s="21"/>
      <c r="H46" s="14">
        <f>SUMIF(C34:C45,"&gt;=0",H34:H45)</f>
        <v>3007047.7819450004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627940.74464658333</v>
      </c>
      <c r="D47" s="23">
        <f>AVERAGE(D34:D45)</f>
        <v>555899.45580024994</v>
      </c>
      <c r="E47" s="24">
        <f>C47/D47-1</f>
        <v>0.12959409852744996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2114047.0149060003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1099148.8379840001</v>
      </c>
      <c r="D49" s="27">
        <v>458448.31827299995</v>
      </c>
      <c r="E49" s="28">
        <f>E48+C49-D49</f>
        <v>2754747.5346170007</v>
      </c>
      <c r="F49" s="25"/>
      <c r="G49" s="25" t="s">
        <v>7</v>
      </c>
      <c r="H49" s="29">
        <f>IF(C49="", "", IF(D49="", "",D49-D34))</f>
        <v>144248.73186099995</v>
      </c>
      <c r="I49" s="29">
        <f>IF(D49="", "", IF(E49="", "",E49-E34))</f>
        <v>1434919.5408460009</v>
      </c>
    </row>
    <row r="50" spans="1:9" x14ac:dyDescent="0.25">
      <c r="A50" s="25"/>
      <c r="B50" s="25" t="s">
        <v>8</v>
      </c>
      <c r="C50" s="26">
        <v>974072.48199899995</v>
      </c>
      <c r="D50" s="27">
        <v>808917.65694000002</v>
      </c>
      <c r="E50" s="28">
        <f>E49+C50-D50</f>
        <v>2919902.3596760007</v>
      </c>
      <c r="F50" s="25"/>
      <c r="G50" s="25" t="s">
        <v>8</v>
      </c>
      <c r="H50" s="29">
        <f>IF(C50="", "", IF(D50="", "",D50-D35))</f>
        <v>293834.16204499995</v>
      </c>
      <c r="I50" s="29">
        <f>IF(D50="", "", IF(E50="", "",E50-E35))</f>
        <v>1501106.0363940008</v>
      </c>
    </row>
    <row r="51" spans="1:9" x14ac:dyDescent="0.25">
      <c r="A51" s="25"/>
      <c r="B51" s="25" t="s">
        <v>9</v>
      </c>
      <c r="C51" s="26">
        <v>864268.53999900003</v>
      </c>
      <c r="D51" s="27">
        <v>830036.9156200001</v>
      </c>
      <c r="E51" s="28">
        <f>E50+C51-D51</f>
        <v>2954133.9840550004</v>
      </c>
      <c r="F51" s="25"/>
      <c r="G51" s="25" t="s">
        <v>9</v>
      </c>
      <c r="H51" s="29">
        <f>IF(C51="", "", IF(D51="", "",D51-D36))</f>
        <v>281780.96527200018</v>
      </c>
      <c r="I51" s="29">
        <f>IF(D51="", "", IF(E51="", "",E51-E36))</f>
        <v>1084401.4015220003</v>
      </c>
    </row>
    <row r="52" spans="1:9" x14ac:dyDescent="0.25">
      <c r="A52" s="25"/>
      <c r="B52" s="25" t="s">
        <v>10</v>
      </c>
      <c r="C52" s="26">
        <v>817523.28800000006</v>
      </c>
      <c r="D52" s="27">
        <v>739328.26422999997</v>
      </c>
      <c r="E52" s="28">
        <f>E51+C52-D52</f>
        <v>3032329.0078250007</v>
      </c>
      <c r="F52" s="25"/>
      <c r="G52" s="25" t="s">
        <v>10</v>
      </c>
      <c r="H52" s="29">
        <f>IF(C52="", "", IF(D52="", "",D52-D37))</f>
        <v>199019.45811300003</v>
      </c>
      <c r="I52" s="29">
        <f>IF(D52="", "", IF(E52="", "",E52-E37))</f>
        <v>754415.94160900079</v>
      </c>
    </row>
    <row r="53" spans="1:9" x14ac:dyDescent="0.25">
      <c r="A53" s="25"/>
      <c r="B53" s="25" t="s">
        <v>11</v>
      </c>
      <c r="C53" s="26">
        <v>891891.84823300014</v>
      </c>
      <c r="D53" s="27">
        <v>973728.75811399997</v>
      </c>
      <c r="E53" s="28">
        <f>E52+C53-D53</f>
        <v>2950492.0979440007</v>
      </c>
      <c r="F53" s="25"/>
      <c r="G53" s="25" t="s">
        <v>11</v>
      </c>
      <c r="H53" s="29">
        <f>IF(C53="", "", IF(D53="", "",D53-D38))</f>
        <v>475419.96703400003</v>
      </c>
      <c r="I53" s="29">
        <f>IF(D53="", "", IF(E53="", "",E53-E38))</f>
        <v>849014.77885800041</v>
      </c>
    </row>
    <row r="54" spans="1:9" x14ac:dyDescent="0.25">
      <c r="A54" s="25"/>
      <c r="B54" s="25" t="s">
        <v>12</v>
      </c>
      <c r="C54" s="26">
        <v>1073993.3599979999</v>
      </c>
      <c r="D54" s="27">
        <v>1010576.272384</v>
      </c>
      <c r="E54" s="28">
        <f>E53+C54-D54</f>
        <v>3013909.1855580006</v>
      </c>
      <c r="F54" s="25"/>
      <c r="G54" s="25" t="s">
        <v>12</v>
      </c>
      <c r="H54" s="29">
        <f>IF(C54="", "", IF(D54="", "",D54-D39))</f>
        <v>439245.98340000003</v>
      </c>
      <c r="I54" s="29">
        <f>IF(D54="", "", IF(E54="", "",E54-E39))</f>
        <v>758012.04041799996</v>
      </c>
    </row>
    <row r="55" spans="1:9" x14ac:dyDescent="0.25">
      <c r="A55" s="25"/>
      <c r="B55" s="25" t="s">
        <v>13</v>
      </c>
      <c r="C55" s="26">
        <v>697817.83999899996</v>
      </c>
      <c r="D55" s="27">
        <v>1089208.1553819999</v>
      </c>
      <c r="E55" s="28">
        <f>E54+C55-D55</f>
        <v>2622518.8701750007</v>
      </c>
      <c r="F55" s="25"/>
      <c r="G55" s="25" t="s">
        <v>13</v>
      </c>
      <c r="H55" s="29">
        <f>IF(C55="", "", IF(D55="", "",D55-D40))</f>
        <v>539337.82069299999</v>
      </c>
      <c r="I55" s="29">
        <f>IF(D55="", "", IF(E55="", "",E55-E40))</f>
        <v>152448.51731200004</v>
      </c>
    </row>
    <row r="56" spans="1:9" x14ac:dyDescent="0.25">
      <c r="A56" s="25"/>
      <c r="B56" s="25" t="s">
        <v>14</v>
      </c>
      <c r="C56" s="26">
        <v>841614.33000000007</v>
      </c>
      <c r="D56" s="27">
        <v>1059501.4958919999</v>
      </c>
      <c r="E56" s="28">
        <f>E55+C56-D56</f>
        <v>2404631.7042830009</v>
      </c>
      <c r="F56" s="25"/>
      <c r="G56" s="25" t="s">
        <v>14</v>
      </c>
      <c r="H56" s="29">
        <f>IF(C56="", "", IF(D56="", "",D56-D41))</f>
        <v>336356.49806599983</v>
      </c>
      <c r="I56" s="29">
        <f>IF(D56="", "", IF(E56="", "",E56-E41))</f>
        <v>216544.36467700033</v>
      </c>
    </row>
    <row r="57" spans="1:9" x14ac:dyDescent="0.25">
      <c r="A57" s="25"/>
      <c r="B57" s="25" t="s">
        <v>15</v>
      </c>
      <c r="C57" s="26">
        <v>782221.97999799997</v>
      </c>
      <c r="D57" s="27">
        <v>983713.49456899986</v>
      </c>
      <c r="E57" s="28">
        <f>E56+C57-D57</f>
        <v>2203140.189712001</v>
      </c>
      <c r="F57" s="25"/>
      <c r="G57" s="25" t="s">
        <v>15</v>
      </c>
      <c r="H57" s="29">
        <f>IF(C57="", "", IF(D57="", "",D57-D42))</f>
        <v>351447.8806769998</v>
      </c>
      <c r="I57" s="29">
        <f>IF(D57="", "", IF(E57="", "",E57-E42))</f>
        <v>2713.9730630004779</v>
      </c>
    </row>
    <row r="58" spans="1:9" x14ac:dyDescent="0.25">
      <c r="A58" s="25"/>
      <c r="B58" s="25" t="s">
        <v>16</v>
      </c>
      <c r="C58" s="26">
        <v>1102719.1399989999</v>
      </c>
      <c r="D58" s="27">
        <v>993077.39791699999</v>
      </c>
      <c r="E58" s="28">
        <f>E57+C58-D58</f>
        <v>2312781.9317940008</v>
      </c>
      <c r="F58" s="25"/>
      <c r="G58" s="25" t="s">
        <v>16</v>
      </c>
      <c r="H58" s="29">
        <f>IF(C58="", "", IF(D58="", "",D58-D43))</f>
        <v>475332.32497999998</v>
      </c>
      <c r="I58" s="29">
        <f>IF(D58="", "", IF(E58="", "",E58-E43))</f>
        <v>196911.11070800014</v>
      </c>
    </row>
    <row r="59" spans="1:9" x14ac:dyDescent="0.25">
      <c r="A59" s="25"/>
      <c r="B59" s="25" t="s">
        <v>17</v>
      </c>
      <c r="C59" s="26">
        <v>852705.27</v>
      </c>
      <c r="D59" s="27">
        <v>1017151.705327</v>
      </c>
      <c r="E59" s="28">
        <f>E58+C59-D59</f>
        <v>2148335.4964670008</v>
      </c>
      <c r="F59" s="25"/>
      <c r="G59" s="25" t="s">
        <v>17</v>
      </c>
      <c r="H59" s="29">
        <f>IF(C59="", "", IF(D59="", "",D59-D44))</f>
        <v>354572.16610299994</v>
      </c>
      <c r="I59" s="29">
        <f>IF(D59="", "", IF(E59="", "",E59-E44))</f>
        <v>-68163.421097999439</v>
      </c>
    </row>
    <row r="60" spans="1:9" x14ac:dyDescent="0.25">
      <c r="A60" s="30"/>
      <c r="B60" s="30" t="s">
        <v>18</v>
      </c>
      <c r="C60" s="31">
        <v>282220.54859999998</v>
      </c>
      <c r="D60" s="32">
        <v>664830.10561199998</v>
      </c>
      <c r="E60" s="33">
        <f>E59+C60-D60</f>
        <v>1765725.9394550007</v>
      </c>
      <c r="F60" s="30"/>
      <c r="G60" s="30" t="s">
        <v>18</v>
      </c>
      <c r="H60" s="34">
        <f>IF(C60="", "", IF(D60="", "",D60-D45))</f>
        <v>67129.11241299985</v>
      </c>
      <c r="I60" s="34">
        <f>IF(D60="", "", IF(E60="", "",E60-E45))</f>
        <v>-348321.07545099966</v>
      </c>
    </row>
    <row r="61" spans="1:9" s="2" customFormat="1" x14ac:dyDescent="0.25">
      <c r="A61" s="35"/>
      <c r="B61" s="35" t="s">
        <v>19</v>
      </c>
      <c r="C61" s="36">
        <f>SUM(C49:C60)</f>
        <v>10280197.464808999</v>
      </c>
      <c r="D61" s="37">
        <f>SUM(D49:D60)</f>
        <v>10628518.54026</v>
      </c>
      <c r="E61" s="28"/>
      <c r="F61" s="35"/>
      <c r="G61" s="35"/>
      <c r="H61" s="28">
        <f>SUMIF(C49:C60,"&gt;=0",H49:H60)</f>
        <v>3957725.0706569995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856683.12206741655</v>
      </c>
      <c r="D62" s="37">
        <f>AVERAGE(D49:D60)</f>
        <v>885709.87835500005</v>
      </c>
      <c r="E62" s="38">
        <f>C62/D62-1</f>
        <v>-3.277230727232483E-2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1765725.9394550007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790097.82999900007</v>
      </c>
      <c r="D64" s="13">
        <v>469701.997837</v>
      </c>
      <c r="E64" s="14">
        <f>E63+C64-D64</f>
        <v>2086121.7716170005</v>
      </c>
      <c r="F64" s="11"/>
      <c r="G64" s="11" t="s">
        <v>7</v>
      </c>
      <c r="H64" s="15">
        <f>IF(C64="", "", IF(D64="", "",D64-D49))</f>
        <v>11253.679564000049</v>
      </c>
      <c r="I64" s="15">
        <f>IF(D64="", "", IF(E64="", "",E64-E49))</f>
        <v>-668625.76300000027</v>
      </c>
    </row>
    <row r="65" spans="1:9" x14ac:dyDescent="0.25">
      <c r="A65" s="11"/>
      <c r="B65" s="11" t="s">
        <v>8</v>
      </c>
      <c r="C65" s="12">
        <v>936638.45999699994</v>
      </c>
      <c r="D65" s="13">
        <v>747604.66110199993</v>
      </c>
      <c r="E65" s="14">
        <f>E64+C65-D65</f>
        <v>2275155.5705120005</v>
      </c>
      <c r="F65" s="11"/>
      <c r="G65" s="11" t="s">
        <v>8</v>
      </c>
      <c r="H65" s="15">
        <f>IF(C65="", "", IF(D65="", "",D65-D50))</f>
        <v>-61312.99583800009</v>
      </c>
      <c r="I65" s="15">
        <f>IF(D65="", "", IF(E65="", "",E65-E50))</f>
        <v>-644746.78916400019</v>
      </c>
    </row>
    <row r="66" spans="1:9" x14ac:dyDescent="0.25">
      <c r="A66" s="11"/>
      <c r="B66" s="11" t="s">
        <v>9</v>
      </c>
      <c r="C66" s="12">
        <v>978320.13000000012</v>
      </c>
      <c r="D66" s="13">
        <v>858428.86329899984</v>
      </c>
      <c r="E66" s="14">
        <f>E65+C66-D66</f>
        <v>2395046.8372130003</v>
      </c>
      <c r="F66" s="11"/>
      <c r="G66" s="11" t="s">
        <v>9</v>
      </c>
      <c r="H66" s="15">
        <f>IF(C66="", "", IF(D66="", "",D66-D51))</f>
        <v>28391.947678999742</v>
      </c>
      <c r="I66" s="15">
        <f>IF(D66="", "", IF(E66="", "",E66-E51))</f>
        <v>-559087.14684200007</v>
      </c>
    </row>
    <row r="67" spans="1:9" x14ac:dyDescent="0.25">
      <c r="A67" s="11"/>
      <c r="B67" s="11" t="s">
        <v>10</v>
      </c>
      <c r="C67" s="12">
        <v>575685.81999999995</v>
      </c>
      <c r="D67" s="13">
        <v>838032.40867499996</v>
      </c>
      <c r="E67" s="14">
        <f>E66+C67-D67</f>
        <v>2132700.248538</v>
      </c>
      <c r="F67" s="11"/>
      <c r="G67" s="11" t="s">
        <v>10</v>
      </c>
      <c r="H67" s="15">
        <f>IF(C67="", "", IF(D67="", "",D67-D52))</f>
        <v>98704.144444999984</v>
      </c>
      <c r="I67" s="15">
        <f>IF(D67="", "", IF(E67="", "",E67-E52))</f>
        <v>-899628.75928700063</v>
      </c>
    </row>
    <row r="68" spans="1:9" x14ac:dyDescent="0.25">
      <c r="A68" s="11"/>
      <c r="B68" s="11" t="s">
        <v>11</v>
      </c>
      <c r="C68" s="12">
        <v>1109543.0850000002</v>
      </c>
      <c r="D68" s="13">
        <v>926814.48548400006</v>
      </c>
      <c r="E68" s="14">
        <f>E67+C68-D68</f>
        <v>2315428.8480540002</v>
      </c>
      <c r="F68" s="11"/>
      <c r="G68" s="11" t="s">
        <v>11</v>
      </c>
      <c r="H68" s="15">
        <f>IF(C68="", "", IF(D68="", "",D68-D53))</f>
        <v>-46914.272629999905</v>
      </c>
      <c r="I68" s="15">
        <f>IF(D68="", "", IF(E68="", "",E68-E53))</f>
        <v>-635063.24989000056</v>
      </c>
    </row>
    <row r="69" spans="1:9" x14ac:dyDescent="0.25">
      <c r="A69" s="11"/>
      <c r="B69" s="11" t="s">
        <v>12</v>
      </c>
      <c r="C69" s="12">
        <v>902160.44999899995</v>
      </c>
      <c r="D69" s="13">
        <v>1066465.8342779998</v>
      </c>
      <c r="E69" s="14">
        <f>E68+C69-D69</f>
        <v>2151123.4637750005</v>
      </c>
      <c r="F69" s="11"/>
      <c r="G69" s="11" t="s">
        <v>12</v>
      </c>
      <c r="H69" s="15">
        <f>IF(C69="", "", IF(D69="", "",D69-D54))</f>
        <v>55889.561893999809</v>
      </c>
      <c r="I69" s="15">
        <f>IF(D69="", "", IF(E69="", "",E69-E54))</f>
        <v>-862785.72178300004</v>
      </c>
    </row>
    <row r="70" spans="1:9" x14ac:dyDescent="0.25">
      <c r="A70" s="11"/>
      <c r="B70" s="11" t="s">
        <v>13</v>
      </c>
      <c r="C70" s="12">
        <v>1238670.6599940001</v>
      </c>
      <c r="D70" s="13">
        <v>987378.54319999996</v>
      </c>
      <c r="E70" s="14">
        <f>E69+C70-D70</f>
        <v>2402415.5805690009</v>
      </c>
      <c r="F70" s="11"/>
      <c r="G70" s="11" t="s">
        <v>13</v>
      </c>
      <c r="H70" s="15">
        <f>IF(C70="", "", IF(D70="", "",D70-D55))</f>
        <v>-101829.61218199995</v>
      </c>
      <c r="I70" s="15">
        <f>IF(D70="", "", IF(E70="", "",E70-E55))</f>
        <v>-220103.28960599983</v>
      </c>
    </row>
    <row r="71" spans="1:9" x14ac:dyDescent="0.25">
      <c r="A71" s="11"/>
      <c r="B71" s="11" t="s">
        <v>14</v>
      </c>
      <c r="C71" s="12">
        <v>1043963.6714000001</v>
      </c>
      <c r="D71" s="13">
        <v>1118687.024796</v>
      </c>
      <c r="E71" s="14">
        <f>E70+C71-D71</f>
        <v>2327692.2271730015</v>
      </c>
      <c r="F71" s="11"/>
      <c r="G71" s="11" t="s">
        <v>14</v>
      </c>
      <c r="H71" s="15">
        <f>IF(C71="", "", IF(D71="", "",D71-D56))</f>
        <v>59185.528904000064</v>
      </c>
      <c r="I71" s="15">
        <f>IF(D71="", "", IF(E71="", "",E71-E56))</f>
        <v>-76939.477109999396</v>
      </c>
    </row>
    <row r="72" spans="1:9" x14ac:dyDescent="0.25">
      <c r="A72" s="11"/>
      <c r="B72" s="11" t="s">
        <v>15</v>
      </c>
      <c r="C72" s="12">
        <v>1935258.5799970001</v>
      </c>
      <c r="D72" s="13">
        <v>1507564.7990050002</v>
      </c>
      <c r="E72" s="14">
        <f>E71+C72-D72</f>
        <v>2755386.0081650019</v>
      </c>
      <c r="F72" s="11"/>
      <c r="G72" s="11" t="s">
        <v>15</v>
      </c>
      <c r="H72" s="15">
        <f>IF(C72="", "", IF(D72="", "",D72-D57))</f>
        <v>523851.3044360003</v>
      </c>
      <c r="I72" s="15">
        <f>IF(D72="", "", IF(E72="", "",E72-E57))</f>
        <v>552245.81845300086</v>
      </c>
    </row>
    <row r="73" spans="1:9" x14ac:dyDescent="0.25">
      <c r="A73" s="11"/>
      <c r="B73" s="11" t="s">
        <v>16</v>
      </c>
      <c r="C73" s="12">
        <v>1289395.3899999999</v>
      </c>
      <c r="D73" s="13">
        <v>1476337.218999</v>
      </c>
      <c r="E73" s="14">
        <f>E72+C73-D73</f>
        <v>2568444.1791660013</v>
      </c>
      <c r="F73" s="11"/>
      <c r="G73" s="11" t="s">
        <v>16</v>
      </c>
      <c r="H73" s="15">
        <f>IF(C73="", "", IF(D73="", "",D73-D58))</f>
        <v>483259.82108200004</v>
      </c>
      <c r="I73" s="15">
        <f>IF(D73="", "", IF(E73="", "",E73-E58))</f>
        <v>255662.24737200048</v>
      </c>
    </row>
    <row r="74" spans="1:9" x14ac:dyDescent="0.25">
      <c r="A74" s="11"/>
      <c r="B74" s="11" t="s">
        <v>17</v>
      </c>
      <c r="C74" s="12">
        <v>1005730.2548000001</v>
      </c>
      <c r="D74" s="13">
        <v>1056790.995531</v>
      </c>
      <c r="E74" s="14">
        <f>E73+C74-D74</f>
        <v>2517383.4384350013</v>
      </c>
      <c r="F74" s="11"/>
      <c r="G74" s="11" t="s">
        <v>17</v>
      </c>
      <c r="H74" s="15">
        <f>IF(C74="", "", IF(D74="", "",D74-D59))</f>
        <v>39639.290203999961</v>
      </c>
      <c r="I74" s="15">
        <f>IF(D74="", "", IF(E74="", "",E74-E59))</f>
        <v>369047.94196800049</v>
      </c>
    </row>
    <row r="75" spans="1:9" x14ac:dyDescent="0.25">
      <c r="A75" s="16"/>
      <c r="B75" s="16" t="s">
        <v>18</v>
      </c>
      <c r="C75" s="17">
        <v>634687.82999900007</v>
      </c>
      <c r="D75" s="18">
        <v>802186.66156799998</v>
      </c>
      <c r="E75" s="19">
        <f>E74+C75-D75</f>
        <v>2349884.6068660012</v>
      </c>
      <c r="F75" s="16"/>
      <c r="G75" s="16" t="s">
        <v>18</v>
      </c>
      <c r="H75" s="20">
        <f>IF(C75="", "", IF(D75="", "",D75-D60))</f>
        <v>137356.555956</v>
      </c>
      <c r="I75" s="20">
        <f>IF(D75="", "", IF(E75="", "",E75-E60))</f>
        <v>584158.66741100047</v>
      </c>
    </row>
    <row r="76" spans="1:9" s="2" customFormat="1" x14ac:dyDescent="0.25">
      <c r="A76" s="21"/>
      <c r="B76" s="21" t="s">
        <v>19</v>
      </c>
      <c r="C76" s="22">
        <f>SUM(C64:C75)</f>
        <v>12440152.161185</v>
      </c>
      <c r="D76" s="23">
        <f>SUM(D64:D75)</f>
        <v>11855993.493774001</v>
      </c>
      <c r="E76" s="14"/>
      <c r="F76" s="21"/>
      <c r="G76" s="21"/>
      <c r="H76" s="14">
        <f>SUMIF(C64:C75,"&gt;=0",H64:H75)</f>
        <v>1227474.9535140002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1036679.3467654167</v>
      </c>
      <c r="D77" s="23">
        <f>AVERAGE(D64:D75)</f>
        <v>987999.45781450009</v>
      </c>
      <c r="E77" s="24">
        <f>C77/D77-1</f>
        <v>4.9271169701447848E-2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2349884.6068660012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2349884.6068660012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2349884.6068660012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2349884.6068660012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2349884.6068660012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2349884.6068660012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2349884.6068660012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2349884.6068660012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2349884.6068660012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2349884.6068660012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2349884.6068660012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2349884.6068660012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2349884.6068660012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Check Box 16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Check Box 2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Check Box 2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Check Box 2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" name="Check Box 24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" name="Check Box 2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Check Box 2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Check Box 2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3FFF-6515-4181-BEBA-93B5C3C08E4F}">
  <sheetPr codeName="Sheet3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3971084.8380149999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3751711.9649979998</v>
      </c>
      <c r="D4" s="13">
        <v>2501010.003889</v>
      </c>
      <c r="E4" s="14">
        <f>E3+C4-D4</f>
        <v>5221786.7991239997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4223304.05</v>
      </c>
      <c r="D5" s="13">
        <v>4236505.6979400003</v>
      </c>
      <c r="E5" s="14">
        <f>E4+C5-D5</f>
        <v>5208585.1511839991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4262935.5899820002</v>
      </c>
      <c r="D6" s="13">
        <v>4155328.3259950001</v>
      </c>
      <c r="E6" s="14">
        <f>E5+C6-D6</f>
        <v>5316192.4151709992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4323009.2599940002</v>
      </c>
      <c r="D7" s="13">
        <v>4342638.7515089996</v>
      </c>
      <c r="E7" s="14">
        <f>E6+C7-D7</f>
        <v>5296562.9236559998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5280186.5606540004</v>
      </c>
      <c r="D8" s="13">
        <v>4889465.5199870002</v>
      </c>
      <c r="E8" s="14">
        <f>E7+C8-D8</f>
        <v>5687283.964323001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3914501.1899469998</v>
      </c>
      <c r="D9" s="13">
        <v>4169664.8104690001</v>
      </c>
      <c r="E9" s="14">
        <f>E8+C9-D9</f>
        <v>5432120.3438010011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4630828.2739509996</v>
      </c>
      <c r="D10" s="13">
        <v>4566543.9610230001</v>
      </c>
      <c r="E10" s="14">
        <f>E9+C10-D10</f>
        <v>5496404.6567290006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4146104.1253550001</v>
      </c>
      <c r="D11" s="13">
        <v>4092500.5590039999</v>
      </c>
      <c r="E11" s="14">
        <f>E10+C11-D11</f>
        <v>5550008.2230800018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5528729.6871389998</v>
      </c>
      <c r="D12" s="13">
        <v>5284546.9404149996</v>
      </c>
      <c r="E12" s="14">
        <f>E11+C12-D12</f>
        <v>5794190.9698040029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5861553.5824379995</v>
      </c>
      <c r="D13" s="13">
        <v>6004390.025231</v>
      </c>
      <c r="E13" s="14">
        <f>E12+C13-D13</f>
        <v>5651354.5270110033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5835029.4499970004</v>
      </c>
      <c r="D14" s="13">
        <v>5695295.2891039997</v>
      </c>
      <c r="E14" s="14">
        <f>E13+C14-D14</f>
        <v>5791088.687904004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1991396.346843</v>
      </c>
      <c r="D15" s="18">
        <v>3713498.6882679998</v>
      </c>
      <c r="E15" s="19">
        <f>E14+C15-D15</f>
        <v>4068986.3464790047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53749290.081297994</v>
      </c>
      <c r="D16" s="23">
        <f>SUM(D4:D15)</f>
        <v>53651388.572833993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4479107.5067748325</v>
      </c>
      <c r="D17" s="23">
        <f>AVERAGE(D4:D15)</f>
        <v>4470949.047736166</v>
      </c>
      <c r="E17" s="24">
        <f>C17/D17-1</f>
        <v>1.8247711954573198E-3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4068986.3464790047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3543286.5356640001</v>
      </c>
      <c r="D19" s="27">
        <v>3119793.3005980002</v>
      </c>
      <c r="E19" s="28">
        <f>E18+C19-D19</f>
        <v>4492479.5815450046</v>
      </c>
      <c r="F19" s="25"/>
      <c r="G19" s="25" t="s">
        <v>7</v>
      </c>
      <c r="H19" s="29">
        <f>IF(C19="", "", IF(D19="", "",D19-D4))</f>
        <v>618783.29670900013</v>
      </c>
      <c r="I19" s="29">
        <f>IF(D19="", "", IF(E19="", "",E19-E4))</f>
        <v>-729307.21757899504</v>
      </c>
    </row>
    <row r="20" spans="1:9" x14ac:dyDescent="0.25">
      <c r="A20" s="25"/>
      <c r="B20" s="25" t="s">
        <v>8</v>
      </c>
      <c r="C20" s="26">
        <v>5747523.3499990003</v>
      </c>
      <c r="D20" s="27">
        <v>4819844.27269</v>
      </c>
      <c r="E20" s="28">
        <f>E19+C20-D20</f>
        <v>5420158.6588540059</v>
      </c>
      <c r="F20" s="25"/>
      <c r="G20" s="25" t="s">
        <v>8</v>
      </c>
      <c r="H20" s="29">
        <f>IF(C20="", "", IF(D20="", "",D20-D5))</f>
        <v>583338.57474999968</v>
      </c>
      <c r="I20" s="29">
        <f>IF(D20="", "", IF(E20="", "",E20-E5))</f>
        <v>211573.50767000671</v>
      </c>
    </row>
    <row r="21" spans="1:9" x14ac:dyDescent="0.25">
      <c r="A21" s="25"/>
      <c r="B21" s="25" t="s">
        <v>9</v>
      </c>
      <c r="C21" s="26">
        <v>6034553.2232280001</v>
      </c>
      <c r="D21" s="27">
        <v>5899908.5502359997</v>
      </c>
      <c r="E21" s="28">
        <f>E20+C21-D21</f>
        <v>5554803.3318460062</v>
      </c>
      <c r="F21" s="25"/>
      <c r="G21" s="25" t="s">
        <v>9</v>
      </c>
      <c r="H21" s="29">
        <f>IF(C21="", "", IF(D21="", "",D21-D6))</f>
        <v>1744580.2242409997</v>
      </c>
      <c r="I21" s="29">
        <f>IF(D21="", "", IF(E21="", "",E21-E6))</f>
        <v>238610.91667500697</v>
      </c>
    </row>
    <row r="22" spans="1:9" x14ac:dyDescent="0.25">
      <c r="A22" s="25"/>
      <c r="B22" s="25" t="s">
        <v>10</v>
      </c>
      <c r="C22" s="26">
        <v>1480967.11</v>
      </c>
      <c r="D22" s="27">
        <v>3321280.5337629998</v>
      </c>
      <c r="E22" s="28">
        <f>E21+C22-D22</f>
        <v>3714489.9080830067</v>
      </c>
      <c r="F22" s="25"/>
      <c r="G22" s="25" t="s">
        <v>10</v>
      </c>
      <c r="H22" s="29">
        <f>IF(C22="", "", IF(D22="", "",D22-D7))</f>
        <v>-1021358.2177459998</v>
      </c>
      <c r="I22" s="29">
        <f>IF(D22="", "", IF(E22="", "",E22-E7))</f>
        <v>-1582073.0155729931</v>
      </c>
    </row>
    <row r="23" spans="1:9" x14ac:dyDescent="0.25">
      <c r="A23" s="25"/>
      <c r="B23" s="25" t="s">
        <v>11</v>
      </c>
      <c r="C23" s="26">
        <v>4959437.1021069996</v>
      </c>
      <c r="D23" s="27">
        <v>4785417.0077010002</v>
      </c>
      <c r="E23" s="28">
        <f>E22+C23-D23</f>
        <v>3888510.0024890061</v>
      </c>
      <c r="F23" s="25"/>
      <c r="G23" s="25" t="s">
        <v>11</v>
      </c>
      <c r="H23" s="29">
        <f>IF(C23="", "", IF(D23="", "",D23-D8))</f>
        <v>-104048.51228599995</v>
      </c>
      <c r="I23" s="29">
        <f>IF(D23="", "", IF(E23="", "",E23-E8))</f>
        <v>-1798773.9618339948</v>
      </c>
    </row>
    <row r="24" spans="1:9" x14ac:dyDescent="0.25">
      <c r="A24" s="25"/>
      <c r="B24" s="25" t="s">
        <v>12</v>
      </c>
      <c r="C24" s="26">
        <v>6034315.5799939996</v>
      </c>
      <c r="D24" s="27">
        <v>5615920.2530760001</v>
      </c>
      <c r="E24" s="28">
        <f>E23+C24-D24</f>
        <v>4306905.3294070046</v>
      </c>
      <c r="F24" s="25"/>
      <c r="G24" s="25" t="s">
        <v>12</v>
      </c>
      <c r="H24" s="29">
        <f>IF(C24="", "", IF(D24="", "",D24-D9))</f>
        <v>1446255.442607</v>
      </c>
      <c r="I24" s="29">
        <f>IF(D24="", "", IF(E24="", "",E24-E9))</f>
        <v>-1125215.0143939964</v>
      </c>
    </row>
    <row r="25" spans="1:9" x14ac:dyDescent="0.25">
      <c r="A25" s="25"/>
      <c r="B25" s="25" t="s">
        <v>13</v>
      </c>
      <c r="C25" s="26">
        <v>6789679.960825</v>
      </c>
      <c r="D25" s="27">
        <v>6111601.7598740002</v>
      </c>
      <c r="E25" s="28">
        <f>E24+C25-D25</f>
        <v>4984983.5303580044</v>
      </c>
      <c r="F25" s="25"/>
      <c r="G25" s="25" t="s">
        <v>13</v>
      </c>
      <c r="H25" s="29">
        <f>IF(C25="", "", IF(D25="", "",D25-D10))</f>
        <v>1545057.7988510001</v>
      </c>
      <c r="I25" s="29">
        <f>IF(D25="", "", IF(E25="", "",E25-E10))</f>
        <v>-511421.12637099624</v>
      </c>
    </row>
    <row r="26" spans="1:9" x14ac:dyDescent="0.25">
      <c r="A26" s="25"/>
      <c r="B26" s="25" t="s">
        <v>14</v>
      </c>
      <c r="C26" s="26">
        <v>5696430.6594519997</v>
      </c>
      <c r="D26" s="27">
        <v>5088614.8441350004</v>
      </c>
      <c r="E26" s="28">
        <f>E25+C26-D26</f>
        <v>5592799.3456750037</v>
      </c>
      <c r="F26" s="25"/>
      <c r="G26" s="25" t="s">
        <v>14</v>
      </c>
      <c r="H26" s="29">
        <f>IF(C26="", "", IF(D26="", "",D26-D11))</f>
        <v>996114.28513100045</v>
      </c>
      <c r="I26" s="29">
        <f>IF(D26="", "", IF(E26="", "",E26-E11))</f>
        <v>42791.122595001943</v>
      </c>
    </row>
    <row r="27" spans="1:9" x14ac:dyDescent="0.25">
      <c r="A27" s="25"/>
      <c r="B27" s="25" t="s">
        <v>15</v>
      </c>
      <c r="C27" s="26">
        <v>5863284.5966450004</v>
      </c>
      <c r="D27" s="27">
        <v>6322707.8481599996</v>
      </c>
      <c r="E27" s="28">
        <f>E26+C27-D27</f>
        <v>5133376.0941600045</v>
      </c>
      <c r="F27" s="25"/>
      <c r="G27" s="25" t="s">
        <v>15</v>
      </c>
      <c r="H27" s="29">
        <f>IF(C27="", "", IF(D27="", "",D27-D12))</f>
        <v>1038160.907745</v>
      </c>
      <c r="I27" s="29">
        <f>IF(D27="", "", IF(E27="", "",E27-E12))</f>
        <v>-660814.87564399838</v>
      </c>
    </row>
    <row r="28" spans="1:9" x14ac:dyDescent="0.25">
      <c r="A28" s="25"/>
      <c r="B28" s="25" t="s">
        <v>16</v>
      </c>
      <c r="C28" s="26">
        <v>7276081.4250569995</v>
      </c>
      <c r="D28" s="27">
        <v>6633275.775599</v>
      </c>
      <c r="E28" s="28">
        <f>E27+C28-D28</f>
        <v>5776181.7436180031</v>
      </c>
      <c r="F28" s="25"/>
      <c r="G28" s="25" t="s">
        <v>16</v>
      </c>
      <c r="H28" s="29">
        <f>IF(C28="", "", IF(D28="", "",D28-D13))</f>
        <v>628885.75036800001</v>
      </c>
      <c r="I28" s="29">
        <f>IF(D28="", "", IF(E28="", "",E28-E13))</f>
        <v>124827.21660699975</v>
      </c>
    </row>
    <row r="29" spans="1:9" x14ac:dyDescent="0.25">
      <c r="A29" s="25"/>
      <c r="B29" s="25" t="s">
        <v>17</v>
      </c>
      <c r="C29" s="26">
        <v>7051367.7699870002</v>
      </c>
      <c r="D29" s="27">
        <v>6868759.3640670003</v>
      </c>
      <c r="E29" s="28">
        <f>E28+C29-D29</f>
        <v>5958790.149538002</v>
      </c>
      <c r="F29" s="25"/>
      <c r="G29" s="25" t="s">
        <v>17</v>
      </c>
      <c r="H29" s="29">
        <f>IF(C29="", "", IF(D29="", "",D29-D14))</f>
        <v>1173464.0749630006</v>
      </c>
      <c r="I29" s="29">
        <f>IF(D29="", "", IF(E29="", "",E29-E14))</f>
        <v>167701.46163399797</v>
      </c>
    </row>
    <row r="30" spans="1:9" x14ac:dyDescent="0.25">
      <c r="A30" s="30"/>
      <c r="B30" s="30" t="s">
        <v>18</v>
      </c>
      <c r="C30" s="31">
        <v>3064834.1055959999</v>
      </c>
      <c r="D30" s="32">
        <v>4874205.1598920003</v>
      </c>
      <c r="E30" s="33">
        <f>E29+C30-D30</f>
        <v>4149419.0952420011</v>
      </c>
      <c r="F30" s="30"/>
      <c r="G30" s="30" t="s">
        <v>18</v>
      </c>
      <c r="H30" s="34">
        <f>IF(C30="", "", IF(D30="", "",D30-D15))</f>
        <v>1160706.4716240005</v>
      </c>
      <c r="I30" s="34">
        <f>IF(D30="", "", IF(E30="", "",E30-E15))</f>
        <v>80432.748762996402</v>
      </c>
    </row>
    <row r="31" spans="1:9" s="2" customFormat="1" x14ac:dyDescent="0.25">
      <c r="A31" s="35"/>
      <c r="B31" s="35" t="s">
        <v>19</v>
      </c>
      <c r="C31" s="36">
        <f>SUM(C19:C30)</f>
        <v>63541761.418554001</v>
      </c>
      <c r="D31" s="37">
        <f>SUM(D19:D30)</f>
        <v>63461328.669791006</v>
      </c>
      <c r="E31" s="28"/>
      <c r="F31" s="35"/>
      <c r="G31" s="35"/>
      <c r="H31" s="28">
        <f>SUMIF(C19:C30,"&gt;=0",H19:H30)</f>
        <v>9809940.096957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5295146.7848795</v>
      </c>
      <c r="D32" s="37">
        <f>AVERAGE(D19:D30)</f>
        <v>5288444.0558159174</v>
      </c>
      <c r="E32" s="38">
        <f>C32/D32-1</f>
        <v>1.2674293219026023E-3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4149419.0952420011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6120153.7719409997</v>
      </c>
      <c r="D34" s="13">
        <v>4435765.2141650002</v>
      </c>
      <c r="E34" s="14">
        <f>E33+C34-D34</f>
        <v>5833807.6530179996</v>
      </c>
      <c r="F34" s="11"/>
      <c r="G34" s="11" t="s">
        <v>7</v>
      </c>
      <c r="H34" s="15">
        <f>IF(C34="", "", IF(D34="", "",D34-D19))</f>
        <v>1315971.9135670001</v>
      </c>
      <c r="I34" s="15">
        <f>IF(D34="", "", IF(E34="", "",E34-E19))</f>
        <v>1341328.071472995</v>
      </c>
    </row>
    <row r="35" spans="1:9" x14ac:dyDescent="0.25">
      <c r="A35" s="11"/>
      <c r="B35" s="11" t="s">
        <v>8</v>
      </c>
      <c r="C35" s="12">
        <v>7553601.7909829998</v>
      </c>
      <c r="D35" s="13">
        <v>7304855.8084869999</v>
      </c>
      <c r="E35" s="14">
        <f>E34+C35-D35</f>
        <v>6082553.6355140004</v>
      </c>
      <c r="F35" s="11"/>
      <c r="G35" s="11" t="s">
        <v>8</v>
      </c>
      <c r="H35" s="15">
        <f>IF(C35="", "", IF(D35="", "",D35-D20))</f>
        <v>2485011.5357969999</v>
      </c>
      <c r="I35" s="15">
        <f>IF(D35="", "", IF(E35="", "",E35-E20))</f>
        <v>662394.97665999457</v>
      </c>
    </row>
    <row r="36" spans="1:9" x14ac:dyDescent="0.25">
      <c r="A36" s="11"/>
      <c r="B36" s="11" t="s">
        <v>9</v>
      </c>
      <c r="C36" s="12">
        <v>9833661.2693169992</v>
      </c>
      <c r="D36" s="13">
        <v>7930542.7487159995</v>
      </c>
      <c r="E36" s="14">
        <f>E35+C36-D36</f>
        <v>7985672.1561150001</v>
      </c>
      <c r="F36" s="11"/>
      <c r="G36" s="11" t="s">
        <v>9</v>
      </c>
      <c r="H36" s="15">
        <f>IF(C36="", "", IF(D36="", "",D36-D21))</f>
        <v>2030634.1984799998</v>
      </c>
      <c r="I36" s="15">
        <f>IF(D36="", "", IF(E36="", "",E36-E21))</f>
        <v>2430868.8242689939</v>
      </c>
    </row>
    <row r="37" spans="1:9" x14ac:dyDescent="0.25">
      <c r="A37" s="11"/>
      <c r="B37" s="11" t="s">
        <v>10</v>
      </c>
      <c r="C37" s="12">
        <v>9384547.4090139996</v>
      </c>
      <c r="D37" s="13">
        <v>8793159.2670510001</v>
      </c>
      <c r="E37" s="14">
        <f>E36+C37-D37</f>
        <v>8577060.2980780005</v>
      </c>
      <c r="F37" s="11"/>
      <c r="G37" s="11" t="s">
        <v>10</v>
      </c>
      <c r="H37" s="15">
        <f>IF(C37="", "", IF(D37="", "",D37-D22))</f>
        <v>5471878.7332880003</v>
      </c>
      <c r="I37" s="15">
        <f>IF(D37="", "", IF(E37="", "",E37-E22))</f>
        <v>4862570.3899949938</v>
      </c>
    </row>
    <row r="38" spans="1:9" x14ac:dyDescent="0.25">
      <c r="A38" s="11"/>
      <c r="B38" s="11" t="s">
        <v>11</v>
      </c>
      <c r="C38" s="12">
        <v>9031107.062965</v>
      </c>
      <c r="D38" s="13">
        <v>9204113.0773370005</v>
      </c>
      <c r="E38" s="14">
        <f>E37+C38-D38</f>
        <v>8404054.2837059982</v>
      </c>
      <c r="F38" s="11"/>
      <c r="G38" s="11" t="s">
        <v>11</v>
      </c>
      <c r="H38" s="15">
        <f>IF(C38="", "", IF(D38="", "",D38-D23))</f>
        <v>4418696.0696360003</v>
      </c>
      <c r="I38" s="15">
        <f>IF(D38="", "", IF(E38="", "",E38-E23))</f>
        <v>4515544.2812169921</v>
      </c>
    </row>
    <row r="39" spans="1:9" x14ac:dyDescent="0.25">
      <c r="A39" s="11"/>
      <c r="B39" s="11" t="s">
        <v>12</v>
      </c>
      <c r="C39" s="12">
        <v>9705943.6199600007</v>
      </c>
      <c r="D39" s="13">
        <v>7712565.8447780004</v>
      </c>
      <c r="E39" s="14">
        <f>E38+C39-D39</f>
        <v>10397432.058887996</v>
      </c>
      <c r="F39" s="11"/>
      <c r="G39" s="11" t="s">
        <v>12</v>
      </c>
      <c r="H39" s="15">
        <f>IF(C39="", "", IF(D39="", "",D39-D24))</f>
        <v>2096645.5917020002</v>
      </c>
      <c r="I39" s="15">
        <f>IF(D39="", "", IF(E39="", "",E39-E24))</f>
        <v>6090526.7294809911</v>
      </c>
    </row>
    <row r="40" spans="1:9" x14ac:dyDescent="0.25">
      <c r="A40" s="11"/>
      <c r="B40" s="11" t="s">
        <v>13</v>
      </c>
      <c r="C40" s="12">
        <v>8722438.8476589993</v>
      </c>
      <c r="D40" s="13">
        <v>8799273.209663</v>
      </c>
      <c r="E40" s="14">
        <f>E39+C40-D40</f>
        <v>10320597.696883995</v>
      </c>
      <c r="F40" s="11"/>
      <c r="G40" s="11" t="s">
        <v>13</v>
      </c>
      <c r="H40" s="15">
        <f>IF(C40="", "", IF(D40="", "",D40-D25))</f>
        <v>2687671.4497889997</v>
      </c>
      <c r="I40" s="15">
        <f>IF(D40="", "", IF(E40="", "",E40-E25))</f>
        <v>5335614.1665259907</v>
      </c>
    </row>
    <row r="41" spans="1:9" x14ac:dyDescent="0.25">
      <c r="A41" s="11"/>
      <c r="B41" s="11" t="s">
        <v>14</v>
      </c>
      <c r="C41" s="12">
        <v>9397420.8757349998</v>
      </c>
      <c r="D41" s="13">
        <v>9490763.0879529994</v>
      </c>
      <c r="E41" s="14">
        <f>E40+C41-D41</f>
        <v>10227255.484665995</v>
      </c>
      <c r="F41" s="11"/>
      <c r="G41" s="11" t="s">
        <v>14</v>
      </c>
      <c r="H41" s="15">
        <f>IF(C41="", "", IF(D41="", "",D41-D26))</f>
        <v>4402148.243817999</v>
      </c>
      <c r="I41" s="15">
        <f>IF(D41="", "", IF(E41="", "",E41-E26))</f>
        <v>4634456.1389909917</v>
      </c>
    </row>
    <row r="42" spans="1:9" x14ac:dyDescent="0.25">
      <c r="A42" s="11"/>
      <c r="B42" s="11" t="s">
        <v>15</v>
      </c>
      <c r="C42" s="12">
        <v>8996626.4899579994</v>
      </c>
      <c r="D42" s="13">
        <v>8650529.7924169991</v>
      </c>
      <c r="E42" s="14">
        <f>E41+C42-D42</f>
        <v>10573352.182206994</v>
      </c>
      <c r="F42" s="11"/>
      <c r="G42" s="11" t="s">
        <v>15</v>
      </c>
      <c r="H42" s="15">
        <f>IF(C42="", "", IF(D42="", "",D42-D27))</f>
        <v>2327821.9442569995</v>
      </c>
      <c r="I42" s="15">
        <f>IF(D42="", "", IF(E42="", "",E42-E27))</f>
        <v>5439976.0880469894</v>
      </c>
    </row>
    <row r="43" spans="1:9" x14ac:dyDescent="0.25">
      <c r="A43" s="11"/>
      <c r="B43" s="11" t="s">
        <v>16</v>
      </c>
      <c r="C43" s="12">
        <v>11616718.286996</v>
      </c>
      <c r="D43" s="13">
        <v>10424430.94918</v>
      </c>
      <c r="E43" s="14">
        <f>E42+C43-D43</f>
        <v>11765639.520022996</v>
      </c>
      <c r="F43" s="11"/>
      <c r="G43" s="11" t="s">
        <v>16</v>
      </c>
      <c r="H43" s="15">
        <f>IF(C43="", "", IF(D43="", "",D43-D28))</f>
        <v>3791155.1735809995</v>
      </c>
      <c r="I43" s="15">
        <f>IF(D43="", "", IF(E43="", "",E43-E28))</f>
        <v>5989457.7764049927</v>
      </c>
    </row>
    <row r="44" spans="1:9" x14ac:dyDescent="0.25">
      <c r="A44" s="11"/>
      <c r="B44" s="11" t="s">
        <v>17</v>
      </c>
      <c r="C44" s="12">
        <v>10916735.793287</v>
      </c>
      <c r="D44" s="13">
        <v>9891064.0345649999</v>
      </c>
      <c r="E44" s="14">
        <f>E43+C44-D44</f>
        <v>12791311.278744997</v>
      </c>
      <c r="F44" s="11"/>
      <c r="G44" s="11" t="s">
        <v>17</v>
      </c>
      <c r="H44" s="15">
        <f>IF(C44="", "", IF(D44="", "",D44-D29))</f>
        <v>3022304.6704979995</v>
      </c>
      <c r="I44" s="15">
        <f>IF(D44="", "", IF(E44="", "",E44-E29))</f>
        <v>6832521.1292069955</v>
      </c>
    </row>
    <row r="45" spans="1:9" x14ac:dyDescent="0.25">
      <c r="A45" s="16"/>
      <c r="B45" s="16" t="s">
        <v>18</v>
      </c>
      <c r="C45" s="17">
        <v>4602205.7914840002</v>
      </c>
      <c r="D45" s="18">
        <v>7044454.6213039998</v>
      </c>
      <c r="E45" s="19">
        <f>E44+C45-D45</f>
        <v>10349062.448924998</v>
      </c>
      <c r="F45" s="16"/>
      <c r="G45" s="16" t="s">
        <v>18</v>
      </c>
      <c r="H45" s="20">
        <f>IF(C45="", "", IF(D45="", "",D45-D30))</f>
        <v>2170249.4614119995</v>
      </c>
      <c r="I45" s="20">
        <f>IF(D45="", "", IF(E45="", "",E45-E30))</f>
        <v>6199643.3536829967</v>
      </c>
    </row>
    <row r="46" spans="1:9" s="2" customFormat="1" x14ac:dyDescent="0.25">
      <c r="A46" s="21"/>
      <c r="B46" s="21" t="s">
        <v>19</v>
      </c>
      <c r="C46" s="22">
        <f>SUM(C34:C45)</f>
        <v>105881161.009299</v>
      </c>
      <c r="D46" s="23">
        <f>SUM(D34:D45)</f>
        <v>99681517.655616015</v>
      </c>
      <c r="E46" s="14"/>
      <c r="F46" s="21"/>
      <c r="G46" s="21"/>
      <c r="H46" s="14">
        <f>SUMIF(C34:C45,"&gt;=0",H34:H45)</f>
        <v>36220188.985824995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8823430.0841082502</v>
      </c>
      <c r="D47" s="23">
        <f>AVERAGE(D34:D45)</f>
        <v>8306793.137968001</v>
      </c>
      <c r="E47" s="24">
        <f>C47/D47-1</f>
        <v>6.2194512076970909E-2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10349062.448924998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10667080.220527001</v>
      </c>
      <c r="D49" s="27">
        <v>7844485.7066169996</v>
      </c>
      <c r="E49" s="28">
        <f>E48+C49-D49</f>
        <v>13171656.962834997</v>
      </c>
      <c r="F49" s="25"/>
      <c r="G49" s="25" t="s">
        <v>7</v>
      </c>
      <c r="H49" s="29">
        <f>IF(C49="", "", IF(D49="", "",D49-D34))</f>
        <v>3408720.4924519993</v>
      </c>
      <c r="I49" s="29">
        <f>IF(D49="", "", IF(E49="", "",E49-E34))</f>
        <v>7337849.3098169975</v>
      </c>
    </row>
    <row r="50" spans="1:9" x14ac:dyDescent="0.25">
      <c r="A50" s="25"/>
      <c r="B50" s="25" t="s">
        <v>8</v>
      </c>
      <c r="C50" s="26">
        <v>12171876.959523</v>
      </c>
      <c r="D50" s="27">
        <v>10508286.465544</v>
      </c>
      <c r="E50" s="28">
        <f>E49+C50-D50</f>
        <v>14835247.456813999</v>
      </c>
      <c r="F50" s="25"/>
      <c r="G50" s="25" t="s">
        <v>8</v>
      </c>
      <c r="H50" s="29">
        <f>IF(C50="", "", IF(D50="", "",D50-D35))</f>
        <v>3203430.6570570003</v>
      </c>
      <c r="I50" s="29">
        <f>IF(D50="", "", IF(E50="", "",E50-E35))</f>
        <v>8752693.8212999981</v>
      </c>
    </row>
    <row r="51" spans="1:9" x14ac:dyDescent="0.25">
      <c r="A51" s="25"/>
      <c r="B51" s="25" t="s">
        <v>9</v>
      </c>
      <c r="C51" s="26">
        <v>13955216.163315</v>
      </c>
      <c r="D51" s="27">
        <v>13725868.732075</v>
      </c>
      <c r="E51" s="28">
        <f>E50+C51-D51</f>
        <v>15064594.888053996</v>
      </c>
      <c r="F51" s="25"/>
      <c r="G51" s="25" t="s">
        <v>9</v>
      </c>
      <c r="H51" s="29">
        <f>IF(C51="", "", IF(D51="", "",D51-D36))</f>
        <v>5795325.9833590006</v>
      </c>
      <c r="I51" s="29">
        <f>IF(D51="", "", IF(E51="", "",E51-E36))</f>
        <v>7078922.7319389964</v>
      </c>
    </row>
    <row r="52" spans="1:9" x14ac:dyDescent="0.25">
      <c r="A52" s="25"/>
      <c r="B52" s="25" t="s">
        <v>10</v>
      </c>
      <c r="C52" s="26">
        <v>10527031.819977</v>
      </c>
      <c r="D52" s="27">
        <v>8942112.8218869995</v>
      </c>
      <c r="E52" s="28">
        <f>E51+C52-D52</f>
        <v>16649513.886143999</v>
      </c>
      <c r="F52" s="25"/>
      <c r="G52" s="25" t="s">
        <v>10</v>
      </c>
      <c r="H52" s="29">
        <f>IF(C52="", "", IF(D52="", "",D52-D37))</f>
        <v>148953.55483599938</v>
      </c>
      <c r="I52" s="29">
        <f>IF(D52="", "", IF(E52="", "",E52-E37))</f>
        <v>8072453.5880659986</v>
      </c>
    </row>
    <row r="53" spans="1:9" x14ac:dyDescent="0.25">
      <c r="A53" s="25"/>
      <c r="B53" s="25" t="s">
        <v>11</v>
      </c>
      <c r="C53" s="26">
        <v>10703007.337916</v>
      </c>
      <c r="D53" s="27">
        <v>10391701.261731001</v>
      </c>
      <c r="E53" s="28">
        <f>E52+C53-D53</f>
        <v>16960819.962329</v>
      </c>
      <c r="F53" s="25"/>
      <c r="G53" s="25" t="s">
        <v>11</v>
      </c>
      <c r="H53" s="29">
        <f>IF(C53="", "", IF(D53="", "",D53-D38))</f>
        <v>1187588.1843940001</v>
      </c>
      <c r="I53" s="29">
        <f>IF(D53="", "", IF(E53="", "",E53-E38))</f>
        <v>8556765.678623002</v>
      </c>
    </row>
    <row r="54" spans="1:9" x14ac:dyDescent="0.25">
      <c r="A54" s="25"/>
      <c r="B54" s="25" t="s">
        <v>12</v>
      </c>
      <c r="C54" s="26">
        <v>5037093.395912</v>
      </c>
      <c r="D54" s="27">
        <v>7498646.4082429996</v>
      </c>
      <c r="E54" s="28">
        <f>E53+C54-D54</f>
        <v>14499266.949997999</v>
      </c>
      <c r="F54" s="25"/>
      <c r="G54" s="25" t="s">
        <v>12</v>
      </c>
      <c r="H54" s="29">
        <f>IF(C54="", "", IF(D54="", "",D54-D39))</f>
        <v>-213919.4365350008</v>
      </c>
      <c r="I54" s="29">
        <f>IF(D54="", "", IF(E54="", "",E54-E39))</f>
        <v>4101834.891110003</v>
      </c>
    </row>
    <row r="55" spans="1:9" x14ac:dyDescent="0.25">
      <c r="A55" s="25"/>
      <c r="B55" s="25" t="s">
        <v>13</v>
      </c>
      <c r="C55" s="26">
        <v>6915795.6556879999</v>
      </c>
      <c r="D55" s="27">
        <v>8984662.586375</v>
      </c>
      <c r="E55" s="28">
        <f>E54+C55-D55</f>
        <v>12430400.019310998</v>
      </c>
      <c r="F55" s="25"/>
      <c r="G55" s="25" t="s">
        <v>13</v>
      </c>
      <c r="H55" s="29">
        <f>IF(C55="", "", IF(D55="", "",D55-D40))</f>
        <v>185389.376712</v>
      </c>
      <c r="I55" s="29">
        <f>IF(D55="", "", IF(E55="", "",E55-E40))</f>
        <v>2109802.3224270027</v>
      </c>
    </row>
    <row r="56" spans="1:9" x14ac:dyDescent="0.25">
      <c r="A56" s="25"/>
      <c r="B56" s="25" t="s">
        <v>14</v>
      </c>
      <c r="C56" s="26">
        <v>7404041.155913</v>
      </c>
      <c r="D56" s="27">
        <v>8679655.0553120002</v>
      </c>
      <c r="E56" s="28">
        <f>E55+C56-D56</f>
        <v>11154786.119911999</v>
      </c>
      <c r="F56" s="25"/>
      <c r="G56" s="25" t="s">
        <v>14</v>
      </c>
      <c r="H56" s="29">
        <f>IF(C56="", "", IF(D56="", "",D56-D41))</f>
        <v>-811108.03264099918</v>
      </c>
      <c r="I56" s="29">
        <f>IF(D56="", "", IF(E56="", "",E56-E41))</f>
        <v>927530.63524600305</v>
      </c>
    </row>
    <row r="57" spans="1:9" x14ac:dyDescent="0.25">
      <c r="A57" s="25"/>
      <c r="B57" s="25" t="s">
        <v>15</v>
      </c>
      <c r="C57" s="26">
        <v>7872289.899987</v>
      </c>
      <c r="D57" s="27">
        <v>9616252.3501019999</v>
      </c>
      <c r="E57" s="28">
        <f>E56+C57-D57</f>
        <v>9410823.6697969995</v>
      </c>
      <c r="F57" s="25"/>
      <c r="G57" s="25" t="s">
        <v>15</v>
      </c>
      <c r="H57" s="29">
        <f>IF(C57="", "", IF(D57="", "",D57-D42))</f>
        <v>965722.55768500082</v>
      </c>
      <c r="I57" s="29">
        <f>IF(D57="", "", IF(E57="", "",E57-E42))</f>
        <v>-1162528.5124099944</v>
      </c>
    </row>
    <row r="58" spans="1:9" x14ac:dyDescent="0.25">
      <c r="A58" s="25"/>
      <c r="B58" s="25" t="s">
        <v>16</v>
      </c>
      <c r="C58" s="26">
        <v>8684340.909976</v>
      </c>
      <c r="D58" s="27">
        <v>9627003.9558160007</v>
      </c>
      <c r="E58" s="28">
        <f>E57+C58-D58</f>
        <v>8468160.6239570007</v>
      </c>
      <c r="F58" s="25"/>
      <c r="G58" s="25" t="s">
        <v>16</v>
      </c>
      <c r="H58" s="29">
        <f>IF(C58="", "", IF(D58="", "",D58-D43))</f>
        <v>-797426.99336399883</v>
      </c>
      <c r="I58" s="29">
        <f>IF(D58="", "", IF(E58="", "",E58-E43))</f>
        <v>-3297478.8960659951</v>
      </c>
    </row>
    <row r="59" spans="1:9" x14ac:dyDescent="0.25">
      <c r="A59" s="25"/>
      <c r="B59" s="25" t="s">
        <v>17</v>
      </c>
      <c r="C59" s="26">
        <v>8100503.1699919999</v>
      </c>
      <c r="D59" s="27">
        <v>9296354.4966509994</v>
      </c>
      <c r="E59" s="28">
        <f>E58+C59-D59</f>
        <v>7272309.2972980011</v>
      </c>
      <c r="F59" s="25"/>
      <c r="G59" s="25" t="s">
        <v>17</v>
      </c>
      <c r="H59" s="29">
        <f>IF(C59="", "", IF(D59="", "",D59-D44))</f>
        <v>-594709.53791400045</v>
      </c>
      <c r="I59" s="29">
        <f>IF(D59="", "", IF(E59="", "",E59-E44))</f>
        <v>-5519001.9814469963</v>
      </c>
    </row>
    <row r="60" spans="1:9" x14ac:dyDescent="0.25">
      <c r="A60" s="30"/>
      <c r="B60" s="30" t="s">
        <v>18</v>
      </c>
      <c r="C60" s="31">
        <v>4746658.1504729996</v>
      </c>
      <c r="D60" s="32">
        <v>5665172.2447419995</v>
      </c>
      <c r="E60" s="33">
        <f>E59+C60-D60</f>
        <v>6353795.2030290021</v>
      </c>
      <c r="F60" s="30"/>
      <c r="G60" s="30" t="s">
        <v>18</v>
      </c>
      <c r="H60" s="34">
        <f>IF(C60="", "", IF(D60="", "",D60-D45))</f>
        <v>-1379282.3765620003</v>
      </c>
      <c r="I60" s="34">
        <f>IF(D60="", "", IF(E60="", "",E60-E45))</f>
        <v>-3995267.2458959958</v>
      </c>
    </row>
    <row r="61" spans="1:9" s="2" customFormat="1" x14ac:dyDescent="0.25">
      <c r="A61" s="35"/>
      <c r="B61" s="35" t="s">
        <v>19</v>
      </c>
      <c r="C61" s="36">
        <f>SUM(C49:C60)</f>
        <v>106784934.83919899</v>
      </c>
      <c r="D61" s="37">
        <f>SUM(D49:D60)</f>
        <v>110780202.08509502</v>
      </c>
      <c r="E61" s="28"/>
      <c r="F61" s="35"/>
      <c r="G61" s="35"/>
      <c r="H61" s="28">
        <f>SUMIF(C49:C60,"&gt;=0",H49:H60)</f>
        <v>11098684.429478999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8898744.5699332487</v>
      </c>
      <c r="D62" s="37">
        <f>AVERAGE(D49:D60)</f>
        <v>9231683.5070912521</v>
      </c>
      <c r="E62" s="38">
        <f>C62/D62-1</f>
        <v>-3.6064812761644083E-2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6353795.2030290021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6969774.6472929996</v>
      </c>
      <c r="D64" s="13">
        <v>4453739.0603649998</v>
      </c>
      <c r="E64" s="14">
        <f>E63+C64-D64</f>
        <v>8869830.7899570018</v>
      </c>
      <c r="F64" s="11"/>
      <c r="G64" s="11" t="s">
        <v>7</v>
      </c>
      <c r="H64" s="15">
        <f>IF(C64="", "", IF(D64="", "",D64-D49))</f>
        <v>-3390746.6462519998</v>
      </c>
      <c r="I64" s="15">
        <f>IF(D64="", "", IF(E64="", "",E64-E49))</f>
        <v>-4301826.1728779953</v>
      </c>
    </row>
    <row r="65" spans="1:9" x14ac:dyDescent="0.25">
      <c r="A65" s="11"/>
      <c r="B65" s="11" t="s">
        <v>8</v>
      </c>
      <c r="C65" s="12">
        <v>6926789.109987</v>
      </c>
      <c r="D65" s="13">
        <v>7383132.3134890003</v>
      </c>
      <c r="E65" s="14">
        <f>E64+C65-D65</f>
        <v>8413487.5864550024</v>
      </c>
      <c r="F65" s="11"/>
      <c r="G65" s="11" t="s">
        <v>8</v>
      </c>
      <c r="H65" s="15">
        <f>IF(C65="", "", IF(D65="", "",D65-D50))</f>
        <v>-3125154.152055</v>
      </c>
      <c r="I65" s="15">
        <f>IF(D65="", "", IF(E65="", "",E65-E50))</f>
        <v>-6421759.8703589961</v>
      </c>
    </row>
    <row r="66" spans="1:9" x14ac:dyDescent="0.25">
      <c r="A66" s="11"/>
      <c r="B66" s="11" t="s">
        <v>9</v>
      </c>
      <c r="C66" s="12">
        <v>8600036.4699939992</v>
      </c>
      <c r="D66" s="13">
        <v>7519585.3439389998</v>
      </c>
      <c r="E66" s="14">
        <f>E65+C66-D66</f>
        <v>9493938.7125100046</v>
      </c>
      <c r="F66" s="11"/>
      <c r="G66" s="11" t="s">
        <v>9</v>
      </c>
      <c r="H66" s="15">
        <f>IF(C66="", "", IF(D66="", "",D66-D51))</f>
        <v>-6206283.3881360004</v>
      </c>
      <c r="I66" s="15">
        <f>IF(D66="", "", IF(E66="", "",E66-E51))</f>
        <v>-5570656.1755439918</v>
      </c>
    </row>
    <row r="67" spans="1:9" x14ac:dyDescent="0.25">
      <c r="A67" s="11"/>
      <c r="B67" s="11" t="s">
        <v>10</v>
      </c>
      <c r="C67" s="12">
        <v>5780243.8499609996</v>
      </c>
      <c r="D67" s="13">
        <v>5938744.5697379997</v>
      </c>
      <c r="E67" s="14">
        <f>E66+C67-D67</f>
        <v>9335437.9927330054</v>
      </c>
      <c r="F67" s="11"/>
      <c r="G67" s="11" t="s">
        <v>10</v>
      </c>
      <c r="H67" s="15">
        <f>IF(C67="", "", IF(D67="", "",D67-D52))</f>
        <v>-3003368.2521489998</v>
      </c>
      <c r="I67" s="15">
        <f>IF(D67="", "", IF(E67="", "",E67-E52))</f>
        <v>-7314075.8934109937</v>
      </c>
    </row>
    <row r="68" spans="1:9" x14ac:dyDescent="0.25">
      <c r="A68" s="11"/>
      <c r="B68" s="11" t="s">
        <v>11</v>
      </c>
      <c r="C68" s="12">
        <v>8811594.5262160003</v>
      </c>
      <c r="D68" s="13">
        <v>8807402.6092179995</v>
      </c>
      <c r="E68" s="14">
        <f>E67+C68-D68</f>
        <v>9339629.9097310062</v>
      </c>
      <c r="F68" s="11"/>
      <c r="G68" s="11" t="s">
        <v>11</v>
      </c>
      <c r="H68" s="15">
        <f>IF(C68="", "", IF(D68="", "",D68-D53))</f>
        <v>-1584298.6525130011</v>
      </c>
      <c r="I68" s="15">
        <f>IF(D68="", "", IF(E68="", "",E68-E53))</f>
        <v>-7621190.052597994</v>
      </c>
    </row>
    <row r="69" spans="1:9" x14ac:dyDescent="0.25">
      <c r="A69" s="11"/>
      <c r="B69" s="11" t="s">
        <v>12</v>
      </c>
      <c r="C69" s="12">
        <v>7338449.2147040004</v>
      </c>
      <c r="D69" s="13">
        <v>7254968.0544819999</v>
      </c>
      <c r="E69" s="14">
        <f>E68+C69-D69</f>
        <v>9423111.0699530076</v>
      </c>
      <c r="F69" s="11"/>
      <c r="G69" s="11" t="s">
        <v>12</v>
      </c>
      <c r="H69" s="15">
        <f>IF(C69="", "", IF(D69="", "",D69-D54))</f>
        <v>-243678.35376099963</v>
      </c>
      <c r="I69" s="15">
        <f>IF(D69="", "", IF(E69="", "",E69-E54))</f>
        <v>-5076155.8800449912</v>
      </c>
    </row>
    <row r="70" spans="1:9" x14ac:dyDescent="0.25">
      <c r="A70" s="11"/>
      <c r="B70" s="11" t="s">
        <v>13</v>
      </c>
      <c r="C70" s="12">
        <v>6672981.7399899997</v>
      </c>
      <c r="D70" s="13">
        <v>6519521.4798870003</v>
      </c>
      <c r="E70" s="14">
        <f>E69+C70-D70</f>
        <v>9576571.330056008</v>
      </c>
      <c r="F70" s="11"/>
      <c r="G70" s="11" t="s">
        <v>13</v>
      </c>
      <c r="H70" s="15">
        <f>IF(C70="", "", IF(D70="", "",D70-D55))</f>
        <v>-2465141.1064879997</v>
      </c>
      <c r="I70" s="15">
        <f>IF(D70="", "", IF(E70="", "",E70-E55))</f>
        <v>-2853828.6892549898</v>
      </c>
    </row>
    <row r="71" spans="1:9" x14ac:dyDescent="0.25">
      <c r="A71" s="11"/>
      <c r="B71" s="11" t="s">
        <v>14</v>
      </c>
      <c r="C71" s="12">
        <v>10226310.932941999</v>
      </c>
      <c r="D71" s="13">
        <v>10161431.491062</v>
      </c>
      <c r="E71" s="14">
        <f>E70+C71-D71</f>
        <v>9641450.7719360068</v>
      </c>
      <c r="F71" s="11"/>
      <c r="G71" s="11" t="s">
        <v>14</v>
      </c>
      <c r="H71" s="15">
        <f>IF(C71="", "", IF(D71="", "",D71-D56))</f>
        <v>1481776.4357500002</v>
      </c>
      <c r="I71" s="15">
        <f>IF(D71="", "", IF(E71="", "",E71-E56))</f>
        <v>-1513335.3479759917</v>
      </c>
    </row>
    <row r="72" spans="1:9" x14ac:dyDescent="0.25">
      <c r="A72" s="11"/>
      <c r="B72" s="11" t="s">
        <v>15</v>
      </c>
      <c r="C72" s="12">
        <v>8368927.7261199998</v>
      </c>
      <c r="D72" s="13">
        <v>8692489.4134969991</v>
      </c>
      <c r="E72" s="14">
        <f>E71+C72-D72</f>
        <v>9317889.0845590066</v>
      </c>
      <c r="F72" s="11"/>
      <c r="G72" s="11" t="s">
        <v>15</v>
      </c>
      <c r="H72" s="15">
        <f>IF(C72="", "", IF(D72="", "",D72-D57))</f>
        <v>-923762.93660500087</v>
      </c>
      <c r="I72" s="15">
        <f>IF(D72="", "", IF(E72="", "",E72-E57))</f>
        <v>-92934.585237992927</v>
      </c>
    </row>
    <row r="73" spans="1:9" x14ac:dyDescent="0.25">
      <c r="A73" s="11"/>
      <c r="B73" s="11" t="s">
        <v>16</v>
      </c>
      <c r="C73" s="12">
        <v>10380820.421824999</v>
      </c>
      <c r="D73" s="13">
        <v>9759736.1772119999</v>
      </c>
      <c r="E73" s="14">
        <f>E72+C73-D73</f>
        <v>9938973.3291720077</v>
      </c>
      <c r="F73" s="11"/>
      <c r="G73" s="11" t="s">
        <v>16</v>
      </c>
      <c r="H73" s="15">
        <f>IF(C73="", "", IF(D73="", "",D73-D58))</f>
        <v>132732.22139599919</v>
      </c>
      <c r="I73" s="15">
        <f>IF(D73="", "", IF(E73="", "",E73-E58))</f>
        <v>1470812.7052150071</v>
      </c>
    </row>
    <row r="74" spans="1:9" x14ac:dyDescent="0.25">
      <c r="A74" s="11"/>
      <c r="B74" s="11" t="s">
        <v>17</v>
      </c>
      <c r="C74" s="12">
        <v>8888126.8299889993</v>
      </c>
      <c r="D74" s="13">
        <v>8708290.1002610009</v>
      </c>
      <c r="E74" s="14">
        <f>E73+C74-D74</f>
        <v>10118810.058900008</v>
      </c>
      <c r="F74" s="11"/>
      <c r="G74" s="11" t="s">
        <v>17</v>
      </c>
      <c r="H74" s="15">
        <f>IF(C74="", "", IF(D74="", "",D74-D59))</f>
        <v>-588064.3963899985</v>
      </c>
      <c r="I74" s="15">
        <f>IF(D74="", "", IF(E74="", "",E74-E59))</f>
        <v>2846500.7616020069</v>
      </c>
    </row>
    <row r="75" spans="1:9" x14ac:dyDescent="0.25">
      <c r="A75" s="16"/>
      <c r="B75" s="16" t="s">
        <v>18</v>
      </c>
      <c r="C75" s="17">
        <v>4198089.7124969997</v>
      </c>
      <c r="D75" s="18">
        <v>5796796.852465</v>
      </c>
      <c r="E75" s="19">
        <f>E74+C75-D75</f>
        <v>8520102.9189320076</v>
      </c>
      <c r="F75" s="16"/>
      <c r="G75" s="16" t="s">
        <v>18</v>
      </c>
      <c r="H75" s="20">
        <f>IF(C75="", "", IF(D75="", "",D75-D60))</f>
        <v>131624.60772300046</v>
      </c>
      <c r="I75" s="20">
        <f>IF(D75="", "", IF(E75="", "",E75-E60))</f>
        <v>2166307.7159030056</v>
      </c>
    </row>
    <row r="76" spans="1:9" s="2" customFormat="1" x14ac:dyDescent="0.25">
      <c r="A76" s="21"/>
      <c r="B76" s="21" t="s">
        <v>19</v>
      </c>
      <c r="C76" s="22">
        <f>SUM(C64:C75)</f>
        <v>93162145.181518003</v>
      </c>
      <c r="D76" s="23">
        <f>SUM(D64:D75)</f>
        <v>90995837.465615004</v>
      </c>
      <c r="E76" s="14"/>
      <c r="F76" s="21"/>
      <c r="G76" s="21"/>
      <c r="H76" s="14">
        <f>SUMIF(C64:C75,"&gt;=0",H64:H75)</f>
        <v>-19784364.619480003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7763512.0984598333</v>
      </c>
      <c r="D77" s="23">
        <f>AVERAGE(D64:D75)</f>
        <v>7582986.455467917</v>
      </c>
      <c r="E77" s="24">
        <f>C77/D77-1</f>
        <v>2.3806668263496977E-2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8520102.9189320076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8520102.9189320076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8520102.9189320076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8520102.9189320076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8520102.9189320076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8520102.9189320076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8520102.9189320076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8520102.9189320076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8520102.9189320076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8520102.9189320076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8520102.9189320076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8520102.9189320076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8520102.9189320076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3A552-DE87-4D6D-9915-26D46CEF8338}">
  <sheetPr codeName="Sheet4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1080197.124175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1001655.82</v>
      </c>
      <c r="D4" s="13">
        <v>498441.90149800002</v>
      </c>
      <c r="E4" s="14">
        <f>E3+C4-D4</f>
        <v>1583411.0426769997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702275.93999900005</v>
      </c>
      <c r="D5" s="13">
        <v>859249.824548</v>
      </c>
      <c r="E5" s="14">
        <f>E4+C5-D5</f>
        <v>1426437.1581279999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762922.07683300006</v>
      </c>
      <c r="D6" s="13">
        <v>782903.960617</v>
      </c>
      <c r="E6" s="14">
        <f>E5+C6-D6</f>
        <v>1406455.2743439998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989667.54</v>
      </c>
      <c r="D7" s="13">
        <v>801157.49641699996</v>
      </c>
      <c r="E7" s="14">
        <f>E6+C7-D7</f>
        <v>1594965.3179270001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795191.59</v>
      </c>
      <c r="D8" s="13">
        <v>968095.03161299997</v>
      </c>
      <c r="E8" s="14">
        <f>E7+C8-D8</f>
        <v>1422061.876314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622381.34</v>
      </c>
      <c r="D9" s="13">
        <v>843025.93795399996</v>
      </c>
      <c r="E9" s="14">
        <f>E8+C9-D9</f>
        <v>1201417.2783600001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1625293.4499989999</v>
      </c>
      <c r="D10" s="13">
        <v>947674.28939699999</v>
      </c>
      <c r="E10" s="14">
        <f>E9+C10-D10</f>
        <v>1879036.438962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413779.60964500002</v>
      </c>
      <c r="D11" s="13">
        <v>873124.63841400004</v>
      </c>
      <c r="E11" s="14">
        <f>E10+C11-D11</f>
        <v>1419691.410193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760352.93</v>
      </c>
      <c r="D12" s="13">
        <v>935227.20083999995</v>
      </c>
      <c r="E12" s="14">
        <f>E11+C12-D12</f>
        <v>1244817.1393530001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1296225.72</v>
      </c>
      <c r="D13" s="13">
        <v>1143213.2210919999</v>
      </c>
      <c r="E13" s="14">
        <f>E12+C13-D13</f>
        <v>1397829.6382610004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1359560.448939</v>
      </c>
      <c r="D14" s="13">
        <v>985310.123792</v>
      </c>
      <c r="E14" s="14">
        <f>E13+C14-D14</f>
        <v>1772079.9634080003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465904.84309400001</v>
      </c>
      <c r="D15" s="18">
        <v>681626.95004400006</v>
      </c>
      <c r="E15" s="19">
        <f>E14+C15-D15</f>
        <v>1556357.8564580004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10795211.308509</v>
      </c>
      <c r="D16" s="23">
        <f>SUM(D4:D15)</f>
        <v>10319050.576226002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899600.94237574993</v>
      </c>
      <c r="D17" s="23">
        <f>AVERAGE(D4:D15)</f>
        <v>859920.88135216676</v>
      </c>
      <c r="E17" s="24">
        <f>C17/D17-1</f>
        <v>4.6143851003116687E-2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1556357.8564580004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906559.89</v>
      </c>
      <c r="D19" s="27">
        <v>647078.93279600004</v>
      </c>
      <c r="E19" s="28">
        <f>E18+C19-D19</f>
        <v>1815838.8136620005</v>
      </c>
      <c r="F19" s="25"/>
      <c r="G19" s="25" t="s">
        <v>7</v>
      </c>
      <c r="H19" s="29">
        <f>IF(C19="", "", IF(D19="", "",D19-D4))</f>
        <v>148637.03129800002</v>
      </c>
      <c r="I19" s="29">
        <f>IF(D19="", "", IF(E19="", "",E19-E4))</f>
        <v>232427.77098500077</v>
      </c>
    </row>
    <row r="20" spans="1:9" x14ac:dyDescent="0.25">
      <c r="A20" s="25"/>
      <c r="B20" s="25" t="s">
        <v>8</v>
      </c>
      <c r="C20" s="26">
        <v>685192.26038999995</v>
      </c>
      <c r="D20" s="27">
        <v>909687.17082</v>
      </c>
      <c r="E20" s="28">
        <f>E19+C20-D20</f>
        <v>1591343.9032320003</v>
      </c>
      <c r="F20" s="25"/>
      <c r="G20" s="25" t="s">
        <v>8</v>
      </c>
      <c r="H20" s="29">
        <f>IF(C20="", "", IF(D20="", "",D20-D5))</f>
        <v>50437.346271999995</v>
      </c>
      <c r="I20" s="29">
        <f>IF(D20="", "", IF(E20="", "",E20-E5))</f>
        <v>164906.74510400044</v>
      </c>
    </row>
    <row r="21" spans="1:9" x14ac:dyDescent="0.25">
      <c r="A21" s="25"/>
      <c r="B21" s="25" t="s">
        <v>9</v>
      </c>
      <c r="C21" s="26">
        <v>1474578.639989</v>
      </c>
      <c r="D21" s="27">
        <v>1102053.4070979999</v>
      </c>
      <c r="E21" s="28">
        <f>E20+C21-D21</f>
        <v>1963869.1361230006</v>
      </c>
      <c r="F21" s="25"/>
      <c r="G21" s="25" t="s">
        <v>9</v>
      </c>
      <c r="H21" s="29">
        <f>IF(C21="", "", IF(D21="", "",D21-D6))</f>
        <v>319149.44648099993</v>
      </c>
      <c r="I21" s="29">
        <f>IF(D21="", "", IF(E21="", "",E21-E6))</f>
        <v>557413.86177900084</v>
      </c>
    </row>
    <row r="22" spans="1:9" x14ac:dyDescent="0.25">
      <c r="A22" s="25"/>
      <c r="B22" s="25" t="s">
        <v>10</v>
      </c>
      <c r="C22" s="26">
        <v>467114.909988</v>
      </c>
      <c r="D22" s="27">
        <v>590599.20203199994</v>
      </c>
      <c r="E22" s="28">
        <f>E21+C22-D22</f>
        <v>1840384.8440790009</v>
      </c>
      <c r="F22" s="25"/>
      <c r="G22" s="25" t="s">
        <v>10</v>
      </c>
      <c r="H22" s="29">
        <f>IF(C22="", "", IF(D22="", "",D22-D7))</f>
        <v>-210558.29438500002</v>
      </c>
      <c r="I22" s="29">
        <f>IF(D22="", "", IF(E22="", "",E22-E7))</f>
        <v>245419.52615200076</v>
      </c>
    </row>
    <row r="23" spans="1:9" x14ac:dyDescent="0.25">
      <c r="A23" s="25"/>
      <c r="B23" s="25" t="s">
        <v>11</v>
      </c>
      <c r="C23" s="26">
        <v>769238.65731399995</v>
      </c>
      <c r="D23" s="27">
        <v>811391.243044</v>
      </c>
      <c r="E23" s="28">
        <f>E22+C23-D23</f>
        <v>1798232.2583490005</v>
      </c>
      <c r="F23" s="25"/>
      <c r="G23" s="25" t="s">
        <v>11</v>
      </c>
      <c r="H23" s="29">
        <f>IF(C23="", "", IF(D23="", "",D23-D8))</f>
        <v>-156703.78856899997</v>
      </c>
      <c r="I23" s="29">
        <f>IF(D23="", "", IF(E23="", "",E23-E8))</f>
        <v>376170.38203500048</v>
      </c>
    </row>
    <row r="24" spans="1:9" x14ac:dyDescent="0.25">
      <c r="A24" s="25"/>
      <c r="B24" s="25" t="s">
        <v>12</v>
      </c>
      <c r="C24" s="26">
        <v>1190417.839992</v>
      </c>
      <c r="D24" s="27">
        <v>1203463.0599690001</v>
      </c>
      <c r="E24" s="28">
        <f>E23+C24-D24</f>
        <v>1785187.0383720002</v>
      </c>
      <c r="F24" s="25"/>
      <c r="G24" s="25" t="s">
        <v>12</v>
      </c>
      <c r="H24" s="29">
        <f>IF(C24="", "", IF(D24="", "",D24-D9))</f>
        <v>360437.12201500009</v>
      </c>
      <c r="I24" s="29">
        <f>IF(D24="", "", IF(E24="", "",E24-E9))</f>
        <v>583769.7600120001</v>
      </c>
    </row>
    <row r="25" spans="1:9" x14ac:dyDescent="0.25">
      <c r="A25" s="25"/>
      <c r="B25" s="25" t="s">
        <v>13</v>
      </c>
      <c r="C25" s="26">
        <v>1974033.099991</v>
      </c>
      <c r="D25" s="27">
        <v>1209663.183978</v>
      </c>
      <c r="E25" s="28">
        <f>E24+C25-D25</f>
        <v>2549556.9543850003</v>
      </c>
      <c r="F25" s="25"/>
      <c r="G25" s="25" t="s">
        <v>13</v>
      </c>
      <c r="H25" s="29">
        <f>IF(C25="", "", IF(D25="", "",D25-D10))</f>
        <v>261988.89458099997</v>
      </c>
      <c r="I25" s="29">
        <f>IF(D25="", "", IF(E25="", "",E25-E10))</f>
        <v>670520.51542300032</v>
      </c>
    </row>
    <row r="26" spans="1:9" x14ac:dyDescent="0.25">
      <c r="A26" s="25"/>
      <c r="B26" s="25" t="s">
        <v>14</v>
      </c>
      <c r="C26" s="26">
        <v>1593278.07999</v>
      </c>
      <c r="D26" s="27">
        <v>1130680.216267</v>
      </c>
      <c r="E26" s="28">
        <f>E25+C26-D26</f>
        <v>3012154.8181080003</v>
      </c>
      <c r="F26" s="25"/>
      <c r="G26" s="25" t="s">
        <v>14</v>
      </c>
      <c r="H26" s="29">
        <f>IF(C26="", "", IF(D26="", "",D26-D11))</f>
        <v>257555.57785299991</v>
      </c>
      <c r="I26" s="29">
        <f>IF(D26="", "", IF(E26="", "",E26-E11))</f>
        <v>1592463.4079150003</v>
      </c>
    </row>
    <row r="27" spans="1:9" x14ac:dyDescent="0.25">
      <c r="A27" s="25"/>
      <c r="B27" s="25" t="s">
        <v>15</v>
      </c>
      <c r="C27" s="26">
        <v>531355.50399700005</v>
      </c>
      <c r="D27" s="27">
        <v>1315622.7046409999</v>
      </c>
      <c r="E27" s="28">
        <f>E26+C27-D27</f>
        <v>2227887.6174640004</v>
      </c>
      <c r="F27" s="25"/>
      <c r="G27" s="25" t="s">
        <v>15</v>
      </c>
      <c r="H27" s="29">
        <f>IF(C27="", "", IF(D27="", "",D27-D12))</f>
        <v>380395.50380099996</v>
      </c>
      <c r="I27" s="29">
        <f>IF(D27="", "", IF(E27="", "",E27-E12))</f>
        <v>983070.47811100027</v>
      </c>
    </row>
    <row r="28" spans="1:9" x14ac:dyDescent="0.25">
      <c r="A28" s="25"/>
      <c r="B28" s="25" t="s">
        <v>16</v>
      </c>
      <c r="C28" s="26">
        <v>727326.71998599998</v>
      </c>
      <c r="D28" s="27">
        <v>1232126.992046</v>
      </c>
      <c r="E28" s="28">
        <f>E27+C28-D28</f>
        <v>1723087.3454040005</v>
      </c>
      <c r="F28" s="25"/>
      <c r="G28" s="25" t="s">
        <v>16</v>
      </c>
      <c r="H28" s="29">
        <f>IF(C28="", "", IF(D28="", "",D28-D13))</f>
        <v>88913.770954000065</v>
      </c>
      <c r="I28" s="29">
        <f>IF(D28="", "", IF(E28="", "",E28-E13))</f>
        <v>325257.70714300009</v>
      </c>
    </row>
    <row r="29" spans="1:9" x14ac:dyDescent="0.25">
      <c r="A29" s="25"/>
      <c r="B29" s="25" t="s">
        <v>17</v>
      </c>
      <c r="C29" s="26">
        <v>1397906.0699799999</v>
      </c>
      <c r="D29" s="27">
        <v>1091671.7290980001</v>
      </c>
      <c r="E29" s="28">
        <f>E28+C29-D29</f>
        <v>2029321.6862860001</v>
      </c>
      <c r="F29" s="25"/>
      <c r="G29" s="25" t="s">
        <v>17</v>
      </c>
      <c r="H29" s="29">
        <f>IF(C29="", "", IF(D29="", "",D29-D14))</f>
        <v>106361.6053060001</v>
      </c>
      <c r="I29" s="29">
        <f>IF(D29="", "", IF(E29="", "",E29-E14))</f>
        <v>257241.72287799977</v>
      </c>
    </row>
    <row r="30" spans="1:9" x14ac:dyDescent="0.25">
      <c r="A30" s="30"/>
      <c r="B30" s="30" t="s">
        <v>18</v>
      </c>
      <c r="C30" s="31">
        <v>1289009.684998</v>
      </c>
      <c r="D30" s="32">
        <v>979073.20265999995</v>
      </c>
      <c r="E30" s="33">
        <f>E29+C30-D30</f>
        <v>2339258.1686240002</v>
      </c>
      <c r="F30" s="30"/>
      <c r="G30" s="30" t="s">
        <v>18</v>
      </c>
      <c r="H30" s="34">
        <f>IF(C30="", "", IF(D30="", "",D30-D15))</f>
        <v>297446.2526159999</v>
      </c>
      <c r="I30" s="34">
        <f>IF(D30="", "", IF(E30="", "",E30-E15))</f>
        <v>782900.31216599979</v>
      </c>
    </row>
    <row r="31" spans="1:9" s="2" customFormat="1" x14ac:dyDescent="0.25">
      <c r="A31" s="35"/>
      <c r="B31" s="35" t="s">
        <v>19</v>
      </c>
      <c r="C31" s="36">
        <f>SUM(C19:C30)</f>
        <v>13006011.356614998</v>
      </c>
      <c r="D31" s="37">
        <f>SUM(D19:D30)</f>
        <v>12223111.044449</v>
      </c>
      <c r="E31" s="28"/>
      <c r="F31" s="35"/>
      <c r="G31" s="35"/>
      <c r="H31" s="28">
        <f>SUMIF(C19:C30,"&gt;=0",H19:H30)</f>
        <v>1904060.4682229999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1083834.2797179164</v>
      </c>
      <c r="D32" s="37">
        <f>AVERAGE(D19:D30)</f>
        <v>1018592.5870374166</v>
      </c>
      <c r="E32" s="38">
        <f>C32/D32-1</f>
        <v>6.4050822194039014E-2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2339258.1686240002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706116.20952000003</v>
      </c>
      <c r="D34" s="13">
        <v>889664.14823000005</v>
      </c>
      <c r="E34" s="14">
        <f>E33+C34-D34</f>
        <v>2155710.2299140003</v>
      </c>
      <c r="F34" s="11"/>
      <c r="G34" s="11" t="s">
        <v>7</v>
      </c>
      <c r="H34" s="15">
        <f>IF(C34="", "", IF(D34="", "",D34-D19))</f>
        <v>242585.21543400001</v>
      </c>
      <c r="I34" s="15">
        <f>IF(D34="", "", IF(E34="", "",E34-E19))</f>
        <v>339871.41625199979</v>
      </c>
    </row>
    <row r="35" spans="1:9" x14ac:dyDescent="0.25">
      <c r="A35" s="11"/>
      <c r="B35" s="11" t="s">
        <v>8</v>
      </c>
      <c r="C35" s="12">
        <v>3160186.9499789998</v>
      </c>
      <c r="D35" s="13">
        <v>1450213.0623069999</v>
      </c>
      <c r="E35" s="14">
        <f>E34+C35-D35</f>
        <v>3865684.1175859999</v>
      </c>
      <c r="F35" s="11"/>
      <c r="G35" s="11" t="s">
        <v>8</v>
      </c>
      <c r="H35" s="15">
        <f>IF(C35="", "", IF(D35="", "",D35-D20))</f>
        <v>540525.89148699993</v>
      </c>
      <c r="I35" s="15">
        <f>IF(D35="", "", IF(E35="", "",E35-E20))</f>
        <v>2274340.2143539996</v>
      </c>
    </row>
    <row r="36" spans="1:9" x14ac:dyDescent="0.25">
      <c r="A36" s="11"/>
      <c r="B36" s="11" t="s">
        <v>9</v>
      </c>
      <c r="C36" s="12">
        <v>782953.61999899999</v>
      </c>
      <c r="D36" s="13">
        <v>1816320.2545970001</v>
      </c>
      <c r="E36" s="14">
        <f>E35+C36-D36</f>
        <v>2832317.4829879999</v>
      </c>
      <c r="F36" s="11"/>
      <c r="G36" s="11" t="s">
        <v>9</v>
      </c>
      <c r="H36" s="15">
        <f>IF(C36="", "", IF(D36="", "",D36-D21))</f>
        <v>714266.84749900014</v>
      </c>
      <c r="I36" s="15">
        <f>IF(D36="", "", IF(E36="", "",E36-E21))</f>
        <v>868448.34686499927</v>
      </c>
    </row>
    <row r="37" spans="1:9" x14ac:dyDescent="0.25">
      <c r="A37" s="11"/>
      <c r="B37" s="11" t="s">
        <v>10</v>
      </c>
      <c r="C37" s="12">
        <v>1458509.2033239999</v>
      </c>
      <c r="D37" s="13">
        <v>1528284.9373979999</v>
      </c>
      <c r="E37" s="14">
        <f>E36+C37-D37</f>
        <v>2762541.7489139996</v>
      </c>
      <c r="F37" s="11"/>
      <c r="G37" s="11" t="s">
        <v>10</v>
      </c>
      <c r="H37" s="15">
        <f>IF(C37="", "", IF(D37="", "",D37-D22))</f>
        <v>937685.73536599998</v>
      </c>
      <c r="I37" s="15">
        <f>IF(D37="", "", IF(E37="", "",E37-E22))</f>
        <v>922156.90483499877</v>
      </c>
    </row>
    <row r="38" spans="1:9" x14ac:dyDescent="0.25">
      <c r="A38" s="11"/>
      <c r="B38" s="11" t="s">
        <v>11</v>
      </c>
      <c r="C38" s="12">
        <v>1788978.6349899999</v>
      </c>
      <c r="D38" s="13">
        <v>1707142.45414</v>
      </c>
      <c r="E38" s="14">
        <f>E37+C38-D38</f>
        <v>2844377.9297639998</v>
      </c>
      <c r="F38" s="11"/>
      <c r="G38" s="11" t="s">
        <v>11</v>
      </c>
      <c r="H38" s="15">
        <f>IF(C38="", "", IF(D38="", "",D38-D23))</f>
        <v>895751.21109600004</v>
      </c>
      <c r="I38" s="15">
        <f>IF(D38="", "", IF(E38="", "",E38-E23))</f>
        <v>1046145.6714149993</v>
      </c>
    </row>
    <row r="39" spans="1:9" x14ac:dyDescent="0.25">
      <c r="A39" s="11"/>
      <c r="B39" s="11" t="s">
        <v>12</v>
      </c>
      <c r="C39" s="12">
        <v>1300096.189983</v>
      </c>
      <c r="D39" s="13">
        <v>1449345.4210349999</v>
      </c>
      <c r="E39" s="14">
        <f>E38+C39-D39</f>
        <v>2695128.6987119997</v>
      </c>
      <c r="F39" s="11"/>
      <c r="G39" s="11" t="s">
        <v>12</v>
      </c>
      <c r="H39" s="15">
        <f>IF(C39="", "", IF(D39="", "",D39-D24))</f>
        <v>245882.36106599984</v>
      </c>
      <c r="I39" s="15">
        <f>IF(D39="", "", IF(E39="", "",E39-E24))</f>
        <v>909941.66033999948</v>
      </c>
    </row>
    <row r="40" spans="1:9" x14ac:dyDescent="0.25">
      <c r="A40" s="11"/>
      <c r="B40" s="11" t="s">
        <v>13</v>
      </c>
      <c r="C40" s="12">
        <v>2881889.600968</v>
      </c>
      <c r="D40" s="13">
        <v>1516472.263909</v>
      </c>
      <c r="E40" s="14">
        <f>E39+C40-D40</f>
        <v>4060546.0357710002</v>
      </c>
      <c r="F40" s="11"/>
      <c r="G40" s="11" t="s">
        <v>13</v>
      </c>
      <c r="H40" s="15">
        <f>IF(C40="", "", IF(D40="", "",D40-D25))</f>
        <v>306809.07993100001</v>
      </c>
      <c r="I40" s="15">
        <f>IF(D40="", "", IF(E40="", "",E40-E25))</f>
        <v>1510989.0813859999</v>
      </c>
    </row>
    <row r="41" spans="1:9" x14ac:dyDescent="0.25">
      <c r="A41" s="11"/>
      <c r="B41" s="11" t="s">
        <v>14</v>
      </c>
      <c r="C41" s="12">
        <v>1544232.7299929999</v>
      </c>
      <c r="D41" s="13">
        <v>1301764.715846</v>
      </c>
      <c r="E41" s="14">
        <f>E40+C41-D41</f>
        <v>4303014.0499179997</v>
      </c>
      <c r="F41" s="11"/>
      <c r="G41" s="11" t="s">
        <v>14</v>
      </c>
      <c r="H41" s="15">
        <f>IF(C41="", "", IF(D41="", "",D41-D26))</f>
        <v>171084.49957900005</v>
      </c>
      <c r="I41" s="15">
        <f>IF(D41="", "", IF(E41="", "",E41-E26))</f>
        <v>1290859.2318099993</v>
      </c>
    </row>
    <row r="42" spans="1:9" x14ac:dyDescent="0.25">
      <c r="A42" s="11"/>
      <c r="B42" s="11" t="s">
        <v>15</v>
      </c>
      <c r="C42" s="12">
        <v>932334.86825099995</v>
      </c>
      <c r="D42" s="13">
        <v>1684228.577701</v>
      </c>
      <c r="E42" s="14">
        <f>E41+C42-D42</f>
        <v>3551120.3404679992</v>
      </c>
      <c r="F42" s="11"/>
      <c r="G42" s="11" t="s">
        <v>15</v>
      </c>
      <c r="H42" s="15">
        <f>IF(C42="", "", IF(D42="", "",D42-D27))</f>
        <v>368605.87306000013</v>
      </c>
      <c r="I42" s="15">
        <f>IF(D42="", "", IF(E42="", "",E42-E27))</f>
        <v>1323232.7230039989</v>
      </c>
    </row>
    <row r="43" spans="1:9" x14ac:dyDescent="0.25">
      <c r="A43" s="11"/>
      <c r="B43" s="11" t="s">
        <v>16</v>
      </c>
      <c r="C43" s="12">
        <v>1301826.179977</v>
      </c>
      <c r="D43" s="13">
        <v>1361427.161633</v>
      </c>
      <c r="E43" s="14">
        <f>E42+C43-D43</f>
        <v>3491519.3588119997</v>
      </c>
      <c r="F43" s="11"/>
      <c r="G43" s="11" t="s">
        <v>16</v>
      </c>
      <c r="H43" s="15">
        <f>IF(C43="", "", IF(D43="", "",D43-D28))</f>
        <v>129300.16958700004</v>
      </c>
      <c r="I43" s="15">
        <f>IF(D43="", "", IF(E43="", "",E43-E28))</f>
        <v>1768432.0134079992</v>
      </c>
    </row>
    <row r="44" spans="1:9" x14ac:dyDescent="0.25">
      <c r="A44" s="11"/>
      <c r="B44" s="11" t="s">
        <v>17</v>
      </c>
      <c r="C44" s="12">
        <v>1822797.629978</v>
      </c>
      <c r="D44" s="13">
        <v>1553318.8971839999</v>
      </c>
      <c r="E44" s="14">
        <f>E43+C44-D44</f>
        <v>3760998.091606</v>
      </c>
      <c r="F44" s="11"/>
      <c r="G44" s="11" t="s">
        <v>17</v>
      </c>
      <c r="H44" s="15">
        <f>IF(C44="", "", IF(D44="", "",D44-D29))</f>
        <v>461647.16808599979</v>
      </c>
      <c r="I44" s="15">
        <f>IF(D44="", "", IF(E44="", "",E44-E29))</f>
        <v>1731676.4053199999</v>
      </c>
    </row>
    <row r="45" spans="1:9" x14ac:dyDescent="0.25">
      <c r="A45" s="16"/>
      <c r="B45" s="16" t="s">
        <v>18</v>
      </c>
      <c r="C45" s="17">
        <v>127132.489999</v>
      </c>
      <c r="D45" s="18">
        <v>1806682.9834090001</v>
      </c>
      <c r="E45" s="19">
        <f>E44+C45-D45</f>
        <v>2081447.5981959999</v>
      </c>
      <c r="F45" s="16"/>
      <c r="G45" s="16" t="s">
        <v>18</v>
      </c>
      <c r="H45" s="20">
        <f>IF(C45="", "", IF(D45="", "",D45-D30))</f>
        <v>827609.78074900014</v>
      </c>
      <c r="I45" s="20">
        <f>IF(D45="", "", IF(E45="", "",E45-E30))</f>
        <v>-257810.5704280003</v>
      </c>
    </row>
    <row r="46" spans="1:9" s="2" customFormat="1" x14ac:dyDescent="0.25">
      <c r="A46" s="21"/>
      <c r="B46" s="21" t="s">
        <v>19</v>
      </c>
      <c r="C46" s="22">
        <f>SUM(C34:C45)</f>
        <v>17807054.306961</v>
      </c>
      <c r="D46" s="23">
        <f>SUM(D34:D45)</f>
        <v>18064864.877388999</v>
      </c>
      <c r="E46" s="14"/>
      <c r="F46" s="21"/>
      <c r="G46" s="21"/>
      <c r="H46" s="14">
        <f>SUMIF(C34:C45,"&gt;=0",H34:H45)</f>
        <v>5841753.832940001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1483921.19224675</v>
      </c>
      <c r="D47" s="23">
        <f>AVERAGE(D34:D45)</f>
        <v>1505405.4064490832</v>
      </c>
      <c r="E47" s="24">
        <f>C47/D47-1</f>
        <v>-1.427138105808301E-2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2081447.5981959999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2883519.3799769999</v>
      </c>
      <c r="D49" s="27">
        <v>1196351.6010070001</v>
      </c>
      <c r="E49" s="28">
        <f>E48+C49-D49</f>
        <v>3768615.3771659997</v>
      </c>
      <c r="F49" s="25"/>
      <c r="G49" s="25" t="s">
        <v>7</v>
      </c>
      <c r="H49" s="29">
        <f>IF(C49="", "", IF(D49="", "",D49-D34))</f>
        <v>306687.45277700003</v>
      </c>
      <c r="I49" s="29">
        <f>IF(D49="", "", IF(E49="", "",E49-E34))</f>
        <v>1612905.1472519995</v>
      </c>
    </row>
    <row r="50" spans="1:9" x14ac:dyDescent="0.25">
      <c r="A50" s="25"/>
      <c r="B50" s="25" t="s">
        <v>8</v>
      </c>
      <c r="C50" s="26">
        <v>2501319.589962</v>
      </c>
      <c r="D50" s="27">
        <v>1910077.0233779999</v>
      </c>
      <c r="E50" s="28">
        <f>E49+C50-D50</f>
        <v>4359857.9437499996</v>
      </c>
      <c r="F50" s="25"/>
      <c r="G50" s="25" t="s">
        <v>8</v>
      </c>
      <c r="H50" s="29">
        <f>IF(C50="", "", IF(D50="", "",D50-D35))</f>
        <v>459863.96107099997</v>
      </c>
      <c r="I50" s="29">
        <f>IF(D50="", "", IF(E50="", "",E50-E35))</f>
        <v>494173.82616399974</v>
      </c>
    </row>
    <row r="51" spans="1:9" x14ac:dyDescent="0.25">
      <c r="A51" s="25"/>
      <c r="B51" s="25" t="s">
        <v>9</v>
      </c>
      <c r="C51" s="26">
        <v>2179468.5999889998</v>
      </c>
      <c r="D51" s="27">
        <v>1791237.2655780001</v>
      </c>
      <c r="E51" s="28">
        <f>E50+C51-D51</f>
        <v>4748089.2781609995</v>
      </c>
      <c r="F51" s="25"/>
      <c r="G51" s="25" t="s">
        <v>9</v>
      </c>
      <c r="H51" s="29">
        <f>IF(C51="", "", IF(D51="", "",D51-D36))</f>
        <v>-25082.989018999971</v>
      </c>
      <c r="I51" s="29">
        <f>IF(D51="", "", IF(E51="", "",E51-E36))</f>
        <v>1915771.7951729996</v>
      </c>
    </row>
    <row r="52" spans="1:9" x14ac:dyDescent="0.25">
      <c r="A52" s="25"/>
      <c r="B52" s="25" t="s">
        <v>10</v>
      </c>
      <c r="C52" s="26">
        <v>2914961.6499839998</v>
      </c>
      <c r="D52" s="27">
        <v>1770687.2256980001</v>
      </c>
      <c r="E52" s="28">
        <f>E51+C52-D52</f>
        <v>5892363.702446999</v>
      </c>
      <c r="F52" s="25"/>
      <c r="G52" s="25" t="s">
        <v>10</v>
      </c>
      <c r="H52" s="29">
        <f>IF(C52="", "", IF(D52="", "",D52-D37))</f>
        <v>242402.28830000013</v>
      </c>
      <c r="I52" s="29">
        <f>IF(D52="", "", IF(E52="", "",E52-E37))</f>
        <v>3129821.9535329994</v>
      </c>
    </row>
    <row r="53" spans="1:9" x14ac:dyDescent="0.25">
      <c r="A53" s="25"/>
      <c r="B53" s="25" t="s">
        <v>11</v>
      </c>
      <c r="C53" s="26">
        <v>1986704.933337</v>
      </c>
      <c r="D53" s="27">
        <v>2000448.967897</v>
      </c>
      <c r="E53" s="28">
        <f>E52+C53-D53</f>
        <v>5878619.6678869994</v>
      </c>
      <c r="F53" s="25"/>
      <c r="G53" s="25" t="s">
        <v>11</v>
      </c>
      <c r="H53" s="29">
        <f>IF(C53="", "", IF(D53="", "",D53-D38))</f>
        <v>293306.51375699998</v>
      </c>
      <c r="I53" s="29">
        <f>IF(D53="", "", IF(E53="", "",E53-E38))</f>
        <v>3034241.7381229997</v>
      </c>
    </row>
    <row r="54" spans="1:9" x14ac:dyDescent="0.25">
      <c r="A54" s="25"/>
      <c r="B54" s="25" t="s">
        <v>12</v>
      </c>
      <c r="C54" s="26">
        <v>1010793.378476</v>
      </c>
      <c r="D54" s="27">
        <v>1683783.0506130001</v>
      </c>
      <c r="E54" s="28">
        <f>E53+C54-D54</f>
        <v>5205629.9957499998</v>
      </c>
      <c r="F54" s="25"/>
      <c r="G54" s="25" t="s">
        <v>12</v>
      </c>
      <c r="H54" s="29">
        <f>IF(C54="", "", IF(D54="", "",D54-D39))</f>
        <v>234437.62957800017</v>
      </c>
      <c r="I54" s="29">
        <f>IF(D54="", "", IF(E54="", "",E54-E39))</f>
        <v>2510501.2970380001</v>
      </c>
    </row>
    <row r="55" spans="1:9" x14ac:dyDescent="0.25">
      <c r="A55" s="25"/>
      <c r="B55" s="25" t="s">
        <v>13</v>
      </c>
      <c r="C55" s="26">
        <v>2666490.2307159998</v>
      </c>
      <c r="D55" s="27">
        <v>2529814.8954340001</v>
      </c>
      <c r="E55" s="28">
        <f>E54+C55-D55</f>
        <v>5342305.3310320005</v>
      </c>
      <c r="F55" s="25"/>
      <c r="G55" s="25" t="s">
        <v>13</v>
      </c>
      <c r="H55" s="29">
        <f>IF(C55="", "", IF(D55="", "",D55-D40))</f>
        <v>1013342.6315250001</v>
      </c>
      <c r="I55" s="29">
        <f>IF(D55="", "", IF(E55="", "",E55-E40))</f>
        <v>1281759.2952610003</v>
      </c>
    </row>
    <row r="56" spans="1:9" x14ac:dyDescent="0.25">
      <c r="A56" s="25"/>
      <c r="B56" s="25" t="s">
        <v>14</v>
      </c>
      <c r="C56" s="26">
        <v>1557138.9299860001</v>
      </c>
      <c r="D56" s="27">
        <v>1905268.2845060001</v>
      </c>
      <c r="E56" s="28">
        <f>E55+C56-D56</f>
        <v>4994175.976512</v>
      </c>
      <c r="F56" s="25"/>
      <c r="G56" s="25" t="s">
        <v>14</v>
      </c>
      <c r="H56" s="29">
        <f>IF(C56="", "", IF(D56="", "",D56-D41))</f>
        <v>603503.56866000011</v>
      </c>
      <c r="I56" s="29">
        <f>IF(D56="", "", IF(E56="", "",E56-E41))</f>
        <v>691161.92659400031</v>
      </c>
    </row>
    <row r="57" spans="1:9" x14ac:dyDescent="0.25">
      <c r="A57" s="25"/>
      <c r="B57" s="25" t="s">
        <v>15</v>
      </c>
      <c r="C57" s="26">
        <v>1796148.8813199999</v>
      </c>
      <c r="D57" s="27">
        <v>1731877.504155</v>
      </c>
      <c r="E57" s="28">
        <f>E56+C57-D57</f>
        <v>5058447.3536769999</v>
      </c>
      <c r="F57" s="25"/>
      <c r="G57" s="25" t="s">
        <v>15</v>
      </c>
      <c r="H57" s="29">
        <f>IF(C57="", "", IF(D57="", "",D57-D42))</f>
        <v>47648.926453999942</v>
      </c>
      <c r="I57" s="29">
        <f>IF(D57="", "", IF(E57="", "",E57-E42))</f>
        <v>1507327.0132090007</v>
      </c>
    </row>
    <row r="58" spans="1:9" x14ac:dyDescent="0.25">
      <c r="A58" s="25"/>
      <c r="B58" s="25" t="s">
        <v>16</v>
      </c>
      <c r="C58" s="26">
        <v>3054149.9858599999</v>
      </c>
      <c r="D58" s="27">
        <v>1623079.0036510001</v>
      </c>
      <c r="E58" s="28">
        <f>E57+C58-D58</f>
        <v>6489518.3358859997</v>
      </c>
      <c r="F58" s="25"/>
      <c r="G58" s="25" t="s">
        <v>16</v>
      </c>
      <c r="H58" s="29">
        <f>IF(C58="", "", IF(D58="", "",D58-D43))</f>
        <v>261651.84201800008</v>
      </c>
      <c r="I58" s="29">
        <f>IF(D58="", "", IF(E58="", "",E58-E43))</f>
        <v>2997998.9770740001</v>
      </c>
    </row>
    <row r="59" spans="1:9" x14ac:dyDescent="0.25">
      <c r="A59" s="25"/>
      <c r="B59" s="25" t="s">
        <v>17</v>
      </c>
      <c r="C59" s="26">
        <v>550640.53999600001</v>
      </c>
      <c r="D59" s="27">
        <v>1547521.071458</v>
      </c>
      <c r="E59" s="28">
        <f>E58+C59-D59</f>
        <v>5492637.804424</v>
      </c>
      <c r="F59" s="25"/>
      <c r="G59" s="25" t="s">
        <v>17</v>
      </c>
      <c r="H59" s="29">
        <f>IF(C59="", "", IF(D59="", "",D59-D44))</f>
        <v>-5797.8257259998936</v>
      </c>
      <c r="I59" s="29">
        <f>IF(D59="", "", IF(E59="", "",E59-E44))</f>
        <v>1731639.712818</v>
      </c>
    </row>
    <row r="60" spans="1:9" x14ac:dyDescent="0.25">
      <c r="A60" s="30"/>
      <c r="B60" s="30" t="s">
        <v>18</v>
      </c>
      <c r="C60" s="31">
        <v>1096870.4999840001</v>
      </c>
      <c r="D60" s="32">
        <v>1222357.078273</v>
      </c>
      <c r="E60" s="33">
        <f>E59+C60-D60</f>
        <v>5367151.2261349997</v>
      </c>
      <c r="F60" s="30"/>
      <c r="G60" s="30" t="s">
        <v>18</v>
      </c>
      <c r="H60" s="34">
        <f>IF(C60="", "", IF(D60="", "",D60-D45))</f>
        <v>-584325.90513600013</v>
      </c>
      <c r="I60" s="34">
        <f>IF(D60="", "", IF(E60="", "",E60-E45))</f>
        <v>3285703.6279389998</v>
      </c>
    </row>
    <row r="61" spans="1:9" s="2" customFormat="1" x14ac:dyDescent="0.25">
      <c r="A61" s="35"/>
      <c r="B61" s="35" t="s">
        <v>19</v>
      </c>
      <c r="C61" s="36">
        <f>SUM(C49:C60)</f>
        <v>24198206.599586997</v>
      </c>
      <c r="D61" s="37">
        <f>SUM(D49:D60)</f>
        <v>20912502.971648</v>
      </c>
      <c r="E61" s="28"/>
      <c r="F61" s="35"/>
      <c r="G61" s="35"/>
      <c r="H61" s="28">
        <f>SUMIF(C49:C60,"&gt;=0",H49:H60)</f>
        <v>2847638.0942590004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2016517.2166322498</v>
      </c>
      <c r="D62" s="37">
        <f>AVERAGE(D49:D60)</f>
        <v>1742708.5809706666</v>
      </c>
      <c r="E62" s="38">
        <f>C62/D62-1</f>
        <v>0.1571167082387781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5367151.2261349997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728509.84999300004</v>
      </c>
      <c r="D64" s="13">
        <v>1226170.3585580001</v>
      </c>
      <c r="E64" s="14">
        <f>E63+C64-D64</f>
        <v>4869490.7175699994</v>
      </c>
      <c r="F64" s="11"/>
      <c r="G64" s="11" t="s">
        <v>7</v>
      </c>
      <c r="H64" s="15">
        <f>IF(C64="", "", IF(D64="", "",D64-D49))</f>
        <v>29818.757550999988</v>
      </c>
      <c r="I64" s="15">
        <f>IF(D64="", "", IF(E64="", "",E64-E49))</f>
        <v>1100875.3404039997</v>
      </c>
    </row>
    <row r="65" spans="1:9" x14ac:dyDescent="0.25">
      <c r="A65" s="11"/>
      <c r="B65" s="11" t="s">
        <v>8</v>
      </c>
      <c r="C65" s="12">
        <v>1082971.4262679999</v>
      </c>
      <c r="D65" s="13">
        <v>1478677.36577</v>
      </c>
      <c r="E65" s="14">
        <f>E64+C65-D65</f>
        <v>4473784.7780679995</v>
      </c>
      <c r="F65" s="11"/>
      <c r="G65" s="11" t="s">
        <v>8</v>
      </c>
      <c r="H65" s="15">
        <f>IF(C65="", "", IF(D65="", "",D65-D50))</f>
        <v>-431399.65760799986</v>
      </c>
      <c r="I65" s="15">
        <f>IF(D65="", "", IF(E65="", "",E65-E50))</f>
        <v>113926.83431799989</v>
      </c>
    </row>
    <row r="66" spans="1:9" x14ac:dyDescent="0.25">
      <c r="A66" s="11"/>
      <c r="B66" s="11" t="s">
        <v>9</v>
      </c>
      <c r="C66" s="12">
        <v>2720682.5899880002</v>
      </c>
      <c r="D66" s="13">
        <v>1592910.572188</v>
      </c>
      <c r="E66" s="14">
        <f>E65+C66-D66</f>
        <v>5601556.7958679991</v>
      </c>
      <c r="F66" s="11"/>
      <c r="G66" s="11" t="s">
        <v>9</v>
      </c>
      <c r="H66" s="15">
        <f>IF(C66="", "", IF(D66="", "",D66-D51))</f>
        <v>-198326.69339000015</v>
      </c>
      <c r="I66" s="15">
        <f>IF(D66="", "", IF(E66="", "",E66-E51))</f>
        <v>853467.51770699956</v>
      </c>
    </row>
    <row r="67" spans="1:9" x14ac:dyDescent="0.25">
      <c r="A67" s="11"/>
      <c r="B67" s="11" t="s">
        <v>10</v>
      </c>
      <c r="C67" s="12">
        <v>204035.42</v>
      </c>
      <c r="D67" s="13">
        <v>1139772.629195</v>
      </c>
      <c r="E67" s="14">
        <f>E66+C67-D67</f>
        <v>4665819.586672999</v>
      </c>
      <c r="F67" s="11"/>
      <c r="G67" s="11" t="s">
        <v>10</v>
      </c>
      <c r="H67" s="15">
        <f>IF(C67="", "", IF(D67="", "",D67-D52))</f>
        <v>-630914.59650300001</v>
      </c>
      <c r="I67" s="15">
        <f>IF(D67="", "", IF(E67="", "",E67-E52))</f>
        <v>-1226544.1157740001</v>
      </c>
    </row>
    <row r="68" spans="1:9" x14ac:dyDescent="0.25">
      <c r="A68" s="11"/>
      <c r="B68" s="11" t="s">
        <v>11</v>
      </c>
      <c r="C68" s="12">
        <v>2417971.2422110001</v>
      </c>
      <c r="D68" s="13">
        <v>1283847.4923960001</v>
      </c>
      <c r="E68" s="14">
        <f>E67+C68-D68</f>
        <v>5799943.3364879992</v>
      </c>
      <c r="F68" s="11"/>
      <c r="G68" s="11" t="s">
        <v>11</v>
      </c>
      <c r="H68" s="15">
        <f>IF(C68="", "", IF(D68="", "",D68-D53))</f>
        <v>-716601.47550099995</v>
      </c>
      <c r="I68" s="15">
        <f>IF(D68="", "", IF(E68="", "",E68-E53))</f>
        <v>-78676.33139900025</v>
      </c>
    </row>
    <row r="69" spans="1:9" x14ac:dyDescent="0.25">
      <c r="A69" s="11"/>
      <c r="B69" s="11" t="s">
        <v>12</v>
      </c>
      <c r="C69" s="12">
        <v>3354277.5599750001</v>
      </c>
      <c r="D69" s="13">
        <v>1170093.1762010001</v>
      </c>
      <c r="E69" s="14">
        <f>E68+C69-D69</f>
        <v>7984127.7202619994</v>
      </c>
      <c r="F69" s="11"/>
      <c r="G69" s="11" t="s">
        <v>12</v>
      </c>
      <c r="H69" s="15">
        <f>IF(C69="", "", IF(D69="", "",D69-D54))</f>
        <v>-513689.87441199995</v>
      </c>
      <c r="I69" s="15">
        <f>IF(D69="", "", IF(E69="", "",E69-E54))</f>
        <v>2778497.7245119996</v>
      </c>
    </row>
    <row r="70" spans="1:9" x14ac:dyDescent="0.25">
      <c r="A70" s="11"/>
      <c r="B70" s="11" t="s">
        <v>13</v>
      </c>
      <c r="C70" s="12">
        <v>289961.52</v>
      </c>
      <c r="D70" s="13">
        <v>1222297.6104069999</v>
      </c>
      <c r="E70" s="14">
        <f>E69+C70-D70</f>
        <v>7051791.6298549995</v>
      </c>
      <c r="F70" s="11"/>
      <c r="G70" s="11" t="s">
        <v>13</v>
      </c>
      <c r="H70" s="15">
        <f>IF(C70="", "", IF(D70="", "",D70-D55))</f>
        <v>-1307517.2850270001</v>
      </c>
      <c r="I70" s="15">
        <f>IF(D70="", "", IF(E70="", "",E70-E55))</f>
        <v>1709486.298822999</v>
      </c>
    </row>
    <row r="71" spans="1:9" x14ac:dyDescent="0.25">
      <c r="A71" s="11"/>
      <c r="B71" s="11" t="s">
        <v>14</v>
      </c>
      <c r="C71" s="12">
        <v>236331.15</v>
      </c>
      <c r="D71" s="13">
        <v>1199102.5217180001</v>
      </c>
      <c r="E71" s="14">
        <f>E70+C71-D71</f>
        <v>6089020.2581369998</v>
      </c>
      <c r="F71" s="11"/>
      <c r="G71" s="11" t="s">
        <v>14</v>
      </c>
      <c r="H71" s="15">
        <f>IF(C71="", "", IF(D71="", "",D71-D56))</f>
        <v>-706165.76278800005</v>
      </c>
      <c r="I71" s="15">
        <f>IF(D71="", "", IF(E71="", "",E71-E56))</f>
        <v>1094844.2816249998</v>
      </c>
    </row>
    <row r="72" spans="1:9" x14ac:dyDescent="0.25">
      <c r="A72" s="11"/>
      <c r="B72" s="11" t="s">
        <v>15</v>
      </c>
      <c r="C72" s="12">
        <v>627906.159996</v>
      </c>
      <c r="D72" s="13">
        <v>1070832.780543</v>
      </c>
      <c r="E72" s="14">
        <f>E71+C72-D72</f>
        <v>5646093.6375900004</v>
      </c>
      <c r="F72" s="11"/>
      <c r="G72" s="11" t="s">
        <v>15</v>
      </c>
      <c r="H72" s="15">
        <f>IF(C72="", "", IF(D72="", "",D72-D57))</f>
        <v>-661044.723612</v>
      </c>
      <c r="I72" s="15">
        <f>IF(D72="", "", IF(E72="", "",E72-E57))</f>
        <v>587646.28391300049</v>
      </c>
    </row>
    <row r="73" spans="1:9" x14ac:dyDescent="0.25">
      <c r="A73" s="11"/>
      <c r="B73" s="11" t="s">
        <v>16</v>
      </c>
      <c r="C73" s="12">
        <v>432518.86667600001</v>
      </c>
      <c r="D73" s="13">
        <v>1254140.9438809999</v>
      </c>
      <c r="E73" s="14">
        <f>E72+C73-D73</f>
        <v>4824471.560385</v>
      </c>
      <c r="F73" s="11"/>
      <c r="G73" s="11" t="s">
        <v>16</v>
      </c>
      <c r="H73" s="15">
        <f>IF(C73="", "", IF(D73="", "",D73-D58))</f>
        <v>-368938.05977000017</v>
      </c>
      <c r="I73" s="15">
        <f>IF(D73="", "", IF(E73="", "",E73-E58))</f>
        <v>-1665046.7755009998</v>
      </c>
    </row>
    <row r="74" spans="1:9" x14ac:dyDescent="0.25">
      <c r="A74" s="11"/>
      <c r="B74" s="11" t="s">
        <v>17</v>
      </c>
      <c r="C74" s="12">
        <v>92551.75</v>
      </c>
      <c r="D74" s="13">
        <v>1202355.4756440001</v>
      </c>
      <c r="E74" s="14">
        <f>E73+C74-D74</f>
        <v>3714667.8347410001</v>
      </c>
      <c r="F74" s="11"/>
      <c r="G74" s="11" t="s">
        <v>17</v>
      </c>
      <c r="H74" s="15">
        <f>IF(C74="", "", IF(D74="", "",D74-D59))</f>
        <v>-345165.59581399988</v>
      </c>
      <c r="I74" s="15">
        <f>IF(D74="", "", IF(E74="", "",E74-E59))</f>
        <v>-1777969.9696829999</v>
      </c>
    </row>
    <row r="75" spans="1:9" x14ac:dyDescent="0.25">
      <c r="A75" s="16"/>
      <c r="B75" s="16" t="s">
        <v>18</v>
      </c>
      <c r="C75" s="17">
        <v>522765.6</v>
      </c>
      <c r="D75" s="18">
        <v>892415.09629200003</v>
      </c>
      <c r="E75" s="19">
        <f>E74+C75-D75</f>
        <v>3345018.3384489994</v>
      </c>
      <c r="F75" s="16"/>
      <c r="G75" s="16" t="s">
        <v>18</v>
      </c>
      <c r="H75" s="20">
        <f>IF(C75="", "", IF(D75="", "",D75-D60))</f>
        <v>-329941.98198099993</v>
      </c>
      <c r="I75" s="20">
        <f>IF(D75="", "", IF(E75="", "",E75-E60))</f>
        <v>-2022132.8876860002</v>
      </c>
    </row>
    <row r="76" spans="1:9" s="2" customFormat="1" x14ac:dyDescent="0.25">
      <c r="A76" s="21"/>
      <c r="B76" s="21" t="s">
        <v>19</v>
      </c>
      <c r="C76" s="22">
        <f>SUM(C64:C75)</f>
        <v>12710483.135107001</v>
      </c>
      <c r="D76" s="23">
        <f>SUM(D64:D75)</f>
        <v>14732616.022793001</v>
      </c>
      <c r="E76" s="14"/>
      <c r="F76" s="21"/>
      <c r="G76" s="21"/>
      <c r="H76" s="14">
        <f>SUMIF(C64:C75,"&gt;=0",H64:H75)</f>
        <v>-6179886.9488550005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1059206.9279255834</v>
      </c>
      <c r="D77" s="23">
        <f>AVERAGE(D64:D75)</f>
        <v>1227718.0018994168</v>
      </c>
      <c r="E77" s="24">
        <f>C77/D77-1</f>
        <v>-0.1372555209853793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3345018.3384489994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3345018.3384489994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3345018.3384489994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3345018.3384489994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3345018.3384489994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3345018.3384489994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3345018.3384489994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3345018.3384489994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3345018.3384489994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3345018.3384489994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3345018.3384489994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3345018.3384489994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3345018.3384489994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8D45-3CD0-4E46-B96E-F607C1AE8DB3}">
  <sheetPr codeName="Sheet5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1827952.4939619999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1178439.57</v>
      </c>
      <c r="D4" s="13">
        <v>771373.25800699997</v>
      </c>
      <c r="E4" s="14">
        <f>E3+C4-D4</f>
        <v>2235018.8059550002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581977.22114000004</v>
      </c>
      <c r="D5" s="13">
        <v>900723.331565</v>
      </c>
      <c r="E5" s="14">
        <f>E4+C5-D5</f>
        <v>1916272.6955300001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1269071.202083</v>
      </c>
      <c r="D6" s="13">
        <v>1108121.604755</v>
      </c>
      <c r="E6" s="14">
        <f>E5+C6-D6</f>
        <v>2077222.2928580001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719126.05073799996</v>
      </c>
      <c r="D7" s="13">
        <v>992061.39698099997</v>
      </c>
      <c r="E7" s="14">
        <f>E6+C7-D7</f>
        <v>1804286.9466150003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859414.20263299998</v>
      </c>
      <c r="D8" s="13">
        <v>979113.74462600006</v>
      </c>
      <c r="E8" s="14">
        <f>E7+C8-D8</f>
        <v>1684587.4046220002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1734857.0589999999</v>
      </c>
      <c r="D9" s="13">
        <v>959716.52778899996</v>
      </c>
      <c r="E9" s="14">
        <f>E8+C9-D9</f>
        <v>2459727.9358330001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1115580.353537</v>
      </c>
      <c r="D10" s="13">
        <v>1701598.796666</v>
      </c>
      <c r="E10" s="14">
        <f>E9+C10-D10</f>
        <v>1873709.4927040003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1049496.1575</v>
      </c>
      <c r="D11" s="13">
        <v>1281959.4873019999</v>
      </c>
      <c r="E11" s="14">
        <f>E10+C11-D11</f>
        <v>1641246.1629020001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1273289.4481619999</v>
      </c>
      <c r="D12" s="13">
        <v>1321743.154111</v>
      </c>
      <c r="E12" s="14">
        <f>E11+C12-D12</f>
        <v>1592792.456953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1833868.680134</v>
      </c>
      <c r="D13" s="13">
        <v>1438847.0180309999</v>
      </c>
      <c r="E13" s="14">
        <f>E12+C13-D13</f>
        <v>1987814.1190560001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1442255.9212489999</v>
      </c>
      <c r="D14" s="13">
        <v>1447118.788799</v>
      </c>
      <c r="E14" s="14">
        <f>E13+C14-D14</f>
        <v>1982951.2515059998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800602.49008799996</v>
      </c>
      <c r="D15" s="18">
        <v>921171.89670499996</v>
      </c>
      <c r="E15" s="19">
        <f>E14+C15-D15</f>
        <v>1862381.8448889998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13857978.356264003</v>
      </c>
      <c r="D16" s="23">
        <f>SUM(D4:D15)</f>
        <v>13823549.005336998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1154831.5296886668</v>
      </c>
      <c r="D17" s="23">
        <f>AVERAGE(D4:D15)</f>
        <v>1151962.4171114166</v>
      </c>
      <c r="E17" s="24">
        <f>C17/D17-1</f>
        <v>2.4906303666092366E-3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1862381.8448889998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1131027.159617</v>
      </c>
      <c r="D19" s="27">
        <v>1016430.746565</v>
      </c>
      <c r="E19" s="28">
        <f>E18+C19-D19</f>
        <v>1976978.2579409997</v>
      </c>
      <c r="F19" s="25"/>
      <c r="G19" s="25" t="s">
        <v>7</v>
      </c>
      <c r="H19" s="29">
        <f>IF(C19="", "", IF(D19="", "",D19-D4))</f>
        <v>245057.48855800007</v>
      </c>
      <c r="I19" s="29">
        <f>IF(D19="", "", IF(E19="", "",E19-E4))</f>
        <v>-258040.54801400052</v>
      </c>
    </row>
    <row r="20" spans="1:9" x14ac:dyDescent="0.25">
      <c r="A20" s="25"/>
      <c r="B20" s="25" t="s">
        <v>8</v>
      </c>
      <c r="C20" s="26">
        <v>1315489.291376</v>
      </c>
      <c r="D20" s="27">
        <v>1343551.7355539999</v>
      </c>
      <c r="E20" s="28">
        <f>E19+C20-D20</f>
        <v>1948915.8137629996</v>
      </c>
      <c r="F20" s="25"/>
      <c r="G20" s="25" t="s">
        <v>8</v>
      </c>
      <c r="H20" s="29">
        <f>IF(C20="", "", IF(D20="", "",D20-D5))</f>
        <v>442828.4039889999</v>
      </c>
      <c r="I20" s="29">
        <f>IF(D20="", "", IF(E20="", "",E20-E5))</f>
        <v>32643.118232999463</v>
      </c>
    </row>
    <row r="21" spans="1:9" x14ac:dyDescent="0.25">
      <c r="A21" s="25"/>
      <c r="B21" s="25" t="s">
        <v>9</v>
      </c>
      <c r="C21" s="26">
        <v>1320836.3809209999</v>
      </c>
      <c r="D21" s="27">
        <v>1131316.094358</v>
      </c>
      <c r="E21" s="28">
        <f>E20+C21-D21</f>
        <v>2138436.1003259998</v>
      </c>
      <c r="F21" s="25"/>
      <c r="G21" s="25" t="s">
        <v>9</v>
      </c>
      <c r="H21" s="29">
        <f>IF(C21="", "", IF(D21="", "",D21-D6))</f>
        <v>23194.489602999995</v>
      </c>
      <c r="I21" s="29">
        <f>IF(D21="", "", IF(E21="", "",E21-E6))</f>
        <v>61213.807467999635</v>
      </c>
    </row>
    <row r="22" spans="1:9" x14ac:dyDescent="0.25">
      <c r="A22" s="25"/>
      <c r="B22" s="25" t="s">
        <v>10</v>
      </c>
      <c r="C22" s="26">
        <v>630833.58892799995</v>
      </c>
      <c r="D22" s="27">
        <v>951233.69990699994</v>
      </c>
      <c r="E22" s="28">
        <f>E21+C22-D22</f>
        <v>1818035.9893469999</v>
      </c>
      <c r="F22" s="25"/>
      <c r="G22" s="25" t="s">
        <v>10</v>
      </c>
      <c r="H22" s="29">
        <f>IF(C22="", "", IF(D22="", "",D22-D7))</f>
        <v>-40827.697074000025</v>
      </c>
      <c r="I22" s="29">
        <f>IF(D22="", "", IF(E22="", "",E22-E7))</f>
        <v>13749.042731999652</v>
      </c>
    </row>
    <row r="23" spans="1:9" x14ac:dyDescent="0.25">
      <c r="A23" s="25"/>
      <c r="B23" s="25" t="s">
        <v>11</v>
      </c>
      <c r="C23" s="26">
        <v>841493.27120299998</v>
      </c>
      <c r="D23" s="27">
        <v>971283.84527000005</v>
      </c>
      <c r="E23" s="28">
        <f>E22+C23-D23</f>
        <v>1688245.4152799998</v>
      </c>
      <c r="F23" s="25"/>
      <c r="G23" s="25" t="s">
        <v>11</v>
      </c>
      <c r="H23" s="29">
        <f>IF(C23="", "", IF(D23="", "",D23-D8))</f>
        <v>-7829.899356000009</v>
      </c>
      <c r="I23" s="29">
        <f>IF(D23="", "", IF(E23="", "",E23-E8))</f>
        <v>3658.0106579996645</v>
      </c>
    </row>
    <row r="24" spans="1:9" x14ac:dyDescent="0.25">
      <c r="A24" s="25"/>
      <c r="B24" s="25" t="s">
        <v>12</v>
      </c>
      <c r="C24" s="26">
        <v>1708193.76</v>
      </c>
      <c r="D24" s="27">
        <v>1067151.561976</v>
      </c>
      <c r="E24" s="28">
        <f>E23+C24-D24</f>
        <v>2329287.6133040003</v>
      </c>
      <c r="F24" s="25"/>
      <c r="G24" s="25" t="s">
        <v>12</v>
      </c>
      <c r="H24" s="29">
        <f>IF(C24="", "", IF(D24="", "",D24-D9))</f>
        <v>107435.03418700001</v>
      </c>
      <c r="I24" s="29">
        <f>IF(D24="", "", IF(E24="", "",E24-E9))</f>
        <v>-130440.32252899976</v>
      </c>
    </row>
    <row r="25" spans="1:9" x14ac:dyDescent="0.25">
      <c r="A25" s="25"/>
      <c r="B25" s="25" t="s">
        <v>13</v>
      </c>
      <c r="C25" s="26">
        <v>1821888.8676479999</v>
      </c>
      <c r="D25" s="27">
        <v>1450277.1683400001</v>
      </c>
      <c r="E25" s="28">
        <f>E24+C25-D25</f>
        <v>2700899.3126119999</v>
      </c>
      <c r="F25" s="25"/>
      <c r="G25" s="25" t="s">
        <v>13</v>
      </c>
      <c r="H25" s="29">
        <f>IF(C25="", "", IF(D25="", "",D25-D10))</f>
        <v>-251321.62832599995</v>
      </c>
      <c r="I25" s="29">
        <f>IF(D25="", "", IF(E25="", "",E25-E10))</f>
        <v>827189.8199079996</v>
      </c>
    </row>
    <row r="26" spans="1:9" x14ac:dyDescent="0.25">
      <c r="A26" s="25"/>
      <c r="B26" s="25" t="s">
        <v>14</v>
      </c>
      <c r="C26" s="26">
        <v>1645725.2123159999</v>
      </c>
      <c r="D26" s="27">
        <v>1763552.1646090001</v>
      </c>
      <c r="E26" s="28">
        <f>E25+C26-D26</f>
        <v>2583072.3603189997</v>
      </c>
      <c r="F26" s="25"/>
      <c r="G26" s="25" t="s">
        <v>14</v>
      </c>
      <c r="H26" s="29">
        <f>IF(C26="", "", IF(D26="", "",D26-D11))</f>
        <v>481592.67730700015</v>
      </c>
      <c r="I26" s="29">
        <f>IF(D26="", "", IF(E26="", "",E26-E11))</f>
        <v>941826.19741699961</v>
      </c>
    </row>
    <row r="27" spans="1:9" x14ac:dyDescent="0.25">
      <c r="A27" s="25"/>
      <c r="B27" s="25" t="s">
        <v>15</v>
      </c>
      <c r="C27" s="26">
        <v>1254589.0857929999</v>
      </c>
      <c r="D27" s="27">
        <v>1346566.340661</v>
      </c>
      <c r="E27" s="28">
        <f>E26+C27-D27</f>
        <v>2491095.1054509995</v>
      </c>
      <c r="F27" s="25"/>
      <c r="G27" s="25" t="s">
        <v>15</v>
      </c>
      <c r="H27" s="29">
        <f>IF(C27="", "", IF(D27="", "",D27-D12))</f>
        <v>24823.186549999984</v>
      </c>
      <c r="I27" s="29">
        <f>IF(D27="", "", IF(E27="", "",E27-E12))</f>
        <v>898302.64849799941</v>
      </c>
    </row>
    <row r="28" spans="1:9" x14ac:dyDescent="0.25">
      <c r="A28" s="25"/>
      <c r="B28" s="25" t="s">
        <v>16</v>
      </c>
      <c r="C28" s="26">
        <v>1229697.271861</v>
      </c>
      <c r="D28" s="27">
        <v>1501644.59292</v>
      </c>
      <c r="E28" s="28">
        <f>E27+C28-D28</f>
        <v>2219147.7843919992</v>
      </c>
      <c r="F28" s="25"/>
      <c r="G28" s="25" t="s">
        <v>16</v>
      </c>
      <c r="H28" s="29">
        <f>IF(C28="", "", IF(D28="", "",D28-D13))</f>
        <v>62797.57488900004</v>
      </c>
      <c r="I28" s="29">
        <f>IF(D28="", "", IF(E28="", "",E28-E13))</f>
        <v>231333.6653359991</v>
      </c>
    </row>
    <row r="29" spans="1:9" x14ac:dyDescent="0.25">
      <c r="A29" s="25"/>
      <c r="B29" s="25" t="s">
        <v>17</v>
      </c>
      <c r="C29" s="26">
        <v>1530769.816542</v>
      </c>
      <c r="D29" s="27">
        <v>1594954.9998339999</v>
      </c>
      <c r="E29" s="28">
        <f>E28+C29-D29</f>
        <v>2154962.6010999996</v>
      </c>
      <c r="F29" s="25"/>
      <c r="G29" s="25" t="s">
        <v>17</v>
      </c>
      <c r="H29" s="29">
        <f>IF(C29="", "", IF(D29="", "",D29-D14))</f>
        <v>147836.21103499993</v>
      </c>
      <c r="I29" s="29">
        <f>IF(D29="", "", IF(E29="", "",E29-E14))</f>
        <v>172011.3495939998</v>
      </c>
    </row>
    <row r="30" spans="1:9" x14ac:dyDescent="0.25">
      <c r="A30" s="30"/>
      <c r="B30" s="30" t="s">
        <v>18</v>
      </c>
      <c r="C30" s="31">
        <v>974830.79644399998</v>
      </c>
      <c r="D30" s="32">
        <v>1017922.102829</v>
      </c>
      <c r="E30" s="33">
        <f>E29+C30-D30</f>
        <v>2111871.2947149994</v>
      </c>
      <c r="F30" s="30"/>
      <c r="G30" s="30" t="s">
        <v>18</v>
      </c>
      <c r="H30" s="34">
        <f>IF(C30="", "", IF(D30="", "",D30-D15))</f>
        <v>96750.206124000018</v>
      </c>
      <c r="I30" s="34">
        <f>IF(D30="", "", IF(E30="", "",E30-E15))</f>
        <v>249489.44982599956</v>
      </c>
    </row>
    <row r="31" spans="1:9" s="2" customFormat="1" x14ac:dyDescent="0.25">
      <c r="A31" s="35"/>
      <c r="B31" s="35" t="s">
        <v>19</v>
      </c>
      <c r="C31" s="36">
        <f>SUM(C19:C30)</f>
        <v>15405374.502648998</v>
      </c>
      <c r="D31" s="37">
        <f>SUM(D19:D30)</f>
        <v>15155885.052823</v>
      </c>
      <c r="E31" s="28"/>
      <c r="F31" s="35"/>
      <c r="G31" s="35"/>
      <c r="H31" s="28">
        <f>SUMIF(C19:C30,"&gt;=0",H19:H30)</f>
        <v>1332336.0474860002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1283781.2085540832</v>
      </c>
      <c r="D32" s="37">
        <f>AVERAGE(D19:D30)</f>
        <v>1262990.4210685834</v>
      </c>
      <c r="E32" s="38">
        <f>C32/D32-1</f>
        <v>1.6461555953773077E-2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2111871.2947149994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787891.95947400003</v>
      </c>
      <c r="D34" s="13">
        <v>790779.55755100003</v>
      </c>
      <c r="E34" s="14">
        <f>E33+C34-D34</f>
        <v>2108983.6966379993</v>
      </c>
      <c r="F34" s="11"/>
      <c r="G34" s="11" t="s">
        <v>7</v>
      </c>
      <c r="H34" s="15">
        <f>IF(C34="", "", IF(D34="", "",D34-D19))</f>
        <v>-225651.189014</v>
      </c>
      <c r="I34" s="15">
        <f>IF(D34="", "", IF(E34="", "",E34-E19))</f>
        <v>132005.43869699957</v>
      </c>
    </row>
    <row r="35" spans="1:9" x14ac:dyDescent="0.25">
      <c r="A35" s="11"/>
      <c r="B35" s="11" t="s">
        <v>8</v>
      </c>
      <c r="C35" s="12">
        <v>1357349.9105120001</v>
      </c>
      <c r="D35" s="13">
        <v>1013594.742505</v>
      </c>
      <c r="E35" s="14">
        <f>E34+C35-D35</f>
        <v>2452738.8646449996</v>
      </c>
      <c r="F35" s="11"/>
      <c r="G35" s="11" t="s">
        <v>8</v>
      </c>
      <c r="H35" s="15">
        <f>IF(C35="", "", IF(D35="", "",D35-D20))</f>
        <v>-329956.99304899992</v>
      </c>
      <c r="I35" s="15">
        <f>IF(D35="", "", IF(E35="", "",E35-E20))</f>
        <v>503823.05088200001</v>
      </c>
    </row>
    <row r="36" spans="1:9" x14ac:dyDescent="0.25">
      <c r="A36" s="11"/>
      <c r="B36" s="11" t="s">
        <v>9</v>
      </c>
      <c r="C36" s="12">
        <v>2169187.9560500002</v>
      </c>
      <c r="D36" s="13">
        <v>1708128.313354</v>
      </c>
      <c r="E36" s="14">
        <f>E35+C36-D36</f>
        <v>2913798.5073409998</v>
      </c>
      <c r="F36" s="11"/>
      <c r="G36" s="11" t="s">
        <v>9</v>
      </c>
      <c r="H36" s="15">
        <f>IF(C36="", "", IF(D36="", "",D36-D21))</f>
        <v>576812.21899600001</v>
      </c>
      <c r="I36" s="15">
        <f>IF(D36="", "", IF(E36="", "",E36-E21))</f>
        <v>775362.407015</v>
      </c>
    </row>
    <row r="37" spans="1:9" x14ac:dyDescent="0.25">
      <c r="A37" s="11"/>
      <c r="B37" s="11" t="s">
        <v>10</v>
      </c>
      <c r="C37" s="12">
        <v>1279462.2802889999</v>
      </c>
      <c r="D37" s="13">
        <v>1228645.4328610001</v>
      </c>
      <c r="E37" s="14">
        <f>E36+C37-D37</f>
        <v>2964615.3547689999</v>
      </c>
      <c r="F37" s="11"/>
      <c r="G37" s="11" t="s">
        <v>10</v>
      </c>
      <c r="H37" s="15">
        <f>IF(C37="", "", IF(D37="", "",D37-D22))</f>
        <v>277411.73295400012</v>
      </c>
      <c r="I37" s="15">
        <f>IF(D37="", "", IF(E37="", "",E37-E22))</f>
        <v>1146579.3654219999</v>
      </c>
    </row>
    <row r="38" spans="1:9" x14ac:dyDescent="0.25">
      <c r="A38" s="11"/>
      <c r="B38" s="11" t="s">
        <v>11</v>
      </c>
      <c r="C38" s="12">
        <v>964461.50800000003</v>
      </c>
      <c r="D38" s="13">
        <v>1104576.3704339999</v>
      </c>
      <c r="E38" s="14">
        <f>E37+C38-D38</f>
        <v>2824500.4923350001</v>
      </c>
      <c r="F38" s="11"/>
      <c r="G38" s="11" t="s">
        <v>11</v>
      </c>
      <c r="H38" s="15">
        <f>IF(C38="", "", IF(D38="", "",D38-D23))</f>
        <v>133292.52516399988</v>
      </c>
      <c r="I38" s="15">
        <f>IF(D38="", "", IF(E38="", "",E38-E23))</f>
        <v>1136255.0770550002</v>
      </c>
    </row>
    <row r="39" spans="1:9" x14ac:dyDescent="0.25">
      <c r="A39" s="11"/>
      <c r="B39" s="11" t="s">
        <v>12</v>
      </c>
      <c r="C39" s="12">
        <v>925810.91934699996</v>
      </c>
      <c r="D39" s="13">
        <v>1388085.7464449999</v>
      </c>
      <c r="E39" s="14">
        <f>E38+C39-D39</f>
        <v>2362225.6652370002</v>
      </c>
      <c r="F39" s="11"/>
      <c r="G39" s="11" t="s">
        <v>12</v>
      </c>
      <c r="H39" s="15">
        <f>IF(C39="", "", IF(D39="", "",D39-D24))</f>
        <v>320934.18446899997</v>
      </c>
      <c r="I39" s="15">
        <f>IF(D39="", "", IF(E39="", "",E39-E24))</f>
        <v>32938.051932999864</v>
      </c>
    </row>
    <row r="40" spans="1:9" x14ac:dyDescent="0.25">
      <c r="A40" s="11"/>
      <c r="B40" s="11" t="s">
        <v>13</v>
      </c>
      <c r="C40" s="12">
        <v>1534203.1722860001</v>
      </c>
      <c r="D40" s="13">
        <v>1364342.405306</v>
      </c>
      <c r="E40" s="14">
        <f>E39+C40-D40</f>
        <v>2532086.4322170001</v>
      </c>
      <c r="F40" s="11"/>
      <c r="G40" s="11" t="s">
        <v>13</v>
      </c>
      <c r="H40" s="15">
        <f>IF(C40="", "", IF(D40="", "",D40-D25))</f>
        <v>-85934.763034000061</v>
      </c>
      <c r="I40" s="15">
        <f>IF(D40="", "", IF(E40="", "",E40-E25))</f>
        <v>-168812.88039499987</v>
      </c>
    </row>
    <row r="41" spans="1:9" x14ac:dyDescent="0.25">
      <c r="A41" s="11"/>
      <c r="B41" s="11" t="s">
        <v>14</v>
      </c>
      <c r="C41" s="12">
        <v>1162321.0900000001</v>
      </c>
      <c r="D41" s="13">
        <v>1463514.2703420001</v>
      </c>
      <c r="E41" s="14">
        <f>E40+C41-D41</f>
        <v>2230893.2518750001</v>
      </c>
      <c r="F41" s="11"/>
      <c r="G41" s="11" t="s">
        <v>14</v>
      </c>
      <c r="H41" s="15">
        <f>IF(C41="", "", IF(D41="", "",D41-D26))</f>
        <v>-300037.89426700003</v>
      </c>
      <c r="I41" s="15">
        <f>IF(D41="", "", IF(E41="", "",E41-E26))</f>
        <v>-352179.10844399966</v>
      </c>
    </row>
    <row r="42" spans="1:9" x14ac:dyDescent="0.25">
      <c r="A42" s="11"/>
      <c r="B42" s="11" t="s">
        <v>15</v>
      </c>
      <c r="C42" s="12">
        <v>1226758.3899999999</v>
      </c>
      <c r="D42" s="13">
        <v>1108451.89497</v>
      </c>
      <c r="E42" s="14">
        <f>E41+C42-D42</f>
        <v>2349199.7469049999</v>
      </c>
      <c r="F42" s="11"/>
      <c r="G42" s="11" t="s">
        <v>15</v>
      </c>
      <c r="H42" s="15">
        <f>IF(C42="", "", IF(D42="", "",D42-D27))</f>
        <v>-238114.44569099997</v>
      </c>
      <c r="I42" s="15">
        <f>IF(D42="", "", IF(E42="", "",E42-E27))</f>
        <v>-141895.35854599951</v>
      </c>
    </row>
    <row r="43" spans="1:9" x14ac:dyDescent="0.25">
      <c r="A43" s="11"/>
      <c r="B43" s="11" t="s">
        <v>16</v>
      </c>
      <c r="C43" s="12">
        <v>1189866.175</v>
      </c>
      <c r="D43" s="13">
        <v>1275463.4965250001</v>
      </c>
      <c r="E43" s="14">
        <f>E42+C43-D43</f>
        <v>2263602.4253799999</v>
      </c>
      <c r="F43" s="11"/>
      <c r="G43" s="11" t="s">
        <v>16</v>
      </c>
      <c r="H43" s="15">
        <f>IF(C43="", "", IF(D43="", "",D43-D28))</f>
        <v>-226181.09639499988</v>
      </c>
      <c r="I43" s="15">
        <f>IF(D43="", "", IF(E43="", "",E43-E28))</f>
        <v>44454.640988000669</v>
      </c>
    </row>
    <row r="44" spans="1:9" x14ac:dyDescent="0.25">
      <c r="A44" s="11"/>
      <c r="B44" s="11" t="s">
        <v>17</v>
      </c>
      <c r="C44" s="12">
        <v>1769957.51</v>
      </c>
      <c r="D44" s="13">
        <v>1328232.4221320001</v>
      </c>
      <c r="E44" s="14">
        <f>E43+C44-D44</f>
        <v>2705327.5132479994</v>
      </c>
      <c r="F44" s="11"/>
      <c r="G44" s="11" t="s">
        <v>17</v>
      </c>
      <c r="H44" s="15">
        <f>IF(C44="", "", IF(D44="", "",D44-D29))</f>
        <v>-266722.57770199981</v>
      </c>
      <c r="I44" s="15">
        <f>IF(D44="", "", IF(E44="", "",E44-E29))</f>
        <v>550364.91214799974</v>
      </c>
    </row>
    <row r="45" spans="1:9" x14ac:dyDescent="0.25">
      <c r="A45" s="16"/>
      <c r="B45" s="16" t="s">
        <v>18</v>
      </c>
      <c r="C45" s="17">
        <v>1799017.695636</v>
      </c>
      <c r="D45" s="18">
        <v>915450.113687</v>
      </c>
      <c r="E45" s="19">
        <f>E44+C45-D45</f>
        <v>3588895.0951969987</v>
      </c>
      <c r="F45" s="16"/>
      <c r="G45" s="16" t="s">
        <v>18</v>
      </c>
      <c r="H45" s="20">
        <f>IF(C45="", "", IF(D45="", "",D45-D30))</f>
        <v>-102471.98914199998</v>
      </c>
      <c r="I45" s="20">
        <f>IF(D45="", "", IF(E45="", "",E45-E30))</f>
        <v>1477023.8004819993</v>
      </c>
    </row>
    <row r="46" spans="1:9" s="2" customFormat="1" x14ac:dyDescent="0.25">
      <c r="A46" s="21"/>
      <c r="B46" s="21" t="s">
        <v>19</v>
      </c>
      <c r="C46" s="22">
        <f>SUM(C34:C45)</f>
        <v>16166288.566594003</v>
      </c>
      <c r="D46" s="23">
        <f>SUM(D34:D45)</f>
        <v>14689264.766112</v>
      </c>
      <c r="E46" s="14"/>
      <c r="F46" s="21"/>
      <c r="G46" s="21"/>
      <c r="H46" s="14">
        <f>SUMIF(C34:C45,"&gt;=0",H34:H45)</f>
        <v>-466620.28671099967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1347190.7138828335</v>
      </c>
      <c r="D47" s="23">
        <f>AVERAGE(D34:D45)</f>
        <v>1224105.3971760001</v>
      </c>
      <c r="E47" s="24">
        <f>C47/D47-1</f>
        <v>0.10055124092320011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3588895.0951969987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997396.6</v>
      </c>
      <c r="D49" s="27">
        <v>1291892.536964</v>
      </c>
      <c r="E49" s="28">
        <f>E48+C49-D49</f>
        <v>3294399.1582329981</v>
      </c>
      <c r="F49" s="25"/>
      <c r="G49" s="25" t="s">
        <v>7</v>
      </c>
      <c r="H49" s="29">
        <f>IF(C49="", "", IF(D49="", "",D49-D34))</f>
        <v>501112.97941299994</v>
      </c>
      <c r="I49" s="29">
        <f>IF(D49="", "", IF(E49="", "",E49-E34))</f>
        <v>1185415.4615949988</v>
      </c>
    </row>
    <row r="50" spans="1:9" x14ac:dyDescent="0.25">
      <c r="A50" s="25"/>
      <c r="B50" s="25" t="s">
        <v>8</v>
      </c>
      <c r="C50" s="26">
        <v>1122764.9313999999</v>
      </c>
      <c r="D50" s="27">
        <v>1409861.9890399999</v>
      </c>
      <c r="E50" s="28">
        <f>E49+C50-D50</f>
        <v>3007302.1005929983</v>
      </c>
      <c r="F50" s="25"/>
      <c r="G50" s="25" t="s">
        <v>8</v>
      </c>
      <c r="H50" s="29">
        <f>IF(C50="", "", IF(D50="", "",D50-D35))</f>
        <v>396267.24653499993</v>
      </c>
      <c r="I50" s="29">
        <f>IF(D50="", "", IF(E50="", "",E50-E35))</f>
        <v>554563.23594799871</v>
      </c>
    </row>
    <row r="51" spans="1:9" x14ac:dyDescent="0.25">
      <c r="A51" s="25"/>
      <c r="B51" s="25" t="s">
        <v>9</v>
      </c>
      <c r="C51" s="26">
        <v>2493462.723067</v>
      </c>
      <c r="D51" s="27">
        <v>1491413.0034419999</v>
      </c>
      <c r="E51" s="28">
        <f>E50+C51-D51</f>
        <v>4009351.8202179987</v>
      </c>
      <c r="F51" s="25"/>
      <c r="G51" s="25" t="s">
        <v>9</v>
      </c>
      <c r="H51" s="29">
        <f>IF(C51="", "", IF(D51="", "",D51-D36))</f>
        <v>-216715.30991200008</v>
      </c>
      <c r="I51" s="29">
        <f>IF(D51="", "", IF(E51="", "",E51-E36))</f>
        <v>1095553.3128769989</v>
      </c>
    </row>
    <row r="52" spans="1:9" x14ac:dyDescent="0.25">
      <c r="A52" s="25"/>
      <c r="B52" s="25" t="s">
        <v>10</v>
      </c>
      <c r="C52" s="26">
        <v>2049248</v>
      </c>
      <c r="D52" s="27">
        <v>1504995.059688</v>
      </c>
      <c r="E52" s="28">
        <f>E51+C52-D52</f>
        <v>4553604.7605299987</v>
      </c>
      <c r="F52" s="25"/>
      <c r="G52" s="25" t="s">
        <v>10</v>
      </c>
      <c r="H52" s="29">
        <f>IF(C52="", "", IF(D52="", "",D52-D37))</f>
        <v>276349.62682699994</v>
      </c>
      <c r="I52" s="29">
        <f>IF(D52="", "", IF(E52="", "",E52-E37))</f>
        <v>1588989.4057609988</v>
      </c>
    </row>
    <row r="53" spans="1:9" x14ac:dyDescent="0.25">
      <c r="A53" s="25"/>
      <c r="B53" s="25" t="s">
        <v>11</v>
      </c>
      <c r="C53" s="26">
        <v>2047974.446801</v>
      </c>
      <c r="D53" s="27">
        <v>1866705.48933</v>
      </c>
      <c r="E53" s="28">
        <f>E52+C53-D53</f>
        <v>4734873.7180009987</v>
      </c>
      <c r="F53" s="25"/>
      <c r="G53" s="25" t="s">
        <v>11</v>
      </c>
      <c r="H53" s="29">
        <f>IF(C53="", "", IF(D53="", "",D53-D38))</f>
        <v>762129.11889600009</v>
      </c>
      <c r="I53" s="29">
        <f>IF(D53="", "", IF(E53="", "",E53-E38))</f>
        <v>1910373.2256659986</v>
      </c>
    </row>
    <row r="54" spans="1:9" x14ac:dyDescent="0.25">
      <c r="A54" s="25"/>
      <c r="B54" s="25" t="s">
        <v>12</v>
      </c>
      <c r="C54" s="26">
        <v>1484396.929333</v>
      </c>
      <c r="D54" s="27">
        <v>1246941.9825869999</v>
      </c>
      <c r="E54" s="28">
        <f>E53+C54-D54</f>
        <v>4972328.6647469979</v>
      </c>
      <c r="F54" s="25"/>
      <c r="G54" s="25" t="s">
        <v>12</v>
      </c>
      <c r="H54" s="29">
        <f>IF(C54="", "", IF(D54="", "",D54-D39))</f>
        <v>-141143.76385800005</v>
      </c>
      <c r="I54" s="29">
        <f>IF(D54="", "", IF(E54="", "",E54-E39))</f>
        <v>2610102.9995099977</v>
      </c>
    </row>
    <row r="55" spans="1:9" x14ac:dyDescent="0.25">
      <c r="A55" s="25"/>
      <c r="B55" s="25" t="s">
        <v>13</v>
      </c>
      <c r="C55" s="26">
        <v>1584900.2176910001</v>
      </c>
      <c r="D55" s="27">
        <v>1286717.894692</v>
      </c>
      <c r="E55" s="28">
        <f>E54+C55-D55</f>
        <v>5270510.9877459984</v>
      </c>
      <c r="F55" s="25"/>
      <c r="G55" s="25" t="s">
        <v>13</v>
      </c>
      <c r="H55" s="29">
        <f>IF(C55="", "", IF(D55="", "",D55-D40))</f>
        <v>-77624.510614000028</v>
      </c>
      <c r="I55" s="29">
        <f>IF(D55="", "", IF(E55="", "",E55-E40))</f>
        <v>2738424.5555289984</v>
      </c>
    </row>
    <row r="56" spans="1:9" x14ac:dyDescent="0.25">
      <c r="A56" s="25"/>
      <c r="B56" s="25" t="s">
        <v>14</v>
      </c>
      <c r="C56" s="26">
        <v>1188100.98</v>
      </c>
      <c r="D56" s="27">
        <v>1394523.8782200001</v>
      </c>
      <c r="E56" s="28">
        <f>E55+C56-D56</f>
        <v>5064088.0895259986</v>
      </c>
      <c r="F56" s="25"/>
      <c r="G56" s="25" t="s">
        <v>14</v>
      </c>
      <c r="H56" s="29">
        <f>IF(C56="", "", IF(D56="", "",D56-D41))</f>
        <v>-68990.39212199999</v>
      </c>
      <c r="I56" s="29">
        <f>IF(D56="", "", IF(E56="", "",E56-E41))</f>
        <v>2833194.8376509985</v>
      </c>
    </row>
    <row r="57" spans="1:9" x14ac:dyDescent="0.25">
      <c r="A57" s="25"/>
      <c r="B57" s="25" t="s">
        <v>15</v>
      </c>
      <c r="C57" s="26">
        <v>1882406.73</v>
      </c>
      <c r="D57" s="27">
        <v>1927116.7641749999</v>
      </c>
      <c r="E57" s="28">
        <f>E56+C57-D57</f>
        <v>5019378.0553509984</v>
      </c>
      <c r="F57" s="25"/>
      <c r="G57" s="25" t="s">
        <v>15</v>
      </c>
      <c r="H57" s="29">
        <f>IF(C57="", "", IF(D57="", "",D57-D42))</f>
        <v>818664.86920499988</v>
      </c>
      <c r="I57" s="29">
        <f>IF(D57="", "", IF(E57="", "",E57-E42))</f>
        <v>2670178.3084459985</v>
      </c>
    </row>
    <row r="58" spans="1:9" x14ac:dyDescent="0.25">
      <c r="A58" s="25"/>
      <c r="B58" s="25" t="s">
        <v>16</v>
      </c>
      <c r="C58" s="26">
        <v>1004858.9499989999</v>
      </c>
      <c r="D58" s="27">
        <v>1598226.444812</v>
      </c>
      <c r="E58" s="28">
        <f>E57+C58-D58</f>
        <v>4426010.5605379986</v>
      </c>
      <c r="F58" s="25"/>
      <c r="G58" s="25" t="s">
        <v>16</v>
      </c>
      <c r="H58" s="29">
        <f>IF(C58="", "", IF(D58="", "",D58-D43))</f>
        <v>322762.94828699995</v>
      </c>
      <c r="I58" s="29">
        <f>IF(D58="", "", IF(E58="", "",E58-E43))</f>
        <v>2162408.1351579987</v>
      </c>
    </row>
    <row r="59" spans="1:9" x14ac:dyDescent="0.25">
      <c r="A59" s="25"/>
      <c r="B59" s="25" t="s">
        <v>17</v>
      </c>
      <c r="C59" s="26">
        <v>1124577.952452</v>
      </c>
      <c r="D59" s="27">
        <v>1628488.6638130001</v>
      </c>
      <c r="E59" s="28">
        <f>E58+C59-D59</f>
        <v>3922099.8491769987</v>
      </c>
      <c r="F59" s="25"/>
      <c r="G59" s="25" t="s">
        <v>17</v>
      </c>
      <c r="H59" s="29">
        <f>IF(C59="", "", IF(D59="", "",D59-D44))</f>
        <v>300256.24168099998</v>
      </c>
      <c r="I59" s="29">
        <f>IF(D59="", "", IF(E59="", "",E59-E44))</f>
        <v>1216772.3359289994</v>
      </c>
    </row>
    <row r="60" spans="1:9" x14ac:dyDescent="0.25">
      <c r="A60" s="30"/>
      <c r="B60" s="30" t="s">
        <v>18</v>
      </c>
      <c r="C60" s="31">
        <v>1503242.58785</v>
      </c>
      <c r="D60" s="32">
        <v>1316665.9677190001</v>
      </c>
      <c r="E60" s="33">
        <f>E59+C60-D60</f>
        <v>4108676.4693079991</v>
      </c>
      <c r="F60" s="30"/>
      <c r="G60" s="30" t="s">
        <v>18</v>
      </c>
      <c r="H60" s="34">
        <f>IF(C60="", "", IF(D60="", "",D60-D45))</f>
        <v>401215.85403200006</v>
      </c>
      <c r="I60" s="34">
        <f>IF(D60="", "", IF(E60="", "",E60-E45))</f>
        <v>519781.37411100045</v>
      </c>
    </row>
    <row r="61" spans="1:9" s="2" customFormat="1" x14ac:dyDescent="0.25">
      <c r="A61" s="35"/>
      <c r="B61" s="35" t="s">
        <v>19</v>
      </c>
      <c r="C61" s="36">
        <f>SUM(C49:C60)</f>
        <v>18483331.048593</v>
      </c>
      <c r="D61" s="37">
        <f>SUM(D49:D60)</f>
        <v>17963549.674481999</v>
      </c>
      <c r="E61" s="28"/>
      <c r="F61" s="35"/>
      <c r="G61" s="35"/>
      <c r="H61" s="28">
        <f>SUMIF(C49:C60,"&gt;=0",H49:H60)</f>
        <v>3274284.9083699998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1540277.5873827499</v>
      </c>
      <c r="D62" s="37">
        <f>AVERAGE(D49:D60)</f>
        <v>1496962.4728734998</v>
      </c>
      <c r="E62" s="38">
        <f>C62/D62-1</f>
        <v>2.8935337588058774E-2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4108676.4693079991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1364989.61</v>
      </c>
      <c r="D64" s="13">
        <v>1038037.621724</v>
      </c>
      <c r="E64" s="14">
        <f>E63+C64-D64</f>
        <v>4435628.4575839993</v>
      </c>
      <c r="F64" s="11"/>
      <c r="G64" s="11" t="s">
        <v>7</v>
      </c>
      <c r="H64" s="15">
        <f>IF(C64="", "", IF(D64="", "",D64-D49))</f>
        <v>-253854.91524</v>
      </c>
      <c r="I64" s="15">
        <f>IF(D64="", "", IF(E64="", "",E64-E49))</f>
        <v>1141229.2993510012</v>
      </c>
    </row>
    <row r="65" spans="1:9" x14ac:dyDescent="0.25">
      <c r="A65" s="11"/>
      <c r="B65" s="11" t="s">
        <v>8</v>
      </c>
      <c r="C65" s="12">
        <v>1650645.871333</v>
      </c>
      <c r="D65" s="13">
        <v>1880338.4170319999</v>
      </c>
      <c r="E65" s="14">
        <f>E64+C65-D65</f>
        <v>4205935.9118849998</v>
      </c>
      <c r="F65" s="11"/>
      <c r="G65" s="11" t="s">
        <v>8</v>
      </c>
      <c r="H65" s="15">
        <f>IF(C65="", "", IF(D65="", "",D65-D50))</f>
        <v>470476.42799200001</v>
      </c>
      <c r="I65" s="15">
        <f>IF(D65="", "", IF(E65="", "",E65-E50))</f>
        <v>1198633.8112920015</v>
      </c>
    </row>
    <row r="66" spans="1:9" x14ac:dyDescent="0.25">
      <c r="A66" s="11"/>
      <c r="B66" s="11" t="s">
        <v>9</v>
      </c>
      <c r="C66" s="12">
        <v>2924725.2942110002</v>
      </c>
      <c r="D66" s="13">
        <v>2758349.2171060001</v>
      </c>
      <c r="E66" s="14">
        <f>E65+C66-D66</f>
        <v>4372311.9889899995</v>
      </c>
      <c r="F66" s="11"/>
      <c r="G66" s="11" t="s">
        <v>9</v>
      </c>
      <c r="H66" s="15">
        <f>IF(C66="", "", IF(D66="", "",D66-D51))</f>
        <v>1266936.2136640002</v>
      </c>
      <c r="I66" s="15">
        <f>IF(D66="", "", IF(E66="", "",E66-E51))</f>
        <v>362960.16877200082</v>
      </c>
    </row>
    <row r="67" spans="1:9" x14ac:dyDescent="0.25">
      <c r="A67" s="11"/>
      <c r="B67" s="11" t="s">
        <v>10</v>
      </c>
      <c r="C67" s="12">
        <v>2206762.6070329999</v>
      </c>
      <c r="D67" s="13">
        <v>2742860.8649780001</v>
      </c>
      <c r="E67" s="14">
        <f>E66+C67-D67</f>
        <v>3836213.7310449989</v>
      </c>
      <c r="F67" s="11"/>
      <c r="G67" s="11" t="s">
        <v>10</v>
      </c>
      <c r="H67" s="15">
        <f>IF(C67="", "", IF(D67="", "",D67-D52))</f>
        <v>1237865.80529</v>
      </c>
      <c r="I67" s="15">
        <f>IF(D67="", "", IF(E67="", "",E67-E52))</f>
        <v>-717391.02948499983</v>
      </c>
    </row>
    <row r="68" spans="1:9" x14ac:dyDescent="0.25">
      <c r="A68" s="11"/>
      <c r="B68" s="11" t="s">
        <v>11</v>
      </c>
      <c r="C68" s="12">
        <v>2482048.9511759998</v>
      </c>
      <c r="D68" s="13">
        <v>2516059.0534950001</v>
      </c>
      <c r="E68" s="14">
        <f>E67+C68-D68</f>
        <v>3802203.628725999</v>
      </c>
      <c r="F68" s="11"/>
      <c r="G68" s="11" t="s">
        <v>11</v>
      </c>
      <c r="H68" s="15">
        <f>IF(C68="", "", IF(D68="", "",D68-D53))</f>
        <v>649353.56416500011</v>
      </c>
      <c r="I68" s="15">
        <f>IF(D68="", "", IF(E68="", "",E68-E53))</f>
        <v>-932670.08927499969</v>
      </c>
    </row>
    <row r="69" spans="1:9" x14ac:dyDescent="0.25">
      <c r="A69" s="11"/>
      <c r="B69" s="11" t="s">
        <v>12</v>
      </c>
      <c r="C69" s="12">
        <v>3044932.5950469999</v>
      </c>
      <c r="D69" s="13">
        <v>2433590.6766659999</v>
      </c>
      <c r="E69" s="14">
        <f>E68+C69-D69</f>
        <v>4413545.547106999</v>
      </c>
      <c r="F69" s="11"/>
      <c r="G69" s="11" t="s">
        <v>12</v>
      </c>
      <c r="H69" s="15">
        <f>IF(C69="", "", IF(D69="", "",D69-D54))</f>
        <v>1186648.694079</v>
      </c>
      <c r="I69" s="15">
        <f>IF(D69="", "", IF(E69="", "",E69-E54))</f>
        <v>-558783.11763999891</v>
      </c>
    </row>
    <row r="70" spans="1:9" x14ac:dyDescent="0.25">
      <c r="A70" s="11"/>
      <c r="B70" s="11" t="s">
        <v>13</v>
      </c>
      <c r="C70" s="12">
        <v>1091080.26</v>
      </c>
      <c r="D70" s="13">
        <v>1650544.6214769999</v>
      </c>
      <c r="E70" s="14">
        <f>E69+C70-D70</f>
        <v>3854081.1856299988</v>
      </c>
      <c r="F70" s="11"/>
      <c r="G70" s="11" t="s">
        <v>13</v>
      </c>
      <c r="H70" s="15">
        <f>IF(C70="", "", IF(D70="", "",D70-D55))</f>
        <v>363826.72678499995</v>
      </c>
      <c r="I70" s="15">
        <f>IF(D70="", "", IF(E70="", "",E70-E55))</f>
        <v>-1416429.8021159996</v>
      </c>
    </row>
    <row r="71" spans="1:9" x14ac:dyDescent="0.25">
      <c r="A71" s="11"/>
      <c r="B71" s="11" t="s">
        <v>14</v>
      </c>
      <c r="C71" s="12">
        <v>1744873.1140699999</v>
      </c>
      <c r="D71" s="13">
        <v>2063580.4789750001</v>
      </c>
      <c r="E71" s="14">
        <f>E70+C71-D71</f>
        <v>3535373.8207249986</v>
      </c>
      <c r="F71" s="11"/>
      <c r="G71" s="11" t="s">
        <v>14</v>
      </c>
      <c r="H71" s="15">
        <f>IF(C71="", "", IF(D71="", "",D71-D56))</f>
        <v>669056.60075500002</v>
      </c>
      <c r="I71" s="15">
        <f>IF(D71="", "", IF(E71="", "",E71-E56))</f>
        <v>-1528714.268801</v>
      </c>
    </row>
    <row r="72" spans="1:9" x14ac:dyDescent="0.25">
      <c r="A72" s="11"/>
      <c r="B72" s="11" t="s">
        <v>15</v>
      </c>
      <c r="C72" s="12">
        <v>2370826.7599999998</v>
      </c>
      <c r="D72" s="13">
        <v>1718376.2226809999</v>
      </c>
      <c r="E72" s="14">
        <f>E71+C72-D72</f>
        <v>4187824.3580439985</v>
      </c>
      <c r="F72" s="11"/>
      <c r="G72" s="11" t="s">
        <v>15</v>
      </c>
      <c r="H72" s="15">
        <f>IF(C72="", "", IF(D72="", "",D72-D57))</f>
        <v>-208740.541494</v>
      </c>
      <c r="I72" s="15">
        <f>IF(D72="", "", IF(E72="", "",E72-E57))</f>
        <v>-831553.69730699994</v>
      </c>
    </row>
    <row r="73" spans="1:9" x14ac:dyDescent="0.25">
      <c r="A73" s="11"/>
      <c r="B73" s="11" t="s">
        <v>16</v>
      </c>
      <c r="C73" s="12">
        <v>2784931.1023690002</v>
      </c>
      <c r="D73" s="13">
        <v>2146129.066778</v>
      </c>
      <c r="E73" s="14">
        <f>E72+C73-D73</f>
        <v>4826626.3936349992</v>
      </c>
      <c r="F73" s="11"/>
      <c r="G73" s="11" t="s">
        <v>16</v>
      </c>
      <c r="H73" s="15">
        <f>IF(C73="", "", IF(D73="", "",D73-D58))</f>
        <v>547902.62196599995</v>
      </c>
      <c r="I73" s="15">
        <f>IF(D73="", "", IF(E73="", "",E73-E58))</f>
        <v>400615.83309700061</v>
      </c>
    </row>
    <row r="74" spans="1:9" x14ac:dyDescent="0.25">
      <c r="A74" s="11"/>
      <c r="B74" s="11" t="s">
        <v>17</v>
      </c>
      <c r="C74" s="12">
        <v>1356150.2690969999</v>
      </c>
      <c r="D74" s="13">
        <v>2103746.9738059998</v>
      </c>
      <c r="E74" s="14">
        <f>E73+C74-D74</f>
        <v>4079029.6889259997</v>
      </c>
      <c r="F74" s="11"/>
      <c r="G74" s="11" t="s">
        <v>17</v>
      </c>
      <c r="H74" s="15">
        <f>IF(C74="", "", IF(D74="", "",D74-D59))</f>
        <v>475258.30999299977</v>
      </c>
      <c r="I74" s="15">
        <f>IF(D74="", "", IF(E74="", "",E74-E59))</f>
        <v>156929.83974900097</v>
      </c>
    </row>
    <row r="75" spans="1:9" x14ac:dyDescent="0.25">
      <c r="A75" s="16"/>
      <c r="B75" s="16" t="s">
        <v>18</v>
      </c>
      <c r="C75" s="17">
        <v>609082.11234400002</v>
      </c>
      <c r="D75" s="18">
        <v>1230266.3010120001</v>
      </c>
      <c r="E75" s="19">
        <f>E74+C75-D75</f>
        <v>3457845.5002579996</v>
      </c>
      <c r="F75" s="16"/>
      <c r="G75" s="16" t="s">
        <v>18</v>
      </c>
      <c r="H75" s="20">
        <f>IF(C75="", "", IF(D75="", "",D75-D60))</f>
        <v>-86399.666706999997</v>
      </c>
      <c r="I75" s="20">
        <f>IF(D75="", "", IF(E75="", "",E75-E60))</f>
        <v>-650830.96904999949</v>
      </c>
    </row>
    <row r="76" spans="1:9" s="2" customFormat="1" x14ac:dyDescent="0.25">
      <c r="A76" s="21"/>
      <c r="B76" s="21" t="s">
        <v>19</v>
      </c>
      <c r="C76" s="22">
        <f>SUM(C64:C75)</f>
        <v>23631048.546680003</v>
      </c>
      <c r="D76" s="23">
        <f>SUM(D64:D75)</f>
        <v>24281879.515730001</v>
      </c>
      <c r="E76" s="14"/>
      <c r="F76" s="21"/>
      <c r="G76" s="21"/>
      <c r="H76" s="14">
        <f>SUMIF(C64:C75,"&gt;=0",H64:H75)</f>
        <v>6318329.841248001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1969254.045556667</v>
      </c>
      <c r="D77" s="23">
        <f>AVERAGE(D64:D75)</f>
        <v>2023489.9596441668</v>
      </c>
      <c r="E77" s="24">
        <f>C77/D77-1</f>
        <v>-2.6803154534573159E-2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3457845.5002579996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3457845.5002579996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3457845.5002579996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3457845.5002579996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3457845.5002579996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3457845.5002579996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3457845.5002579996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3457845.5002579996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3457845.5002579996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3457845.5002579996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3457845.5002579996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3457845.5002579996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3457845.5002579996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29B0D-2116-4DA9-93BE-C55DF4B9AE38}">
  <sheetPr codeName="Sheet6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554977.94853399997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281486.65999999997</v>
      </c>
      <c r="D4" s="13">
        <v>229232.56818599999</v>
      </c>
      <c r="E4" s="14">
        <f>E3+C4-D4</f>
        <v>607232.04034799989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662003.0895</v>
      </c>
      <c r="D5" s="13">
        <v>546430.19036799995</v>
      </c>
      <c r="E5" s="14">
        <f>E4+C5-D5</f>
        <v>722804.93947999994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327815.51449999999</v>
      </c>
      <c r="D6" s="13">
        <v>446365.53498499998</v>
      </c>
      <c r="E6" s="14">
        <f>E5+C6-D6</f>
        <v>604254.91899499996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457876.94118700002</v>
      </c>
      <c r="D7" s="13">
        <v>420327.08276299998</v>
      </c>
      <c r="E7" s="14">
        <f>E6+C7-D7</f>
        <v>641804.77741899993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602684.05666700006</v>
      </c>
      <c r="D8" s="13">
        <v>636937.377156</v>
      </c>
      <c r="E8" s="14">
        <f>E7+C8-D8</f>
        <v>607551.45692999999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596805.59</v>
      </c>
      <c r="D9" s="13">
        <v>600877.53620700003</v>
      </c>
      <c r="E9" s="14">
        <f>E8+C9-D9</f>
        <v>603479.51072299993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542075.73</v>
      </c>
      <c r="D10" s="13">
        <v>384594.35290100001</v>
      </c>
      <c r="E10" s="14">
        <f>E9+C10-D10</f>
        <v>760960.88782199984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419735.06</v>
      </c>
      <c r="D11" s="13">
        <v>636764.76602900005</v>
      </c>
      <c r="E11" s="14">
        <f>E10+C11-D11</f>
        <v>543931.18179299985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729833.82499999995</v>
      </c>
      <c r="D12" s="13">
        <v>627679.18443000002</v>
      </c>
      <c r="E12" s="14">
        <f>E11+C12-D12</f>
        <v>646085.82236299978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820811.65222299995</v>
      </c>
      <c r="D13" s="13">
        <v>768732.19551999995</v>
      </c>
      <c r="E13" s="14">
        <f>E12+C13-D13</f>
        <v>698165.27906599978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634846.83421</v>
      </c>
      <c r="D14" s="13">
        <v>654604.55332399998</v>
      </c>
      <c r="E14" s="14">
        <f>E13+C14-D14</f>
        <v>678407.55995199969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357884.35766699997</v>
      </c>
      <c r="D15" s="18">
        <v>423653.47519099998</v>
      </c>
      <c r="E15" s="19">
        <f>E14+C15-D15</f>
        <v>612638.44242799981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6433859.3109539999</v>
      </c>
      <c r="D16" s="23">
        <f>SUM(D4:D15)</f>
        <v>6376198.8170599993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536154.94257950003</v>
      </c>
      <c r="D17" s="23">
        <f>AVERAGE(D4:D15)</f>
        <v>531349.90142166661</v>
      </c>
      <c r="E17" s="24">
        <f>C17/D17-1</f>
        <v>9.043082806597269E-3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612638.44242799981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461030.32500000001</v>
      </c>
      <c r="D19" s="27">
        <v>460534.80972100003</v>
      </c>
      <c r="E19" s="28">
        <f>E18+C19-D19</f>
        <v>613133.95770699973</v>
      </c>
      <c r="F19" s="25"/>
      <c r="G19" s="25" t="s">
        <v>7</v>
      </c>
      <c r="H19" s="29">
        <f>IF(C19="", "", IF(D19="", "",D19-D4))</f>
        <v>231302.24153500004</v>
      </c>
      <c r="I19" s="29">
        <f>IF(D19="", "", IF(E19="", "",E19-E4))</f>
        <v>5901.9173589998391</v>
      </c>
    </row>
    <row r="20" spans="1:9" x14ac:dyDescent="0.25">
      <c r="A20" s="25"/>
      <c r="B20" s="25" t="s">
        <v>8</v>
      </c>
      <c r="C20" s="26">
        <v>760512.42</v>
      </c>
      <c r="D20" s="27">
        <v>573709.71031999995</v>
      </c>
      <c r="E20" s="28">
        <f>E19+C20-D20</f>
        <v>799936.66738699994</v>
      </c>
      <c r="F20" s="25"/>
      <c r="G20" s="25" t="s">
        <v>8</v>
      </c>
      <c r="H20" s="29">
        <f>IF(C20="", "", IF(D20="", "",D20-D5))</f>
        <v>27279.519952000002</v>
      </c>
      <c r="I20" s="29">
        <f>IF(D20="", "", IF(E20="", "",E20-E5))</f>
        <v>77131.727906999993</v>
      </c>
    </row>
    <row r="21" spans="1:9" x14ac:dyDescent="0.25">
      <c r="A21" s="25"/>
      <c r="B21" s="25" t="s">
        <v>9</v>
      </c>
      <c r="C21" s="26">
        <v>846924.03891700006</v>
      </c>
      <c r="D21" s="27">
        <v>655082.88739499997</v>
      </c>
      <c r="E21" s="28">
        <f>E20+C21-D21</f>
        <v>991777.81890900002</v>
      </c>
      <c r="F21" s="25"/>
      <c r="G21" s="25" t="s">
        <v>9</v>
      </c>
      <c r="H21" s="29">
        <f>IF(C21="", "", IF(D21="", "",D21-D6))</f>
        <v>208717.35240999999</v>
      </c>
      <c r="I21" s="29">
        <f>IF(D21="", "", IF(E21="", "",E21-E6))</f>
        <v>387522.89991400007</v>
      </c>
    </row>
    <row r="22" spans="1:9" x14ac:dyDescent="0.25">
      <c r="A22" s="25"/>
      <c r="B22" s="25" t="s">
        <v>10</v>
      </c>
      <c r="C22" s="26">
        <v>233303.12</v>
      </c>
      <c r="D22" s="27">
        <v>520214.03603399999</v>
      </c>
      <c r="E22" s="28">
        <f>E21+C22-D22</f>
        <v>704866.90287500003</v>
      </c>
      <c r="F22" s="25"/>
      <c r="G22" s="25" t="s">
        <v>10</v>
      </c>
      <c r="H22" s="29">
        <f>IF(C22="", "", IF(D22="", "",D22-D7))</f>
        <v>99886.953271000006</v>
      </c>
      <c r="I22" s="29">
        <f>IF(D22="", "", IF(E22="", "",E22-E7))</f>
        <v>63062.125456000096</v>
      </c>
    </row>
    <row r="23" spans="1:9" x14ac:dyDescent="0.25">
      <c r="A23" s="25"/>
      <c r="B23" s="25" t="s">
        <v>11</v>
      </c>
      <c r="C23" s="26">
        <v>346357.84</v>
      </c>
      <c r="D23" s="27">
        <v>423859.760802</v>
      </c>
      <c r="E23" s="28">
        <f>E22+C23-D23</f>
        <v>627364.98207299993</v>
      </c>
      <c r="F23" s="25"/>
      <c r="G23" s="25" t="s">
        <v>11</v>
      </c>
      <c r="H23" s="29">
        <f>IF(C23="", "", IF(D23="", "",D23-D8))</f>
        <v>-213077.616354</v>
      </c>
      <c r="I23" s="29">
        <f>IF(D23="", "", IF(E23="", "",E23-E8))</f>
        <v>19813.525142999948</v>
      </c>
    </row>
    <row r="24" spans="1:9" x14ac:dyDescent="0.25">
      <c r="A24" s="25"/>
      <c r="B24" s="25" t="s">
        <v>12</v>
      </c>
      <c r="C24" s="26">
        <v>593662.43000000005</v>
      </c>
      <c r="D24" s="27">
        <v>502828.824364</v>
      </c>
      <c r="E24" s="28">
        <f>E23+C24-D24</f>
        <v>718198.58770899987</v>
      </c>
      <c r="F24" s="25"/>
      <c r="G24" s="25" t="s">
        <v>12</v>
      </c>
      <c r="H24" s="29">
        <f>IF(C24="", "", IF(D24="", "",D24-D9))</f>
        <v>-98048.711843000026</v>
      </c>
      <c r="I24" s="29">
        <f>IF(D24="", "", IF(E24="", "",E24-E9))</f>
        <v>114719.07698599994</v>
      </c>
    </row>
    <row r="25" spans="1:9" x14ac:dyDescent="0.25">
      <c r="A25" s="25"/>
      <c r="B25" s="25" t="s">
        <v>13</v>
      </c>
      <c r="C25" s="26">
        <v>562006.64249999996</v>
      </c>
      <c r="D25" s="27">
        <v>640986.03441099997</v>
      </c>
      <c r="E25" s="28">
        <f>E24+C25-D25</f>
        <v>639219.19579799997</v>
      </c>
      <c r="F25" s="25"/>
      <c r="G25" s="25" t="s">
        <v>13</v>
      </c>
      <c r="H25" s="29">
        <f>IF(C25="", "", IF(D25="", "",D25-D10))</f>
        <v>256391.68150999997</v>
      </c>
      <c r="I25" s="29">
        <f>IF(D25="", "", IF(E25="", "",E25-E10))</f>
        <v>-121741.69202399987</v>
      </c>
    </row>
    <row r="26" spans="1:9" x14ac:dyDescent="0.25">
      <c r="A26" s="25"/>
      <c r="B26" s="25" t="s">
        <v>14</v>
      </c>
      <c r="C26" s="26">
        <v>709292.16</v>
      </c>
      <c r="D26" s="27">
        <v>518716.64073599997</v>
      </c>
      <c r="E26" s="28">
        <f>E25+C26-D26</f>
        <v>829794.71506200009</v>
      </c>
      <c r="F26" s="25"/>
      <c r="G26" s="25" t="s">
        <v>14</v>
      </c>
      <c r="H26" s="29">
        <f>IF(C26="", "", IF(D26="", "",D26-D11))</f>
        <v>-118048.12529300008</v>
      </c>
      <c r="I26" s="29">
        <f>IF(D26="", "", IF(E26="", "",E26-E11))</f>
        <v>285863.53326900024</v>
      </c>
    </row>
    <row r="27" spans="1:9" x14ac:dyDescent="0.25">
      <c r="A27" s="25"/>
      <c r="B27" s="25" t="s">
        <v>15</v>
      </c>
      <c r="C27" s="26">
        <v>882580.35</v>
      </c>
      <c r="D27" s="27">
        <v>851641.60998299997</v>
      </c>
      <c r="E27" s="28">
        <f>E26+C27-D27</f>
        <v>860733.45507899998</v>
      </c>
      <c r="F27" s="25"/>
      <c r="G27" s="25" t="s">
        <v>15</v>
      </c>
      <c r="H27" s="29">
        <f>IF(C27="", "", IF(D27="", "",D27-D12))</f>
        <v>223962.42555299995</v>
      </c>
      <c r="I27" s="29">
        <f>IF(D27="", "", IF(E27="", "",E27-E12))</f>
        <v>214647.6327160002</v>
      </c>
    </row>
    <row r="28" spans="1:9" x14ac:dyDescent="0.25">
      <c r="A28" s="25"/>
      <c r="B28" s="25" t="s">
        <v>16</v>
      </c>
      <c r="C28" s="26">
        <v>737237.40918299998</v>
      </c>
      <c r="D28" s="27">
        <v>742476.22605399997</v>
      </c>
      <c r="E28" s="28">
        <f>E27+C28-D28</f>
        <v>855494.63820799999</v>
      </c>
      <c r="F28" s="25"/>
      <c r="G28" s="25" t="s">
        <v>16</v>
      </c>
      <c r="H28" s="29">
        <f>IF(C28="", "", IF(D28="", "",D28-D13))</f>
        <v>-26255.96946599998</v>
      </c>
      <c r="I28" s="29">
        <f>IF(D28="", "", IF(E28="", "",E28-E13))</f>
        <v>157329.3591420002</v>
      </c>
    </row>
    <row r="29" spans="1:9" x14ac:dyDescent="0.25">
      <c r="A29" s="25"/>
      <c r="B29" s="25" t="s">
        <v>17</v>
      </c>
      <c r="C29" s="26">
        <v>535086.71</v>
      </c>
      <c r="D29" s="27">
        <v>615920.35233699996</v>
      </c>
      <c r="E29" s="28">
        <f>E28+C29-D29</f>
        <v>774660.99587099999</v>
      </c>
      <c r="F29" s="25"/>
      <c r="G29" s="25" t="s">
        <v>17</v>
      </c>
      <c r="H29" s="29">
        <f>IF(C29="", "", IF(D29="", "",D29-D14))</f>
        <v>-38684.200987000018</v>
      </c>
      <c r="I29" s="29">
        <f>IF(D29="", "", IF(E29="", "",E29-E14))</f>
        <v>96253.435919000302</v>
      </c>
    </row>
    <row r="30" spans="1:9" x14ac:dyDescent="0.25">
      <c r="A30" s="30"/>
      <c r="B30" s="30" t="s">
        <v>18</v>
      </c>
      <c r="C30" s="31">
        <v>502900.81</v>
      </c>
      <c r="D30" s="32">
        <v>664879.07311799994</v>
      </c>
      <c r="E30" s="33">
        <f>E29+C30-D30</f>
        <v>612682.73275300011</v>
      </c>
      <c r="F30" s="30"/>
      <c r="G30" s="30" t="s">
        <v>18</v>
      </c>
      <c r="H30" s="34">
        <f>IF(C30="", "", IF(D30="", "",D30-D15))</f>
        <v>241225.59792699997</v>
      </c>
      <c r="I30" s="34">
        <f>IF(D30="", "", IF(E30="", "",E30-E15))</f>
        <v>44.290325000300072</v>
      </c>
    </row>
    <row r="31" spans="1:9" s="2" customFormat="1" x14ac:dyDescent="0.25">
      <c r="A31" s="35"/>
      <c r="B31" s="35" t="s">
        <v>19</v>
      </c>
      <c r="C31" s="36">
        <f>SUM(C19:C30)</f>
        <v>7170894.2555999998</v>
      </c>
      <c r="D31" s="37">
        <f>SUM(D19:D30)</f>
        <v>7170849.9652749998</v>
      </c>
      <c r="E31" s="28"/>
      <c r="F31" s="35"/>
      <c r="G31" s="35"/>
      <c r="H31" s="28">
        <f>SUMIF(C19:C30,"&gt;=0",H19:H30)</f>
        <v>794651.14821499982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597574.52130000002</v>
      </c>
      <c r="D32" s="37">
        <f>AVERAGE(D19:D30)</f>
        <v>597570.83043958328</v>
      </c>
      <c r="E32" s="38">
        <f>C32/D32-1</f>
        <v>6.1764400616226567E-6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612682.73275300011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455166.22045000002</v>
      </c>
      <c r="D34" s="13">
        <v>424896.46724500001</v>
      </c>
      <c r="E34" s="14">
        <f>E33+C34-D34</f>
        <v>642952.48595800018</v>
      </c>
      <c r="F34" s="11"/>
      <c r="G34" s="11" t="s">
        <v>7</v>
      </c>
      <c r="H34" s="15">
        <f>IF(C34="", "", IF(D34="", "",D34-D19))</f>
        <v>-35638.34247600002</v>
      </c>
      <c r="I34" s="15">
        <f>IF(D34="", "", IF(E34="", "",E34-E19))</f>
        <v>29818.528251000447</v>
      </c>
    </row>
    <row r="35" spans="1:9" x14ac:dyDescent="0.25">
      <c r="A35" s="11"/>
      <c r="B35" s="11" t="s">
        <v>8</v>
      </c>
      <c r="C35" s="12">
        <v>975938.64</v>
      </c>
      <c r="D35" s="13">
        <v>707079.649584</v>
      </c>
      <c r="E35" s="14">
        <f>E34+C35-D35</f>
        <v>911811.47637400031</v>
      </c>
      <c r="F35" s="11"/>
      <c r="G35" s="11" t="s">
        <v>8</v>
      </c>
      <c r="H35" s="15">
        <f>IF(C35="", "", IF(D35="", "",D35-D20))</f>
        <v>133369.93926400004</v>
      </c>
      <c r="I35" s="15">
        <f>IF(D35="", "", IF(E35="", "",E35-E20))</f>
        <v>111874.80898700038</v>
      </c>
    </row>
    <row r="36" spans="1:9" x14ac:dyDescent="0.25">
      <c r="A36" s="11"/>
      <c r="B36" s="11" t="s">
        <v>9</v>
      </c>
      <c r="C36" s="12">
        <v>1045215.762833</v>
      </c>
      <c r="D36" s="13">
        <v>763609.06376399996</v>
      </c>
      <c r="E36" s="14">
        <f>E35+C36-D36</f>
        <v>1193418.1754430006</v>
      </c>
      <c r="F36" s="11"/>
      <c r="G36" s="11" t="s">
        <v>9</v>
      </c>
      <c r="H36" s="15">
        <f>IF(C36="", "", IF(D36="", "",D36-D21))</f>
        <v>108526.17636899999</v>
      </c>
      <c r="I36" s="15">
        <f>IF(D36="", "", IF(E36="", "",E36-E21))</f>
        <v>201640.3565340006</v>
      </c>
    </row>
    <row r="37" spans="1:9" x14ac:dyDescent="0.25">
      <c r="A37" s="11"/>
      <c r="B37" s="11" t="s">
        <v>10</v>
      </c>
      <c r="C37" s="12">
        <v>648222.62</v>
      </c>
      <c r="D37" s="13">
        <v>696575.92396699998</v>
      </c>
      <c r="E37" s="14">
        <f>E36+C37-D37</f>
        <v>1145064.8714760006</v>
      </c>
      <c r="F37" s="11"/>
      <c r="G37" s="11" t="s">
        <v>10</v>
      </c>
      <c r="H37" s="15">
        <f>IF(C37="", "", IF(D37="", "",D37-D22))</f>
        <v>176361.88793299999</v>
      </c>
      <c r="I37" s="15">
        <f>IF(D37="", "", IF(E37="", "",E37-E22))</f>
        <v>440197.96860100061</v>
      </c>
    </row>
    <row r="38" spans="1:9" x14ac:dyDescent="0.25">
      <c r="A38" s="11"/>
      <c r="B38" s="11" t="s">
        <v>11</v>
      </c>
      <c r="C38" s="12">
        <v>874962.66</v>
      </c>
      <c r="D38" s="13">
        <v>889972.98329999996</v>
      </c>
      <c r="E38" s="14">
        <f>E37+C38-D38</f>
        <v>1130054.5481760008</v>
      </c>
      <c r="F38" s="11"/>
      <c r="G38" s="11" t="s">
        <v>11</v>
      </c>
      <c r="H38" s="15">
        <f>IF(C38="", "", IF(D38="", "",D38-D23))</f>
        <v>466113.22249799996</v>
      </c>
      <c r="I38" s="15">
        <f>IF(D38="", "", IF(E38="", "",E38-E23))</f>
        <v>502689.56610300089</v>
      </c>
    </row>
    <row r="39" spans="1:9" x14ac:dyDescent="0.25">
      <c r="A39" s="11"/>
      <c r="B39" s="11" t="s">
        <v>12</v>
      </c>
      <c r="C39" s="12">
        <v>457360.51</v>
      </c>
      <c r="D39" s="13">
        <v>674454.91960599995</v>
      </c>
      <c r="E39" s="14">
        <f>E38+C39-D39</f>
        <v>912960.13857000088</v>
      </c>
      <c r="F39" s="11"/>
      <c r="G39" s="11" t="s">
        <v>12</v>
      </c>
      <c r="H39" s="15">
        <f>IF(C39="", "", IF(D39="", "",D39-D24))</f>
        <v>171626.09524199995</v>
      </c>
      <c r="I39" s="15">
        <f>IF(D39="", "", IF(E39="", "",E39-E24))</f>
        <v>194761.55086100101</v>
      </c>
    </row>
    <row r="40" spans="1:9" x14ac:dyDescent="0.25">
      <c r="A40" s="11"/>
      <c r="B40" s="11" t="s">
        <v>13</v>
      </c>
      <c r="C40" s="12">
        <v>720726.33</v>
      </c>
      <c r="D40" s="13">
        <v>669197.80434200005</v>
      </c>
      <c r="E40" s="14">
        <f>E39+C40-D40</f>
        <v>964488.66422800091</v>
      </c>
      <c r="F40" s="11"/>
      <c r="G40" s="11" t="s">
        <v>13</v>
      </c>
      <c r="H40" s="15">
        <f>IF(C40="", "", IF(D40="", "",D40-D25))</f>
        <v>28211.769931000075</v>
      </c>
      <c r="I40" s="15">
        <f>IF(D40="", "", IF(E40="", "",E40-E25))</f>
        <v>325269.46843000094</v>
      </c>
    </row>
    <row r="41" spans="1:9" x14ac:dyDescent="0.25">
      <c r="A41" s="11"/>
      <c r="B41" s="11" t="s">
        <v>14</v>
      </c>
      <c r="C41" s="12">
        <v>623646</v>
      </c>
      <c r="D41" s="13">
        <v>580132.90409099997</v>
      </c>
      <c r="E41" s="14">
        <f>E40+C41-D41</f>
        <v>1008001.7601370009</v>
      </c>
      <c r="F41" s="11"/>
      <c r="G41" s="11" t="s">
        <v>14</v>
      </c>
      <c r="H41" s="15">
        <f>IF(C41="", "", IF(D41="", "",D41-D26))</f>
        <v>61416.263355000003</v>
      </c>
      <c r="I41" s="15">
        <f>IF(D41="", "", IF(E41="", "",E41-E26))</f>
        <v>178207.04507500085</v>
      </c>
    </row>
    <row r="42" spans="1:9" x14ac:dyDescent="0.25">
      <c r="A42" s="11"/>
      <c r="B42" s="11" t="s">
        <v>15</v>
      </c>
      <c r="C42" s="12">
        <v>681204.40961500001</v>
      </c>
      <c r="D42" s="13">
        <v>713981.85191299999</v>
      </c>
      <c r="E42" s="14">
        <f>E41+C42-D42</f>
        <v>975224.31783900084</v>
      </c>
      <c r="F42" s="11"/>
      <c r="G42" s="11" t="s">
        <v>15</v>
      </c>
      <c r="H42" s="15">
        <f>IF(C42="", "", IF(D42="", "",D42-D27))</f>
        <v>-137659.75806999998</v>
      </c>
      <c r="I42" s="15">
        <f>IF(D42="", "", IF(E42="", "",E42-E27))</f>
        <v>114490.86276000086</v>
      </c>
    </row>
    <row r="43" spans="1:9" x14ac:dyDescent="0.25">
      <c r="A43" s="11"/>
      <c r="B43" s="11" t="s">
        <v>16</v>
      </c>
      <c r="C43" s="12">
        <v>1168703.8799999999</v>
      </c>
      <c r="D43" s="13">
        <v>708994.40552599996</v>
      </c>
      <c r="E43" s="14">
        <f>E42+C43-D43</f>
        <v>1434933.7923130007</v>
      </c>
      <c r="F43" s="11"/>
      <c r="G43" s="11" t="s">
        <v>16</v>
      </c>
      <c r="H43" s="15">
        <f>IF(C43="", "", IF(D43="", "",D43-D28))</f>
        <v>-33481.820528000011</v>
      </c>
      <c r="I43" s="15">
        <f>IF(D43="", "", IF(E43="", "",E43-E28))</f>
        <v>579439.15410500066</v>
      </c>
    </row>
    <row r="44" spans="1:9" x14ac:dyDescent="0.25">
      <c r="A44" s="11"/>
      <c r="B44" s="11" t="s">
        <v>17</v>
      </c>
      <c r="C44" s="12">
        <v>688801.73166699999</v>
      </c>
      <c r="D44" s="13">
        <v>808552.82819399994</v>
      </c>
      <c r="E44" s="14">
        <f>E43+C44-D44</f>
        <v>1315182.6957860007</v>
      </c>
      <c r="F44" s="11"/>
      <c r="G44" s="11" t="s">
        <v>17</v>
      </c>
      <c r="H44" s="15">
        <f>IF(C44="", "", IF(D44="", "",D44-D29))</f>
        <v>192632.47585699998</v>
      </c>
      <c r="I44" s="15">
        <f>IF(D44="", "", IF(E44="", "",E44-E29))</f>
        <v>540521.6999150007</v>
      </c>
    </row>
    <row r="45" spans="1:9" x14ac:dyDescent="0.25">
      <c r="A45" s="16"/>
      <c r="B45" s="16" t="s">
        <v>18</v>
      </c>
      <c r="C45" s="17">
        <v>671882.02</v>
      </c>
      <c r="D45" s="18">
        <v>858262.27926900005</v>
      </c>
      <c r="E45" s="19">
        <f>E44+C45-D45</f>
        <v>1128802.4365170007</v>
      </c>
      <c r="F45" s="16"/>
      <c r="G45" s="16" t="s">
        <v>18</v>
      </c>
      <c r="H45" s="20">
        <f>IF(C45="", "", IF(D45="", "",D45-D30))</f>
        <v>193383.20615100011</v>
      </c>
      <c r="I45" s="20">
        <f>IF(D45="", "", IF(E45="", "",E45-E30))</f>
        <v>516119.70376400056</v>
      </c>
    </row>
    <row r="46" spans="1:9" s="2" customFormat="1" x14ac:dyDescent="0.25">
      <c r="A46" s="21"/>
      <c r="B46" s="21" t="s">
        <v>19</v>
      </c>
      <c r="C46" s="22">
        <f>SUM(C34:C45)</f>
        <v>9011830.7845649999</v>
      </c>
      <c r="D46" s="23">
        <f>SUM(D34:D45)</f>
        <v>8495711.080800999</v>
      </c>
      <c r="E46" s="14"/>
      <c r="F46" s="21"/>
      <c r="G46" s="21"/>
      <c r="H46" s="14">
        <f>SUMIF(C34:C45,"&gt;=0",H34:H45)</f>
        <v>1324861.115526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750985.89871374995</v>
      </c>
      <c r="D47" s="23">
        <f>AVERAGE(D34:D45)</f>
        <v>707975.92340008321</v>
      </c>
      <c r="E47" s="24">
        <f>C47/D47-1</f>
        <v>6.0750618618652386E-2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1128802.4365170007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984964.26</v>
      </c>
      <c r="D49" s="27">
        <v>452804.77447499998</v>
      </c>
      <c r="E49" s="28">
        <f>E48+C49-D49</f>
        <v>1660961.922042001</v>
      </c>
      <c r="F49" s="25"/>
      <c r="G49" s="25" t="s">
        <v>7</v>
      </c>
      <c r="H49" s="29">
        <f>IF(C49="", "", IF(D49="", "",D49-D34))</f>
        <v>27908.307229999977</v>
      </c>
      <c r="I49" s="29">
        <f>IF(D49="", "", IF(E49="", "",E49-E34))</f>
        <v>1018009.4360840009</v>
      </c>
    </row>
    <row r="50" spans="1:9" x14ac:dyDescent="0.25">
      <c r="A50" s="25"/>
      <c r="B50" s="25" t="s">
        <v>8</v>
      </c>
      <c r="C50" s="26">
        <v>672846.23583300004</v>
      </c>
      <c r="D50" s="27">
        <v>1104590.0783200001</v>
      </c>
      <c r="E50" s="28">
        <f>E49+C50-D50</f>
        <v>1229218.0795550009</v>
      </c>
      <c r="F50" s="25"/>
      <c r="G50" s="25" t="s">
        <v>8</v>
      </c>
      <c r="H50" s="29">
        <f>IF(C50="", "", IF(D50="", "",D50-D35))</f>
        <v>397510.42873600009</v>
      </c>
      <c r="I50" s="29">
        <f>IF(D50="", "", IF(E50="", "",E50-E35))</f>
        <v>317406.60318100057</v>
      </c>
    </row>
    <row r="51" spans="1:9" x14ac:dyDescent="0.25">
      <c r="A51" s="25"/>
      <c r="B51" s="25" t="s">
        <v>9</v>
      </c>
      <c r="C51" s="26">
        <v>668175.21</v>
      </c>
      <c r="D51" s="27">
        <v>648603.25790700002</v>
      </c>
      <c r="E51" s="28">
        <f>E50+C51-D51</f>
        <v>1248790.0316480007</v>
      </c>
      <c r="F51" s="25"/>
      <c r="G51" s="25" t="s">
        <v>9</v>
      </c>
      <c r="H51" s="29">
        <f>IF(C51="", "", IF(D51="", "",D51-D36))</f>
        <v>-115005.80585699994</v>
      </c>
      <c r="I51" s="29">
        <f>IF(D51="", "", IF(E51="", "",E51-E36))</f>
        <v>55371.856205000076</v>
      </c>
    </row>
    <row r="52" spans="1:9" x14ac:dyDescent="0.25">
      <c r="A52" s="25"/>
      <c r="B52" s="25" t="s">
        <v>10</v>
      </c>
      <c r="C52" s="26">
        <v>663650.31999999995</v>
      </c>
      <c r="D52" s="27">
        <v>635400.50645900005</v>
      </c>
      <c r="E52" s="28">
        <f>E51+C52-D52</f>
        <v>1277039.8451890005</v>
      </c>
      <c r="F52" s="25"/>
      <c r="G52" s="25" t="s">
        <v>10</v>
      </c>
      <c r="H52" s="29">
        <f>IF(C52="", "", IF(D52="", "",D52-D37))</f>
        <v>-61175.417507999926</v>
      </c>
      <c r="I52" s="29">
        <f>IF(D52="", "", IF(E52="", "",E52-E37))</f>
        <v>131974.97371299984</v>
      </c>
    </row>
    <row r="53" spans="1:9" x14ac:dyDescent="0.25">
      <c r="A53" s="25"/>
      <c r="B53" s="25" t="s">
        <v>11</v>
      </c>
      <c r="C53" s="26">
        <v>684354.64</v>
      </c>
      <c r="D53" s="27">
        <v>494209.36571899999</v>
      </c>
      <c r="E53" s="28">
        <f>E52+C53-D53</f>
        <v>1467185.1194700007</v>
      </c>
      <c r="F53" s="25"/>
      <c r="G53" s="25" t="s">
        <v>11</v>
      </c>
      <c r="H53" s="29">
        <f>IF(C53="", "", IF(D53="", "",D53-D38))</f>
        <v>-395763.61758099997</v>
      </c>
      <c r="I53" s="29">
        <f>IF(D53="", "", IF(E53="", "",E53-E38))</f>
        <v>337130.57129399991</v>
      </c>
    </row>
    <row r="54" spans="1:9" x14ac:dyDescent="0.25">
      <c r="A54" s="25"/>
      <c r="B54" s="25" t="s">
        <v>12</v>
      </c>
      <c r="C54" s="26">
        <v>1366997.46</v>
      </c>
      <c r="D54" s="27">
        <v>425023.45486699999</v>
      </c>
      <c r="E54" s="28">
        <f>E53+C54-D54</f>
        <v>2409159.1246030005</v>
      </c>
      <c r="F54" s="25"/>
      <c r="G54" s="25" t="s">
        <v>12</v>
      </c>
      <c r="H54" s="29">
        <f>IF(C54="", "", IF(D54="", "",D54-D39))</f>
        <v>-249431.46473899996</v>
      </c>
      <c r="I54" s="29">
        <f>IF(D54="", "", IF(E54="", "",E54-E39))</f>
        <v>1496198.9860329996</v>
      </c>
    </row>
    <row r="55" spans="1:9" x14ac:dyDescent="0.25">
      <c r="A55" s="25"/>
      <c r="B55" s="25" t="s">
        <v>13</v>
      </c>
      <c r="C55" s="26">
        <v>477270.927333</v>
      </c>
      <c r="D55" s="27">
        <v>859246.18750100001</v>
      </c>
      <c r="E55" s="28">
        <f>E54+C55-D55</f>
        <v>2027183.8644350006</v>
      </c>
      <c r="F55" s="25"/>
      <c r="G55" s="25" t="s">
        <v>13</v>
      </c>
      <c r="H55" s="29">
        <f>IF(C55="", "", IF(D55="", "",D55-D40))</f>
        <v>190048.38315899996</v>
      </c>
      <c r="I55" s="29">
        <f>IF(D55="", "", IF(E55="", "",E55-E40))</f>
        <v>1062695.2002069997</v>
      </c>
    </row>
    <row r="56" spans="1:9" x14ac:dyDescent="0.25">
      <c r="A56" s="25"/>
      <c r="B56" s="25" t="s">
        <v>14</v>
      </c>
      <c r="C56" s="26">
        <v>728145.48800000001</v>
      </c>
      <c r="D56" s="27">
        <v>456180.20967100002</v>
      </c>
      <c r="E56" s="28">
        <f>E55+C56-D56</f>
        <v>2299149.1427640007</v>
      </c>
      <c r="F56" s="25"/>
      <c r="G56" s="25" t="s">
        <v>14</v>
      </c>
      <c r="H56" s="29">
        <f>IF(C56="", "", IF(D56="", "",D56-D41))</f>
        <v>-123952.69441999996</v>
      </c>
      <c r="I56" s="29">
        <f>IF(D56="", "", IF(E56="", "",E56-E41))</f>
        <v>1291147.3826269996</v>
      </c>
    </row>
    <row r="57" spans="1:9" x14ac:dyDescent="0.25">
      <c r="A57" s="25"/>
      <c r="B57" s="25" t="s">
        <v>15</v>
      </c>
      <c r="C57" s="26">
        <v>1035629.06</v>
      </c>
      <c r="D57" s="27">
        <v>877473.60017200001</v>
      </c>
      <c r="E57" s="28">
        <f>E56+C57-D57</f>
        <v>2457304.6025920007</v>
      </c>
      <c r="F57" s="25"/>
      <c r="G57" s="25" t="s">
        <v>15</v>
      </c>
      <c r="H57" s="29">
        <f>IF(C57="", "", IF(D57="", "",D57-D42))</f>
        <v>163491.74825900001</v>
      </c>
      <c r="I57" s="29">
        <f>IF(D57="", "", IF(E57="", "",E57-E42))</f>
        <v>1482080.2847529999</v>
      </c>
    </row>
    <row r="58" spans="1:9" x14ac:dyDescent="0.25">
      <c r="A58" s="25"/>
      <c r="B58" s="25" t="s">
        <v>16</v>
      </c>
      <c r="C58" s="26">
        <v>521572.89</v>
      </c>
      <c r="D58" s="27">
        <v>464407.77253999998</v>
      </c>
      <c r="E58" s="28">
        <f>E57+C58-D58</f>
        <v>2514469.7200520011</v>
      </c>
      <c r="F58" s="25"/>
      <c r="G58" s="25" t="s">
        <v>16</v>
      </c>
      <c r="H58" s="29">
        <f>IF(C58="", "", IF(D58="", "",D58-D43))</f>
        <v>-244586.63298599998</v>
      </c>
      <c r="I58" s="29">
        <f>IF(D58="", "", IF(E58="", "",E58-E43))</f>
        <v>1079535.9277390004</v>
      </c>
    </row>
    <row r="59" spans="1:9" x14ac:dyDescent="0.25">
      <c r="A59" s="25"/>
      <c r="B59" s="25" t="s">
        <v>17</v>
      </c>
      <c r="C59" s="26">
        <v>435893.07</v>
      </c>
      <c r="D59" s="27">
        <v>566023.50846299995</v>
      </c>
      <c r="E59" s="28">
        <f>E58+C59-D59</f>
        <v>2384339.281589001</v>
      </c>
      <c r="F59" s="25"/>
      <c r="G59" s="25" t="s">
        <v>17</v>
      </c>
      <c r="H59" s="29">
        <f>IF(C59="", "", IF(D59="", "",D59-D44))</f>
        <v>-242529.319731</v>
      </c>
      <c r="I59" s="29">
        <f>IF(D59="", "", IF(E59="", "",E59-E44))</f>
        <v>1069156.5858030003</v>
      </c>
    </row>
    <row r="60" spans="1:9" x14ac:dyDescent="0.25">
      <c r="A60" s="30"/>
      <c r="B60" s="30" t="s">
        <v>18</v>
      </c>
      <c r="C60" s="31">
        <v>143317.12</v>
      </c>
      <c r="D60" s="32">
        <v>353740.98552799999</v>
      </c>
      <c r="E60" s="33">
        <f>E59+C60-D60</f>
        <v>2173915.4160610009</v>
      </c>
      <c r="F60" s="30"/>
      <c r="G60" s="30" t="s">
        <v>18</v>
      </c>
      <c r="H60" s="34">
        <f>IF(C60="", "", IF(D60="", "",D60-D45))</f>
        <v>-504521.29374100006</v>
      </c>
      <c r="I60" s="34">
        <f>IF(D60="", "", IF(E60="", "",E60-E45))</f>
        <v>1045112.9795440002</v>
      </c>
    </row>
    <row r="61" spans="1:9" s="2" customFormat="1" x14ac:dyDescent="0.25">
      <c r="A61" s="35"/>
      <c r="B61" s="35" t="s">
        <v>19</v>
      </c>
      <c r="C61" s="36">
        <f>SUM(C49:C60)</f>
        <v>8382816.6811660007</v>
      </c>
      <c r="D61" s="37">
        <f>SUM(D49:D60)</f>
        <v>7337703.701622</v>
      </c>
      <c r="E61" s="28"/>
      <c r="F61" s="35"/>
      <c r="G61" s="35"/>
      <c r="H61" s="28">
        <f>SUMIF(C49:C60,"&gt;=0",H49:H60)</f>
        <v>-1158007.3791789997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698568.05676383339</v>
      </c>
      <c r="D62" s="37">
        <f>AVERAGE(D49:D60)</f>
        <v>611475.30846850004</v>
      </c>
      <c r="E62" s="38">
        <f>C62/D62-1</f>
        <v>0.14243052350464591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2173915.4160610009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270240.42</v>
      </c>
      <c r="D64" s="13">
        <v>203115.40601899999</v>
      </c>
      <c r="E64" s="14">
        <f>E63+C64-D64</f>
        <v>2241040.430042001</v>
      </c>
      <c r="F64" s="11"/>
      <c r="G64" s="11" t="s">
        <v>7</v>
      </c>
      <c r="H64" s="15">
        <f>IF(C64="", "", IF(D64="", "",D64-D49))</f>
        <v>-249689.368456</v>
      </c>
      <c r="I64" s="15">
        <f>IF(D64="", "", IF(E64="", "",E64-E49))</f>
        <v>580078.50799999991</v>
      </c>
    </row>
    <row r="65" spans="1:9" x14ac:dyDescent="0.25">
      <c r="A65" s="11"/>
      <c r="B65" s="11" t="s">
        <v>8</v>
      </c>
      <c r="C65" s="12">
        <v>515381.21</v>
      </c>
      <c r="D65" s="13">
        <v>439312.72592900001</v>
      </c>
      <c r="E65" s="14">
        <f>E64+C65-D65</f>
        <v>2317108.914113001</v>
      </c>
      <c r="F65" s="11"/>
      <c r="G65" s="11" t="s">
        <v>8</v>
      </c>
      <c r="H65" s="15">
        <f>IF(C65="", "", IF(D65="", "",D65-D50))</f>
        <v>-665277.35239100014</v>
      </c>
      <c r="I65" s="15">
        <f>IF(D65="", "", IF(E65="", "",E65-E50))</f>
        <v>1087890.8345580001</v>
      </c>
    </row>
    <row r="66" spans="1:9" x14ac:dyDescent="0.25">
      <c r="A66" s="11"/>
      <c r="B66" s="11" t="s">
        <v>9</v>
      </c>
      <c r="C66" s="12">
        <v>467677.78</v>
      </c>
      <c r="D66" s="13">
        <v>460357.68277999997</v>
      </c>
      <c r="E66" s="14">
        <f>E65+C66-D66</f>
        <v>2324429.0113330013</v>
      </c>
      <c r="F66" s="11"/>
      <c r="G66" s="11" t="s">
        <v>9</v>
      </c>
      <c r="H66" s="15">
        <f>IF(C66="", "", IF(D66="", "",D66-D51))</f>
        <v>-188245.57512700005</v>
      </c>
      <c r="I66" s="15">
        <f>IF(D66="", "", IF(E66="", "",E66-E51))</f>
        <v>1075638.9796850006</v>
      </c>
    </row>
    <row r="67" spans="1:9" x14ac:dyDescent="0.25">
      <c r="A67" s="11"/>
      <c r="B67" s="11" t="s">
        <v>10</v>
      </c>
      <c r="C67" s="12">
        <v>462651.72</v>
      </c>
      <c r="D67" s="13">
        <v>564049.21577100002</v>
      </c>
      <c r="E67" s="14">
        <f>E66+C67-D67</f>
        <v>2223031.5155620016</v>
      </c>
      <c r="F67" s="11"/>
      <c r="G67" s="11" t="s">
        <v>10</v>
      </c>
      <c r="H67" s="15">
        <f>IF(C67="", "", IF(D67="", "",D67-D52))</f>
        <v>-71351.290688000037</v>
      </c>
      <c r="I67" s="15">
        <f>IF(D67="", "", IF(E67="", "",E67-E52))</f>
        <v>945991.67037300114</v>
      </c>
    </row>
    <row r="68" spans="1:9" x14ac:dyDescent="0.25">
      <c r="A68" s="11"/>
      <c r="B68" s="11" t="s">
        <v>11</v>
      </c>
      <c r="C68" s="12">
        <v>616628.12</v>
      </c>
      <c r="D68" s="13">
        <v>603162.23212599999</v>
      </c>
      <c r="E68" s="14">
        <f>E67+C68-D68</f>
        <v>2236497.4034360019</v>
      </c>
      <c r="F68" s="11"/>
      <c r="G68" s="11" t="s">
        <v>11</v>
      </c>
      <c r="H68" s="15">
        <f>IF(C68="", "", IF(D68="", "",D68-D53))</f>
        <v>108952.86640699999</v>
      </c>
      <c r="I68" s="15">
        <f>IF(D68="", "", IF(E68="", "",E68-E53))</f>
        <v>769312.28396600112</v>
      </c>
    </row>
    <row r="69" spans="1:9" x14ac:dyDescent="0.25">
      <c r="A69" s="11"/>
      <c r="B69" s="11" t="s">
        <v>12</v>
      </c>
      <c r="C69" s="12">
        <v>486762.33603200002</v>
      </c>
      <c r="D69" s="13">
        <v>682298.25928100001</v>
      </c>
      <c r="E69" s="14">
        <f>E68+C69-D69</f>
        <v>2040961.4801870016</v>
      </c>
      <c r="F69" s="11"/>
      <c r="G69" s="11" t="s">
        <v>12</v>
      </c>
      <c r="H69" s="15">
        <f>IF(C69="", "", IF(D69="", "",D69-D54))</f>
        <v>257274.80441400001</v>
      </c>
      <c r="I69" s="15">
        <f>IF(D69="", "", IF(E69="", "",E69-E54))</f>
        <v>-368197.64441599883</v>
      </c>
    </row>
    <row r="70" spans="1:9" x14ac:dyDescent="0.25">
      <c r="A70" s="11"/>
      <c r="B70" s="11" t="s">
        <v>13</v>
      </c>
      <c r="C70" s="12">
        <v>491870.59999900003</v>
      </c>
      <c r="D70" s="13">
        <v>525482.094346</v>
      </c>
      <c r="E70" s="14">
        <f>E69+C70-D70</f>
        <v>2007349.9858400016</v>
      </c>
      <c r="F70" s="11"/>
      <c r="G70" s="11" t="s">
        <v>13</v>
      </c>
      <c r="H70" s="15">
        <f>IF(C70="", "", IF(D70="", "",D70-D55))</f>
        <v>-333764.09315500001</v>
      </c>
      <c r="I70" s="15">
        <f>IF(D70="", "", IF(E70="", "",E70-E55))</f>
        <v>-19833.878594998969</v>
      </c>
    </row>
    <row r="71" spans="1:9" x14ac:dyDescent="0.25">
      <c r="A71" s="11"/>
      <c r="B71" s="11" t="s">
        <v>14</v>
      </c>
      <c r="C71" s="12">
        <v>338770.46</v>
      </c>
      <c r="D71" s="13">
        <v>431395.935214</v>
      </c>
      <c r="E71" s="14">
        <f>E70+C71-D71</f>
        <v>1914724.5106260015</v>
      </c>
      <c r="F71" s="11"/>
      <c r="G71" s="11" t="s">
        <v>14</v>
      </c>
      <c r="H71" s="15">
        <f>IF(C71="", "", IF(D71="", "",D71-D56))</f>
        <v>-24784.274457000021</v>
      </c>
      <c r="I71" s="15">
        <f>IF(D71="", "", IF(E71="", "",E71-E56))</f>
        <v>-384424.63213799917</v>
      </c>
    </row>
    <row r="72" spans="1:9" x14ac:dyDescent="0.25">
      <c r="A72" s="11"/>
      <c r="B72" s="11" t="s">
        <v>15</v>
      </c>
      <c r="C72" s="12">
        <v>710388.42233299999</v>
      </c>
      <c r="D72" s="13">
        <v>553320.95113299997</v>
      </c>
      <c r="E72" s="14">
        <f>E71+C72-D72</f>
        <v>2071791.9818260015</v>
      </c>
      <c r="F72" s="11"/>
      <c r="G72" s="11" t="s">
        <v>15</v>
      </c>
      <c r="H72" s="15">
        <f>IF(C72="", "", IF(D72="", "",D72-D57))</f>
        <v>-324152.64903900004</v>
      </c>
      <c r="I72" s="15">
        <f>IF(D72="", "", IF(E72="", "",E72-E57))</f>
        <v>-385512.62076599919</v>
      </c>
    </row>
    <row r="73" spans="1:9" x14ac:dyDescent="0.25">
      <c r="A73" s="11"/>
      <c r="B73" s="11" t="s">
        <v>16</v>
      </c>
      <c r="C73" s="12">
        <v>890689.44</v>
      </c>
      <c r="D73" s="13">
        <v>638341.369374</v>
      </c>
      <c r="E73" s="14">
        <f>E72+C73-D73</f>
        <v>2324140.0524520013</v>
      </c>
      <c r="F73" s="11"/>
      <c r="G73" s="11" t="s">
        <v>16</v>
      </c>
      <c r="H73" s="15">
        <f>IF(C73="", "", IF(D73="", "",D73-D58))</f>
        <v>173933.59683400003</v>
      </c>
      <c r="I73" s="15">
        <f>IF(D73="", "", IF(E73="", "",E73-E58))</f>
        <v>-190329.66759999981</v>
      </c>
    </row>
    <row r="74" spans="1:9" x14ac:dyDescent="0.25">
      <c r="A74" s="11"/>
      <c r="B74" s="11" t="s">
        <v>17</v>
      </c>
      <c r="C74" s="12">
        <v>2137828.824</v>
      </c>
      <c r="D74" s="13">
        <v>2729540.547022</v>
      </c>
      <c r="E74" s="14">
        <f>E73+C74-D74</f>
        <v>1732428.3294300009</v>
      </c>
      <c r="F74" s="11"/>
      <c r="G74" s="11" t="s">
        <v>17</v>
      </c>
      <c r="H74" s="15">
        <f>IF(C74="", "", IF(D74="", "",D74-D59))</f>
        <v>2163517.038559</v>
      </c>
      <c r="I74" s="15">
        <f>IF(D74="", "", IF(E74="", "",E74-E59))</f>
        <v>-651910.95215900009</v>
      </c>
    </row>
    <row r="75" spans="1:9" x14ac:dyDescent="0.25">
      <c r="A75" s="16"/>
      <c r="B75" s="16" t="s">
        <v>18</v>
      </c>
      <c r="C75" s="17">
        <v>2017248.69</v>
      </c>
      <c r="D75" s="18">
        <v>1752830.674561</v>
      </c>
      <c r="E75" s="19">
        <f>E74+C75-D75</f>
        <v>1996846.3448690008</v>
      </c>
      <c r="F75" s="16"/>
      <c r="G75" s="16" t="s">
        <v>18</v>
      </c>
      <c r="H75" s="20">
        <f>IF(C75="", "", IF(D75="", "",D75-D60))</f>
        <v>1399089.689033</v>
      </c>
      <c r="I75" s="20">
        <f>IF(D75="", "", IF(E75="", "",E75-E60))</f>
        <v>-177069.07119200006</v>
      </c>
    </row>
    <row r="76" spans="1:9" s="2" customFormat="1" x14ac:dyDescent="0.25">
      <c r="A76" s="21"/>
      <c r="B76" s="21" t="s">
        <v>19</v>
      </c>
      <c r="C76" s="22">
        <f>SUM(C64:C75)</f>
        <v>9406138.0223639999</v>
      </c>
      <c r="D76" s="23">
        <f>SUM(D64:D75)</f>
        <v>9583207.0935559999</v>
      </c>
      <c r="E76" s="14"/>
      <c r="F76" s="21"/>
      <c r="G76" s="21"/>
      <c r="H76" s="14">
        <f>SUMIF(C64:C75,"&gt;=0",H64:H75)</f>
        <v>2245503.391934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783844.83519699995</v>
      </c>
      <c r="D77" s="23">
        <f>AVERAGE(D64:D75)</f>
        <v>798600.59112966666</v>
      </c>
      <c r="E77" s="24">
        <f>C77/D77-1</f>
        <v>-1.8477016041014704E-2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1996846.3448690008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1996846.3448690008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1996846.3448690008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1996846.3448690008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1996846.3448690008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1996846.3448690008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1996846.3448690008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1996846.3448690008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1996846.3448690008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1996846.3448690008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1996846.3448690008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1996846.3448690008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1996846.3448690008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4554A-C2C3-4DCF-A505-9DE5519343C3}">
  <sheetPr codeName="Sheet7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939582.22103799996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996148.12505000003</v>
      </c>
      <c r="D4" s="13">
        <v>438479.186009</v>
      </c>
      <c r="E4" s="14">
        <f>E3+C4-D4</f>
        <v>1497251.1600790001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610041.48800000001</v>
      </c>
      <c r="D5" s="13">
        <v>599832.02228200005</v>
      </c>
      <c r="E5" s="14">
        <f>E4+C5-D5</f>
        <v>1507460.6257969998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957224.38766600005</v>
      </c>
      <c r="D6" s="13">
        <v>693018.32317800005</v>
      </c>
      <c r="E6" s="14">
        <f>E5+C6-D6</f>
        <v>1771666.6902849998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375652.5</v>
      </c>
      <c r="D7" s="13">
        <v>609821.57982300001</v>
      </c>
      <c r="E7" s="14">
        <f>E6+C7-D7</f>
        <v>1537497.6104620001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466532.80499999999</v>
      </c>
      <c r="D8" s="13">
        <v>644334.81735799997</v>
      </c>
      <c r="E8" s="14">
        <f>E7+C8-D8</f>
        <v>1359695.5981040001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739547.71972299996</v>
      </c>
      <c r="D9" s="13">
        <v>664508.34957199998</v>
      </c>
      <c r="E9" s="14">
        <f>E8+C9-D9</f>
        <v>1434734.9682550002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799499.84718200006</v>
      </c>
      <c r="D10" s="13">
        <v>904553.76661599998</v>
      </c>
      <c r="E10" s="14">
        <f>E9+C10-D10</f>
        <v>1329681.0488210004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909774.75733299996</v>
      </c>
      <c r="D11" s="13">
        <v>912246.00079199998</v>
      </c>
      <c r="E11" s="14">
        <f>E10+C11-D11</f>
        <v>1327209.8053620006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888174.56102100003</v>
      </c>
      <c r="D12" s="13">
        <v>740672.93213299999</v>
      </c>
      <c r="E12" s="14">
        <f>E11+C12-D12</f>
        <v>1474711.4342500009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1205950.5804930001</v>
      </c>
      <c r="D13" s="13">
        <v>1153948.3952800001</v>
      </c>
      <c r="E13" s="14">
        <f>E12+C13-D13</f>
        <v>1526713.6194630011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853013.99600299995</v>
      </c>
      <c r="D14" s="13">
        <v>1089969.0890019999</v>
      </c>
      <c r="E14" s="14">
        <f>E13+C14-D14</f>
        <v>1289758.526464001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962442.02532200003</v>
      </c>
      <c r="D15" s="18">
        <v>1156476.365434</v>
      </c>
      <c r="E15" s="19">
        <f>E14+C15-D15</f>
        <v>1095724.1863520008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9764002.7927930001</v>
      </c>
      <c r="D16" s="23">
        <f>SUM(D4:D15)</f>
        <v>9607860.8274790011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813666.89939941664</v>
      </c>
      <c r="D17" s="23">
        <f>AVERAGE(D4:D15)</f>
        <v>800655.06895658339</v>
      </c>
      <c r="E17" s="24">
        <f>C17/D17-1</f>
        <v>1.6251480752866865E-2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1095724.1863520008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862130.30099999998</v>
      </c>
      <c r="D19" s="27">
        <v>716229.36364400003</v>
      </c>
      <c r="E19" s="28">
        <f>E18+C19-D19</f>
        <v>1241625.1237080009</v>
      </c>
      <c r="F19" s="25"/>
      <c r="G19" s="25" t="s">
        <v>7</v>
      </c>
      <c r="H19" s="29">
        <f>IF(C19="", "", IF(D19="", "",D19-D4))</f>
        <v>277750.17763500003</v>
      </c>
      <c r="I19" s="29">
        <f>IF(D19="", "", IF(E19="", "",E19-E4))</f>
        <v>-255626.03637099918</v>
      </c>
    </row>
    <row r="20" spans="1:9" x14ac:dyDescent="0.25">
      <c r="A20" s="25"/>
      <c r="B20" s="25" t="s">
        <v>8</v>
      </c>
      <c r="C20" s="26">
        <v>857588.98207699996</v>
      </c>
      <c r="D20" s="27">
        <v>897007.24924399995</v>
      </c>
      <c r="E20" s="28">
        <f>E19+C20-D20</f>
        <v>1202206.8565410012</v>
      </c>
      <c r="F20" s="25"/>
      <c r="G20" s="25" t="s">
        <v>8</v>
      </c>
      <c r="H20" s="29">
        <f>IF(C20="", "", IF(D20="", "",D20-D5))</f>
        <v>297175.2269619999</v>
      </c>
      <c r="I20" s="29">
        <f>IF(D20="", "", IF(E20="", "",E20-E5))</f>
        <v>-305253.76925599854</v>
      </c>
    </row>
    <row r="21" spans="1:9" x14ac:dyDescent="0.25">
      <c r="A21" s="25"/>
      <c r="B21" s="25" t="s">
        <v>9</v>
      </c>
      <c r="C21" s="26">
        <v>1119583.2446669999</v>
      </c>
      <c r="D21" s="27">
        <v>791577.559519</v>
      </c>
      <c r="E21" s="28">
        <f>E20+C21-D21</f>
        <v>1530212.5416890015</v>
      </c>
      <c r="F21" s="25"/>
      <c r="G21" s="25" t="s">
        <v>9</v>
      </c>
      <c r="H21" s="29">
        <f>IF(C21="", "", IF(D21="", "",D21-D6))</f>
        <v>98559.236340999953</v>
      </c>
      <c r="I21" s="29">
        <f>IF(D21="", "", IF(E21="", "",E21-E6))</f>
        <v>-241454.1485959983</v>
      </c>
    </row>
    <row r="22" spans="1:9" x14ac:dyDescent="0.25">
      <c r="A22" s="25"/>
      <c r="B22" s="25" t="s">
        <v>10</v>
      </c>
      <c r="C22" s="26">
        <v>323959.12317500002</v>
      </c>
      <c r="D22" s="27">
        <v>593658.922884</v>
      </c>
      <c r="E22" s="28">
        <f>E21+C22-D22</f>
        <v>1260512.7419800016</v>
      </c>
      <c r="F22" s="25"/>
      <c r="G22" s="25" t="s">
        <v>10</v>
      </c>
      <c r="H22" s="29">
        <f>IF(C22="", "", IF(D22="", "",D22-D7))</f>
        <v>-16162.656939000008</v>
      </c>
      <c r="I22" s="29">
        <f>IF(D22="", "", IF(E22="", "",E22-E7))</f>
        <v>-276984.86848199856</v>
      </c>
    </row>
    <row r="23" spans="1:9" x14ac:dyDescent="0.25">
      <c r="A23" s="25"/>
      <c r="B23" s="25" t="s">
        <v>11</v>
      </c>
      <c r="C23" s="26">
        <v>689825.38624400005</v>
      </c>
      <c r="D23" s="27">
        <v>792553.77495700005</v>
      </c>
      <c r="E23" s="28">
        <f>E22+C23-D23</f>
        <v>1157784.3532670017</v>
      </c>
      <c r="F23" s="25"/>
      <c r="G23" s="25" t="s">
        <v>11</v>
      </c>
      <c r="H23" s="29">
        <f>IF(C23="", "", IF(D23="", "",D23-D8))</f>
        <v>148218.95759900007</v>
      </c>
      <c r="I23" s="29">
        <f>IF(D23="", "", IF(E23="", "",E23-E8))</f>
        <v>-201911.2448369984</v>
      </c>
    </row>
    <row r="24" spans="1:9" x14ac:dyDescent="0.25">
      <c r="A24" s="25"/>
      <c r="B24" s="25" t="s">
        <v>12</v>
      </c>
      <c r="C24" s="26">
        <v>882554.04</v>
      </c>
      <c r="D24" s="27">
        <v>698414.954791</v>
      </c>
      <c r="E24" s="28">
        <f>E23+C24-D24</f>
        <v>1341923.4384760018</v>
      </c>
      <c r="F24" s="25"/>
      <c r="G24" s="25" t="s">
        <v>12</v>
      </c>
      <c r="H24" s="29">
        <f>IF(C24="", "", IF(D24="", "",D24-D9))</f>
        <v>33906.605219000019</v>
      </c>
      <c r="I24" s="29">
        <f>IF(D24="", "", IF(E24="", "",E24-E9))</f>
        <v>-92811.529778998345</v>
      </c>
    </row>
    <row r="25" spans="1:9" x14ac:dyDescent="0.25">
      <c r="A25" s="25"/>
      <c r="B25" s="25" t="s">
        <v>13</v>
      </c>
      <c r="C25" s="26">
        <v>827666.25329799997</v>
      </c>
      <c r="D25" s="27">
        <v>898591.15196499997</v>
      </c>
      <c r="E25" s="28">
        <f>E24+C25-D25</f>
        <v>1270998.5398090018</v>
      </c>
      <c r="F25" s="25"/>
      <c r="G25" s="25" t="s">
        <v>13</v>
      </c>
      <c r="H25" s="29">
        <f>IF(C25="", "", IF(D25="", "",D25-D10))</f>
        <v>-5962.6146510000108</v>
      </c>
      <c r="I25" s="29">
        <f>IF(D25="", "", IF(E25="", "",E25-E10))</f>
        <v>-58682.50901199854</v>
      </c>
    </row>
    <row r="26" spans="1:9" x14ac:dyDescent="0.25">
      <c r="A26" s="25"/>
      <c r="B26" s="25" t="s">
        <v>14</v>
      </c>
      <c r="C26" s="26">
        <v>825554.26</v>
      </c>
      <c r="D26" s="27">
        <v>869303.425499</v>
      </c>
      <c r="E26" s="28">
        <f>E25+C26-D26</f>
        <v>1227249.3743100017</v>
      </c>
      <c r="F26" s="25"/>
      <c r="G26" s="25" t="s">
        <v>14</v>
      </c>
      <c r="H26" s="29">
        <f>IF(C26="", "", IF(D26="", "",D26-D11))</f>
        <v>-42942.575292999973</v>
      </c>
      <c r="I26" s="29">
        <f>IF(D26="", "", IF(E26="", "",E26-E11))</f>
        <v>-99960.431051998865</v>
      </c>
    </row>
    <row r="27" spans="1:9" x14ac:dyDescent="0.25">
      <c r="A27" s="25"/>
      <c r="B27" s="25" t="s">
        <v>15</v>
      </c>
      <c r="C27" s="26">
        <v>658115.35796299996</v>
      </c>
      <c r="D27" s="27">
        <v>705685.66212700005</v>
      </c>
      <c r="E27" s="28">
        <f>E26+C27-D27</f>
        <v>1179679.0701460016</v>
      </c>
      <c r="F27" s="25"/>
      <c r="G27" s="25" t="s">
        <v>15</v>
      </c>
      <c r="H27" s="29">
        <f>IF(C27="", "", IF(D27="", "",D27-D12))</f>
        <v>-34987.270005999948</v>
      </c>
      <c r="I27" s="29">
        <f>IF(D27="", "", IF(E27="", "",E27-E12))</f>
        <v>-295032.36410399922</v>
      </c>
    </row>
    <row r="28" spans="1:9" x14ac:dyDescent="0.25">
      <c r="A28" s="25"/>
      <c r="B28" s="25" t="s">
        <v>16</v>
      </c>
      <c r="C28" s="26">
        <v>675174.37</v>
      </c>
      <c r="D28" s="27">
        <v>639971.71237900003</v>
      </c>
      <c r="E28" s="28">
        <f>E27+C28-D28</f>
        <v>1214881.7277670014</v>
      </c>
      <c r="F28" s="25"/>
      <c r="G28" s="25" t="s">
        <v>16</v>
      </c>
      <c r="H28" s="29">
        <f>IF(C28="", "", IF(D28="", "",D28-D13))</f>
        <v>-513976.68290100002</v>
      </c>
      <c r="I28" s="29">
        <f>IF(D28="", "", IF(E28="", "",E28-E13))</f>
        <v>-311831.89169599977</v>
      </c>
    </row>
    <row r="29" spans="1:9" x14ac:dyDescent="0.25">
      <c r="A29" s="25"/>
      <c r="B29" s="25" t="s">
        <v>17</v>
      </c>
      <c r="C29" s="26">
        <v>720391.32426100003</v>
      </c>
      <c r="D29" s="27">
        <v>728178.32611000002</v>
      </c>
      <c r="E29" s="28">
        <f>E28+C29-D29</f>
        <v>1207094.7259180013</v>
      </c>
      <c r="F29" s="25"/>
      <c r="G29" s="25" t="s">
        <v>17</v>
      </c>
      <c r="H29" s="29">
        <f>IF(C29="", "", IF(D29="", "",D29-D14))</f>
        <v>-361790.76289199991</v>
      </c>
      <c r="I29" s="29">
        <f>IF(D29="", "", IF(E29="", "",E29-E14))</f>
        <v>-82663.80054599978</v>
      </c>
    </row>
    <row r="30" spans="1:9" x14ac:dyDescent="0.25">
      <c r="A30" s="30"/>
      <c r="B30" s="30" t="s">
        <v>18</v>
      </c>
      <c r="C30" s="31">
        <v>261707.67629199999</v>
      </c>
      <c r="D30" s="32">
        <v>526170.35508000001</v>
      </c>
      <c r="E30" s="33">
        <f>E29+C30-D30</f>
        <v>942632.04713000136</v>
      </c>
      <c r="F30" s="30"/>
      <c r="G30" s="30" t="s">
        <v>18</v>
      </c>
      <c r="H30" s="34">
        <f>IF(C30="", "", IF(D30="", "",D30-D15))</f>
        <v>-630306.01035400003</v>
      </c>
      <c r="I30" s="34">
        <f>IF(D30="", "", IF(E30="", "",E30-E15))</f>
        <v>-153092.13922199944</v>
      </c>
    </row>
    <row r="31" spans="1:9" s="2" customFormat="1" x14ac:dyDescent="0.25">
      <c r="A31" s="35"/>
      <c r="B31" s="35" t="s">
        <v>19</v>
      </c>
      <c r="C31" s="36">
        <f>SUM(C19:C30)</f>
        <v>8704250.3189769983</v>
      </c>
      <c r="D31" s="37">
        <f>SUM(D19:D30)</f>
        <v>8857342.458199</v>
      </c>
      <c r="E31" s="28"/>
      <c r="F31" s="35"/>
      <c r="G31" s="35"/>
      <c r="H31" s="28">
        <f>SUMIF(C19:C30,"&gt;=0",H19:H30)</f>
        <v>-750518.36927999987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725354.19324808323</v>
      </c>
      <c r="D32" s="37">
        <f>AVERAGE(D19:D30)</f>
        <v>738111.87151658337</v>
      </c>
      <c r="E32" s="38">
        <f>C32/D32-1</f>
        <v>-1.7284206853748652E-2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942632.04713000136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732209.14500000002</v>
      </c>
      <c r="D34" s="13">
        <v>448650.30277399998</v>
      </c>
      <c r="E34" s="14">
        <f>E33+C34-D34</f>
        <v>1226190.8893560013</v>
      </c>
      <c r="F34" s="11"/>
      <c r="G34" s="11" t="s">
        <v>7</v>
      </c>
      <c r="H34" s="15">
        <f>IF(C34="", "", IF(D34="", "",D34-D19))</f>
        <v>-267579.06087000004</v>
      </c>
      <c r="I34" s="15">
        <f>IF(D34="", "", IF(E34="", "",E34-E19))</f>
        <v>-15434.234351999592</v>
      </c>
    </row>
    <row r="35" spans="1:9" x14ac:dyDescent="0.25">
      <c r="A35" s="11"/>
      <c r="B35" s="11" t="s">
        <v>8</v>
      </c>
      <c r="C35" s="12">
        <v>763477.19105599995</v>
      </c>
      <c r="D35" s="13">
        <v>647918.33110399998</v>
      </c>
      <c r="E35" s="14">
        <f>E34+C35-D35</f>
        <v>1341749.7493080013</v>
      </c>
      <c r="F35" s="11"/>
      <c r="G35" s="11" t="s">
        <v>8</v>
      </c>
      <c r="H35" s="15">
        <f>IF(C35="", "", IF(D35="", "",D35-D20))</f>
        <v>-249088.91813999997</v>
      </c>
      <c r="I35" s="15">
        <f>IF(D35="", "", IF(E35="", "",E35-E20))</f>
        <v>139542.89276700001</v>
      </c>
    </row>
    <row r="36" spans="1:9" x14ac:dyDescent="0.25">
      <c r="A36" s="11"/>
      <c r="B36" s="11" t="s">
        <v>9</v>
      </c>
      <c r="C36" s="12">
        <v>701310.59653400001</v>
      </c>
      <c r="D36" s="13">
        <v>810791.93757800001</v>
      </c>
      <c r="E36" s="14">
        <f>E35+C36-D36</f>
        <v>1232268.4082640014</v>
      </c>
      <c r="F36" s="11"/>
      <c r="G36" s="11" t="s">
        <v>9</v>
      </c>
      <c r="H36" s="15">
        <f>IF(C36="", "", IF(D36="", "",D36-D21))</f>
        <v>19214.37805900001</v>
      </c>
      <c r="I36" s="15">
        <f>IF(D36="", "", IF(E36="", "",E36-E21))</f>
        <v>-297944.13342500012</v>
      </c>
    </row>
    <row r="37" spans="1:9" x14ac:dyDescent="0.25">
      <c r="A37" s="11"/>
      <c r="B37" s="11" t="s">
        <v>10</v>
      </c>
      <c r="C37" s="12">
        <v>778376.18799999997</v>
      </c>
      <c r="D37" s="13">
        <v>605539.18309399998</v>
      </c>
      <c r="E37" s="14">
        <f>E36+C37-D37</f>
        <v>1405105.4131700015</v>
      </c>
      <c r="F37" s="11"/>
      <c r="G37" s="11" t="s">
        <v>10</v>
      </c>
      <c r="H37" s="15">
        <f>IF(C37="", "", IF(D37="", "",D37-D22))</f>
        <v>11880.260209999979</v>
      </c>
      <c r="I37" s="15">
        <f>IF(D37="", "", IF(E37="", "",E37-E22))</f>
        <v>144592.67118999991</v>
      </c>
    </row>
    <row r="38" spans="1:9" x14ac:dyDescent="0.25">
      <c r="A38" s="11"/>
      <c r="B38" s="11" t="s">
        <v>11</v>
      </c>
      <c r="C38" s="12">
        <v>756576.65716599999</v>
      </c>
      <c r="D38" s="13">
        <v>720926.91853599995</v>
      </c>
      <c r="E38" s="14">
        <f>E37+C38-D38</f>
        <v>1440755.1518000015</v>
      </c>
      <c r="F38" s="11"/>
      <c r="G38" s="11" t="s">
        <v>11</v>
      </c>
      <c r="H38" s="15">
        <f>IF(C38="", "", IF(D38="", "",D38-D23))</f>
        <v>-71626.856421000091</v>
      </c>
      <c r="I38" s="15">
        <f>IF(D38="", "", IF(E38="", "",E38-E23))</f>
        <v>282970.79853299982</v>
      </c>
    </row>
    <row r="39" spans="1:9" x14ac:dyDescent="0.25">
      <c r="A39" s="11"/>
      <c r="B39" s="11" t="s">
        <v>12</v>
      </c>
      <c r="C39" s="12">
        <v>758430.61300000001</v>
      </c>
      <c r="D39" s="13">
        <v>833076.24967799999</v>
      </c>
      <c r="E39" s="14">
        <f>E38+C39-D39</f>
        <v>1366109.5151220015</v>
      </c>
      <c r="F39" s="11"/>
      <c r="G39" s="11" t="s">
        <v>12</v>
      </c>
      <c r="H39" s="15">
        <f>IF(C39="", "", IF(D39="", "",D39-D24))</f>
        <v>134661.294887</v>
      </c>
      <c r="I39" s="15">
        <f>IF(D39="", "", IF(E39="", "",E39-E24))</f>
        <v>24186.076645999681</v>
      </c>
    </row>
    <row r="40" spans="1:9" x14ac:dyDescent="0.25">
      <c r="A40" s="11"/>
      <c r="B40" s="11" t="s">
        <v>13</v>
      </c>
      <c r="C40" s="12">
        <v>833936.49</v>
      </c>
      <c r="D40" s="13">
        <v>693118.21117200004</v>
      </c>
      <c r="E40" s="14">
        <f>E39+C40-D40</f>
        <v>1506927.7939500012</v>
      </c>
      <c r="F40" s="11"/>
      <c r="G40" s="11" t="s">
        <v>13</v>
      </c>
      <c r="H40" s="15">
        <f>IF(C40="", "", IF(D40="", "",D40-D25))</f>
        <v>-205472.94079299993</v>
      </c>
      <c r="I40" s="15">
        <f>IF(D40="", "", IF(E40="", "",E40-E25))</f>
        <v>235929.2541409994</v>
      </c>
    </row>
    <row r="41" spans="1:9" x14ac:dyDescent="0.25">
      <c r="A41" s="11"/>
      <c r="B41" s="11" t="s">
        <v>14</v>
      </c>
      <c r="C41" s="12">
        <v>1058428.6614999999</v>
      </c>
      <c r="D41" s="13">
        <v>1232288.471661</v>
      </c>
      <c r="E41" s="14">
        <f>E40+C41-D41</f>
        <v>1333067.9837890011</v>
      </c>
      <c r="F41" s="11"/>
      <c r="G41" s="11" t="s">
        <v>14</v>
      </c>
      <c r="H41" s="15">
        <f>IF(C41="", "", IF(D41="", "",D41-D26))</f>
        <v>362985.04616200004</v>
      </c>
      <c r="I41" s="15">
        <f>IF(D41="", "", IF(E41="", "",E41-E26))</f>
        <v>105818.60947899939</v>
      </c>
    </row>
    <row r="42" spans="1:9" x14ac:dyDescent="0.25">
      <c r="A42" s="11"/>
      <c r="B42" s="11" t="s">
        <v>15</v>
      </c>
      <c r="C42" s="12">
        <v>676566.473</v>
      </c>
      <c r="D42" s="13">
        <v>745063.35337999999</v>
      </c>
      <c r="E42" s="14">
        <f>E41+C42-D42</f>
        <v>1264571.1034090011</v>
      </c>
      <c r="F42" s="11"/>
      <c r="G42" s="11" t="s">
        <v>15</v>
      </c>
      <c r="H42" s="15">
        <f>IF(C42="", "", IF(D42="", "",D42-D27))</f>
        <v>39377.691252999939</v>
      </c>
      <c r="I42" s="15">
        <f>IF(D42="", "", IF(E42="", "",E42-E27))</f>
        <v>84892.033262999495</v>
      </c>
    </row>
    <row r="43" spans="1:9" x14ac:dyDescent="0.25">
      <c r="A43" s="11"/>
      <c r="B43" s="11" t="s">
        <v>16</v>
      </c>
      <c r="C43" s="12">
        <v>790976.88616200001</v>
      </c>
      <c r="D43" s="13">
        <v>762709.957253</v>
      </c>
      <c r="E43" s="14">
        <f>E42+C43-D43</f>
        <v>1292838.0323180011</v>
      </c>
      <c r="F43" s="11"/>
      <c r="G43" s="11" t="s">
        <v>16</v>
      </c>
      <c r="H43" s="15">
        <f>IF(C43="", "", IF(D43="", "",D43-D28))</f>
        <v>122738.24487399997</v>
      </c>
      <c r="I43" s="15">
        <f>IF(D43="", "", IF(E43="", "",E43-E28))</f>
        <v>77956.304550999776</v>
      </c>
    </row>
    <row r="44" spans="1:9" x14ac:dyDescent="0.25">
      <c r="A44" s="11"/>
      <c r="B44" s="11" t="s">
        <v>17</v>
      </c>
      <c r="C44" s="12">
        <v>723454.70799999998</v>
      </c>
      <c r="D44" s="13">
        <v>750872.80770700006</v>
      </c>
      <c r="E44" s="14">
        <f>E43+C44-D44</f>
        <v>1265419.9326110012</v>
      </c>
      <c r="F44" s="11"/>
      <c r="G44" s="11" t="s">
        <v>17</v>
      </c>
      <c r="H44" s="15">
        <f>IF(C44="", "", IF(D44="", "",D44-D29))</f>
        <v>22694.481597000035</v>
      </c>
      <c r="I44" s="15">
        <f>IF(D44="", "", IF(E44="", "",E44-E29))</f>
        <v>58325.206692999927</v>
      </c>
    </row>
    <row r="45" spans="1:9" x14ac:dyDescent="0.25">
      <c r="A45" s="16"/>
      <c r="B45" s="16" t="s">
        <v>18</v>
      </c>
      <c r="C45" s="17">
        <v>334271.37</v>
      </c>
      <c r="D45" s="18">
        <v>607002.45887099998</v>
      </c>
      <c r="E45" s="19">
        <f>E44+C45-D45</f>
        <v>992688.84374000132</v>
      </c>
      <c r="F45" s="16"/>
      <c r="G45" s="16" t="s">
        <v>18</v>
      </c>
      <c r="H45" s="20">
        <f>IF(C45="", "", IF(D45="", "",D45-D30))</f>
        <v>80832.103790999972</v>
      </c>
      <c r="I45" s="20">
        <f>IF(D45="", "", IF(E45="", "",E45-E30))</f>
        <v>50056.796609999961</v>
      </c>
    </row>
    <row r="46" spans="1:9" s="2" customFormat="1" x14ac:dyDescent="0.25">
      <c r="A46" s="21"/>
      <c r="B46" s="21" t="s">
        <v>19</v>
      </c>
      <c r="C46" s="22">
        <f>SUM(C34:C45)</f>
        <v>8908014.9794180002</v>
      </c>
      <c r="D46" s="23">
        <f>SUM(D34:D45)</f>
        <v>8857958.1828080006</v>
      </c>
      <c r="E46" s="14"/>
      <c r="F46" s="21"/>
      <c r="G46" s="21"/>
      <c r="H46" s="14">
        <f>SUMIF(C34:C45,"&gt;=0",H34:H45)</f>
        <v>615.72460899990983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742334.58161816665</v>
      </c>
      <c r="D47" s="23">
        <f>AVERAGE(D34:D45)</f>
        <v>738163.18190066668</v>
      </c>
      <c r="E47" s="24">
        <f>C47/D47-1</f>
        <v>5.651053614946111E-3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992688.84374000132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939080.03</v>
      </c>
      <c r="D49" s="27">
        <v>484644.36825699999</v>
      </c>
      <c r="E49" s="28">
        <f>E48+C49-D49</f>
        <v>1447124.5054830015</v>
      </c>
      <c r="F49" s="25"/>
      <c r="G49" s="25" t="s">
        <v>7</v>
      </c>
      <c r="H49" s="29">
        <f>IF(C49="", "", IF(D49="", "",D49-D34))</f>
        <v>35994.065483000013</v>
      </c>
      <c r="I49" s="29">
        <f>IF(D49="", "", IF(E49="", "",E49-E34))</f>
        <v>220933.61612700019</v>
      </c>
    </row>
    <row r="50" spans="1:9" x14ac:dyDescent="0.25">
      <c r="A50" s="25"/>
      <c r="B50" s="25" t="s">
        <v>8</v>
      </c>
      <c r="C50" s="26">
        <v>781560.08</v>
      </c>
      <c r="D50" s="27">
        <v>653726.75756900001</v>
      </c>
      <c r="E50" s="28">
        <f>E49+C50-D50</f>
        <v>1574957.8279140014</v>
      </c>
      <c r="F50" s="25"/>
      <c r="G50" s="25" t="s">
        <v>8</v>
      </c>
      <c r="H50" s="29">
        <f>IF(C50="", "", IF(D50="", "",D50-D35))</f>
        <v>5808.4264650000259</v>
      </c>
      <c r="I50" s="29">
        <f>IF(D50="", "", IF(E50="", "",E50-E35))</f>
        <v>233208.07860600017</v>
      </c>
    </row>
    <row r="51" spans="1:9" x14ac:dyDescent="0.25">
      <c r="A51" s="25"/>
      <c r="B51" s="25" t="s">
        <v>9</v>
      </c>
      <c r="C51" s="26">
        <v>854489.84066700004</v>
      </c>
      <c r="D51" s="27">
        <v>696275.56656599999</v>
      </c>
      <c r="E51" s="28">
        <f>E50+C51-D51</f>
        <v>1733172.1020150015</v>
      </c>
      <c r="F51" s="25"/>
      <c r="G51" s="25" t="s">
        <v>9</v>
      </c>
      <c r="H51" s="29">
        <f>IF(C51="", "", IF(D51="", "",D51-D36))</f>
        <v>-114516.37101200002</v>
      </c>
      <c r="I51" s="29">
        <f>IF(D51="", "", IF(E51="", "",E51-E36))</f>
        <v>500903.6937510001</v>
      </c>
    </row>
    <row r="52" spans="1:9" x14ac:dyDescent="0.25">
      <c r="A52" s="25"/>
      <c r="B52" s="25" t="s">
        <v>10</v>
      </c>
      <c r="C52" s="26">
        <v>940373.51</v>
      </c>
      <c r="D52" s="27">
        <v>842974.56957000005</v>
      </c>
      <c r="E52" s="28">
        <f>E51+C52-D52</f>
        <v>1830571.0424450014</v>
      </c>
      <c r="F52" s="25"/>
      <c r="G52" s="25" t="s">
        <v>10</v>
      </c>
      <c r="H52" s="29">
        <f>IF(C52="", "", IF(D52="", "",D52-D37))</f>
        <v>237435.38647600007</v>
      </c>
      <c r="I52" s="29">
        <f>IF(D52="", "", IF(E52="", "",E52-E37))</f>
        <v>425465.62927499996</v>
      </c>
    </row>
    <row r="53" spans="1:9" x14ac:dyDescent="0.25">
      <c r="A53" s="25"/>
      <c r="B53" s="25" t="s">
        <v>11</v>
      </c>
      <c r="C53" s="26">
        <v>957001.56</v>
      </c>
      <c r="D53" s="27">
        <v>840610.80790500005</v>
      </c>
      <c r="E53" s="28">
        <f>E52+C53-D53</f>
        <v>1946961.7945400015</v>
      </c>
      <c r="F53" s="25"/>
      <c r="G53" s="25" t="s">
        <v>11</v>
      </c>
      <c r="H53" s="29">
        <f>IF(C53="", "", IF(D53="", "",D53-D38))</f>
        <v>119683.8893690001</v>
      </c>
      <c r="I53" s="29">
        <f>IF(D53="", "", IF(E53="", "",E53-E38))</f>
        <v>506206.64274000004</v>
      </c>
    </row>
    <row r="54" spans="1:9" x14ac:dyDescent="0.25">
      <c r="A54" s="25"/>
      <c r="B54" s="25" t="s">
        <v>12</v>
      </c>
      <c r="C54" s="26">
        <v>662953.28178199998</v>
      </c>
      <c r="D54" s="27">
        <v>722463.96532800002</v>
      </c>
      <c r="E54" s="28">
        <f>E53+C54-D54</f>
        <v>1887451.1109940014</v>
      </c>
      <c r="F54" s="25"/>
      <c r="G54" s="25" t="s">
        <v>12</v>
      </c>
      <c r="H54" s="29">
        <f>IF(C54="", "", IF(D54="", "",D54-D39))</f>
        <v>-110612.28434999997</v>
      </c>
      <c r="I54" s="29">
        <f>IF(D54="", "", IF(E54="", "",E54-E39))</f>
        <v>521341.59587199986</v>
      </c>
    </row>
    <row r="55" spans="1:9" x14ac:dyDescent="0.25">
      <c r="A55" s="25"/>
      <c r="B55" s="25" t="s">
        <v>13</v>
      </c>
      <c r="C55" s="26">
        <v>489890.74401199998</v>
      </c>
      <c r="D55" s="27">
        <v>646452.13897500001</v>
      </c>
      <c r="E55" s="28">
        <f>E54+C55-D55</f>
        <v>1730889.7160310014</v>
      </c>
      <c r="F55" s="25"/>
      <c r="G55" s="25" t="s">
        <v>13</v>
      </c>
      <c r="H55" s="29">
        <f>IF(C55="", "", IF(D55="", "",D55-D40))</f>
        <v>-46666.07219700003</v>
      </c>
      <c r="I55" s="29">
        <f>IF(D55="", "", IF(E55="", "",E55-E40))</f>
        <v>223961.92208100017</v>
      </c>
    </row>
    <row r="56" spans="1:9" x14ac:dyDescent="0.25">
      <c r="A56" s="25"/>
      <c r="B56" s="25" t="s">
        <v>14</v>
      </c>
      <c r="C56" s="26">
        <v>753144.95</v>
      </c>
      <c r="D56" s="27">
        <v>848640.743502</v>
      </c>
      <c r="E56" s="28">
        <f>E55+C56-D56</f>
        <v>1635393.9225290013</v>
      </c>
      <c r="F56" s="25"/>
      <c r="G56" s="25" t="s">
        <v>14</v>
      </c>
      <c r="H56" s="29">
        <f>IF(C56="", "", IF(D56="", "",D56-D41))</f>
        <v>-383647.72815900005</v>
      </c>
      <c r="I56" s="29">
        <f>IF(D56="", "", IF(E56="", "",E56-E41))</f>
        <v>302325.93874000013</v>
      </c>
    </row>
    <row r="57" spans="1:9" x14ac:dyDescent="0.25">
      <c r="A57" s="25"/>
      <c r="B57" s="25" t="s">
        <v>15</v>
      </c>
      <c r="C57" s="26">
        <v>440222.43402599997</v>
      </c>
      <c r="D57" s="27">
        <v>515865.925491</v>
      </c>
      <c r="E57" s="28">
        <f>E56+C57-D57</f>
        <v>1559750.4310640013</v>
      </c>
      <c r="F57" s="25"/>
      <c r="G57" s="25" t="s">
        <v>15</v>
      </c>
      <c r="H57" s="29">
        <f>IF(C57="", "", IF(D57="", "",D57-D42))</f>
        <v>-229197.42788899998</v>
      </c>
      <c r="I57" s="29">
        <f>IF(D57="", "", IF(E57="", "",E57-E42))</f>
        <v>295179.32765500015</v>
      </c>
    </row>
    <row r="58" spans="1:9" x14ac:dyDescent="0.25">
      <c r="A58" s="25"/>
      <c r="B58" s="25" t="s">
        <v>16</v>
      </c>
      <c r="C58" s="26">
        <v>801910.37</v>
      </c>
      <c r="D58" s="27">
        <v>701828.15241600003</v>
      </c>
      <c r="E58" s="28">
        <f>E57+C58-D58</f>
        <v>1659832.6486480013</v>
      </c>
      <c r="F58" s="25"/>
      <c r="G58" s="25" t="s">
        <v>16</v>
      </c>
      <c r="H58" s="29">
        <f>IF(C58="", "", IF(D58="", "",D58-D43))</f>
        <v>-60881.804836999974</v>
      </c>
      <c r="I58" s="29">
        <f>IF(D58="", "", IF(E58="", "",E58-E43))</f>
        <v>366994.61633000011</v>
      </c>
    </row>
    <row r="59" spans="1:9" x14ac:dyDescent="0.25">
      <c r="A59" s="25"/>
      <c r="B59" s="25" t="s">
        <v>17</v>
      </c>
      <c r="C59" s="26">
        <v>689419.03</v>
      </c>
      <c r="D59" s="27">
        <v>807119.94798599998</v>
      </c>
      <c r="E59" s="28">
        <f>E58+C59-D59</f>
        <v>1542131.7306620015</v>
      </c>
      <c r="F59" s="25"/>
      <c r="G59" s="25" t="s">
        <v>17</v>
      </c>
      <c r="H59" s="29">
        <f>IF(C59="", "", IF(D59="", "",D59-D44))</f>
        <v>56247.140278999927</v>
      </c>
      <c r="I59" s="29">
        <f>IF(D59="", "", IF(E59="", "",E59-E44))</f>
        <v>276711.79805100034</v>
      </c>
    </row>
    <row r="60" spans="1:9" x14ac:dyDescent="0.25">
      <c r="A60" s="30"/>
      <c r="B60" s="30" t="s">
        <v>18</v>
      </c>
      <c r="C60" s="31">
        <v>391719.19000200002</v>
      </c>
      <c r="D60" s="32">
        <v>595065.35355899995</v>
      </c>
      <c r="E60" s="33">
        <f>E59+C60-D60</f>
        <v>1338785.5671050015</v>
      </c>
      <c r="F60" s="30"/>
      <c r="G60" s="30" t="s">
        <v>18</v>
      </c>
      <c r="H60" s="34">
        <f>IF(C60="", "", IF(D60="", "",D60-D45))</f>
        <v>-11937.105312000029</v>
      </c>
      <c r="I60" s="34">
        <f>IF(D60="", "", IF(E60="", "",E60-E45))</f>
        <v>346096.72336500022</v>
      </c>
    </row>
    <row r="61" spans="1:9" s="2" customFormat="1" x14ac:dyDescent="0.25">
      <c r="A61" s="35"/>
      <c r="B61" s="35" t="s">
        <v>19</v>
      </c>
      <c r="C61" s="36">
        <f>SUM(C49:C60)</f>
        <v>8701765.0204890016</v>
      </c>
      <c r="D61" s="37">
        <f>SUM(D49:D60)</f>
        <v>8355668.2971240003</v>
      </c>
      <c r="E61" s="28"/>
      <c r="F61" s="35"/>
      <c r="G61" s="35"/>
      <c r="H61" s="28">
        <f>SUMIF(C49:C60,"&gt;=0",H49:H60)</f>
        <v>-502289.88568399986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725147.0850407501</v>
      </c>
      <c r="D62" s="37">
        <f>AVERAGE(D49:D60)</f>
        <v>696305.69142699998</v>
      </c>
      <c r="E62" s="38">
        <f>C62/D62-1</f>
        <v>4.1420591514400806E-2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1338785.5671050015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610222.91</v>
      </c>
      <c r="D64" s="13">
        <v>371258.53535199998</v>
      </c>
      <c r="E64" s="14">
        <f>E63+C64-D64</f>
        <v>1577749.9417530014</v>
      </c>
      <c r="F64" s="11"/>
      <c r="G64" s="11" t="s">
        <v>7</v>
      </c>
      <c r="H64" s="15">
        <f>IF(C64="", "", IF(D64="", "",D64-D49))</f>
        <v>-113385.83290500002</v>
      </c>
      <c r="I64" s="15">
        <f>IF(D64="", "", IF(E64="", "",E64-E49))</f>
        <v>130625.43626999995</v>
      </c>
    </row>
    <row r="65" spans="1:9" x14ac:dyDescent="0.25">
      <c r="A65" s="11"/>
      <c r="B65" s="11" t="s">
        <v>8</v>
      </c>
      <c r="C65" s="12">
        <v>591923.93999999994</v>
      </c>
      <c r="D65" s="13">
        <v>599885.00354800001</v>
      </c>
      <c r="E65" s="14">
        <f>E64+C65-D65</f>
        <v>1569788.8782050014</v>
      </c>
      <c r="F65" s="11"/>
      <c r="G65" s="11" t="s">
        <v>8</v>
      </c>
      <c r="H65" s="15">
        <f>IF(C65="", "", IF(D65="", "",D65-D50))</f>
        <v>-53841.754021000001</v>
      </c>
      <c r="I65" s="15">
        <f>IF(D65="", "", IF(E65="", "",E65-E50))</f>
        <v>-5168.9497090000659</v>
      </c>
    </row>
    <row r="66" spans="1:9" x14ac:dyDescent="0.25">
      <c r="A66" s="11"/>
      <c r="B66" s="11" t="s">
        <v>9</v>
      </c>
      <c r="C66" s="12">
        <v>987754.94</v>
      </c>
      <c r="D66" s="13">
        <v>865099.51138599997</v>
      </c>
      <c r="E66" s="14">
        <f>E65+C66-D66</f>
        <v>1692444.3068190012</v>
      </c>
      <c r="F66" s="11"/>
      <c r="G66" s="11" t="s">
        <v>9</v>
      </c>
      <c r="H66" s="15">
        <f>IF(C66="", "", IF(D66="", "",D66-D51))</f>
        <v>168823.94481999998</v>
      </c>
      <c r="I66" s="15">
        <f>IF(D66="", "", IF(E66="", "",E66-E51))</f>
        <v>-40727.795196000254</v>
      </c>
    </row>
    <row r="67" spans="1:9" x14ac:dyDescent="0.25">
      <c r="A67" s="11"/>
      <c r="B67" s="11" t="s">
        <v>10</v>
      </c>
      <c r="C67" s="12">
        <v>1202669.93</v>
      </c>
      <c r="D67" s="13">
        <v>623957.39041600004</v>
      </c>
      <c r="E67" s="14">
        <f>E66+C67-D67</f>
        <v>2271156.8464030009</v>
      </c>
      <c r="F67" s="11"/>
      <c r="G67" s="11" t="s">
        <v>10</v>
      </c>
      <c r="H67" s="15">
        <f>IF(C67="", "", IF(D67="", "",D67-D52))</f>
        <v>-219017.17915400001</v>
      </c>
      <c r="I67" s="15">
        <f>IF(D67="", "", IF(E67="", "",E67-E52))</f>
        <v>440585.80395799945</v>
      </c>
    </row>
    <row r="68" spans="1:9" x14ac:dyDescent="0.25">
      <c r="A68" s="11"/>
      <c r="B68" s="11" t="s">
        <v>11</v>
      </c>
      <c r="C68" s="12">
        <v>375293</v>
      </c>
      <c r="D68" s="13">
        <v>798284.87901200005</v>
      </c>
      <c r="E68" s="14">
        <f>E67+C68-D68</f>
        <v>1848164.9673910008</v>
      </c>
      <c r="F68" s="11"/>
      <c r="G68" s="11" t="s">
        <v>11</v>
      </c>
      <c r="H68" s="15">
        <f>IF(C68="", "", IF(D68="", "",D68-D53))</f>
        <v>-42325.928893000004</v>
      </c>
      <c r="I68" s="15">
        <f>IF(D68="", "", IF(E68="", "",E68-E53))</f>
        <v>-98796.827149000717</v>
      </c>
    </row>
    <row r="69" spans="1:9" x14ac:dyDescent="0.25">
      <c r="A69" s="11"/>
      <c r="B69" s="11" t="s">
        <v>12</v>
      </c>
      <c r="C69" s="12">
        <v>508236.34390699997</v>
      </c>
      <c r="D69" s="13">
        <v>566825.65031599998</v>
      </c>
      <c r="E69" s="14">
        <f>E68+C69-D69</f>
        <v>1789575.6609820006</v>
      </c>
      <c r="F69" s="11"/>
      <c r="G69" s="11" t="s">
        <v>12</v>
      </c>
      <c r="H69" s="15">
        <f>IF(C69="", "", IF(D69="", "",D69-D54))</f>
        <v>-155638.31501200004</v>
      </c>
      <c r="I69" s="15">
        <f>IF(D69="", "", IF(E69="", "",E69-E54))</f>
        <v>-97875.450012000743</v>
      </c>
    </row>
    <row r="70" spans="1:9" x14ac:dyDescent="0.25">
      <c r="A70" s="11"/>
      <c r="B70" s="11" t="s">
        <v>13</v>
      </c>
      <c r="C70" s="12">
        <v>810805.4</v>
      </c>
      <c r="D70" s="13">
        <v>1004414.137891</v>
      </c>
      <c r="E70" s="14">
        <f>E69+C70-D70</f>
        <v>1595966.9230910004</v>
      </c>
      <c r="F70" s="11"/>
      <c r="G70" s="11" t="s">
        <v>13</v>
      </c>
      <c r="H70" s="15">
        <f>IF(C70="", "", IF(D70="", "",D70-D55))</f>
        <v>357961.99891600001</v>
      </c>
      <c r="I70" s="15">
        <f>IF(D70="", "", IF(E70="", "",E70-E55))</f>
        <v>-134922.792940001</v>
      </c>
    </row>
    <row r="71" spans="1:9" x14ac:dyDescent="0.25">
      <c r="A71" s="11"/>
      <c r="B71" s="11" t="s">
        <v>14</v>
      </c>
      <c r="C71" s="12">
        <v>682973.79</v>
      </c>
      <c r="D71" s="13">
        <v>630979.14045399998</v>
      </c>
      <c r="E71" s="14">
        <f>E70+C71-D71</f>
        <v>1647961.5726370006</v>
      </c>
      <c r="F71" s="11"/>
      <c r="G71" s="11" t="s">
        <v>14</v>
      </c>
      <c r="H71" s="15">
        <f>IF(C71="", "", IF(D71="", "",D71-D56))</f>
        <v>-217661.60304800002</v>
      </c>
      <c r="I71" s="15">
        <f>IF(D71="", "", IF(E71="", "",E71-E56))</f>
        <v>12567.650107999332</v>
      </c>
    </row>
    <row r="72" spans="1:9" x14ac:dyDescent="0.25">
      <c r="A72" s="11"/>
      <c r="B72" s="11" t="s">
        <v>15</v>
      </c>
      <c r="C72" s="12">
        <v>922549.58</v>
      </c>
      <c r="D72" s="13">
        <v>625124.15372399997</v>
      </c>
      <c r="E72" s="14">
        <f>E71+C72-D72</f>
        <v>1945386.9989130008</v>
      </c>
      <c r="F72" s="11"/>
      <c r="G72" s="11" t="s">
        <v>15</v>
      </c>
      <c r="H72" s="15">
        <f>IF(C72="", "", IF(D72="", "",D72-D57))</f>
        <v>109258.22823299997</v>
      </c>
      <c r="I72" s="15">
        <f>IF(D72="", "", IF(E72="", "",E72-E57))</f>
        <v>385636.56784899952</v>
      </c>
    </row>
    <row r="73" spans="1:9" x14ac:dyDescent="0.25">
      <c r="A73" s="11"/>
      <c r="B73" s="11" t="s">
        <v>16</v>
      </c>
      <c r="C73" s="12">
        <v>1273748.1594980001</v>
      </c>
      <c r="D73" s="13">
        <v>759423.58233700006</v>
      </c>
      <c r="E73" s="14">
        <f>E72+C73-D73</f>
        <v>2459711.5760740009</v>
      </c>
      <c r="F73" s="11"/>
      <c r="G73" s="11" t="s">
        <v>16</v>
      </c>
      <c r="H73" s="15">
        <f>IF(C73="", "", IF(D73="", "",D73-D58))</f>
        <v>57595.429921000032</v>
      </c>
      <c r="I73" s="15">
        <f>IF(D73="", "", IF(E73="", "",E73-E58))</f>
        <v>799878.92742599966</v>
      </c>
    </row>
    <row r="74" spans="1:9" x14ac:dyDescent="0.25">
      <c r="A74" s="11"/>
      <c r="B74" s="11" t="s">
        <v>17</v>
      </c>
      <c r="C74" s="12">
        <v>685223.50000100001</v>
      </c>
      <c r="D74" s="13">
        <v>847623.34169100004</v>
      </c>
      <c r="E74" s="14">
        <f>E73+C74-D74</f>
        <v>2297311.7343840008</v>
      </c>
      <c r="F74" s="11"/>
      <c r="G74" s="11" t="s">
        <v>17</v>
      </c>
      <c r="H74" s="15">
        <f>IF(C74="", "", IF(D74="", "",D74-D59))</f>
        <v>40503.393705000053</v>
      </c>
      <c r="I74" s="15">
        <f>IF(D74="", "", IF(E74="", "",E74-E59))</f>
        <v>755180.00372199924</v>
      </c>
    </row>
    <row r="75" spans="1:9" x14ac:dyDescent="0.25">
      <c r="A75" s="16"/>
      <c r="B75" s="16" t="s">
        <v>18</v>
      </c>
      <c r="C75" s="17">
        <v>331751.56</v>
      </c>
      <c r="D75" s="18">
        <v>619153.14503599994</v>
      </c>
      <c r="E75" s="19">
        <f>E74+C75-D75</f>
        <v>2009910.149348001</v>
      </c>
      <c r="F75" s="16"/>
      <c r="G75" s="16" t="s">
        <v>18</v>
      </c>
      <c r="H75" s="20">
        <f>IF(C75="", "", IF(D75="", "",D75-D60))</f>
        <v>24087.791476999992</v>
      </c>
      <c r="I75" s="20">
        <f>IF(D75="", "", IF(E75="", "",E75-E60))</f>
        <v>671124.58224299946</v>
      </c>
    </row>
    <row r="76" spans="1:9" s="2" customFormat="1" x14ac:dyDescent="0.25">
      <c r="A76" s="21"/>
      <c r="B76" s="21" t="s">
        <v>19</v>
      </c>
      <c r="C76" s="22">
        <f>SUM(C64:C75)</f>
        <v>8983153.0534060001</v>
      </c>
      <c r="D76" s="23">
        <f>SUM(D64:D75)</f>
        <v>8312028.4711630009</v>
      </c>
      <c r="E76" s="14"/>
      <c r="F76" s="21"/>
      <c r="G76" s="21"/>
      <c r="H76" s="14">
        <f>SUMIF(C64:C75,"&gt;=0",H64:H75)</f>
        <v>-43639.825961000053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748596.08778383338</v>
      </c>
      <c r="D77" s="23">
        <f>AVERAGE(D64:D75)</f>
        <v>692669.03926358337</v>
      </c>
      <c r="E77" s="24">
        <f>C77/D77-1</f>
        <v>8.0741371925197258E-2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2009910.149348001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2009910.149348001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2009910.149348001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2009910.149348001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2009910.149348001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2009910.149348001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2009910.149348001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2009910.149348001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2009910.149348001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2009910.149348001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2009910.149348001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2009910.149348001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2009910.149348001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234C7-D74C-443A-ACC3-0B00255E58B2}">
  <sheetPr codeName="Sheet8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773692.35005400004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115107.96</v>
      </c>
      <c r="D4" s="13">
        <v>135086.23001999999</v>
      </c>
      <c r="E4" s="14">
        <f>E3+C4-D4</f>
        <v>753714.08003399998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372214.17800800002</v>
      </c>
      <c r="D5" s="13">
        <v>289307.005909</v>
      </c>
      <c r="E5" s="14">
        <f>E4+C5-D5</f>
        <v>836621.25213299994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389913.828889</v>
      </c>
      <c r="D6" s="13">
        <v>355676.94508799998</v>
      </c>
      <c r="E6" s="14">
        <f>E5+C6-D6</f>
        <v>870858.1359339999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178723.412167</v>
      </c>
      <c r="D7" s="13">
        <v>212918.720844</v>
      </c>
      <c r="E7" s="14">
        <f>E6+C7-D7</f>
        <v>836662.82725700003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301129.15899999999</v>
      </c>
      <c r="D8" s="13">
        <v>346663.96648300003</v>
      </c>
      <c r="E8" s="14">
        <f>E7+C8-D8</f>
        <v>791128.01977399993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441243.88833300001</v>
      </c>
      <c r="D9" s="13">
        <v>281954.73460999998</v>
      </c>
      <c r="E9" s="14">
        <f>E8+C9-D9</f>
        <v>950417.17349700001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251825.00847299999</v>
      </c>
      <c r="D10" s="13">
        <v>337952.379242</v>
      </c>
      <c r="E10" s="14">
        <f>E9+C10-D10</f>
        <v>864289.8027280001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359829.52333300002</v>
      </c>
      <c r="D11" s="13">
        <v>264599.45758699998</v>
      </c>
      <c r="E11" s="14">
        <f>E10+C11-D11</f>
        <v>959519.86847400013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399307.23330000002</v>
      </c>
      <c r="D12" s="13">
        <v>263968.677188</v>
      </c>
      <c r="E12" s="14">
        <f>E11+C12-D12</f>
        <v>1094858.4245860002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338196.882736</v>
      </c>
      <c r="D13" s="13">
        <v>500002.02938600001</v>
      </c>
      <c r="E13" s="14">
        <f>E12+C13-D13</f>
        <v>933053.27793600014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380261.21228600002</v>
      </c>
      <c r="D14" s="13">
        <v>437779.09919500002</v>
      </c>
      <c r="E14" s="14">
        <f>E13+C14-D14</f>
        <v>875535.39102700003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728622.74873500003</v>
      </c>
      <c r="D15" s="18">
        <v>401516.44413000002</v>
      </c>
      <c r="E15" s="19">
        <f>E14+C15-D15</f>
        <v>1202641.6956320002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4256375.0352600003</v>
      </c>
      <c r="D16" s="23">
        <f>SUM(D4:D15)</f>
        <v>3827425.6896819999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354697.919605</v>
      </c>
      <c r="D17" s="23">
        <f>AVERAGE(D4:D15)</f>
        <v>318952.14080683334</v>
      </c>
      <c r="E17" s="24">
        <f>C17/D17-1</f>
        <v>0.11207254702145208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1202641.6956320002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264160.23700000002</v>
      </c>
      <c r="D19" s="27">
        <v>287324.68091400003</v>
      </c>
      <c r="E19" s="28">
        <f>E18+C19-D19</f>
        <v>1179477.251718</v>
      </c>
      <c r="F19" s="25"/>
      <c r="G19" s="25" t="s">
        <v>7</v>
      </c>
      <c r="H19" s="29">
        <f>IF(C19="", "", IF(D19="", "",D19-D4))</f>
        <v>152238.45089400004</v>
      </c>
      <c r="I19" s="29">
        <f>IF(D19="", "", IF(E19="", "",E19-E4))</f>
        <v>425763.17168400006</v>
      </c>
    </row>
    <row r="20" spans="1:9" x14ac:dyDescent="0.25">
      <c r="A20" s="25"/>
      <c r="B20" s="25" t="s">
        <v>8</v>
      </c>
      <c r="C20" s="26">
        <v>186993.18299999999</v>
      </c>
      <c r="D20" s="27">
        <v>333128.50870399998</v>
      </c>
      <c r="E20" s="28">
        <f>E19+C20-D20</f>
        <v>1033341.9260140001</v>
      </c>
      <c r="F20" s="25"/>
      <c r="G20" s="25" t="s">
        <v>8</v>
      </c>
      <c r="H20" s="29">
        <f>IF(C20="", "", IF(D20="", "",D20-D5))</f>
        <v>43821.502794999979</v>
      </c>
      <c r="I20" s="29">
        <f>IF(D20="", "", IF(E20="", "",E20-E5))</f>
        <v>196720.67388100014</v>
      </c>
    </row>
    <row r="21" spans="1:9" x14ac:dyDescent="0.25">
      <c r="A21" s="25"/>
      <c r="B21" s="25" t="s">
        <v>9</v>
      </c>
      <c r="C21" s="26">
        <v>366962.97242499999</v>
      </c>
      <c r="D21" s="27">
        <v>410905.07842400001</v>
      </c>
      <c r="E21" s="28">
        <f>E20+C21-D21</f>
        <v>989399.82001500018</v>
      </c>
      <c r="F21" s="25"/>
      <c r="G21" s="25" t="s">
        <v>9</v>
      </c>
      <c r="H21" s="29">
        <f>IF(C21="", "", IF(D21="", "",D21-D6))</f>
        <v>55228.133336000028</v>
      </c>
      <c r="I21" s="29">
        <f>IF(D21="", "", IF(E21="", "",E21-E6))</f>
        <v>118541.68408100028</v>
      </c>
    </row>
    <row r="22" spans="1:9" x14ac:dyDescent="0.25">
      <c r="A22" s="25"/>
      <c r="B22" s="25" t="s">
        <v>10</v>
      </c>
      <c r="C22" s="26">
        <v>84727.860570999997</v>
      </c>
      <c r="D22" s="27">
        <v>265225.62770100002</v>
      </c>
      <c r="E22" s="28">
        <f>E21+C22-D22</f>
        <v>808902.05288500013</v>
      </c>
      <c r="F22" s="25"/>
      <c r="G22" s="25" t="s">
        <v>10</v>
      </c>
      <c r="H22" s="29">
        <f>IF(C22="", "", IF(D22="", "",D22-D7))</f>
        <v>52306.906857000024</v>
      </c>
      <c r="I22" s="29">
        <f>IF(D22="", "", IF(E22="", "",E22-E7))</f>
        <v>-27760.774371999898</v>
      </c>
    </row>
    <row r="23" spans="1:9" x14ac:dyDescent="0.25">
      <c r="A23" s="25"/>
      <c r="B23" s="25" t="s">
        <v>11</v>
      </c>
      <c r="C23" s="26">
        <v>319057.1275</v>
      </c>
      <c r="D23" s="27">
        <v>441787.87439900002</v>
      </c>
      <c r="E23" s="28">
        <f>E22+C23-D23</f>
        <v>686171.30598599999</v>
      </c>
      <c r="F23" s="25"/>
      <c r="G23" s="25" t="s">
        <v>11</v>
      </c>
      <c r="H23" s="29">
        <f>IF(C23="", "", IF(D23="", "",D23-D8))</f>
        <v>95123.907915999996</v>
      </c>
      <c r="I23" s="29">
        <f>IF(D23="", "", IF(E23="", "",E23-E8))</f>
        <v>-104956.71378799994</v>
      </c>
    </row>
    <row r="24" spans="1:9" x14ac:dyDescent="0.25">
      <c r="A24" s="25"/>
      <c r="B24" s="25" t="s">
        <v>12</v>
      </c>
      <c r="C24" s="26">
        <v>741469.61049999995</v>
      </c>
      <c r="D24" s="27">
        <v>404428.69101399998</v>
      </c>
      <c r="E24" s="28">
        <f>E23+C24-D24</f>
        <v>1023212.225472</v>
      </c>
      <c r="F24" s="25"/>
      <c r="G24" s="25" t="s">
        <v>12</v>
      </c>
      <c r="H24" s="29">
        <f>IF(C24="", "", IF(D24="", "",D24-D9))</f>
        <v>122473.956404</v>
      </c>
      <c r="I24" s="29">
        <f>IF(D24="", "", IF(E24="", "",E24-E9))</f>
        <v>72795.051974999951</v>
      </c>
    </row>
    <row r="25" spans="1:9" x14ac:dyDescent="0.25">
      <c r="A25" s="25"/>
      <c r="B25" s="25" t="s">
        <v>13</v>
      </c>
      <c r="C25" s="26">
        <v>505905.89212600002</v>
      </c>
      <c r="D25" s="27">
        <v>572641.74124200002</v>
      </c>
      <c r="E25" s="28">
        <f>E24+C25-D25</f>
        <v>956476.37635599996</v>
      </c>
      <c r="F25" s="25"/>
      <c r="G25" s="25" t="s">
        <v>13</v>
      </c>
      <c r="H25" s="29">
        <f>IF(C25="", "", IF(D25="", "",D25-D10))</f>
        <v>234689.36200000002</v>
      </c>
      <c r="I25" s="29">
        <f>IF(D25="", "", IF(E25="", "",E25-E10))</f>
        <v>92186.573627999867</v>
      </c>
    </row>
    <row r="26" spans="1:9" x14ac:dyDescent="0.25">
      <c r="A26" s="25"/>
      <c r="B26" s="25" t="s">
        <v>14</v>
      </c>
      <c r="C26" s="26">
        <v>475494.48691199999</v>
      </c>
      <c r="D26" s="27">
        <v>451533.21783199999</v>
      </c>
      <c r="E26" s="28">
        <f>E25+C26-D26</f>
        <v>980437.64543600008</v>
      </c>
      <c r="F26" s="25"/>
      <c r="G26" s="25" t="s">
        <v>14</v>
      </c>
      <c r="H26" s="29">
        <f>IF(C26="", "", IF(D26="", "",D26-D11))</f>
        <v>186933.76024500001</v>
      </c>
      <c r="I26" s="29">
        <f>IF(D26="", "", IF(E26="", "",E26-E11))</f>
        <v>20917.776961999945</v>
      </c>
    </row>
    <row r="27" spans="1:9" x14ac:dyDescent="0.25">
      <c r="A27" s="25"/>
      <c r="B27" s="25" t="s">
        <v>15</v>
      </c>
      <c r="C27" s="26">
        <v>488563.66592</v>
      </c>
      <c r="D27" s="27">
        <v>506289.89821199997</v>
      </c>
      <c r="E27" s="28">
        <f>E26+C27-D27</f>
        <v>962711.41314400011</v>
      </c>
      <c r="F27" s="25"/>
      <c r="G27" s="25" t="s">
        <v>15</v>
      </c>
      <c r="H27" s="29">
        <f>IF(C27="", "", IF(D27="", "",D27-D12))</f>
        <v>242321.22102399997</v>
      </c>
      <c r="I27" s="29">
        <f>IF(D27="", "", IF(E27="", "",E27-E12))</f>
        <v>-132147.01144200005</v>
      </c>
    </row>
    <row r="28" spans="1:9" x14ac:dyDescent="0.25">
      <c r="A28" s="25"/>
      <c r="B28" s="25" t="s">
        <v>16</v>
      </c>
      <c r="C28" s="26">
        <v>651017.19250200002</v>
      </c>
      <c r="D28" s="27">
        <v>652384.47097599995</v>
      </c>
      <c r="E28" s="28">
        <f>E27+C28-D28</f>
        <v>961344.13467000029</v>
      </c>
      <c r="F28" s="25"/>
      <c r="G28" s="25" t="s">
        <v>16</v>
      </c>
      <c r="H28" s="29">
        <f>IF(C28="", "", IF(D28="", "",D28-D13))</f>
        <v>152382.44158999994</v>
      </c>
      <c r="I28" s="29">
        <f>IF(D28="", "", IF(E28="", "",E28-E13))</f>
        <v>28290.856734000146</v>
      </c>
    </row>
    <row r="29" spans="1:9" x14ac:dyDescent="0.25">
      <c r="A29" s="25"/>
      <c r="B29" s="25" t="s">
        <v>17</v>
      </c>
      <c r="C29" s="26">
        <v>853201.65099999995</v>
      </c>
      <c r="D29" s="27">
        <v>831224.47429399996</v>
      </c>
      <c r="E29" s="28">
        <f>E28+C29-D29</f>
        <v>983321.31137600017</v>
      </c>
      <c r="F29" s="25"/>
      <c r="G29" s="25" t="s">
        <v>17</v>
      </c>
      <c r="H29" s="29">
        <f>IF(C29="", "", IF(D29="", "",D29-D14))</f>
        <v>393445.37509899994</v>
      </c>
      <c r="I29" s="29">
        <f>IF(D29="", "", IF(E29="", "",E29-E14))</f>
        <v>107785.92034900014</v>
      </c>
    </row>
    <row r="30" spans="1:9" x14ac:dyDescent="0.25">
      <c r="A30" s="30"/>
      <c r="B30" s="30" t="s">
        <v>18</v>
      </c>
      <c r="C30" s="31">
        <v>371069.05895799998</v>
      </c>
      <c r="D30" s="32">
        <v>444908.86099299998</v>
      </c>
      <c r="E30" s="33">
        <f>E29+C30-D30</f>
        <v>909481.50934100011</v>
      </c>
      <c r="F30" s="30"/>
      <c r="G30" s="30" t="s">
        <v>18</v>
      </c>
      <c r="H30" s="34">
        <f>IF(C30="", "", IF(D30="", "",D30-D15))</f>
        <v>43392.416862999962</v>
      </c>
      <c r="I30" s="34">
        <f>IF(D30="", "", IF(E30="", "",E30-E15))</f>
        <v>-293160.18629100011</v>
      </c>
    </row>
    <row r="31" spans="1:9" s="2" customFormat="1" x14ac:dyDescent="0.25">
      <c r="A31" s="35"/>
      <c r="B31" s="35" t="s">
        <v>19</v>
      </c>
      <c r="C31" s="36">
        <f>SUM(C19:C30)</f>
        <v>5308622.938413999</v>
      </c>
      <c r="D31" s="37">
        <f>SUM(D19:D30)</f>
        <v>5601783.1247049998</v>
      </c>
      <c r="E31" s="28"/>
      <c r="F31" s="35"/>
      <c r="G31" s="35"/>
      <c r="H31" s="28">
        <f>SUMIF(C19:C30,"&gt;=0",H19:H30)</f>
        <v>1774357.435023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442385.24486783327</v>
      </c>
      <c r="D32" s="37">
        <f>AVERAGE(D19:D30)</f>
        <v>466815.26039208332</v>
      </c>
      <c r="E32" s="38">
        <f>C32/D32-1</f>
        <v>-5.2333369529802831E-2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909481.50934100011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424142.85246299999</v>
      </c>
      <c r="D34" s="13">
        <v>541048.30803900003</v>
      </c>
      <c r="E34" s="14">
        <f>E33+C34-D34</f>
        <v>792576.05376500008</v>
      </c>
      <c r="F34" s="11"/>
      <c r="G34" s="11" t="s">
        <v>7</v>
      </c>
      <c r="H34" s="15">
        <f>IF(C34="", "", IF(D34="", "",D34-D19))</f>
        <v>253723.627125</v>
      </c>
      <c r="I34" s="15">
        <f>IF(D34="", "", IF(E34="", "",E34-E19))</f>
        <v>-386901.19795299997</v>
      </c>
    </row>
    <row r="35" spans="1:9" x14ac:dyDescent="0.25">
      <c r="A35" s="11"/>
      <c r="B35" s="11" t="s">
        <v>8</v>
      </c>
      <c r="C35" s="12">
        <v>447010.438861</v>
      </c>
      <c r="D35" s="13">
        <v>490043.660088</v>
      </c>
      <c r="E35" s="14">
        <f>E34+C35-D35</f>
        <v>749542.83253800019</v>
      </c>
      <c r="F35" s="11"/>
      <c r="G35" s="11" t="s">
        <v>8</v>
      </c>
      <c r="H35" s="15">
        <f>IF(C35="", "", IF(D35="", "",D35-D20))</f>
        <v>156915.15138400003</v>
      </c>
      <c r="I35" s="15">
        <f>IF(D35="", "", IF(E35="", "",E35-E20))</f>
        <v>-283799.09347599989</v>
      </c>
    </row>
    <row r="36" spans="1:9" x14ac:dyDescent="0.25">
      <c r="A36" s="11"/>
      <c r="B36" s="11" t="s">
        <v>9</v>
      </c>
      <c r="C36" s="12">
        <v>623650.46636199998</v>
      </c>
      <c r="D36" s="13">
        <v>570578.40423900005</v>
      </c>
      <c r="E36" s="14">
        <f>E35+C36-D36</f>
        <v>802614.89466100023</v>
      </c>
      <c r="F36" s="11"/>
      <c r="G36" s="11" t="s">
        <v>9</v>
      </c>
      <c r="H36" s="15">
        <f>IF(C36="", "", IF(D36="", "",D36-D21))</f>
        <v>159673.32581500005</v>
      </c>
      <c r="I36" s="15">
        <f>IF(D36="", "", IF(E36="", "",E36-E21))</f>
        <v>-186784.92535399995</v>
      </c>
    </row>
    <row r="37" spans="1:9" x14ac:dyDescent="0.25">
      <c r="A37" s="11"/>
      <c r="B37" s="11" t="s">
        <v>10</v>
      </c>
      <c r="C37" s="12">
        <v>989423.09580799995</v>
      </c>
      <c r="D37" s="13">
        <v>643864.15521999996</v>
      </c>
      <c r="E37" s="14">
        <f>E36+C37-D37</f>
        <v>1148173.8352490002</v>
      </c>
      <c r="F37" s="11"/>
      <c r="G37" s="11" t="s">
        <v>10</v>
      </c>
      <c r="H37" s="15">
        <f>IF(C37="", "", IF(D37="", "",D37-D22))</f>
        <v>378638.52751899994</v>
      </c>
      <c r="I37" s="15">
        <f>IF(D37="", "", IF(E37="", "",E37-E22))</f>
        <v>339271.7823640001</v>
      </c>
    </row>
    <row r="38" spans="1:9" x14ac:dyDescent="0.25">
      <c r="A38" s="11"/>
      <c r="B38" s="11" t="s">
        <v>11</v>
      </c>
      <c r="C38" s="12">
        <v>469008.81698399998</v>
      </c>
      <c r="D38" s="13">
        <v>477267.80797000002</v>
      </c>
      <c r="E38" s="14">
        <f>E37+C38-D38</f>
        <v>1139914.8442630002</v>
      </c>
      <c r="F38" s="11"/>
      <c r="G38" s="11" t="s">
        <v>11</v>
      </c>
      <c r="H38" s="15">
        <f>IF(C38="", "", IF(D38="", "",D38-D23))</f>
        <v>35479.933571000001</v>
      </c>
      <c r="I38" s="15">
        <f>IF(D38="", "", IF(E38="", "",E38-E23))</f>
        <v>453743.53827700019</v>
      </c>
    </row>
    <row r="39" spans="1:9" x14ac:dyDescent="0.25">
      <c r="A39" s="11"/>
      <c r="B39" s="11" t="s">
        <v>12</v>
      </c>
      <c r="C39" s="12">
        <v>583646.547502</v>
      </c>
      <c r="D39" s="13">
        <v>573875.29334700003</v>
      </c>
      <c r="E39" s="14">
        <f>E38+C39-D39</f>
        <v>1149686.0984180002</v>
      </c>
      <c r="F39" s="11"/>
      <c r="G39" s="11" t="s">
        <v>12</v>
      </c>
      <c r="H39" s="15">
        <f>IF(C39="", "", IF(D39="", "",D39-D24))</f>
        <v>169446.60233300005</v>
      </c>
      <c r="I39" s="15">
        <f>IF(D39="", "", IF(E39="", "",E39-E24))</f>
        <v>126473.87294600019</v>
      </c>
    </row>
    <row r="40" spans="1:9" x14ac:dyDescent="0.25">
      <c r="A40" s="11"/>
      <c r="B40" s="11" t="s">
        <v>13</v>
      </c>
      <c r="C40" s="12">
        <v>637238.82333299995</v>
      </c>
      <c r="D40" s="13">
        <v>674708.87860000005</v>
      </c>
      <c r="E40" s="14">
        <f>E39+C40-D40</f>
        <v>1112216.043151</v>
      </c>
      <c r="F40" s="11"/>
      <c r="G40" s="11" t="s">
        <v>13</v>
      </c>
      <c r="H40" s="15">
        <f>IF(C40="", "", IF(D40="", "",D40-D25))</f>
        <v>102067.13735800004</v>
      </c>
      <c r="I40" s="15">
        <f>IF(D40="", "", IF(E40="", "",E40-E25))</f>
        <v>155739.66679500008</v>
      </c>
    </row>
    <row r="41" spans="1:9" x14ac:dyDescent="0.25">
      <c r="A41" s="11"/>
      <c r="B41" s="11" t="s">
        <v>14</v>
      </c>
      <c r="C41" s="12">
        <v>580327.64650000003</v>
      </c>
      <c r="D41" s="13">
        <v>583024.58734299999</v>
      </c>
      <c r="E41" s="14">
        <f>E40+C41-D41</f>
        <v>1109519.102308</v>
      </c>
      <c r="F41" s="11"/>
      <c r="G41" s="11" t="s">
        <v>14</v>
      </c>
      <c r="H41" s="15">
        <f>IF(C41="", "", IF(D41="", "",D41-D26))</f>
        <v>131491.369511</v>
      </c>
      <c r="I41" s="15">
        <f>IF(D41="", "", IF(E41="", "",E41-E26))</f>
        <v>129081.45687199989</v>
      </c>
    </row>
    <row r="42" spans="1:9" x14ac:dyDescent="0.25">
      <c r="A42" s="11"/>
      <c r="B42" s="11" t="s">
        <v>15</v>
      </c>
      <c r="C42" s="12">
        <v>581697.18973999994</v>
      </c>
      <c r="D42" s="13">
        <v>624578.74971100001</v>
      </c>
      <c r="E42" s="14">
        <f>E41+C42-D42</f>
        <v>1066637.5423369999</v>
      </c>
      <c r="F42" s="11"/>
      <c r="G42" s="11" t="s">
        <v>15</v>
      </c>
      <c r="H42" s="15">
        <f>IF(C42="", "", IF(D42="", "",D42-D27))</f>
        <v>118288.85149900004</v>
      </c>
      <c r="I42" s="15">
        <f>IF(D42="", "", IF(E42="", "",E42-E27))</f>
        <v>103926.1291929998</v>
      </c>
    </row>
    <row r="43" spans="1:9" x14ac:dyDescent="0.25">
      <c r="A43" s="11"/>
      <c r="B43" s="11" t="s">
        <v>16</v>
      </c>
      <c r="C43" s="12">
        <v>680893.01911200001</v>
      </c>
      <c r="D43" s="13">
        <v>551500.60268600006</v>
      </c>
      <c r="E43" s="14">
        <f>E42+C43-D43</f>
        <v>1196029.9587629999</v>
      </c>
      <c r="F43" s="11"/>
      <c r="G43" s="11" t="s">
        <v>16</v>
      </c>
      <c r="H43" s="15">
        <f>IF(C43="", "", IF(D43="", "",D43-D28))</f>
        <v>-100883.8682899999</v>
      </c>
      <c r="I43" s="15">
        <f>IF(D43="", "", IF(E43="", "",E43-E28))</f>
        <v>234685.82409299957</v>
      </c>
    </row>
    <row r="44" spans="1:9" x14ac:dyDescent="0.25">
      <c r="A44" s="11"/>
      <c r="B44" s="11" t="s">
        <v>17</v>
      </c>
      <c r="C44" s="12">
        <v>644472.98822199996</v>
      </c>
      <c r="D44" s="13">
        <v>685613.66468000005</v>
      </c>
      <c r="E44" s="14">
        <f>E43+C44-D44</f>
        <v>1154889.2823049999</v>
      </c>
      <c r="F44" s="11"/>
      <c r="G44" s="11" t="s">
        <v>17</v>
      </c>
      <c r="H44" s="15">
        <f>IF(C44="", "", IF(D44="", "",D44-D29))</f>
        <v>-145610.80961399991</v>
      </c>
      <c r="I44" s="15">
        <f>IF(D44="", "", IF(E44="", "",E44-E29))</f>
        <v>171567.97092899971</v>
      </c>
    </row>
    <row r="45" spans="1:9" x14ac:dyDescent="0.25">
      <c r="A45" s="16"/>
      <c r="B45" s="16" t="s">
        <v>18</v>
      </c>
      <c r="C45" s="17">
        <v>372145.10488399997</v>
      </c>
      <c r="D45" s="18">
        <v>501466.35316699999</v>
      </c>
      <c r="E45" s="19">
        <f>E44+C45-D45</f>
        <v>1025568.0340219999</v>
      </c>
      <c r="F45" s="16"/>
      <c r="G45" s="16" t="s">
        <v>18</v>
      </c>
      <c r="H45" s="20">
        <f>IF(C45="", "", IF(D45="", "",D45-D30))</f>
        <v>56557.492174000014</v>
      </c>
      <c r="I45" s="20">
        <f>IF(D45="", "", IF(E45="", "",E45-E30))</f>
        <v>116086.52468099981</v>
      </c>
    </row>
    <row r="46" spans="1:9" s="2" customFormat="1" x14ac:dyDescent="0.25">
      <c r="A46" s="21"/>
      <c r="B46" s="21" t="s">
        <v>19</v>
      </c>
      <c r="C46" s="22">
        <f>SUM(C34:C45)</f>
        <v>7033656.9897710001</v>
      </c>
      <c r="D46" s="23">
        <f>SUM(D34:D45)</f>
        <v>6917570.465090001</v>
      </c>
      <c r="E46" s="14"/>
      <c r="F46" s="21"/>
      <c r="G46" s="21"/>
      <c r="H46" s="14">
        <f>SUMIF(C34:C45,"&gt;=0",H34:H45)</f>
        <v>1315787.3403850005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586138.08248091664</v>
      </c>
      <c r="D47" s="23">
        <f>AVERAGE(D34:D45)</f>
        <v>576464.20542416675</v>
      </c>
      <c r="E47" s="24">
        <f>C47/D47-1</f>
        <v>1.6781401109947192E-2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1025568.0340219999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800376.16799999995</v>
      </c>
      <c r="D49" s="27">
        <v>428744.84325199999</v>
      </c>
      <c r="E49" s="28">
        <f>E48+C49-D49</f>
        <v>1397199.3587699998</v>
      </c>
      <c r="F49" s="25"/>
      <c r="G49" s="25" t="s">
        <v>7</v>
      </c>
      <c r="H49" s="29">
        <f>IF(C49="", "", IF(D49="", "",D49-D34))</f>
        <v>-112303.46478700003</v>
      </c>
      <c r="I49" s="29">
        <f>IF(D49="", "", IF(E49="", "",E49-E34))</f>
        <v>604623.30500499974</v>
      </c>
    </row>
    <row r="50" spans="1:9" x14ac:dyDescent="0.25">
      <c r="A50" s="25"/>
      <c r="B50" s="25" t="s">
        <v>8</v>
      </c>
      <c r="C50" s="26">
        <v>806042.66</v>
      </c>
      <c r="D50" s="27">
        <v>748357.46761199995</v>
      </c>
      <c r="E50" s="28">
        <f>E49+C50-D50</f>
        <v>1454884.551158</v>
      </c>
      <c r="F50" s="25"/>
      <c r="G50" s="25" t="s">
        <v>8</v>
      </c>
      <c r="H50" s="29">
        <f>IF(C50="", "", IF(D50="", "",D50-D35))</f>
        <v>258313.80752399995</v>
      </c>
      <c r="I50" s="29">
        <f>IF(D50="", "", IF(E50="", "",E50-E35))</f>
        <v>705341.71861999983</v>
      </c>
    </row>
    <row r="51" spans="1:9" x14ac:dyDescent="0.25">
      <c r="A51" s="25"/>
      <c r="B51" s="25" t="s">
        <v>9</v>
      </c>
      <c r="C51" s="26">
        <v>952495.30586700002</v>
      </c>
      <c r="D51" s="27">
        <v>762727.32174100005</v>
      </c>
      <c r="E51" s="28">
        <f>E50+C51-D51</f>
        <v>1644652.5352840002</v>
      </c>
      <c r="F51" s="25"/>
      <c r="G51" s="25" t="s">
        <v>9</v>
      </c>
      <c r="H51" s="29">
        <f>IF(C51="", "", IF(D51="", "",D51-D36))</f>
        <v>192148.917502</v>
      </c>
      <c r="I51" s="29">
        <f>IF(D51="", "", IF(E51="", "",E51-E36))</f>
        <v>842037.64062299998</v>
      </c>
    </row>
    <row r="52" spans="1:9" x14ac:dyDescent="0.25">
      <c r="A52" s="25"/>
      <c r="B52" s="25" t="s">
        <v>10</v>
      </c>
      <c r="C52" s="26">
        <v>955098.01244399999</v>
      </c>
      <c r="D52" s="27">
        <v>705634.81894699996</v>
      </c>
      <c r="E52" s="28">
        <f>E51+C52-D52</f>
        <v>1894115.7287810002</v>
      </c>
      <c r="F52" s="25"/>
      <c r="G52" s="25" t="s">
        <v>10</v>
      </c>
      <c r="H52" s="29">
        <f>IF(C52="", "", IF(D52="", "",D52-D37))</f>
        <v>61770.663727000006</v>
      </c>
      <c r="I52" s="29">
        <f>IF(D52="", "", IF(E52="", "",E52-E37))</f>
        <v>745941.89353200002</v>
      </c>
    </row>
    <row r="53" spans="1:9" x14ac:dyDescent="0.25">
      <c r="A53" s="25"/>
      <c r="B53" s="25" t="s">
        <v>11</v>
      </c>
      <c r="C53" s="26">
        <v>530609.49214300001</v>
      </c>
      <c r="D53" s="27">
        <v>797440.11437299999</v>
      </c>
      <c r="E53" s="28">
        <f>E52+C53-D53</f>
        <v>1627285.1065510004</v>
      </c>
      <c r="F53" s="25"/>
      <c r="G53" s="25" t="s">
        <v>11</v>
      </c>
      <c r="H53" s="29">
        <f>IF(C53="", "", IF(D53="", "",D53-D38))</f>
        <v>320172.30640299997</v>
      </c>
      <c r="I53" s="29">
        <f>IF(D53="", "", IF(E53="", "",E53-E38))</f>
        <v>487370.2622880002</v>
      </c>
    </row>
    <row r="54" spans="1:9" x14ac:dyDescent="0.25">
      <c r="A54" s="25"/>
      <c r="B54" s="25" t="s">
        <v>12</v>
      </c>
      <c r="C54" s="26">
        <v>620402.03500000003</v>
      </c>
      <c r="D54" s="27">
        <v>700798.10919300001</v>
      </c>
      <c r="E54" s="28">
        <f>E53+C54-D54</f>
        <v>1546889.0323580005</v>
      </c>
      <c r="F54" s="25"/>
      <c r="G54" s="25" t="s">
        <v>12</v>
      </c>
      <c r="H54" s="29">
        <f>IF(C54="", "", IF(D54="", "",D54-D39))</f>
        <v>126922.81584599998</v>
      </c>
      <c r="I54" s="29">
        <f>IF(D54="", "", IF(E54="", "",E54-E39))</f>
        <v>397202.93394000037</v>
      </c>
    </row>
    <row r="55" spans="1:9" x14ac:dyDescent="0.25">
      <c r="A55" s="25"/>
      <c r="B55" s="25" t="s">
        <v>13</v>
      </c>
      <c r="C55" s="26">
        <v>623138.53</v>
      </c>
      <c r="D55" s="27">
        <v>680065.56422900001</v>
      </c>
      <c r="E55" s="28">
        <f>E54+C55-D55</f>
        <v>1489961.9981290004</v>
      </c>
      <c r="F55" s="25"/>
      <c r="G55" s="25" t="s">
        <v>13</v>
      </c>
      <c r="H55" s="29">
        <f>IF(C55="", "", IF(D55="", "",D55-D40))</f>
        <v>5356.685628999956</v>
      </c>
      <c r="I55" s="29">
        <f>IF(D55="", "", IF(E55="", "",E55-E40))</f>
        <v>377745.95497800037</v>
      </c>
    </row>
    <row r="56" spans="1:9" x14ac:dyDescent="0.25">
      <c r="A56" s="25"/>
      <c r="B56" s="25" t="s">
        <v>14</v>
      </c>
      <c r="C56" s="26">
        <v>644131.94062500005</v>
      </c>
      <c r="D56" s="27">
        <v>827798.63346499996</v>
      </c>
      <c r="E56" s="28">
        <f>E55+C56-D56</f>
        <v>1306295.3052890007</v>
      </c>
      <c r="F56" s="25"/>
      <c r="G56" s="25" t="s">
        <v>14</v>
      </c>
      <c r="H56" s="29">
        <f>IF(C56="", "", IF(D56="", "",D56-D41))</f>
        <v>244774.04612199997</v>
      </c>
      <c r="I56" s="29">
        <f>IF(D56="", "", IF(E56="", "",E56-E41))</f>
        <v>196776.20298100077</v>
      </c>
    </row>
    <row r="57" spans="1:9" x14ac:dyDescent="0.25">
      <c r="A57" s="25"/>
      <c r="B57" s="25" t="s">
        <v>15</v>
      </c>
      <c r="C57" s="26">
        <v>1005036.9220660001</v>
      </c>
      <c r="D57" s="27">
        <v>857517.40118399996</v>
      </c>
      <c r="E57" s="28">
        <f>E56+C57-D57</f>
        <v>1453814.8261710005</v>
      </c>
      <c r="F57" s="25"/>
      <c r="G57" s="25" t="s">
        <v>15</v>
      </c>
      <c r="H57" s="29">
        <f>IF(C57="", "", IF(D57="", "",D57-D42))</f>
        <v>232938.65147299995</v>
      </c>
      <c r="I57" s="29">
        <f>IF(D57="", "", IF(E57="", "",E57-E42))</f>
        <v>387177.28383400058</v>
      </c>
    </row>
    <row r="58" spans="1:9" x14ac:dyDescent="0.25">
      <c r="A58" s="25"/>
      <c r="B58" s="25" t="s">
        <v>16</v>
      </c>
      <c r="C58" s="26">
        <v>499611.66383500001</v>
      </c>
      <c r="D58" s="27">
        <v>688905.66896399995</v>
      </c>
      <c r="E58" s="28">
        <f>E57+C58-D58</f>
        <v>1264520.8210420005</v>
      </c>
      <c r="F58" s="25"/>
      <c r="G58" s="25" t="s">
        <v>16</v>
      </c>
      <c r="H58" s="29">
        <f>IF(C58="", "", IF(D58="", "",D58-D43))</f>
        <v>137405.0662779999</v>
      </c>
      <c r="I58" s="29">
        <f>IF(D58="", "", IF(E58="", "",E58-E43))</f>
        <v>68490.862279000692</v>
      </c>
    </row>
    <row r="59" spans="1:9" x14ac:dyDescent="0.25">
      <c r="A59" s="25"/>
      <c r="B59" s="25" t="s">
        <v>17</v>
      </c>
      <c r="C59" s="26">
        <v>836061.98670000001</v>
      </c>
      <c r="D59" s="27">
        <v>764507.356669</v>
      </c>
      <c r="E59" s="28">
        <f>E58+C59-D59</f>
        <v>1336075.4510730007</v>
      </c>
      <c r="F59" s="25"/>
      <c r="G59" s="25" t="s">
        <v>17</v>
      </c>
      <c r="H59" s="29">
        <f>IF(C59="", "", IF(D59="", "",D59-D44))</f>
        <v>78893.691988999955</v>
      </c>
      <c r="I59" s="29">
        <f>IF(D59="", "", IF(E59="", "",E59-E44))</f>
        <v>181186.16876800079</v>
      </c>
    </row>
    <row r="60" spans="1:9" x14ac:dyDescent="0.25">
      <c r="A60" s="30"/>
      <c r="B60" s="30" t="s">
        <v>18</v>
      </c>
      <c r="C60" s="31">
        <v>381728.35371499998</v>
      </c>
      <c r="D60" s="32">
        <v>713960.35483700002</v>
      </c>
      <c r="E60" s="33">
        <f>E59+C60-D60</f>
        <v>1003843.4499510006</v>
      </c>
      <c r="F60" s="30"/>
      <c r="G60" s="30" t="s">
        <v>18</v>
      </c>
      <c r="H60" s="34">
        <f>IF(C60="", "", IF(D60="", "",D60-D45))</f>
        <v>212494.00167000003</v>
      </c>
      <c r="I60" s="34">
        <f>IF(D60="", "", IF(E60="", "",E60-E45))</f>
        <v>-21724.584070999292</v>
      </c>
    </row>
    <row r="61" spans="1:9" s="2" customFormat="1" x14ac:dyDescent="0.25">
      <c r="A61" s="35"/>
      <c r="B61" s="35" t="s">
        <v>19</v>
      </c>
      <c r="C61" s="36">
        <f>SUM(C49:C60)</f>
        <v>8654733.0703950003</v>
      </c>
      <c r="D61" s="37">
        <f>SUM(D49:D60)</f>
        <v>8676457.6544659995</v>
      </c>
      <c r="E61" s="28"/>
      <c r="F61" s="35"/>
      <c r="G61" s="35"/>
      <c r="H61" s="28">
        <f>SUMIF(C49:C60,"&gt;=0",H49:H60)</f>
        <v>1758887.1893759994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721227.75586625002</v>
      </c>
      <c r="D62" s="37">
        <f>AVERAGE(D49:D60)</f>
        <v>723038.13787216658</v>
      </c>
      <c r="E62" s="38">
        <f>C62/D62-1</f>
        <v>-2.5038540999293701E-3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1003843.4499510006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688162.02408300003</v>
      </c>
      <c r="D64" s="13">
        <v>365379.96288299997</v>
      </c>
      <c r="E64" s="14">
        <f>E63+C64-D64</f>
        <v>1326625.5111510006</v>
      </c>
      <c r="F64" s="11"/>
      <c r="G64" s="11" t="s">
        <v>7</v>
      </c>
      <c r="H64" s="15">
        <f>IF(C64="", "", IF(D64="", "",D64-D49))</f>
        <v>-63364.88036900002</v>
      </c>
      <c r="I64" s="15">
        <f>IF(D64="", "", IF(E64="", "",E64-E49))</f>
        <v>-70573.847618999192</v>
      </c>
    </row>
    <row r="65" spans="1:9" x14ac:dyDescent="0.25">
      <c r="A65" s="11"/>
      <c r="B65" s="11" t="s">
        <v>8</v>
      </c>
      <c r="C65" s="12">
        <v>638399.68999999994</v>
      </c>
      <c r="D65" s="13">
        <v>840975.45522899996</v>
      </c>
      <c r="E65" s="14">
        <f>E64+C65-D65</f>
        <v>1124049.7459220006</v>
      </c>
      <c r="F65" s="11"/>
      <c r="G65" s="11" t="s">
        <v>8</v>
      </c>
      <c r="H65" s="15">
        <f>IF(C65="", "", IF(D65="", "",D65-D50))</f>
        <v>92617.987617000006</v>
      </c>
      <c r="I65" s="15">
        <f>IF(D65="", "", IF(E65="", "",E65-E50))</f>
        <v>-330834.8052359994</v>
      </c>
    </row>
    <row r="66" spans="1:9" x14ac:dyDescent="0.25">
      <c r="A66" s="11"/>
      <c r="B66" s="11" t="s">
        <v>9</v>
      </c>
      <c r="C66" s="12">
        <v>910782.11507399997</v>
      </c>
      <c r="D66" s="13">
        <v>920877.55009499996</v>
      </c>
      <c r="E66" s="14">
        <f>E65+C66-D66</f>
        <v>1113954.3109010006</v>
      </c>
      <c r="F66" s="11"/>
      <c r="G66" s="11" t="s">
        <v>9</v>
      </c>
      <c r="H66" s="15">
        <f>IF(C66="", "", IF(D66="", "",D66-D51))</f>
        <v>158150.2283539999</v>
      </c>
      <c r="I66" s="15">
        <f>IF(D66="", "", IF(E66="", "",E66-E51))</f>
        <v>-530698.22438299959</v>
      </c>
    </row>
    <row r="67" spans="1:9" x14ac:dyDescent="0.25">
      <c r="A67" s="11"/>
      <c r="B67" s="11" t="s">
        <v>10</v>
      </c>
      <c r="C67" s="12">
        <v>1136236.1148570001</v>
      </c>
      <c r="D67" s="13">
        <v>550620.435222</v>
      </c>
      <c r="E67" s="14">
        <f>E66+C67-D67</f>
        <v>1699569.9905360006</v>
      </c>
      <c r="F67" s="11"/>
      <c r="G67" s="11" t="s">
        <v>10</v>
      </c>
      <c r="H67" s="15">
        <f>IF(C67="", "", IF(D67="", "",D67-D52))</f>
        <v>-155014.38372499996</v>
      </c>
      <c r="I67" s="15">
        <f>IF(D67="", "", IF(E67="", "",E67-E52))</f>
        <v>-194545.73824499967</v>
      </c>
    </row>
    <row r="68" spans="1:9" x14ac:dyDescent="0.25">
      <c r="A68" s="11"/>
      <c r="B68" s="11" t="s">
        <v>11</v>
      </c>
      <c r="C68" s="12">
        <v>832220.83805000002</v>
      </c>
      <c r="D68" s="13">
        <v>864265.83895100001</v>
      </c>
      <c r="E68" s="14">
        <f>E67+C68-D68</f>
        <v>1667524.9896350005</v>
      </c>
      <c r="F68" s="11"/>
      <c r="G68" s="11" t="s">
        <v>11</v>
      </c>
      <c r="H68" s="15">
        <f>IF(C68="", "", IF(D68="", "",D68-D53))</f>
        <v>66825.724578000023</v>
      </c>
      <c r="I68" s="15">
        <f>IF(D68="", "", IF(E68="", "",E68-E53))</f>
        <v>40239.883084000088</v>
      </c>
    </row>
    <row r="69" spans="1:9" x14ac:dyDescent="0.25">
      <c r="A69" s="11"/>
      <c r="B69" s="11" t="s">
        <v>12</v>
      </c>
      <c r="C69" s="12">
        <v>787288.16835499997</v>
      </c>
      <c r="D69" s="13">
        <v>740732.71753999998</v>
      </c>
      <c r="E69" s="14">
        <f>E68+C69-D69</f>
        <v>1714080.4404500001</v>
      </c>
      <c r="F69" s="11"/>
      <c r="G69" s="11" t="s">
        <v>12</v>
      </c>
      <c r="H69" s="15">
        <f>IF(C69="", "", IF(D69="", "",D69-D54))</f>
        <v>39934.608346999972</v>
      </c>
      <c r="I69" s="15">
        <f>IF(D69="", "", IF(E69="", "",E69-E54))</f>
        <v>167191.40809199959</v>
      </c>
    </row>
    <row r="70" spans="1:9" x14ac:dyDescent="0.25">
      <c r="A70" s="11"/>
      <c r="B70" s="11" t="s">
        <v>13</v>
      </c>
      <c r="C70" s="12">
        <v>761701.44</v>
      </c>
      <c r="D70" s="13">
        <v>863376.98765999998</v>
      </c>
      <c r="E70" s="14">
        <f>E69+C70-D70</f>
        <v>1612404.89279</v>
      </c>
      <c r="F70" s="11"/>
      <c r="G70" s="11" t="s">
        <v>13</v>
      </c>
      <c r="H70" s="15">
        <f>IF(C70="", "", IF(D70="", "",D70-D55))</f>
        <v>183311.42343099997</v>
      </c>
      <c r="I70" s="15">
        <f>IF(D70="", "", IF(E70="", "",E70-E55))</f>
        <v>122442.89466099953</v>
      </c>
    </row>
    <row r="71" spans="1:9" x14ac:dyDescent="0.25">
      <c r="A71" s="11"/>
      <c r="B71" s="11" t="s">
        <v>14</v>
      </c>
      <c r="C71" s="12">
        <v>972683.27000100003</v>
      </c>
      <c r="D71" s="13">
        <v>1074667.6697839999</v>
      </c>
      <c r="E71" s="14">
        <f>E70+C71-D71</f>
        <v>1510420.4930069998</v>
      </c>
      <c r="F71" s="11"/>
      <c r="G71" s="11" t="s">
        <v>14</v>
      </c>
      <c r="H71" s="15">
        <f>IF(C71="", "", IF(D71="", "",D71-D56))</f>
        <v>246869.03631899995</v>
      </c>
      <c r="I71" s="15">
        <f>IF(D71="", "", IF(E71="", "",E71-E56))</f>
        <v>204125.1877179991</v>
      </c>
    </row>
    <row r="72" spans="1:9" x14ac:dyDescent="0.25">
      <c r="A72" s="11"/>
      <c r="B72" s="11" t="s">
        <v>15</v>
      </c>
      <c r="C72" s="12">
        <v>1509587.105945</v>
      </c>
      <c r="D72" s="13">
        <v>1264317.6397889999</v>
      </c>
      <c r="E72" s="14">
        <f>E71+C72-D72</f>
        <v>1755689.9591630001</v>
      </c>
      <c r="F72" s="11"/>
      <c r="G72" s="11" t="s">
        <v>15</v>
      </c>
      <c r="H72" s="15">
        <f>IF(C72="", "", IF(D72="", "",D72-D57))</f>
        <v>406800.23860499996</v>
      </c>
      <c r="I72" s="15">
        <f>IF(D72="", "", IF(E72="", "",E72-E57))</f>
        <v>301875.13299199962</v>
      </c>
    </row>
    <row r="73" spans="1:9" x14ac:dyDescent="0.25">
      <c r="A73" s="11"/>
      <c r="B73" s="11" t="s">
        <v>16</v>
      </c>
      <c r="C73" s="12">
        <v>1305988.497731</v>
      </c>
      <c r="D73" s="13">
        <v>1440305.276112</v>
      </c>
      <c r="E73" s="14">
        <f>E72+C73-D73</f>
        <v>1621373.1807820001</v>
      </c>
      <c r="F73" s="11"/>
      <c r="G73" s="11" t="s">
        <v>16</v>
      </c>
      <c r="H73" s="15">
        <f>IF(C73="", "", IF(D73="", "",D73-D58))</f>
        <v>751399.60714800004</v>
      </c>
      <c r="I73" s="15">
        <f>IF(D73="", "", IF(E73="", "",E73-E58))</f>
        <v>356852.35973999952</v>
      </c>
    </row>
    <row r="74" spans="1:9" x14ac:dyDescent="0.25">
      <c r="A74" s="11"/>
      <c r="B74" s="11" t="s">
        <v>17</v>
      </c>
      <c r="C74" s="12">
        <v>908789.05107000005</v>
      </c>
      <c r="D74" s="13">
        <v>1346487.7821829999</v>
      </c>
      <c r="E74" s="14">
        <f>E73+C74-D74</f>
        <v>1183674.4496690002</v>
      </c>
      <c r="F74" s="11"/>
      <c r="G74" s="11" t="s">
        <v>17</v>
      </c>
      <c r="H74" s="15">
        <f>IF(C74="", "", IF(D74="", "",D74-D59))</f>
        <v>581980.42551399989</v>
      </c>
      <c r="I74" s="15">
        <f>IF(D74="", "", IF(E74="", "",E74-E59))</f>
        <v>-152401.00140400045</v>
      </c>
    </row>
    <row r="75" spans="1:9" x14ac:dyDescent="0.25">
      <c r="A75" s="16"/>
      <c r="B75" s="16" t="s">
        <v>18</v>
      </c>
      <c r="C75" s="17">
        <v>983215.55</v>
      </c>
      <c r="D75" s="18">
        <v>744360.08318299998</v>
      </c>
      <c r="E75" s="19">
        <f>E74+C75-D75</f>
        <v>1422529.9164860006</v>
      </c>
      <c r="F75" s="16"/>
      <c r="G75" s="16" t="s">
        <v>18</v>
      </c>
      <c r="H75" s="20">
        <f>IF(C75="", "", IF(D75="", "",D75-D60))</f>
        <v>30399.72834599996</v>
      </c>
      <c r="I75" s="20">
        <f>IF(D75="", "", IF(E75="", "",E75-E60))</f>
        <v>418686.46653500001</v>
      </c>
    </row>
    <row r="76" spans="1:9" s="2" customFormat="1" x14ac:dyDescent="0.25">
      <c r="A76" s="21"/>
      <c r="B76" s="21" t="s">
        <v>19</v>
      </c>
      <c r="C76" s="22">
        <f>SUM(C64:C75)</f>
        <v>11435053.865166001</v>
      </c>
      <c r="D76" s="23">
        <f>SUM(D64:D75)</f>
        <v>11016367.398631001</v>
      </c>
      <c r="E76" s="14"/>
      <c r="F76" s="21"/>
      <c r="G76" s="21"/>
      <c r="H76" s="14">
        <f>SUMIF(C64:C75,"&gt;=0",H64:H75)</f>
        <v>2339909.7441649996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952921.15543050005</v>
      </c>
      <c r="D77" s="23">
        <f>AVERAGE(D64:D75)</f>
        <v>918030.61655258341</v>
      </c>
      <c r="E77" s="24">
        <f>C77/D77-1</f>
        <v>3.800585541355761E-2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1422529.9164860006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1422529.9164860006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1422529.9164860006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1422529.9164860006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1422529.9164860006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1422529.9164860006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1422529.9164860006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1422529.9164860006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1422529.9164860006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1422529.9164860006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1422529.9164860006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1422529.9164860006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1422529.9164860006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619B6-A3F0-422A-BE33-AEA421464443}">
  <sheetPr codeName="Sheet9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559397.90442399995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1819204.5889999999</v>
      </c>
      <c r="D4" s="13">
        <v>1279622.009911</v>
      </c>
      <c r="E4" s="14">
        <f>E3+C4-D4</f>
        <v>1098980.4835129997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676125.97</v>
      </c>
      <c r="D5" s="13">
        <v>817927.408482</v>
      </c>
      <c r="E5" s="14">
        <f>E4+C5-D5</f>
        <v>957179.0450309997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1129617.2320000001</v>
      </c>
      <c r="D6" s="13">
        <v>749299.223688</v>
      </c>
      <c r="E6" s="14">
        <f>E5+C6-D6</f>
        <v>1337497.0533429999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513782.15700000001</v>
      </c>
      <c r="D7" s="13">
        <v>668004.21254400001</v>
      </c>
      <c r="E7" s="14">
        <f>E6+C7-D7</f>
        <v>1183274.997799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746125.17776899994</v>
      </c>
      <c r="D8" s="13">
        <v>1071878.3659910001</v>
      </c>
      <c r="E8" s="14">
        <f>E7+C8-D8</f>
        <v>857521.80957699986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897725.96</v>
      </c>
      <c r="D9" s="13">
        <v>596439.25286400004</v>
      </c>
      <c r="E9" s="14">
        <f>E8+C9-D9</f>
        <v>1158808.5167129999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791522.34</v>
      </c>
      <c r="D10" s="13">
        <v>700785.30666100001</v>
      </c>
      <c r="E10" s="14">
        <f>E9+C10-D10</f>
        <v>1249545.5500519997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524105.06599099998</v>
      </c>
      <c r="D11" s="13">
        <v>817955.74882900005</v>
      </c>
      <c r="E11" s="14">
        <f>E10+C11-D11</f>
        <v>955694.86721399974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1347655.652</v>
      </c>
      <c r="D12" s="13">
        <v>1405753.498199</v>
      </c>
      <c r="E12" s="14">
        <f>E11+C12-D12</f>
        <v>897597.0210149996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928431.73633300001</v>
      </c>
      <c r="D13" s="13">
        <v>699889.07462700002</v>
      </c>
      <c r="E13" s="14">
        <f>E12+C13-D13</f>
        <v>1126139.6827209997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762904.39793500002</v>
      </c>
      <c r="D14" s="13">
        <v>1081943.7859050001</v>
      </c>
      <c r="E14" s="14">
        <f>E13+C14-D14</f>
        <v>807100.29475099966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424522.21399999998</v>
      </c>
      <c r="D15" s="18">
        <v>434210.846296</v>
      </c>
      <c r="E15" s="19">
        <f>E14+C15-D15</f>
        <v>797411.66245499952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10561722.492028</v>
      </c>
      <c r="D16" s="23">
        <f>SUM(D4:D15)</f>
        <v>10323708.733996999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880143.54100233328</v>
      </c>
      <c r="D17" s="23">
        <f>AVERAGE(D4:D15)</f>
        <v>860309.0611664165</v>
      </c>
      <c r="E17" s="24">
        <f>C17/D17-1</f>
        <v>2.3055063268803577E-2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797411.66245499952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872912.73100000003</v>
      </c>
      <c r="D19" s="27">
        <v>672966.742723</v>
      </c>
      <c r="E19" s="28">
        <f>E18+C19-D19</f>
        <v>997357.65073199966</v>
      </c>
      <c r="F19" s="25"/>
      <c r="G19" s="25" t="s">
        <v>7</v>
      </c>
      <c r="H19" s="29">
        <f>IF(C19="", "", IF(D19="", "",D19-D4))</f>
        <v>-606655.26718800003</v>
      </c>
      <c r="I19" s="29">
        <f>IF(D19="", "", IF(E19="", "",E19-E4))</f>
        <v>-101622.83278100006</v>
      </c>
    </row>
    <row r="20" spans="1:9" x14ac:dyDescent="0.25">
      <c r="A20" s="25"/>
      <c r="B20" s="25" t="s">
        <v>8</v>
      </c>
      <c r="C20" s="26">
        <v>727665.92599999998</v>
      </c>
      <c r="D20" s="27">
        <v>737638.10120499996</v>
      </c>
      <c r="E20" s="28">
        <f>E19+C20-D20</f>
        <v>987385.47552699968</v>
      </c>
      <c r="F20" s="25"/>
      <c r="G20" s="25" t="s">
        <v>8</v>
      </c>
      <c r="H20" s="29">
        <f>IF(C20="", "", IF(D20="", "",D20-D5))</f>
        <v>-80289.307277000044</v>
      </c>
      <c r="I20" s="29">
        <f>IF(D20="", "", IF(E20="", "",E20-E5))</f>
        <v>30206.430495999986</v>
      </c>
    </row>
    <row r="21" spans="1:9" x14ac:dyDescent="0.25">
      <c r="A21" s="25"/>
      <c r="B21" s="25" t="s">
        <v>9</v>
      </c>
      <c r="C21" s="26">
        <v>425957.01</v>
      </c>
      <c r="D21" s="27">
        <v>566082.91965599998</v>
      </c>
      <c r="E21" s="28">
        <f>E20+C21-D21</f>
        <v>847259.56587099971</v>
      </c>
      <c r="F21" s="25"/>
      <c r="G21" s="25" t="s">
        <v>9</v>
      </c>
      <c r="H21" s="29">
        <f>IF(C21="", "", IF(D21="", "",D21-D6))</f>
        <v>-183216.30403200001</v>
      </c>
      <c r="I21" s="29">
        <f>IF(D21="", "", IF(E21="", "",E21-E6))</f>
        <v>-490237.48747200018</v>
      </c>
    </row>
    <row r="22" spans="1:9" x14ac:dyDescent="0.25">
      <c r="A22" s="25"/>
      <c r="B22" s="25" t="s">
        <v>10</v>
      </c>
      <c r="C22" s="26">
        <v>414919.411112</v>
      </c>
      <c r="D22" s="27">
        <v>528822.24338600005</v>
      </c>
      <c r="E22" s="28">
        <f>E21+C22-D22</f>
        <v>733356.73359699955</v>
      </c>
      <c r="F22" s="25"/>
      <c r="G22" s="25" t="s">
        <v>10</v>
      </c>
      <c r="H22" s="29">
        <f>IF(C22="", "", IF(D22="", "",D22-D7))</f>
        <v>-139181.96915799996</v>
      </c>
      <c r="I22" s="29">
        <f>IF(D22="", "", IF(E22="", "",E22-E7))</f>
        <v>-449918.26420200046</v>
      </c>
    </row>
    <row r="23" spans="1:9" x14ac:dyDescent="0.25">
      <c r="A23" s="25"/>
      <c r="B23" s="25" t="s">
        <v>11</v>
      </c>
      <c r="C23" s="26">
        <v>519671.873333</v>
      </c>
      <c r="D23" s="27">
        <v>420026.64177799999</v>
      </c>
      <c r="E23" s="28">
        <f>E22+C23-D23</f>
        <v>833001.96515199961</v>
      </c>
      <c r="F23" s="25"/>
      <c r="G23" s="25" t="s">
        <v>11</v>
      </c>
      <c r="H23" s="29">
        <f>IF(C23="", "", IF(D23="", "",D23-D8))</f>
        <v>-651851.72421300015</v>
      </c>
      <c r="I23" s="29">
        <f>IF(D23="", "", IF(E23="", "",E23-E8))</f>
        <v>-24519.84442500025</v>
      </c>
    </row>
    <row r="24" spans="1:9" x14ac:dyDescent="0.25">
      <c r="A24" s="25"/>
      <c r="B24" s="25" t="s">
        <v>12</v>
      </c>
      <c r="C24" s="26">
        <v>1153449.23</v>
      </c>
      <c r="D24" s="27">
        <v>913570.74880599999</v>
      </c>
      <c r="E24" s="28">
        <f>E23+C24-D24</f>
        <v>1072880.4463459996</v>
      </c>
      <c r="F24" s="25"/>
      <c r="G24" s="25" t="s">
        <v>12</v>
      </c>
      <c r="H24" s="29">
        <f>IF(C24="", "", IF(D24="", "",D24-D9))</f>
        <v>317131.49594199995</v>
      </c>
      <c r="I24" s="29">
        <f>IF(D24="", "", IF(E24="", "",E24-E9))</f>
        <v>-85928.070367000299</v>
      </c>
    </row>
    <row r="25" spans="1:9" x14ac:dyDescent="0.25">
      <c r="A25" s="25"/>
      <c r="B25" s="25" t="s">
        <v>13</v>
      </c>
      <c r="C25" s="26">
        <v>1084888.8130000001</v>
      </c>
      <c r="D25" s="27">
        <v>1004453.284243</v>
      </c>
      <c r="E25" s="28">
        <f>E24+C25-D25</f>
        <v>1153315.9751029999</v>
      </c>
      <c r="F25" s="25"/>
      <c r="G25" s="25" t="s">
        <v>13</v>
      </c>
      <c r="H25" s="29">
        <f>IF(C25="", "", IF(D25="", "",D25-D10))</f>
        <v>303667.97758199996</v>
      </c>
      <c r="I25" s="29">
        <f>IF(D25="", "", IF(E25="", "",E25-E10))</f>
        <v>-96229.574948999798</v>
      </c>
    </row>
    <row r="26" spans="1:9" x14ac:dyDescent="0.25">
      <c r="A26" s="25"/>
      <c r="B26" s="25" t="s">
        <v>14</v>
      </c>
      <c r="C26" s="26">
        <v>1156648.130108</v>
      </c>
      <c r="D26" s="27">
        <v>1461291.100051</v>
      </c>
      <c r="E26" s="28">
        <f>E25+C26-D26</f>
        <v>848673.00515999994</v>
      </c>
      <c r="F26" s="25"/>
      <c r="G26" s="25" t="s">
        <v>14</v>
      </c>
      <c r="H26" s="29">
        <f>IF(C26="", "", IF(D26="", "",D26-D11))</f>
        <v>643335.35122199997</v>
      </c>
      <c r="I26" s="29">
        <f>IF(D26="", "", IF(E26="", "",E26-E11))</f>
        <v>-107021.86205399979</v>
      </c>
    </row>
    <row r="27" spans="1:9" x14ac:dyDescent="0.25">
      <c r="A27" s="25"/>
      <c r="B27" s="25" t="s">
        <v>15</v>
      </c>
      <c r="C27" s="26">
        <v>1076463.6100000001</v>
      </c>
      <c r="D27" s="27">
        <v>1091466.90435</v>
      </c>
      <c r="E27" s="28">
        <f>E26+C27-D27</f>
        <v>833669.71081000008</v>
      </c>
      <c r="F27" s="25"/>
      <c r="G27" s="25" t="s">
        <v>15</v>
      </c>
      <c r="H27" s="29">
        <f>IF(C27="", "", IF(D27="", "",D27-D12))</f>
        <v>-314286.59384900006</v>
      </c>
      <c r="I27" s="29">
        <f>IF(D27="", "", IF(E27="", "",E27-E12))</f>
        <v>-63927.310204999521</v>
      </c>
    </row>
    <row r="28" spans="1:9" x14ac:dyDescent="0.25">
      <c r="A28" s="25"/>
      <c r="B28" s="25" t="s">
        <v>16</v>
      </c>
      <c r="C28" s="26">
        <v>1224274.660769</v>
      </c>
      <c r="D28" s="27">
        <v>1252855.5582079999</v>
      </c>
      <c r="E28" s="28">
        <f>E27+C28-D28</f>
        <v>805088.81337100011</v>
      </c>
      <c r="F28" s="25"/>
      <c r="G28" s="25" t="s">
        <v>16</v>
      </c>
      <c r="H28" s="29">
        <f>IF(C28="", "", IF(D28="", "",D28-D13))</f>
        <v>552966.48358099989</v>
      </c>
      <c r="I28" s="29">
        <f>IF(D28="", "", IF(E28="", "",E28-E13))</f>
        <v>-321050.86934999959</v>
      </c>
    </row>
    <row r="29" spans="1:9" x14ac:dyDescent="0.25">
      <c r="A29" s="25"/>
      <c r="B29" s="25" t="s">
        <v>17</v>
      </c>
      <c r="C29" s="26">
        <v>949367.77557099995</v>
      </c>
      <c r="D29" s="27">
        <v>847644.38872299995</v>
      </c>
      <c r="E29" s="28">
        <f>E28+C29-D29</f>
        <v>906812.20021900022</v>
      </c>
      <c r="F29" s="25"/>
      <c r="G29" s="25" t="s">
        <v>17</v>
      </c>
      <c r="H29" s="29">
        <f>IF(C29="", "", IF(D29="", "",D29-D14))</f>
        <v>-234299.3971820001</v>
      </c>
      <c r="I29" s="29">
        <f>IF(D29="", "", IF(E29="", "",E29-E14))</f>
        <v>99711.905468000565</v>
      </c>
    </row>
    <row r="30" spans="1:9" x14ac:dyDescent="0.25">
      <c r="A30" s="30"/>
      <c r="B30" s="30" t="s">
        <v>18</v>
      </c>
      <c r="C30" s="31">
        <v>444036.58433300001</v>
      </c>
      <c r="D30" s="32">
        <v>744730.50287700002</v>
      </c>
      <c r="E30" s="33">
        <f>E29+C30-D30</f>
        <v>606118.28167500021</v>
      </c>
      <c r="F30" s="30"/>
      <c r="G30" s="30" t="s">
        <v>18</v>
      </c>
      <c r="H30" s="34">
        <f>IF(C30="", "", IF(D30="", "",D30-D15))</f>
        <v>310519.65658100002</v>
      </c>
      <c r="I30" s="34">
        <f>IF(D30="", "", IF(E30="", "",E30-E15))</f>
        <v>-191293.38077999931</v>
      </c>
    </row>
    <row r="31" spans="1:9" s="2" customFormat="1" x14ac:dyDescent="0.25">
      <c r="A31" s="35"/>
      <c r="B31" s="35" t="s">
        <v>19</v>
      </c>
      <c r="C31" s="36">
        <f>SUM(C19:C30)</f>
        <v>10050255.755226001</v>
      </c>
      <c r="D31" s="37">
        <f>SUM(D19:D30)</f>
        <v>10241549.136006001</v>
      </c>
      <c r="E31" s="28"/>
      <c r="F31" s="35"/>
      <c r="G31" s="35"/>
      <c r="H31" s="28">
        <f>SUMIF(C19:C30,"&gt;=0",H19:H30)</f>
        <v>-82159.59799100057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837521.31293550006</v>
      </c>
      <c r="D32" s="37">
        <f>AVERAGE(D19:D30)</f>
        <v>853462.42800050008</v>
      </c>
      <c r="E32" s="38">
        <f>C32/D32-1</f>
        <v>-1.8678168530918193E-2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606118.28167500021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1419116.64</v>
      </c>
      <c r="D34" s="13">
        <v>698287.62749999994</v>
      </c>
      <c r="E34" s="14">
        <f>E33+C34-D34</f>
        <v>1326947.2941750002</v>
      </c>
      <c r="F34" s="11"/>
      <c r="G34" s="11" t="s">
        <v>7</v>
      </c>
      <c r="H34" s="15">
        <f>IF(C34="", "", IF(D34="", "",D34-D19))</f>
        <v>25320.884776999941</v>
      </c>
      <c r="I34" s="15">
        <f>IF(D34="", "", IF(E34="", "",E34-E19))</f>
        <v>329589.6434430005</v>
      </c>
    </row>
    <row r="35" spans="1:9" x14ac:dyDescent="0.25">
      <c r="A35" s="11"/>
      <c r="B35" s="11" t="s">
        <v>8</v>
      </c>
      <c r="C35" s="12">
        <v>1181598.6720120001</v>
      </c>
      <c r="D35" s="13">
        <v>1150244.4142469999</v>
      </c>
      <c r="E35" s="14">
        <f>E34+C35-D35</f>
        <v>1358301.5519400004</v>
      </c>
      <c r="F35" s="11"/>
      <c r="G35" s="11" t="s">
        <v>8</v>
      </c>
      <c r="H35" s="15">
        <f>IF(C35="", "", IF(D35="", "",D35-D20))</f>
        <v>412606.31304199994</v>
      </c>
      <c r="I35" s="15">
        <f>IF(D35="", "", IF(E35="", "",E35-E20))</f>
        <v>370916.0764130007</v>
      </c>
    </row>
    <row r="36" spans="1:9" x14ac:dyDescent="0.25">
      <c r="A36" s="11"/>
      <c r="B36" s="11" t="s">
        <v>9</v>
      </c>
      <c r="C36" s="12">
        <v>830860.76</v>
      </c>
      <c r="D36" s="13">
        <v>1194597.893921</v>
      </c>
      <c r="E36" s="14">
        <f>E35+C36-D36</f>
        <v>994564.41801900044</v>
      </c>
      <c r="F36" s="11"/>
      <c r="G36" s="11" t="s">
        <v>9</v>
      </c>
      <c r="H36" s="15">
        <f>IF(C36="", "", IF(D36="", "",D36-D21))</f>
        <v>628514.97426499997</v>
      </c>
      <c r="I36" s="15">
        <f>IF(D36="", "", IF(E36="", "",E36-E21))</f>
        <v>147304.85214800073</v>
      </c>
    </row>
    <row r="37" spans="1:9" x14ac:dyDescent="0.25">
      <c r="A37" s="11"/>
      <c r="B37" s="11" t="s">
        <v>10</v>
      </c>
      <c r="C37" s="12">
        <v>1179369.6617129999</v>
      </c>
      <c r="D37" s="13">
        <v>1118481.130009</v>
      </c>
      <c r="E37" s="14">
        <f>E36+C37-D37</f>
        <v>1055452.9497230004</v>
      </c>
      <c r="F37" s="11"/>
      <c r="G37" s="11" t="s">
        <v>10</v>
      </c>
      <c r="H37" s="15">
        <f>IF(C37="", "", IF(D37="", "",D37-D22))</f>
        <v>589658.88662299991</v>
      </c>
      <c r="I37" s="15">
        <f>IF(D37="", "", IF(E37="", "",E37-E22))</f>
        <v>322096.21612600086</v>
      </c>
    </row>
    <row r="38" spans="1:9" x14ac:dyDescent="0.25">
      <c r="A38" s="11"/>
      <c r="B38" s="11" t="s">
        <v>11</v>
      </c>
      <c r="C38" s="12">
        <v>1034961.027889</v>
      </c>
      <c r="D38" s="13">
        <v>728483.16118900001</v>
      </c>
      <c r="E38" s="14">
        <f>E37+C38-D38</f>
        <v>1361930.8164230003</v>
      </c>
      <c r="F38" s="11"/>
      <c r="G38" s="11" t="s">
        <v>11</v>
      </c>
      <c r="H38" s="15">
        <f>IF(C38="", "", IF(D38="", "",D38-D23))</f>
        <v>308456.51941100002</v>
      </c>
      <c r="I38" s="15">
        <f>IF(D38="", "", IF(E38="", "",E38-E23))</f>
        <v>528928.85127100069</v>
      </c>
    </row>
    <row r="39" spans="1:9" x14ac:dyDescent="0.25">
      <c r="A39" s="11"/>
      <c r="B39" s="11" t="s">
        <v>12</v>
      </c>
      <c r="C39" s="12">
        <v>429814.89600000001</v>
      </c>
      <c r="D39" s="13">
        <v>715611.04218300001</v>
      </c>
      <c r="E39" s="14">
        <f>E38+C39-D39</f>
        <v>1076134.6702400004</v>
      </c>
      <c r="F39" s="11"/>
      <c r="G39" s="11" t="s">
        <v>12</v>
      </c>
      <c r="H39" s="15">
        <f>IF(C39="", "", IF(D39="", "",D39-D24))</f>
        <v>-197959.70662299998</v>
      </c>
      <c r="I39" s="15">
        <f>IF(D39="", "", IF(E39="", "",E39-E24))</f>
        <v>3254.2238940007519</v>
      </c>
    </row>
    <row r="40" spans="1:9" x14ac:dyDescent="0.25">
      <c r="A40" s="11"/>
      <c r="B40" s="11" t="s">
        <v>13</v>
      </c>
      <c r="C40" s="12">
        <v>643835.39800000004</v>
      </c>
      <c r="D40" s="13">
        <v>750307.09411199996</v>
      </c>
      <c r="E40" s="14">
        <f>E39+C40-D40</f>
        <v>969662.97412800044</v>
      </c>
      <c r="F40" s="11"/>
      <c r="G40" s="11" t="s">
        <v>13</v>
      </c>
      <c r="H40" s="15">
        <f>IF(C40="", "", IF(D40="", "",D40-D25))</f>
        <v>-254146.19013100001</v>
      </c>
      <c r="I40" s="15">
        <f>IF(D40="", "", IF(E40="", "",E40-E25))</f>
        <v>-183653.00097499951</v>
      </c>
    </row>
    <row r="41" spans="1:9" x14ac:dyDescent="0.25">
      <c r="A41" s="11"/>
      <c r="B41" s="11" t="s">
        <v>14</v>
      </c>
      <c r="C41" s="12">
        <v>469039.20899999997</v>
      </c>
      <c r="D41" s="13">
        <v>458900.07606499997</v>
      </c>
      <c r="E41" s="14">
        <f>E40+C41-D41</f>
        <v>979802.10706300056</v>
      </c>
      <c r="F41" s="11"/>
      <c r="G41" s="11" t="s">
        <v>14</v>
      </c>
      <c r="H41" s="15">
        <f>IF(C41="", "", IF(D41="", "",D41-D26))</f>
        <v>-1002391.0239860001</v>
      </c>
      <c r="I41" s="15">
        <f>IF(D41="", "", IF(E41="", "",E41-E26))</f>
        <v>131129.10190300061</v>
      </c>
    </row>
    <row r="42" spans="1:9" x14ac:dyDescent="0.25">
      <c r="A42" s="11"/>
      <c r="B42" s="11" t="s">
        <v>15</v>
      </c>
      <c r="C42" s="12">
        <v>533184.45499999996</v>
      </c>
      <c r="D42" s="13">
        <v>501406.97354400001</v>
      </c>
      <c r="E42" s="14">
        <f>E41+C42-D42</f>
        <v>1011579.5885190007</v>
      </c>
      <c r="F42" s="11"/>
      <c r="G42" s="11" t="s">
        <v>15</v>
      </c>
      <c r="H42" s="15">
        <f>IF(C42="", "", IF(D42="", "",D42-D27))</f>
        <v>-590059.93080600002</v>
      </c>
      <c r="I42" s="15">
        <f>IF(D42="", "", IF(E42="", "",E42-E27))</f>
        <v>177909.8777090006</v>
      </c>
    </row>
    <row r="43" spans="1:9" x14ac:dyDescent="0.25">
      <c r="A43" s="11"/>
      <c r="B43" s="11" t="s">
        <v>16</v>
      </c>
      <c r="C43" s="12">
        <v>268482.28999999998</v>
      </c>
      <c r="D43" s="13">
        <v>273828.09442600003</v>
      </c>
      <c r="E43" s="14">
        <f>E42+C43-D43</f>
        <v>1006233.7840930007</v>
      </c>
      <c r="F43" s="11"/>
      <c r="G43" s="11" t="s">
        <v>16</v>
      </c>
      <c r="H43" s="15">
        <f>IF(C43="", "", IF(D43="", "",D43-D28))</f>
        <v>-979027.46378199989</v>
      </c>
      <c r="I43" s="15">
        <f>IF(D43="", "", IF(E43="", "",E43-E28))</f>
        <v>201144.97072200058</v>
      </c>
    </row>
    <row r="44" spans="1:9" x14ac:dyDescent="0.25">
      <c r="A44" s="11"/>
      <c r="B44" s="11" t="s">
        <v>17</v>
      </c>
      <c r="C44" s="12">
        <v>485647.47749999998</v>
      </c>
      <c r="D44" s="13">
        <v>444651.20469599997</v>
      </c>
      <c r="E44" s="14">
        <f>E43+C44-D44</f>
        <v>1047230.0568970008</v>
      </c>
      <c r="F44" s="11"/>
      <c r="G44" s="11" t="s">
        <v>17</v>
      </c>
      <c r="H44" s="15">
        <f>IF(C44="", "", IF(D44="", "",D44-D29))</f>
        <v>-402993.18402699998</v>
      </c>
      <c r="I44" s="15">
        <f>IF(D44="", "", IF(E44="", "",E44-E29))</f>
        <v>140417.85667800053</v>
      </c>
    </row>
    <row r="45" spans="1:9" x14ac:dyDescent="0.25">
      <c r="A45" s="16"/>
      <c r="B45" s="16" t="s">
        <v>18</v>
      </c>
      <c r="C45" s="17">
        <v>425420.31</v>
      </c>
      <c r="D45" s="18">
        <v>420787.65846100001</v>
      </c>
      <c r="E45" s="19">
        <f>E44+C45-D45</f>
        <v>1051862.7084360006</v>
      </c>
      <c r="F45" s="16"/>
      <c r="G45" s="16" t="s">
        <v>18</v>
      </c>
      <c r="H45" s="20">
        <f>IF(C45="", "", IF(D45="", "",D45-D30))</f>
        <v>-323942.84441600001</v>
      </c>
      <c r="I45" s="20">
        <f>IF(D45="", "", IF(E45="", "",E45-E30))</f>
        <v>445744.42676100042</v>
      </c>
    </row>
    <row r="46" spans="1:9" s="2" customFormat="1" x14ac:dyDescent="0.25">
      <c r="A46" s="21"/>
      <c r="B46" s="21" t="s">
        <v>19</v>
      </c>
      <c r="C46" s="22">
        <f>SUM(C34:C45)</f>
        <v>8901330.7971139997</v>
      </c>
      <c r="D46" s="23">
        <f>SUM(D34:D45)</f>
        <v>8455586.3703530002</v>
      </c>
      <c r="E46" s="14"/>
      <c r="F46" s="21"/>
      <c r="G46" s="21"/>
      <c r="H46" s="14">
        <f>SUMIF(C34:C45,"&gt;=0",H34:H45)</f>
        <v>-1785962.7656530002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741777.56642616668</v>
      </c>
      <c r="D47" s="23">
        <f>AVERAGE(D34:D45)</f>
        <v>704632.19752941665</v>
      </c>
      <c r="E47" s="24">
        <f>C47/D47-1</f>
        <v>5.271596873800144E-2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1051862.7084360006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987696.63699999999</v>
      </c>
      <c r="D49" s="27">
        <v>422737.64208000002</v>
      </c>
      <c r="E49" s="28">
        <f>E48+C49-D49</f>
        <v>1616821.7033560006</v>
      </c>
      <c r="F49" s="25"/>
      <c r="G49" s="25" t="s">
        <v>7</v>
      </c>
      <c r="H49" s="29">
        <f>IF(C49="", "", IF(D49="", "",D49-D34))</f>
        <v>-275549.98541999992</v>
      </c>
      <c r="I49" s="29">
        <f>IF(D49="", "", IF(E49="", "",E49-E34))</f>
        <v>289874.40918100043</v>
      </c>
    </row>
    <row r="50" spans="1:9" x14ac:dyDescent="0.25">
      <c r="A50" s="25"/>
      <c r="B50" s="25" t="s">
        <v>8</v>
      </c>
      <c r="C50" s="26">
        <v>753016.228</v>
      </c>
      <c r="D50" s="27">
        <v>473943.72790400003</v>
      </c>
      <c r="E50" s="28">
        <f>E49+C50-D50</f>
        <v>1895894.2034520006</v>
      </c>
      <c r="F50" s="25"/>
      <c r="G50" s="25" t="s">
        <v>8</v>
      </c>
      <c r="H50" s="29">
        <f>IF(C50="", "", IF(D50="", "",D50-D35))</f>
        <v>-676300.6863429998</v>
      </c>
      <c r="I50" s="29">
        <f>IF(D50="", "", IF(E50="", "",E50-E35))</f>
        <v>537592.65151200024</v>
      </c>
    </row>
    <row r="51" spans="1:9" x14ac:dyDescent="0.25">
      <c r="A51" s="25"/>
      <c r="B51" s="25" t="s">
        <v>9</v>
      </c>
      <c r="C51" s="26">
        <v>1085788.7749999999</v>
      </c>
      <c r="D51" s="27">
        <v>726838.44567100005</v>
      </c>
      <c r="E51" s="28">
        <f>E50+C51-D51</f>
        <v>2254844.5327810007</v>
      </c>
      <c r="F51" s="25"/>
      <c r="G51" s="25" t="s">
        <v>9</v>
      </c>
      <c r="H51" s="29">
        <f>IF(C51="", "", IF(D51="", "",D51-D36))</f>
        <v>-467759.4482499999</v>
      </c>
      <c r="I51" s="29">
        <f>IF(D51="", "", IF(E51="", "",E51-E36))</f>
        <v>1260280.1147620003</v>
      </c>
    </row>
    <row r="52" spans="1:9" x14ac:dyDescent="0.25">
      <c r="A52" s="25"/>
      <c r="B52" s="25" t="s">
        <v>10</v>
      </c>
      <c r="C52" s="26">
        <v>993410.30533400003</v>
      </c>
      <c r="D52" s="27">
        <v>701271.47972599999</v>
      </c>
      <c r="E52" s="28">
        <f>E51+C52-D52</f>
        <v>2546983.3583890004</v>
      </c>
      <c r="F52" s="25"/>
      <c r="G52" s="25" t="s">
        <v>10</v>
      </c>
      <c r="H52" s="29">
        <f>IF(C52="", "", IF(D52="", "",D52-D37))</f>
        <v>-417209.65028299997</v>
      </c>
      <c r="I52" s="29">
        <f>IF(D52="", "", IF(E52="", "",E52-E37))</f>
        <v>1491530.408666</v>
      </c>
    </row>
    <row r="53" spans="1:9" x14ac:dyDescent="0.25">
      <c r="A53" s="25"/>
      <c r="B53" s="25" t="s">
        <v>11</v>
      </c>
      <c r="C53" s="26">
        <v>934194.15</v>
      </c>
      <c r="D53" s="27">
        <v>1015498.450907</v>
      </c>
      <c r="E53" s="28">
        <f>E52+C53-D53</f>
        <v>2465679.0574820004</v>
      </c>
      <c r="F53" s="25"/>
      <c r="G53" s="25" t="s">
        <v>11</v>
      </c>
      <c r="H53" s="29">
        <f>IF(C53="", "", IF(D53="", "",D53-D38))</f>
        <v>287015.28971799999</v>
      </c>
      <c r="I53" s="29">
        <f>IF(D53="", "", IF(E53="", "",E53-E38))</f>
        <v>1103748.2410590001</v>
      </c>
    </row>
    <row r="54" spans="1:9" x14ac:dyDescent="0.25">
      <c r="A54" s="25"/>
      <c r="B54" s="25" t="s">
        <v>12</v>
      </c>
      <c r="C54" s="26">
        <v>520954.67233299999</v>
      </c>
      <c r="D54" s="27">
        <v>746998.68150599999</v>
      </c>
      <c r="E54" s="28">
        <f>E53+C54-D54</f>
        <v>2239635.0483090007</v>
      </c>
      <c r="F54" s="25"/>
      <c r="G54" s="25" t="s">
        <v>12</v>
      </c>
      <c r="H54" s="29">
        <f>IF(C54="", "", IF(D54="", "",D54-D39))</f>
        <v>31387.639322999981</v>
      </c>
      <c r="I54" s="29">
        <f>IF(D54="", "", IF(E54="", "",E54-E39))</f>
        <v>1163500.3780690003</v>
      </c>
    </row>
    <row r="55" spans="1:9" x14ac:dyDescent="0.25">
      <c r="A55" s="25"/>
      <c r="B55" s="25" t="s">
        <v>13</v>
      </c>
      <c r="C55" s="26">
        <v>314097.46999999997</v>
      </c>
      <c r="D55" s="27">
        <v>624551.83080800006</v>
      </c>
      <c r="E55" s="28">
        <f>E54+C55-D55</f>
        <v>1929180.6875010007</v>
      </c>
      <c r="F55" s="25"/>
      <c r="G55" s="25" t="s">
        <v>13</v>
      </c>
      <c r="H55" s="29">
        <f>IF(C55="", "", IF(D55="", "",D55-D40))</f>
        <v>-125755.26330399991</v>
      </c>
      <c r="I55" s="29">
        <f>IF(D55="", "", IF(E55="", "",E55-E40))</f>
        <v>959517.71337300027</v>
      </c>
    </row>
    <row r="56" spans="1:9" x14ac:dyDescent="0.25">
      <c r="A56" s="25"/>
      <c r="B56" s="25" t="s">
        <v>14</v>
      </c>
      <c r="C56" s="26">
        <v>842554.21999799996</v>
      </c>
      <c r="D56" s="27">
        <v>912435.80189</v>
      </c>
      <c r="E56" s="28">
        <f>E55+C56-D56</f>
        <v>1859299.1056090004</v>
      </c>
      <c r="F56" s="25"/>
      <c r="G56" s="25" t="s">
        <v>14</v>
      </c>
      <c r="H56" s="29">
        <f>IF(C56="", "", IF(D56="", "",D56-D41))</f>
        <v>453535.72582500003</v>
      </c>
      <c r="I56" s="29">
        <f>IF(D56="", "", IF(E56="", "",E56-E41))</f>
        <v>879496.99854599987</v>
      </c>
    </row>
    <row r="57" spans="1:9" x14ac:dyDescent="0.25">
      <c r="A57" s="25"/>
      <c r="B57" s="25" t="s">
        <v>15</v>
      </c>
      <c r="C57" s="26">
        <v>680203.19499999995</v>
      </c>
      <c r="D57" s="27">
        <v>809938.427394</v>
      </c>
      <c r="E57" s="28">
        <f>E56+C57-D57</f>
        <v>1729563.8732150006</v>
      </c>
      <c r="F57" s="25"/>
      <c r="G57" s="25" t="s">
        <v>15</v>
      </c>
      <c r="H57" s="29">
        <f>IF(C57="", "", IF(D57="", "",D57-D42))</f>
        <v>308531.45384999999</v>
      </c>
      <c r="I57" s="29">
        <f>IF(D57="", "", IF(E57="", "",E57-E42))</f>
        <v>717984.28469599993</v>
      </c>
    </row>
    <row r="58" spans="1:9" x14ac:dyDescent="0.25">
      <c r="A58" s="25"/>
      <c r="B58" s="25" t="s">
        <v>16</v>
      </c>
      <c r="C58" s="26">
        <v>787706.70733300003</v>
      </c>
      <c r="D58" s="27">
        <v>752247.25295899995</v>
      </c>
      <c r="E58" s="28">
        <f>E57+C58-D58</f>
        <v>1765023.3275890006</v>
      </c>
      <c r="F58" s="25"/>
      <c r="G58" s="25" t="s">
        <v>16</v>
      </c>
      <c r="H58" s="29">
        <f>IF(C58="", "", IF(D58="", "",D58-D43))</f>
        <v>478419.15853299992</v>
      </c>
      <c r="I58" s="29">
        <f>IF(D58="", "", IF(E58="", "",E58-E43))</f>
        <v>758789.54349599988</v>
      </c>
    </row>
    <row r="59" spans="1:9" x14ac:dyDescent="0.25">
      <c r="A59" s="25"/>
      <c r="B59" s="25" t="s">
        <v>17</v>
      </c>
      <c r="C59" s="26">
        <v>689151.27</v>
      </c>
      <c r="D59" s="27">
        <v>598814.33606200002</v>
      </c>
      <c r="E59" s="28">
        <f>E58+C59-D59</f>
        <v>1855360.2615270005</v>
      </c>
      <c r="F59" s="25"/>
      <c r="G59" s="25" t="s">
        <v>17</v>
      </c>
      <c r="H59" s="29">
        <f>IF(C59="", "", IF(D59="", "",D59-D44))</f>
        <v>154163.13136600005</v>
      </c>
      <c r="I59" s="29">
        <f>IF(D59="", "", IF(E59="", "",E59-E44))</f>
        <v>808130.2046299997</v>
      </c>
    </row>
    <row r="60" spans="1:9" x14ac:dyDescent="0.25">
      <c r="A60" s="30"/>
      <c r="B60" s="30" t="s">
        <v>18</v>
      </c>
      <c r="C60" s="31">
        <v>669259.28009300004</v>
      </c>
      <c r="D60" s="32">
        <v>769742.53116999997</v>
      </c>
      <c r="E60" s="33">
        <f>E59+C60-D60</f>
        <v>1754877.0104500004</v>
      </c>
      <c r="F60" s="30"/>
      <c r="G60" s="30" t="s">
        <v>18</v>
      </c>
      <c r="H60" s="34">
        <f>IF(C60="", "", IF(D60="", "",D60-D45))</f>
        <v>348954.87270899996</v>
      </c>
      <c r="I60" s="34">
        <f>IF(D60="", "", IF(E60="", "",E60-E45))</f>
        <v>703014.30201399978</v>
      </c>
    </row>
    <row r="61" spans="1:9" s="2" customFormat="1" x14ac:dyDescent="0.25">
      <c r="A61" s="35"/>
      <c r="B61" s="35" t="s">
        <v>19</v>
      </c>
      <c r="C61" s="36">
        <f>SUM(C49:C60)</f>
        <v>9258032.9100909997</v>
      </c>
      <c r="D61" s="37">
        <f>SUM(D49:D60)</f>
        <v>8555018.608076999</v>
      </c>
      <c r="E61" s="28"/>
      <c r="F61" s="35"/>
      <c r="G61" s="35"/>
      <c r="H61" s="28">
        <f>SUMIF(C49:C60,"&gt;=0",H49:H60)</f>
        <v>99432.237724000763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771502.74250758335</v>
      </c>
      <c r="D62" s="37">
        <f>AVERAGE(D49:D60)</f>
        <v>712918.21733974991</v>
      </c>
      <c r="E62" s="38">
        <f>C62/D62-1</f>
        <v>8.2175660185036747E-2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1754877.0104500004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1342614.82</v>
      </c>
      <c r="D64" s="13">
        <v>258765.087241</v>
      </c>
      <c r="E64" s="14">
        <f>E63+C64-D64</f>
        <v>2838726.7432090002</v>
      </c>
      <c r="F64" s="11"/>
      <c r="G64" s="11" t="s">
        <v>7</v>
      </c>
      <c r="H64" s="15">
        <f>IF(C64="", "", IF(D64="", "",D64-D49))</f>
        <v>-163972.55483900002</v>
      </c>
      <c r="I64" s="15">
        <f>IF(D64="", "", IF(E64="", "",E64-E49))</f>
        <v>1221905.0398529996</v>
      </c>
    </row>
    <row r="65" spans="1:9" x14ac:dyDescent="0.25">
      <c r="A65" s="11"/>
      <c r="B65" s="11" t="s">
        <v>8</v>
      </c>
      <c r="C65" s="12">
        <v>379201.23</v>
      </c>
      <c r="D65" s="13">
        <v>512351.35840999999</v>
      </c>
      <c r="E65" s="14">
        <f>E64+C65-D65</f>
        <v>2705576.6147990003</v>
      </c>
      <c r="F65" s="11"/>
      <c r="G65" s="11" t="s">
        <v>8</v>
      </c>
      <c r="H65" s="15">
        <f>IF(C65="", "", IF(D65="", "",D65-D50))</f>
        <v>38407.630505999958</v>
      </c>
      <c r="I65" s="15">
        <f>IF(D65="", "", IF(E65="", "",E65-E50))</f>
        <v>809682.4113469997</v>
      </c>
    </row>
    <row r="66" spans="1:9" x14ac:dyDescent="0.25">
      <c r="A66" s="11"/>
      <c r="B66" s="11" t="s">
        <v>9</v>
      </c>
      <c r="C66" s="12">
        <v>304694.20500000002</v>
      </c>
      <c r="D66" s="13">
        <v>781404.85233300005</v>
      </c>
      <c r="E66" s="14">
        <f>E65+C66-D66</f>
        <v>2228865.9674660005</v>
      </c>
      <c r="F66" s="11"/>
      <c r="G66" s="11" t="s">
        <v>9</v>
      </c>
      <c r="H66" s="15">
        <f>IF(C66="", "", IF(D66="", "",D66-D51))</f>
        <v>54566.406661999994</v>
      </c>
      <c r="I66" s="15">
        <f>IF(D66="", "", IF(E66="", "",E66-E51))</f>
        <v>-25978.565315000247</v>
      </c>
    </row>
    <row r="67" spans="1:9" x14ac:dyDescent="0.25">
      <c r="A67" s="11"/>
      <c r="B67" s="11" t="s">
        <v>10</v>
      </c>
      <c r="C67" s="12">
        <v>1040587.53</v>
      </c>
      <c r="D67" s="13">
        <v>437658.53525199997</v>
      </c>
      <c r="E67" s="14">
        <f>E66+C67-D67</f>
        <v>2831794.9622140005</v>
      </c>
      <c r="F67" s="11"/>
      <c r="G67" s="11" t="s">
        <v>10</v>
      </c>
      <c r="H67" s="15">
        <f>IF(C67="", "", IF(D67="", "",D67-D52))</f>
        <v>-263612.94447400002</v>
      </c>
      <c r="I67" s="15">
        <f>IF(D67="", "", IF(E67="", "",E67-E52))</f>
        <v>284811.60382500011</v>
      </c>
    </row>
    <row r="68" spans="1:9" x14ac:dyDescent="0.25">
      <c r="A68" s="11"/>
      <c r="B68" s="11" t="s">
        <v>11</v>
      </c>
      <c r="C68" s="12">
        <v>194176.94</v>
      </c>
      <c r="D68" s="13">
        <v>549608.73001000006</v>
      </c>
      <c r="E68" s="14">
        <f>E67+C68-D68</f>
        <v>2476363.1722040004</v>
      </c>
      <c r="F68" s="11"/>
      <c r="G68" s="11" t="s">
        <v>11</v>
      </c>
      <c r="H68" s="15">
        <f>IF(C68="", "", IF(D68="", "",D68-D53))</f>
        <v>-465889.72089699993</v>
      </c>
      <c r="I68" s="15">
        <f>IF(D68="", "", IF(E68="", "",E68-E53))</f>
        <v>10684.114721999969</v>
      </c>
    </row>
    <row r="69" spans="1:9" x14ac:dyDescent="0.25">
      <c r="A69" s="11"/>
      <c r="B69" s="11" t="s">
        <v>12</v>
      </c>
      <c r="C69" s="12">
        <v>264133.68</v>
      </c>
      <c r="D69" s="13">
        <v>439759.08029499999</v>
      </c>
      <c r="E69" s="14">
        <f>E68+C69-D69</f>
        <v>2300737.7719090004</v>
      </c>
      <c r="F69" s="11"/>
      <c r="G69" s="11" t="s">
        <v>12</v>
      </c>
      <c r="H69" s="15">
        <f>IF(C69="", "", IF(D69="", "",D69-D54))</f>
        <v>-307239.601211</v>
      </c>
      <c r="I69" s="15">
        <f>IF(D69="", "", IF(E69="", "",E69-E54))</f>
        <v>61102.723599999677</v>
      </c>
    </row>
    <row r="70" spans="1:9" x14ac:dyDescent="0.25">
      <c r="A70" s="11"/>
      <c r="B70" s="11" t="s">
        <v>13</v>
      </c>
      <c r="C70" s="12">
        <v>463787.82</v>
      </c>
      <c r="D70" s="13">
        <v>534841.13823599997</v>
      </c>
      <c r="E70" s="14">
        <f>E69+C70-D70</f>
        <v>2229684.4536730004</v>
      </c>
      <c r="F70" s="11"/>
      <c r="G70" s="11" t="s">
        <v>13</v>
      </c>
      <c r="H70" s="15">
        <f>IF(C70="", "", IF(D70="", "",D70-D55))</f>
        <v>-89710.692572000087</v>
      </c>
      <c r="I70" s="15">
        <f>IF(D70="", "", IF(E70="", "",E70-E55))</f>
        <v>300503.76617199974</v>
      </c>
    </row>
    <row r="71" spans="1:9" x14ac:dyDescent="0.25">
      <c r="A71" s="11"/>
      <c r="B71" s="11" t="s">
        <v>14</v>
      </c>
      <c r="C71" s="12">
        <v>488742.02400099998</v>
      </c>
      <c r="D71" s="13">
        <v>556627.62172599998</v>
      </c>
      <c r="E71" s="14">
        <f>E70+C71-D71</f>
        <v>2161798.8559480002</v>
      </c>
      <c r="F71" s="11"/>
      <c r="G71" s="11" t="s">
        <v>14</v>
      </c>
      <c r="H71" s="15">
        <f>IF(C71="", "", IF(D71="", "",D71-D56))</f>
        <v>-355808.18016400002</v>
      </c>
      <c r="I71" s="15">
        <f>IF(D71="", "", IF(E71="", "",E71-E56))</f>
        <v>302499.75033899979</v>
      </c>
    </row>
    <row r="72" spans="1:9" x14ac:dyDescent="0.25">
      <c r="A72" s="11"/>
      <c r="B72" s="11" t="s">
        <v>15</v>
      </c>
      <c r="C72" s="12">
        <v>439141.06</v>
      </c>
      <c r="D72" s="13">
        <v>409053.01871700003</v>
      </c>
      <c r="E72" s="14">
        <f>E71+C72-D72</f>
        <v>2191886.8972310005</v>
      </c>
      <c r="F72" s="11"/>
      <c r="G72" s="11" t="s">
        <v>15</v>
      </c>
      <c r="H72" s="15">
        <f>IF(C72="", "", IF(D72="", "",D72-D57))</f>
        <v>-400885.40867699997</v>
      </c>
      <c r="I72" s="15">
        <f>IF(D72="", "", IF(E72="", "",E72-E57))</f>
        <v>462323.02401599986</v>
      </c>
    </row>
    <row r="73" spans="1:9" x14ac:dyDescent="0.25">
      <c r="A73" s="11"/>
      <c r="B73" s="11" t="s">
        <v>16</v>
      </c>
      <c r="C73" s="12">
        <v>642775.89500000002</v>
      </c>
      <c r="D73" s="13">
        <v>503647.40382900002</v>
      </c>
      <c r="E73" s="14">
        <f>E72+C73-D73</f>
        <v>2331015.3884020005</v>
      </c>
      <c r="F73" s="11"/>
      <c r="G73" s="11" t="s">
        <v>16</v>
      </c>
      <c r="H73" s="15">
        <f>IF(C73="", "", IF(D73="", "",D73-D58))</f>
        <v>-248599.84912999993</v>
      </c>
      <c r="I73" s="15">
        <f>IF(D73="", "", IF(E73="", "",E73-E58))</f>
        <v>565992.06081299996</v>
      </c>
    </row>
    <row r="74" spans="1:9" x14ac:dyDescent="0.25">
      <c r="A74" s="11"/>
      <c r="B74" s="11" t="s">
        <v>17</v>
      </c>
      <c r="C74" s="12">
        <v>449878.649928</v>
      </c>
      <c r="D74" s="13">
        <v>475019.91904000001</v>
      </c>
      <c r="E74" s="14">
        <f>E73+C74-D74</f>
        <v>2305874.1192900003</v>
      </c>
      <c r="F74" s="11"/>
      <c r="G74" s="11" t="s">
        <v>17</v>
      </c>
      <c r="H74" s="15">
        <f>IF(C74="", "", IF(D74="", "",D74-D59))</f>
        <v>-123794.41702200001</v>
      </c>
      <c r="I74" s="15">
        <f>IF(D74="", "", IF(E74="", "",E74-E59))</f>
        <v>450513.85776299983</v>
      </c>
    </row>
    <row r="75" spans="1:9" x14ac:dyDescent="0.25">
      <c r="A75" s="16"/>
      <c r="B75" s="16" t="s">
        <v>18</v>
      </c>
      <c r="C75" s="17">
        <v>61857.33</v>
      </c>
      <c r="D75" s="18">
        <v>344295.81588299997</v>
      </c>
      <c r="E75" s="19">
        <f>E74+C75-D75</f>
        <v>2023435.6334070005</v>
      </c>
      <c r="F75" s="16"/>
      <c r="G75" s="16" t="s">
        <v>18</v>
      </c>
      <c r="H75" s="20">
        <f>IF(C75="", "", IF(D75="", "",D75-D60))</f>
        <v>-425446.715287</v>
      </c>
      <c r="I75" s="20">
        <f>IF(D75="", "", IF(E75="", "",E75-E60))</f>
        <v>268558.62295700004</v>
      </c>
    </row>
    <row r="76" spans="1:9" s="2" customFormat="1" x14ac:dyDescent="0.25">
      <c r="A76" s="21"/>
      <c r="B76" s="21" t="s">
        <v>19</v>
      </c>
      <c r="C76" s="22">
        <f>SUM(C64:C75)</f>
        <v>6071591.183929</v>
      </c>
      <c r="D76" s="23">
        <f>SUM(D64:D75)</f>
        <v>5803032.5609720005</v>
      </c>
      <c r="E76" s="14"/>
      <c r="F76" s="21"/>
      <c r="G76" s="21"/>
      <c r="H76" s="14">
        <f>SUMIF(C64:C75,"&gt;=0",H64:H75)</f>
        <v>-2751986.0471050004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505965.93199408334</v>
      </c>
      <c r="D77" s="23">
        <f>AVERAGE(D64:D75)</f>
        <v>483586.04674766673</v>
      </c>
      <c r="E77" s="24">
        <f>C77/D77-1</f>
        <v>4.6279013625251109E-2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2023435.6334070005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2023435.6334070005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2023435.6334070005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2023435.6334070005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2023435.6334070005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2023435.6334070005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2023435.6334070005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2023435.6334070005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2023435.6334070005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2023435.6334070005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2023435.6334070005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2023435.6334070005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2023435.6334070005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0732-56D4-4106-AD5B-21A2F0BADC9E}">
  <sheetPr codeName="Sheet10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741400.03363399999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357177.62999799999</v>
      </c>
      <c r="D4" s="13">
        <v>287939.21822799998</v>
      </c>
      <c r="E4" s="14">
        <f>E3+C4-D4</f>
        <v>810638.44540399988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400107.94</v>
      </c>
      <c r="D5" s="13">
        <v>326130.26220499998</v>
      </c>
      <c r="E5" s="14">
        <f>E4+C5-D5</f>
        <v>884616.12319899979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614091.27</v>
      </c>
      <c r="D6" s="13">
        <v>402925.14257800003</v>
      </c>
      <c r="E6" s="14">
        <f>E5+C6-D6</f>
        <v>1095782.2506209998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472643.15090900002</v>
      </c>
      <c r="D7" s="13">
        <v>454555.86839199997</v>
      </c>
      <c r="E7" s="14">
        <f>E6+C7-D7</f>
        <v>1113869.5331379999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295432.01909100002</v>
      </c>
      <c r="D8" s="13">
        <v>510348.77981600002</v>
      </c>
      <c r="E8" s="14">
        <f>E7+C8-D8</f>
        <v>898952.772413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331245.48</v>
      </c>
      <c r="D9" s="13">
        <v>356399.93924699997</v>
      </c>
      <c r="E9" s="14">
        <f>E8+C9-D9</f>
        <v>873798.31316599995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444636.2</v>
      </c>
      <c r="D10" s="13">
        <v>447526.244458</v>
      </c>
      <c r="E10" s="14">
        <f>E9+C10-D10</f>
        <v>870908.26870799996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421446.86</v>
      </c>
      <c r="D11" s="13">
        <v>444650.98315099999</v>
      </c>
      <c r="E11" s="14">
        <f>E10+C11-D11</f>
        <v>847704.14555699984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568965.74961099995</v>
      </c>
      <c r="D12" s="13">
        <v>486302.68242899998</v>
      </c>
      <c r="E12" s="14">
        <f>E11+C12-D12</f>
        <v>930367.21273899986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864744.46771899995</v>
      </c>
      <c r="D13" s="13">
        <v>879478.37366499996</v>
      </c>
      <c r="E13" s="14">
        <f>E12+C13-D13</f>
        <v>915633.30679299997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664037.36</v>
      </c>
      <c r="D14" s="13">
        <v>789288.61016000004</v>
      </c>
      <c r="E14" s="14">
        <f>E13+C14-D14</f>
        <v>790382.05663299991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779205.16500000004</v>
      </c>
      <c r="D15" s="18">
        <v>664674.93903100002</v>
      </c>
      <c r="E15" s="19">
        <f>E14+C15-D15</f>
        <v>904912.28260199982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6213733.292328001</v>
      </c>
      <c r="D16" s="23">
        <f>SUM(D4:D15)</f>
        <v>6050221.0433599995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517811.10769400006</v>
      </c>
      <c r="D17" s="23">
        <f>AVERAGE(D4:D15)</f>
        <v>504185.08694666665</v>
      </c>
      <c r="E17" s="24">
        <f>C17/D17-1</f>
        <v>2.7025830592991795E-2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904912.28260199982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487214.55</v>
      </c>
      <c r="D19" s="27">
        <v>566672.29203400004</v>
      </c>
      <c r="E19" s="28">
        <f>E18+C19-D19</f>
        <v>825454.54056799982</v>
      </c>
      <c r="F19" s="25"/>
      <c r="G19" s="25" t="s">
        <v>7</v>
      </c>
      <c r="H19" s="29">
        <f>IF(C19="", "", IF(D19="", "",D19-D4))</f>
        <v>278733.07380600006</v>
      </c>
      <c r="I19" s="29">
        <f>IF(D19="", "", IF(E19="", "",E19-E4))</f>
        <v>14816.09516399994</v>
      </c>
    </row>
    <row r="20" spans="1:9" x14ac:dyDescent="0.25">
      <c r="A20" s="25"/>
      <c r="B20" s="25" t="s">
        <v>8</v>
      </c>
      <c r="C20" s="26">
        <v>707630.78039099998</v>
      </c>
      <c r="D20" s="27">
        <v>483669.19917899999</v>
      </c>
      <c r="E20" s="28">
        <f>E19+C20-D20</f>
        <v>1049416.1217799999</v>
      </c>
      <c r="F20" s="25"/>
      <c r="G20" s="25" t="s">
        <v>8</v>
      </c>
      <c r="H20" s="29">
        <f>IF(C20="", "", IF(D20="", "",D20-D5))</f>
        <v>157538.93697400001</v>
      </c>
      <c r="I20" s="29">
        <f>IF(D20="", "", IF(E20="", "",E20-E5))</f>
        <v>164799.99858100014</v>
      </c>
    </row>
    <row r="21" spans="1:9" x14ac:dyDescent="0.25">
      <c r="A21" s="25"/>
      <c r="B21" s="25" t="s">
        <v>9</v>
      </c>
      <c r="C21" s="26">
        <v>907041.94</v>
      </c>
      <c r="D21" s="27">
        <v>747672.03426600003</v>
      </c>
      <c r="E21" s="28">
        <f>E20+C21-D21</f>
        <v>1208786.027514</v>
      </c>
      <c r="F21" s="25"/>
      <c r="G21" s="25" t="s">
        <v>9</v>
      </c>
      <c r="H21" s="29">
        <f>IF(C21="", "", IF(D21="", "",D21-D6))</f>
        <v>344746.891688</v>
      </c>
      <c r="I21" s="29">
        <f>IF(D21="", "", IF(E21="", "",E21-E6))</f>
        <v>113003.77689300012</v>
      </c>
    </row>
    <row r="22" spans="1:9" x14ac:dyDescent="0.25">
      <c r="A22" s="25"/>
      <c r="B22" s="25" t="s">
        <v>10</v>
      </c>
      <c r="C22" s="26">
        <v>1015980.76</v>
      </c>
      <c r="D22" s="27">
        <v>1012383.815951</v>
      </c>
      <c r="E22" s="28">
        <f>E21+C22-D22</f>
        <v>1212382.9715630002</v>
      </c>
      <c r="F22" s="25"/>
      <c r="G22" s="25" t="s">
        <v>10</v>
      </c>
      <c r="H22" s="29">
        <f>IF(C22="", "", IF(D22="", "",D22-D7))</f>
        <v>557827.94755899999</v>
      </c>
      <c r="I22" s="29">
        <f>IF(D22="", "", IF(E22="", "",E22-E7))</f>
        <v>98513.438425000291</v>
      </c>
    </row>
    <row r="23" spans="1:9" x14ac:dyDescent="0.25">
      <c r="A23" s="25"/>
      <c r="B23" s="25" t="s">
        <v>11</v>
      </c>
      <c r="C23" s="26">
        <v>618440.36</v>
      </c>
      <c r="D23" s="27">
        <v>785544.73878100002</v>
      </c>
      <c r="E23" s="28">
        <f>E22+C23-D23</f>
        <v>1045278.5927820001</v>
      </c>
      <c r="F23" s="25"/>
      <c r="G23" s="25" t="s">
        <v>11</v>
      </c>
      <c r="H23" s="29">
        <f>IF(C23="", "", IF(D23="", "",D23-D8))</f>
        <v>275195.958965</v>
      </c>
      <c r="I23" s="29">
        <f>IF(D23="", "", IF(E23="", "",E23-E8))</f>
        <v>146325.82036900008</v>
      </c>
    </row>
    <row r="24" spans="1:9" x14ac:dyDescent="0.25">
      <c r="A24" s="25"/>
      <c r="B24" s="25" t="s">
        <v>12</v>
      </c>
      <c r="C24" s="26">
        <v>885359.01</v>
      </c>
      <c r="D24" s="27">
        <v>908359.07587199996</v>
      </c>
      <c r="E24" s="28">
        <f>E23+C24-D24</f>
        <v>1022278.5269100001</v>
      </c>
      <c r="F24" s="25"/>
      <c r="G24" s="25" t="s">
        <v>12</v>
      </c>
      <c r="H24" s="29">
        <f>IF(C24="", "", IF(D24="", "",D24-D9))</f>
        <v>551959.13662500004</v>
      </c>
      <c r="I24" s="29">
        <f>IF(D24="", "", IF(E24="", "",E24-E9))</f>
        <v>148480.21374400018</v>
      </c>
    </row>
    <row r="25" spans="1:9" x14ac:dyDescent="0.25">
      <c r="A25" s="25"/>
      <c r="B25" s="25" t="s">
        <v>13</v>
      </c>
      <c r="C25" s="26">
        <v>707270.28495700005</v>
      </c>
      <c r="D25" s="27">
        <v>900025.63374199998</v>
      </c>
      <c r="E25" s="28">
        <f>E24+C25-D25</f>
        <v>829523.17812500009</v>
      </c>
      <c r="F25" s="25"/>
      <c r="G25" s="25" t="s">
        <v>13</v>
      </c>
      <c r="H25" s="29">
        <f>IF(C25="", "", IF(D25="", "",D25-D10))</f>
        <v>452499.38928399998</v>
      </c>
      <c r="I25" s="29">
        <f>IF(D25="", "", IF(E25="", "",E25-E10))</f>
        <v>-41385.090582999866</v>
      </c>
    </row>
    <row r="26" spans="1:9" x14ac:dyDescent="0.25">
      <c r="A26" s="25"/>
      <c r="B26" s="25" t="s">
        <v>14</v>
      </c>
      <c r="C26" s="26">
        <v>880639.54</v>
      </c>
      <c r="D26" s="27">
        <v>874764.50953599997</v>
      </c>
      <c r="E26" s="28">
        <f>E25+C26-D26</f>
        <v>835398.20858900016</v>
      </c>
      <c r="F26" s="25"/>
      <c r="G26" s="25" t="s">
        <v>14</v>
      </c>
      <c r="H26" s="29">
        <f>IF(C26="", "", IF(D26="", "",D26-D11))</f>
        <v>430113.52638499998</v>
      </c>
      <c r="I26" s="29">
        <f>IF(D26="", "", IF(E26="", "",E26-E11))</f>
        <v>-12305.936967999674</v>
      </c>
    </row>
    <row r="27" spans="1:9" x14ac:dyDescent="0.25">
      <c r="A27" s="25"/>
      <c r="B27" s="25" t="s">
        <v>15</v>
      </c>
      <c r="C27" s="26">
        <v>608843.53200000001</v>
      </c>
      <c r="D27" s="27">
        <v>632800.04393699998</v>
      </c>
      <c r="E27" s="28">
        <f>E26+C27-D27</f>
        <v>811441.6966520003</v>
      </c>
      <c r="F27" s="25"/>
      <c r="G27" s="25" t="s">
        <v>15</v>
      </c>
      <c r="H27" s="29">
        <f>IF(C27="", "", IF(D27="", "",D27-D12))</f>
        <v>146497.361508</v>
      </c>
      <c r="I27" s="29">
        <f>IF(D27="", "", IF(E27="", "",E27-E12))</f>
        <v>-118925.51608699956</v>
      </c>
    </row>
    <row r="28" spans="1:9" x14ac:dyDescent="0.25">
      <c r="A28" s="25"/>
      <c r="B28" s="25" t="s">
        <v>16</v>
      </c>
      <c r="C28" s="26">
        <v>1706434.3289999999</v>
      </c>
      <c r="D28" s="27">
        <v>1503881.284648</v>
      </c>
      <c r="E28" s="28">
        <f>E27+C28-D28</f>
        <v>1013994.7410040002</v>
      </c>
      <c r="F28" s="25"/>
      <c r="G28" s="25" t="s">
        <v>16</v>
      </c>
      <c r="H28" s="29">
        <f>IF(C28="", "", IF(D28="", "",D28-D13))</f>
        <v>624402.91098300007</v>
      </c>
      <c r="I28" s="29">
        <f>IF(D28="", "", IF(E28="", "",E28-E13))</f>
        <v>98361.434211000218</v>
      </c>
    </row>
    <row r="29" spans="1:9" x14ac:dyDescent="0.25">
      <c r="A29" s="25"/>
      <c r="B29" s="25" t="s">
        <v>17</v>
      </c>
      <c r="C29" s="26">
        <v>548108.94999999995</v>
      </c>
      <c r="D29" s="27">
        <v>632107.97902500001</v>
      </c>
      <c r="E29" s="28">
        <f>E28+C29-D29</f>
        <v>929995.71197900013</v>
      </c>
      <c r="F29" s="25"/>
      <c r="G29" s="25" t="s">
        <v>17</v>
      </c>
      <c r="H29" s="29">
        <f>IF(C29="", "", IF(D29="", "",D29-D14))</f>
        <v>-157180.63113500003</v>
      </c>
      <c r="I29" s="29">
        <f>IF(D29="", "", IF(E29="", "",E29-E14))</f>
        <v>139613.65534600022</v>
      </c>
    </row>
    <row r="30" spans="1:9" x14ac:dyDescent="0.25">
      <c r="A30" s="30"/>
      <c r="B30" s="30" t="s">
        <v>18</v>
      </c>
      <c r="C30" s="31">
        <v>279474.62</v>
      </c>
      <c r="D30" s="32">
        <v>464357.26309700002</v>
      </c>
      <c r="E30" s="33">
        <f>E29+C30-D30</f>
        <v>745113.06888199993</v>
      </c>
      <c r="F30" s="30"/>
      <c r="G30" s="30" t="s">
        <v>18</v>
      </c>
      <c r="H30" s="34">
        <f>IF(C30="", "", IF(D30="", "",D30-D15))</f>
        <v>-200317.675934</v>
      </c>
      <c r="I30" s="34">
        <f>IF(D30="", "", IF(E30="", "",E30-E15))</f>
        <v>-159799.21371999988</v>
      </c>
    </row>
    <row r="31" spans="1:9" s="2" customFormat="1" x14ac:dyDescent="0.25">
      <c r="A31" s="35"/>
      <c r="B31" s="35" t="s">
        <v>19</v>
      </c>
      <c r="C31" s="36">
        <f>SUM(C19:C30)</f>
        <v>9352438.6563479993</v>
      </c>
      <c r="D31" s="37">
        <f>SUM(D19:D30)</f>
        <v>9512237.8700679988</v>
      </c>
      <c r="E31" s="28"/>
      <c r="F31" s="35"/>
      <c r="G31" s="35"/>
      <c r="H31" s="28">
        <f>SUMIF(C19:C30,"&gt;=0",H19:H30)</f>
        <v>3462016.8267080002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779369.88802899991</v>
      </c>
      <c r="D32" s="37">
        <f>AVERAGE(D19:D30)</f>
        <v>792686.48917233327</v>
      </c>
      <c r="E32" s="38">
        <f>C32/D32-1</f>
        <v>-1.6799329022546661E-2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745113.06888199993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729557.25</v>
      </c>
      <c r="D34" s="13">
        <v>829531.50470599998</v>
      </c>
      <c r="E34" s="14">
        <f>E33+C34-D34</f>
        <v>645138.81417599996</v>
      </c>
      <c r="F34" s="11"/>
      <c r="G34" s="11" t="s">
        <v>7</v>
      </c>
      <c r="H34" s="15">
        <f>IF(C34="", "", IF(D34="", "",D34-D19))</f>
        <v>262859.21267199994</v>
      </c>
      <c r="I34" s="15">
        <f>IF(D34="", "", IF(E34="", "",E34-E19))</f>
        <v>-180315.72639199987</v>
      </c>
    </row>
    <row r="35" spans="1:9" x14ac:dyDescent="0.25">
      <c r="A35" s="11"/>
      <c r="B35" s="11" t="s">
        <v>8</v>
      </c>
      <c r="C35" s="12">
        <v>566483.13232400001</v>
      </c>
      <c r="D35" s="13">
        <v>415109.883761</v>
      </c>
      <c r="E35" s="14">
        <f>E34+C35-D35</f>
        <v>796512.06273900007</v>
      </c>
      <c r="F35" s="11"/>
      <c r="G35" s="11" t="s">
        <v>8</v>
      </c>
      <c r="H35" s="15">
        <f>IF(C35="", "", IF(D35="", "",D35-D20))</f>
        <v>-68559.315417999984</v>
      </c>
      <c r="I35" s="15">
        <f>IF(D35="", "", IF(E35="", "",E35-E20))</f>
        <v>-252904.05904099985</v>
      </c>
    </row>
    <row r="36" spans="1:9" x14ac:dyDescent="0.25">
      <c r="A36" s="11"/>
      <c r="B36" s="11" t="s">
        <v>9</v>
      </c>
      <c r="C36" s="12">
        <v>987052.33453999995</v>
      </c>
      <c r="D36" s="13">
        <v>748253.04341499996</v>
      </c>
      <c r="E36" s="14">
        <f>E35+C36-D36</f>
        <v>1035311.3538639999</v>
      </c>
      <c r="F36" s="11"/>
      <c r="G36" s="11" t="s">
        <v>9</v>
      </c>
      <c r="H36" s="15">
        <f>IF(C36="", "", IF(D36="", "",D36-D21))</f>
        <v>581.00914899993222</v>
      </c>
      <c r="I36" s="15">
        <f>IF(D36="", "", IF(E36="", "",E36-E21))</f>
        <v>-173474.67365000001</v>
      </c>
    </row>
    <row r="37" spans="1:9" x14ac:dyDescent="0.25">
      <c r="A37" s="11"/>
      <c r="B37" s="11" t="s">
        <v>10</v>
      </c>
      <c r="C37" s="12">
        <v>845832.29372700001</v>
      </c>
      <c r="D37" s="13">
        <v>832633.91636799998</v>
      </c>
      <c r="E37" s="14">
        <f>E36+C37-D37</f>
        <v>1048509.731223</v>
      </c>
      <c r="F37" s="11"/>
      <c r="G37" s="11" t="s">
        <v>10</v>
      </c>
      <c r="H37" s="15">
        <f>IF(C37="", "", IF(D37="", "",D37-D22))</f>
        <v>-179749.89958299999</v>
      </c>
      <c r="I37" s="15">
        <f>IF(D37="", "", IF(E37="", "",E37-E22))</f>
        <v>-163873.24034000025</v>
      </c>
    </row>
    <row r="38" spans="1:9" x14ac:dyDescent="0.25">
      <c r="A38" s="11"/>
      <c r="B38" s="11" t="s">
        <v>11</v>
      </c>
      <c r="C38" s="12">
        <v>661086.95239999995</v>
      </c>
      <c r="D38" s="13">
        <v>620236.40442699997</v>
      </c>
      <c r="E38" s="14">
        <f>E37+C38-D38</f>
        <v>1089360.2791960002</v>
      </c>
      <c r="F38" s="11"/>
      <c r="G38" s="11" t="s">
        <v>11</v>
      </c>
      <c r="H38" s="15">
        <f>IF(C38="", "", IF(D38="", "",D38-D23))</f>
        <v>-165308.33435400005</v>
      </c>
      <c r="I38" s="15">
        <f>IF(D38="", "", IF(E38="", "",E38-E23))</f>
        <v>44081.686414000113</v>
      </c>
    </row>
    <row r="39" spans="1:9" x14ac:dyDescent="0.25">
      <c r="A39" s="11"/>
      <c r="B39" s="11" t="s">
        <v>12</v>
      </c>
      <c r="C39" s="12">
        <v>172900.49</v>
      </c>
      <c r="D39" s="13">
        <v>381211.66982700001</v>
      </c>
      <c r="E39" s="14">
        <f>E38+C39-D39</f>
        <v>881049.09936900018</v>
      </c>
      <c r="F39" s="11"/>
      <c r="G39" s="11" t="s">
        <v>12</v>
      </c>
      <c r="H39" s="15">
        <f>IF(C39="", "", IF(D39="", "",D39-D24))</f>
        <v>-527147.40604499995</v>
      </c>
      <c r="I39" s="15">
        <f>IF(D39="", "", IF(E39="", "",E39-E24))</f>
        <v>-141229.42754099995</v>
      </c>
    </row>
    <row r="40" spans="1:9" x14ac:dyDescent="0.25">
      <c r="A40" s="11"/>
      <c r="B40" s="11" t="s">
        <v>13</v>
      </c>
      <c r="C40" s="12">
        <v>414041.52</v>
      </c>
      <c r="D40" s="13">
        <v>346915.71032000001</v>
      </c>
      <c r="E40" s="14">
        <f>E39+C40-D40</f>
        <v>948174.90904900013</v>
      </c>
      <c r="F40" s="11"/>
      <c r="G40" s="11" t="s">
        <v>13</v>
      </c>
      <c r="H40" s="15">
        <f>IF(C40="", "", IF(D40="", "",D40-D25))</f>
        <v>-553109.92342199991</v>
      </c>
      <c r="I40" s="15">
        <f>IF(D40="", "", IF(E40="", "",E40-E25))</f>
        <v>118651.73092400003</v>
      </c>
    </row>
    <row r="41" spans="1:9" x14ac:dyDescent="0.25">
      <c r="A41" s="11"/>
      <c r="B41" s="11" t="s">
        <v>14</v>
      </c>
      <c r="C41" s="12">
        <v>256534.213919</v>
      </c>
      <c r="D41" s="13">
        <v>245393.69488299999</v>
      </c>
      <c r="E41" s="14">
        <f>E40+C41-D41</f>
        <v>959315.42808500014</v>
      </c>
      <c r="F41" s="11"/>
      <c r="G41" s="11" t="s">
        <v>14</v>
      </c>
      <c r="H41" s="15">
        <f>IF(C41="", "", IF(D41="", "",D41-D26))</f>
        <v>-629370.81465299998</v>
      </c>
      <c r="I41" s="15">
        <f>IF(D41="", "", IF(E41="", "",E41-E26))</f>
        <v>123917.21949599998</v>
      </c>
    </row>
    <row r="42" spans="1:9" x14ac:dyDescent="0.25">
      <c r="A42" s="11"/>
      <c r="B42" s="11" t="s">
        <v>15</v>
      </c>
      <c r="C42" s="12">
        <v>364944.71</v>
      </c>
      <c r="D42" s="13">
        <v>478381.40677499998</v>
      </c>
      <c r="E42" s="14">
        <f>E41+C42-D42</f>
        <v>845878.73131000018</v>
      </c>
      <c r="F42" s="11"/>
      <c r="G42" s="11" t="s">
        <v>15</v>
      </c>
      <c r="H42" s="15">
        <f>IF(C42="", "", IF(D42="", "",D42-D27))</f>
        <v>-154418.637162</v>
      </c>
      <c r="I42" s="15">
        <f>IF(D42="", "", IF(E42="", "",E42-E27))</f>
        <v>34437.034657999873</v>
      </c>
    </row>
    <row r="43" spans="1:9" x14ac:dyDescent="0.25">
      <c r="A43" s="11"/>
      <c r="B43" s="11" t="s">
        <v>16</v>
      </c>
      <c r="C43" s="12">
        <v>476805.09</v>
      </c>
      <c r="D43" s="13">
        <v>550327.68681900005</v>
      </c>
      <c r="E43" s="14">
        <f>E42+C43-D43</f>
        <v>772356.13449100021</v>
      </c>
      <c r="F43" s="11"/>
      <c r="G43" s="11" t="s">
        <v>16</v>
      </c>
      <c r="H43" s="15">
        <f>IF(C43="", "", IF(D43="", "",D43-D28))</f>
        <v>-953553.59782899998</v>
      </c>
      <c r="I43" s="15">
        <f>IF(D43="", "", IF(E43="", "",E43-E28))</f>
        <v>-241638.60651299998</v>
      </c>
    </row>
    <row r="44" spans="1:9" x14ac:dyDescent="0.25">
      <c r="A44" s="11"/>
      <c r="B44" s="11" t="s">
        <v>17</v>
      </c>
      <c r="C44" s="12">
        <v>532220.15740300005</v>
      </c>
      <c r="D44" s="13">
        <v>592204.89392399997</v>
      </c>
      <c r="E44" s="14">
        <f>E43+C44-D44</f>
        <v>712371.39797000028</v>
      </c>
      <c r="F44" s="11"/>
      <c r="G44" s="11" t="s">
        <v>17</v>
      </c>
      <c r="H44" s="15">
        <f>IF(C44="", "", IF(D44="", "",D44-D29))</f>
        <v>-39903.085101000033</v>
      </c>
      <c r="I44" s="15">
        <f>IF(D44="", "", IF(E44="", "",E44-E29))</f>
        <v>-217624.31400899985</v>
      </c>
    </row>
    <row r="45" spans="1:9" x14ac:dyDescent="0.25">
      <c r="A45" s="16"/>
      <c r="B45" s="16" t="s">
        <v>18</v>
      </c>
      <c r="C45" s="17">
        <v>663075.12050900003</v>
      </c>
      <c r="D45" s="18">
        <v>818293.69990400004</v>
      </c>
      <c r="E45" s="19">
        <f>E44+C45-D45</f>
        <v>557152.81857500027</v>
      </c>
      <c r="F45" s="16"/>
      <c r="G45" s="16" t="s">
        <v>18</v>
      </c>
      <c r="H45" s="20">
        <f>IF(C45="", "", IF(D45="", "",D45-D30))</f>
        <v>353936.43680700002</v>
      </c>
      <c r="I45" s="20">
        <f>IF(D45="", "", IF(E45="", "",E45-E30))</f>
        <v>-187960.25030699966</v>
      </c>
    </row>
    <row r="46" spans="1:9" s="2" customFormat="1" x14ac:dyDescent="0.25">
      <c r="A46" s="21"/>
      <c r="B46" s="21" t="s">
        <v>19</v>
      </c>
      <c r="C46" s="22">
        <f>SUM(C34:C45)</f>
        <v>6670533.2648220006</v>
      </c>
      <c r="D46" s="23">
        <f>SUM(D34:D45)</f>
        <v>6858493.515128999</v>
      </c>
      <c r="E46" s="14"/>
      <c r="F46" s="21"/>
      <c r="G46" s="21"/>
      <c r="H46" s="14">
        <f>SUMIF(C34:C45,"&gt;=0",H34:H45)</f>
        <v>-2653744.3549389997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555877.77206850005</v>
      </c>
      <c r="D47" s="23">
        <f>AVERAGE(D34:D45)</f>
        <v>571541.12626074988</v>
      </c>
      <c r="E47" s="24">
        <f>C47/D47-1</f>
        <v>-2.7405471754457511E-2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557152.81857500027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669677.87</v>
      </c>
      <c r="D49" s="27">
        <v>430323.23555699998</v>
      </c>
      <c r="E49" s="28">
        <f>E48+C49-D49</f>
        <v>796507.45301800035</v>
      </c>
      <c r="F49" s="25"/>
      <c r="G49" s="25" t="s">
        <v>7</v>
      </c>
      <c r="H49" s="29">
        <f>IF(C49="", "", IF(D49="", "",D49-D34))</f>
        <v>-399208.269149</v>
      </c>
      <c r="I49" s="29">
        <f>IF(D49="", "", IF(E49="", "",E49-E34))</f>
        <v>151368.63884200039</v>
      </c>
    </row>
    <row r="50" spans="1:9" x14ac:dyDescent="0.25">
      <c r="A50" s="25"/>
      <c r="B50" s="25" t="s">
        <v>8</v>
      </c>
      <c r="C50" s="26">
        <v>568182.76</v>
      </c>
      <c r="D50" s="27">
        <v>452873.61102399998</v>
      </c>
      <c r="E50" s="28">
        <f>E49+C50-D50</f>
        <v>911816.60199400038</v>
      </c>
      <c r="F50" s="25"/>
      <c r="G50" s="25" t="s">
        <v>8</v>
      </c>
      <c r="H50" s="29">
        <f>IF(C50="", "", IF(D50="", "",D50-D35))</f>
        <v>37763.727262999979</v>
      </c>
      <c r="I50" s="29">
        <f>IF(D50="", "", IF(E50="", "",E50-E35))</f>
        <v>115304.5392550003</v>
      </c>
    </row>
    <row r="51" spans="1:9" x14ac:dyDescent="0.25">
      <c r="A51" s="25"/>
      <c r="B51" s="25" t="s">
        <v>9</v>
      </c>
      <c r="C51" s="26">
        <v>479368.67</v>
      </c>
      <c r="D51" s="27">
        <v>303884.291623</v>
      </c>
      <c r="E51" s="28">
        <f>E50+C51-D51</f>
        <v>1087300.9803710002</v>
      </c>
      <c r="F51" s="25"/>
      <c r="G51" s="25" t="s">
        <v>9</v>
      </c>
      <c r="H51" s="29">
        <f>IF(C51="", "", IF(D51="", "",D51-D36))</f>
        <v>-444368.75179199997</v>
      </c>
      <c r="I51" s="29">
        <f>IF(D51="", "", IF(E51="", "",E51-E36))</f>
        <v>51989.626507000299</v>
      </c>
    </row>
    <row r="52" spans="1:9" x14ac:dyDescent="0.25">
      <c r="A52" s="25"/>
      <c r="B52" s="25" t="s">
        <v>10</v>
      </c>
      <c r="C52" s="26">
        <v>176788.4</v>
      </c>
      <c r="D52" s="27">
        <v>240741.505993</v>
      </c>
      <c r="E52" s="28">
        <f>E51+C52-D52</f>
        <v>1023347.8743780002</v>
      </c>
      <c r="F52" s="25"/>
      <c r="G52" s="25" t="s">
        <v>10</v>
      </c>
      <c r="H52" s="29">
        <f>IF(C52="", "", IF(D52="", "",D52-D37))</f>
        <v>-591892.41037499998</v>
      </c>
      <c r="I52" s="29">
        <f>IF(D52="", "", IF(E52="", "",E52-E37))</f>
        <v>-25161.856844999827</v>
      </c>
    </row>
    <row r="53" spans="1:9" x14ac:dyDescent="0.25">
      <c r="A53" s="25"/>
      <c r="B53" s="25" t="s">
        <v>11</v>
      </c>
      <c r="C53" s="26">
        <v>328757.56</v>
      </c>
      <c r="D53" s="27">
        <v>287186.60043699999</v>
      </c>
      <c r="E53" s="28">
        <f>E52+C53-D53</f>
        <v>1064918.8339410003</v>
      </c>
      <c r="F53" s="25"/>
      <c r="G53" s="25" t="s">
        <v>11</v>
      </c>
      <c r="H53" s="29">
        <f>IF(C53="", "", IF(D53="", "",D53-D38))</f>
        <v>-333049.80398999999</v>
      </c>
      <c r="I53" s="29">
        <f>IF(D53="", "", IF(E53="", "",E53-E38))</f>
        <v>-24441.445254999911</v>
      </c>
    </row>
    <row r="54" spans="1:9" x14ac:dyDescent="0.25">
      <c r="A54" s="25"/>
      <c r="B54" s="25" t="s">
        <v>12</v>
      </c>
      <c r="C54" s="26">
        <v>350005.58</v>
      </c>
      <c r="D54" s="27">
        <v>300034.66130400001</v>
      </c>
      <c r="E54" s="28">
        <f>E53+C54-D54</f>
        <v>1114889.7526370003</v>
      </c>
      <c r="F54" s="25"/>
      <c r="G54" s="25" t="s">
        <v>12</v>
      </c>
      <c r="H54" s="29">
        <f>IF(C54="", "", IF(D54="", "",D54-D39))</f>
        <v>-81177.008522999997</v>
      </c>
      <c r="I54" s="29">
        <f>IF(D54="", "", IF(E54="", "",E54-E39))</f>
        <v>233840.65326800011</v>
      </c>
    </row>
    <row r="55" spans="1:9" x14ac:dyDescent="0.25">
      <c r="A55" s="25"/>
      <c r="B55" s="25" t="s">
        <v>13</v>
      </c>
      <c r="C55" s="26">
        <v>181175.83</v>
      </c>
      <c r="D55" s="27">
        <v>269599.757232</v>
      </c>
      <c r="E55" s="28">
        <f>E54+C55-D55</f>
        <v>1026465.8254050004</v>
      </c>
      <c r="F55" s="25"/>
      <c r="G55" s="25" t="s">
        <v>13</v>
      </c>
      <c r="H55" s="29">
        <f>IF(C55="", "", IF(D55="", "",D55-D40))</f>
        <v>-77315.953088000009</v>
      </c>
      <c r="I55" s="29">
        <f>IF(D55="", "", IF(E55="", "",E55-E40))</f>
        <v>78290.916356000234</v>
      </c>
    </row>
    <row r="56" spans="1:9" x14ac:dyDescent="0.25">
      <c r="A56" s="25"/>
      <c r="B56" s="25" t="s">
        <v>14</v>
      </c>
      <c r="C56" s="26">
        <v>192217.42</v>
      </c>
      <c r="D56" s="27">
        <v>233016.42468200001</v>
      </c>
      <c r="E56" s="28">
        <f>E55+C56-D56</f>
        <v>985666.82072300045</v>
      </c>
      <c r="F56" s="25"/>
      <c r="G56" s="25" t="s">
        <v>14</v>
      </c>
      <c r="H56" s="29">
        <f>IF(C56="", "", IF(D56="", "",D56-D41))</f>
        <v>-12377.270200999978</v>
      </c>
      <c r="I56" s="29">
        <f>IF(D56="", "", IF(E56="", "",E56-E41))</f>
        <v>26351.39263800031</v>
      </c>
    </row>
    <row r="57" spans="1:9" x14ac:dyDescent="0.25">
      <c r="A57" s="25"/>
      <c r="B57" s="25" t="s">
        <v>15</v>
      </c>
      <c r="C57" s="26">
        <v>300082.59999999998</v>
      </c>
      <c r="D57" s="27">
        <v>215453.36093600001</v>
      </c>
      <c r="E57" s="28">
        <f>E56+C57-D57</f>
        <v>1070296.0597870005</v>
      </c>
      <c r="F57" s="25"/>
      <c r="G57" s="25" t="s">
        <v>15</v>
      </c>
      <c r="H57" s="29">
        <f>IF(C57="", "", IF(D57="", "",D57-D42))</f>
        <v>-262928.04583899997</v>
      </c>
      <c r="I57" s="29">
        <f>IF(D57="", "", IF(E57="", "",E57-E42))</f>
        <v>224417.32847700035</v>
      </c>
    </row>
    <row r="58" spans="1:9" x14ac:dyDescent="0.25">
      <c r="A58" s="25"/>
      <c r="B58" s="25" t="s">
        <v>16</v>
      </c>
      <c r="C58" s="26">
        <v>198580.27</v>
      </c>
      <c r="D58" s="27">
        <v>301172.28070300003</v>
      </c>
      <c r="E58" s="28">
        <f>E57+C58-D58</f>
        <v>967704.04908400052</v>
      </c>
      <c r="F58" s="25"/>
      <c r="G58" s="25" t="s">
        <v>16</v>
      </c>
      <c r="H58" s="29">
        <f>IF(C58="", "", IF(D58="", "",D58-D43))</f>
        <v>-249155.40611600003</v>
      </c>
      <c r="I58" s="29">
        <f>IF(D58="", "", IF(E58="", "",E58-E43))</f>
        <v>195347.91459300031</v>
      </c>
    </row>
    <row r="59" spans="1:9" x14ac:dyDescent="0.25">
      <c r="A59" s="25"/>
      <c r="B59" s="25" t="s">
        <v>17</v>
      </c>
      <c r="C59" s="26">
        <v>126575.96</v>
      </c>
      <c r="D59" s="27">
        <v>344269.94331</v>
      </c>
      <c r="E59" s="28">
        <f>E58+C59-D59</f>
        <v>750010.06577400048</v>
      </c>
      <c r="F59" s="25"/>
      <c r="G59" s="25" t="s">
        <v>17</v>
      </c>
      <c r="H59" s="29">
        <f>IF(C59="", "", IF(D59="", "",D59-D44))</f>
        <v>-247934.95061399997</v>
      </c>
      <c r="I59" s="29">
        <f>IF(D59="", "", IF(E59="", "",E59-E44))</f>
        <v>37638.667804000201</v>
      </c>
    </row>
    <row r="60" spans="1:9" x14ac:dyDescent="0.25">
      <c r="A60" s="30"/>
      <c r="B60" s="30" t="s">
        <v>18</v>
      </c>
      <c r="C60" s="31">
        <v>169687.42</v>
      </c>
      <c r="D60" s="32">
        <v>419287.29499299999</v>
      </c>
      <c r="E60" s="33">
        <f>E59+C60-D60</f>
        <v>500410.19078100054</v>
      </c>
      <c r="F60" s="30"/>
      <c r="G60" s="30" t="s">
        <v>18</v>
      </c>
      <c r="H60" s="34">
        <f>IF(C60="", "", IF(D60="", "",D60-D45))</f>
        <v>-399006.40491100005</v>
      </c>
      <c r="I60" s="34">
        <f>IF(D60="", "", IF(E60="", "",E60-E45))</f>
        <v>-56742.627793999738</v>
      </c>
    </row>
    <row r="61" spans="1:9" s="2" customFormat="1" x14ac:dyDescent="0.25">
      <c r="A61" s="35"/>
      <c r="B61" s="35" t="s">
        <v>19</v>
      </c>
      <c r="C61" s="36">
        <f>SUM(C49:C60)</f>
        <v>3741100.34</v>
      </c>
      <c r="D61" s="37">
        <f>SUM(D49:D60)</f>
        <v>3797842.9677940002</v>
      </c>
      <c r="E61" s="28"/>
      <c r="F61" s="35"/>
      <c r="G61" s="35"/>
      <c r="H61" s="28">
        <f>SUMIF(C49:C60,"&gt;=0",H49:H60)</f>
        <v>-3060650.5473349998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311758.36166666663</v>
      </c>
      <c r="D62" s="37">
        <f>AVERAGE(D49:D60)</f>
        <v>316486.91398283333</v>
      </c>
      <c r="E62" s="38">
        <f>C62/D62-1</f>
        <v>-1.4940751441063327E-2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500410.19078100054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97049.01</v>
      </c>
      <c r="D64" s="13">
        <v>129538.24451600001</v>
      </c>
      <c r="E64" s="14">
        <f>E63+C64-D64</f>
        <v>467920.95626500051</v>
      </c>
      <c r="F64" s="11"/>
      <c r="G64" s="11" t="s">
        <v>7</v>
      </c>
      <c r="H64" s="15">
        <f>IF(C64="", "", IF(D64="", "",D64-D49))</f>
        <v>-300784.991041</v>
      </c>
      <c r="I64" s="15">
        <f>IF(D64="", "", IF(E64="", "",E64-E49))</f>
        <v>-328586.49675299984</v>
      </c>
    </row>
    <row r="65" spans="1:9" x14ac:dyDescent="0.25">
      <c r="A65" s="11"/>
      <c r="B65" s="11" t="s">
        <v>8</v>
      </c>
      <c r="C65" s="12">
        <v>226120.31</v>
      </c>
      <c r="D65" s="13">
        <v>192296.92928800001</v>
      </c>
      <c r="E65" s="14">
        <f>E64+C65-D65</f>
        <v>501744.33697700046</v>
      </c>
      <c r="F65" s="11"/>
      <c r="G65" s="11" t="s">
        <v>8</v>
      </c>
      <c r="H65" s="15">
        <f>IF(C65="", "", IF(D65="", "",D65-D50))</f>
        <v>-260576.68173599997</v>
      </c>
      <c r="I65" s="15">
        <f>IF(D65="", "", IF(E65="", "",E65-E50))</f>
        <v>-410072.26501699991</v>
      </c>
    </row>
    <row r="66" spans="1:9" x14ac:dyDescent="0.25">
      <c r="A66" s="11"/>
      <c r="B66" s="11" t="s">
        <v>9</v>
      </c>
      <c r="C66" s="12">
        <v>759360.35</v>
      </c>
      <c r="D66" s="13">
        <v>541213.61047399999</v>
      </c>
      <c r="E66" s="14">
        <f>E65+C66-D66</f>
        <v>719891.07650300045</v>
      </c>
      <c r="F66" s="11"/>
      <c r="G66" s="11" t="s">
        <v>9</v>
      </c>
      <c r="H66" s="15">
        <f>IF(C66="", "", IF(D66="", "",D66-D51))</f>
        <v>237329.31885099999</v>
      </c>
      <c r="I66" s="15">
        <f>IF(D66="", "", IF(E66="", "",E66-E51))</f>
        <v>-367409.90386799979</v>
      </c>
    </row>
    <row r="67" spans="1:9" x14ac:dyDescent="0.25">
      <c r="A67" s="11"/>
      <c r="B67" s="11" t="s">
        <v>10</v>
      </c>
      <c r="C67" s="12">
        <v>143533.49</v>
      </c>
      <c r="D67" s="13">
        <v>216216.24140500001</v>
      </c>
      <c r="E67" s="14">
        <f>E66+C67-D67</f>
        <v>647208.32509800047</v>
      </c>
      <c r="F67" s="11"/>
      <c r="G67" s="11" t="s">
        <v>10</v>
      </c>
      <c r="H67" s="15">
        <f>IF(C67="", "", IF(D67="", "",D67-D52))</f>
        <v>-24525.264587999991</v>
      </c>
      <c r="I67" s="15">
        <f>IF(D67="", "", IF(E67="", "",E67-E52))</f>
        <v>-376139.54927999969</v>
      </c>
    </row>
    <row r="68" spans="1:9" x14ac:dyDescent="0.25">
      <c r="A68" s="11"/>
      <c r="B68" s="11" t="s">
        <v>11</v>
      </c>
      <c r="C68" s="12">
        <v>286819.8</v>
      </c>
      <c r="D68" s="13">
        <v>223390.108156</v>
      </c>
      <c r="E68" s="14">
        <f>E67+C68-D68</f>
        <v>710638.01694200048</v>
      </c>
      <c r="F68" s="11"/>
      <c r="G68" s="11" t="s">
        <v>11</v>
      </c>
      <c r="H68" s="15">
        <f>IF(C68="", "", IF(D68="", "",D68-D53))</f>
        <v>-63796.492280999984</v>
      </c>
      <c r="I68" s="15">
        <f>IF(D68="", "", IF(E68="", "",E68-E53))</f>
        <v>-354280.8169989998</v>
      </c>
    </row>
    <row r="69" spans="1:9" x14ac:dyDescent="0.25">
      <c r="A69" s="11"/>
      <c r="B69" s="11" t="s">
        <v>12</v>
      </c>
      <c r="C69" s="12">
        <v>343944.87</v>
      </c>
      <c r="D69" s="13">
        <v>173317.36444999999</v>
      </c>
      <c r="E69" s="14">
        <f>E68+C69-D69</f>
        <v>881265.5224920006</v>
      </c>
      <c r="F69" s="11"/>
      <c r="G69" s="11" t="s">
        <v>12</v>
      </c>
      <c r="H69" s="15">
        <f>IF(C69="", "", IF(D69="", "",D69-D54))</f>
        <v>-126717.29685400001</v>
      </c>
      <c r="I69" s="15">
        <f>IF(D69="", "", IF(E69="", "",E69-E54))</f>
        <v>-233624.23014499969</v>
      </c>
    </row>
    <row r="70" spans="1:9" x14ac:dyDescent="0.25">
      <c r="A70" s="11"/>
      <c r="B70" s="11" t="s">
        <v>13</v>
      </c>
      <c r="C70" s="12">
        <v>62525.74</v>
      </c>
      <c r="D70" s="13">
        <v>204907.705262</v>
      </c>
      <c r="E70" s="14">
        <f>E69+C70-D70</f>
        <v>738883.55723000062</v>
      </c>
      <c r="F70" s="11"/>
      <c r="G70" s="11" t="s">
        <v>13</v>
      </c>
      <c r="H70" s="15">
        <f>IF(C70="", "", IF(D70="", "",D70-D55))</f>
        <v>-64692.05197</v>
      </c>
      <c r="I70" s="15">
        <f>IF(D70="", "", IF(E70="", "",E70-E55))</f>
        <v>-287582.26817499974</v>
      </c>
    </row>
    <row r="71" spans="1:9" x14ac:dyDescent="0.25">
      <c r="A71" s="11"/>
      <c r="B71" s="11" t="s">
        <v>14</v>
      </c>
      <c r="C71" s="12">
        <v>86721.62</v>
      </c>
      <c r="D71" s="13">
        <v>198128.88205499999</v>
      </c>
      <c r="E71" s="14">
        <f>E70+C71-D71</f>
        <v>627476.29517500056</v>
      </c>
      <c r="F71" s="11"/>
      <c r="G71" s="11" t="s">
        <v>14</v>
      </c>
      <c r="H71" s="15">
        <f>IF(C71="", "", IF(D71="", "",D71-D56))</f>
        <v>-34887.542627000017</v>
      </c>
      <c r="I71" s="15">
        <f>IF(D71="", "", IF(E71="", "",E71-E56))</f>
        <v>-358190.52554799989</v>
      </c>
    </row>
    <row r="72" spans="1:9" x14ac:dyDescent="0.25">
      <c r="A72" s="11"/>
      <c r="B72" s="11" t="s">
        <v>15</v>
      </c>
      <c r="C72" s="12">
        <v>158268.93</v>
      </c>
      <c r="D72" s="13">
        <v>230730.32550000001</v>
      </c>
      <c r="E72" s="14">
        <f>E71+C72-D72</f>
        <v>555014.89967500046</v>
      </c>
      <c r="F72" s="11"/>
      <c r="G72" s="11" t="s">
        <v>15</v>
      </c>
      <c r="H72" s="15">
        <f>IF(C72="", "", IF(D72="", "",D72-D57))</f>
        <v>15276.964563999994</v>
      </c>
      <c r="I72" s="15">
        <f>IF(D72="", "", IF(E72="", "",E72-E57))</f>
        <v>-515281.16011200007</v>
      </c>
    </row>
    <row r="73" spans="1:9" x14ac:dyDescent="0.25">
      <c r="A73" s="11"/>
      <c r="B73" s="11" t="s">
        <v>16</v>
      </c>
      <c r="C73" s="12">
        <v>109073.45</v>
      </c>
      <c r="D73" s="13">
        <v>138481.83919999999</v>
      </c>
      <c r="E73" s="14">
        <f>E72+C73-D73</f>
        <v>525606.51047500037</v>
      </c>
      <c r="F73" s="11"/>
      <c r="G73" s="11" t="s">
        <v>16</v>
      </c>
      <c r="H73" s="15">
        <f>IF(C73="", "", IF(D73="", "",D73-D58))</f>
        <v>-162690.44150300004</v>
      </c>
      <c r="I73" s="15">
        <f>IF(D73="", "", IF(E73="", "",E73-E58))</f>
        <v>-442097.53860900016</v>
      </c>
    </row>
    <row r="74" spans="1:9" x14ac:dyDescent="0.25">
      <c r="A74" s="11"/>
      <c r="B74" s="11" t="s">
        <v>17</v>
      </c>
      <c r="C74" s="12">
        <v>522432.17</v>
      </c>
      <c r="D74" s="13">
        <v>265794.46269499999</v>
      </c>
      <c r="E74" s="14">
        <f>E73+C74-D74</f>
        <v>782244.2177800003</v>
      </c>
      <c r="F74" s="11"/>
      <c r="G74" s="11" t="s">
        <v>17</v>
      </c>
      <c r="H74" s="15">
        <f>IF(C74="", "", IF(D74="", "",D74-D59))</f>
        <v>-78475.480615000008</v>
      </c>
      <c r="I74" s="15">
        <f>IF(D74="", "", IF(E74="", "",E74-E59))</f>
        <v>32234.152005999815</v>
      </c>
    </row>
    <row r="75" spans="1:9" x14ac:dyDescent="0.25">
      <c r="A75" s="16"/>
      <c r="B75" s="16" t="s">
        <v>18</v>
      </c>
      <c r="C75" s="17">
        <v>259001.83</v>
      </c>
      <c r="D75" s="18">
        <v>217827.60307499999</v>
      </c>
      <c r="E75" s="19">
        <f>E74+C75-D75</f>
        <v>823418.44470500026</v>
      </c>
      <c r="F75" s="16"/>
      <c r="G75" s="16" t="s">
        <v>18</v>
      </c>
      <c r="H75" s="20">
        <f>IF(C75="", "", IF(D75="", "",D75-D60))</f>
        <v>-201459.691918</v>
      </c>
      <c r="I75" s="20">
        <f>IF(D75="", "", IF(E75="", "",E75-E60))</f>
        <v>323008.25392399973</v>
      </c>
    </row>
    <row r="76" spans="1:9" s="2" customFormat="1" x14ac:dyDescent="0.25">
      <c r="A76" s="21"/>
      <c r="B76" s="21" t="s">
        <v>19</v>
      </c>
      <c r="C76" s="22">
        <f>SUM(C64:C75)</f>
        <v>3054851.5700000003</v>
      </c>
      <c r="D76" s="23">
        <f>SUM(D64:D75)</f>
        <v>2731843.3160759998</v>
      </c>
      <c r="E76" s="14"/>
      <c r="F76" s="21"/>
      <c r="G76" s="21"/>
      <c r="H76" s="14">
        <f>SUMIF(C64:C75,"&gt;=0",H64:H75)</f>
        <v>-1065999.651718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254570.9641666667</v>
      </c>
      <c r="D77" s="23">
        <f>AVERAGE(D64:D75)</f>
        <v>227653.60967299997</v>
      </c>
      <c r="E77" s="24">
        <f>C77/D77-1</f>
        <v>0.11823820642392024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823418.44470500026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823418.44470500026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823418.44470500026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823418.44470500026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823418.44470500026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823418.44470500026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823418.44470500026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823418.44470500026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823418.44470500026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823418.44470500026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823418.44470500026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823418.44470500026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823418.44470500026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5C142-0342-4AA2-8EAD-4D322DCAA66F}">
  <sheetPr codeName="Sheet11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/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185625.18395499999</v>
      </c>
      <c r="D7" s="13">
        <v>20057.400874999999</v>
      </c>
      <c r="E7" s="14">
        <f>E6+C7-D7</f>
        <v>165567.78307999999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19705.439999999999</v>
      </c>
      <c r="D8" s="13">
        <v>69278.997178999998</v>
      </c>
      <c r="E8" s="14">
        <f>E7+C8-D8</f>
        <v>115994.225901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190448.42525999999</v>
      </c>
      <c r="D9" s="13">
        <v>87998.139494999996</v>
      </c>
      <c r="E9" s="14">
        <f>E8+C9-D9</f>
        <v>218444.51166600001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116249.745544</v>
      </c>
      <c r="D10" s="13">
        <v>120820.278942</v>
      </c>
      <c r="E10" s="14">
        <f>E9+C10-D10</f>
        <v>213873.97826800001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99813.036829000004</v>
      </c>
      <c r="D11" s="13">
        <v>113103.57687999999</v>
      </c>
      <c r="E11" s="14">
        <f>E10+C11-D11</f>
        <v>200583.43821699999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108115.62</v>
      </c>
      <c r="D12" s="13">
        <v>118259.183839</v>
      </c>
      <c r="E12" s="14">
        <f>E11+C12-D12</f>
        <v>190439.87437799998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210031.32053299999</v>
      </c>
      <c r="D13" s="13">
        <v>136473.165996</v>
      </c>
      <c r="E13" s="14">
        <f>E12+C13-D13</f>
        <v>263998.02891499997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61576.046000000002</v>
      </c>
      <c r="D14" s="13">
        <v>148326.06457300001</v>
      </c>
      <c r="E14" s="14">
        <f>E13+C14-D14</f>
        <v>177248.01034199999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109576.735231</v>
      </c>
      <c r="D15" s="18">
        <v>83255.190619000001</v>
      </c>
      <c r="E15" s="19">
        <f>E14+C15-D15</f>
        <v>203569.55495399999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1101141.5533520002</v>
      </c>
      <c r="D16" s="23">
        <f>SUM(D4:D15)</f>
        <v>897571.99839799991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122349.06148355558</v>
      </c>
      <c r="D17" s="23">
        <f>AVERAGE(D4:D15)</f>
        <v>99730.222044222217</v>
      </c>
      <c r="E17" s="24">
        <f>C17/D17-1</f>
        <v>0.22680025147546301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203569.55495399999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-1018.226286</v>
      </c>
      <c r="D19" s="27">
        <v>99130.868390999996</v>
      </c>
      <c r="E19" s="28">
        <f>E18+C19-D19</f>
        <v>103420.46027700001</v>
      </c>
      <c r="F19" s="25"/>
      <c r="G19" s="25" t="s">
        <v>7</v>
      </c>
      <c r="H19" s="29">
        <f>IF(C19="", "", IF(D19="", "",D19-D4))</f>
        <v>99130.868390999996</v>
      </c>
      <c r="I19" s="29">
        <f>IF(D19="", "", IF(E19="", "",E19-E4))</f>
        <v>103420.46027700001</v>
      </c>
    </row>
    <row r="20" spans="1:9" x14ac:dyDescent="0.25">
      <c r="A20" s="25"/>
      <c r="B20" s="25" t="s">
        <v>8</v>
      </c>
      <c r="C20" s="26">
        <v>200713.54757</v>
      </c>
      <c r="D20" s="27">
        <v>125374.457247</v>
      </c>
      <c r="E20" s="28">
        <f>E19+C20-D20</f>
        <v>178759.55060000002</v>
      </c>
      <c r="F20" s="25"/>
      <c r="G20" s="25" t="s">
        <v>8</v>
      </c>
      <c r="H20" s="29">
        <f>IF(C20="", "", IF(D20="", "",D20-D5))</f>
        <v>125374.457247</v>
      </c>
      <c r="I20" s="29">
        <f>IF(D20="", "", IF(E20="", "",E20-E5))</f>
        <v>178759.55060000002</v>
      </c>
    </row>
    <row r="21" spans="1:9" x14ac:dyDescent="0.25">
      <c r="A21" s="25"/>
      <c r="B21" s="25" t="s">
        <v>9</v>
      </c>
      <c r="C21" s="26">
        <v>320138.98</v>
      </c>
      <c r="D21" s="27">
        <v>126734.29416799999</v>
      </c>
      <c r="E21" s="28">
        <f>E20+C21-D21</f>
        <v>372164.23643200001</v>
      </c>
      <c r="F21" s="25"/>
      <c r="G21" s="25" t="s">
        <v>9</v>
      </c>
      <c r="H21" s="29">
        <f>IF(C21="", "", IF(D21="", "",D21-D6))</f>
        <v>126734.29416799999</v>
      </c>
      <c r="I21" s="29">
        <f>IF(D21="", "", IF(E21="", "",E21-E6))</f>
        <v>372164.23643200001</v>
      </c>
    </row>
    <row r="22" spans="1:9" x14ac:dyDescent="0.25">
      <c r="A22" s="25"/>
      <c r="B22" s="25" t="s">
        <v>10</v>
      </c>
      <c r="C22" s="26">
        <v>-704.33918500000004</v>
      </c>
      <c r="D22" s="27">
        <v>102005.350852</v>
      </c>
      <c r="E22" s="28">
        <f>E21+C22-D22</f>
        <v>269454.54639500001</v>
      </c>
      <c r="F22" s="25"/>
      <c r="G22" s="25" t="s">
        <v>10</v>
      </c>
      <c r="H22" s="29">
        <f>IF(C22="", "", IF(D22="", "",D22-D7))</f>
        <v>81947.949977000011</v>
      </c>
      <c r="I22" s="29">
        <f>IF(D22="", "", IF(E22="", "",E22-E7))</f>
        <v>103886.76331500002</v>
      </c>
    </row>
    <row r="23" spans="1:9" x14ac:dyDescent="0.25">
      <c r="A23" s="25"/>
      <c r="B23" s="25" t="s">
        <v>11</v>
      </c>
      <c r="C23" s="26">
        <v>95470.242643000005</v>
      </c>
      <c r="D23" s="27">
        <v>125069.01796500001</v>
      </c>
      <c r="E23" s="28">
        <f>E22+C23-D23</f>
        <v>239855.77107300004</v>
      </c>
      <c r="F23" s="25"/>
      <c r="G23" s="25" t="s">
        <v>11</v>
      </c>
      <c r="H23" s="29">
        <f>IF(C23="", "", IF(D23="", "",D23-D8))</f>
        <v>55790.020786000008</v>
      </c>
      <c r="I23" s="29">
        <f>IF(D23="", "", IF(E23="", "",E23-E8))</f>
        <v>123861.54517200004</v>
      </c>
    </row>
    <row r="24" spans="1:9" x14ac:dyDescent="0.25">
      <c r="A24" s="25"/>
      <c r="B24" s="25" t="s">
        <v>12</v>
      </c>
      <c r="C24" s="26">
        <v>90508.39</v>
      </c>
      <c r="D24" s="27">
        <v>111189.994573</v>
      </c>
      <c r="E24" s="28">
        <f>E23+C24-D24</f>
        <v>219174.16650000005</v>
      </c>
      <c r="F24" s="25"/>
      <c r="G24" s="25" t="s">
        <v>12</v>
      </c>
      <c r="H24" s="29">
        <f>IF(C24="", "", IF(D24="", "",D24-D9))</f>
        <v>23191.855078000008</v>
      </c>
      <c r="I24" s="29">
        <f>IF(D24="", "", IF(E24="", "",E24-E9))</f>
        <v>729.6548340000445</v>
      </c>
    </row>
    <row r="25" spans="1:9" x14ac:dyDescent="0.25">
      <c r="A25" s="25"/>
      <c r="B25" s="25" t="s">
        <v>13</v>
      </c>
      <c r="C25" s="26">
        <v>185955.95100500001</v>
      </c>
      <c r="D25" s="27">
        <v>185800.15043800001</v>
      </c>
      <c r="E25" s="28">
        <f>E24+C25-D25</f>
        <v>219329.96706700008</v>
      </c>
      <c r="F25" s="25"/>
      <c r="G25" s="25" t="s">
        <v>13</v>
      </c>
      <c r="H25" s="29">
        <f>IF(C25="", "", IF(D25="", "",D25-D10))</f>
        <v>64979.871496000007</v>
      </c>
      <c r="I25" s="29">
        <f>IF(D25="", "", IF(E25="", "",E25-E10))</f>
        <v>5455.9887990000716</v>
      </c>
    </row>
    <row r="26" spans="1:9" x14ac:dyDescent="0.25">
      <c r="A26" s="25"/>
      <c r="B26" s="25" t="s">
        <v>14</v>
      </c>
      <c r="C26" s="26">
        <v>272370.876697</v>
      </c>
      <c r="D26" s="27">
        <v>164914.95695299999</v>
      </c>
      <c r="E26" s="28">
        <f>E25+C26-D26</f>
        <v>326785.88681100012</v>
      </c>
      <c r="F26" s="25"/>
      <c r="G26" s="25" t="s">
        <v>14</v>
      </c>
      <c r="H26" s="29">
        <f>IF(C26="", "", IF(D26="", "",D26-D11))</f>
        <v>51811.380072999993</v>
      </c>
      <c r="I26" s="29">
        <f>IF(D26="", "", IF(E26="", "",E26-E11))</f>
        <v>126202.44859400013</v>
      </c>
    </row>
    <row r="27" spans="1:9" x14ac:dyDescent="0.25">
      <c r="A27" s="25"/>
      <c r="B27" s="25" t="s">
        <v>15</v>
      </c>
      <c r="C27" s="26">
        <v>303899.84538499999</v>
      </c>
      <c r="D27" s="27">
        <v>176954.91021</v>
      </c>
      <c r="E27" s="28">
        <f>E26+C27-D27</f>
        <v>453730.82198600017</v>
      </c>
      <c r="F27" s="25"/>
      <c r="G27" s="25" t="s">
        <v>15</v>
      </c>
      <c r="H27" s="29">
        <f>IF(C27="", "", IF(D27="", "",D27-D12))</f>
        <v>58695.726370999997</v>
      </c>
      <c r="I27" s="29">
        <f>IF(D27="", "", IF(E27="", "",E27-E12))</f>
        <v>263290.94760800019</v>
      </c>
    </row>
    <row r="28" spans="1:9" x14ac:dyDescent="0.25">
      <c r="A28" s="25"/>
      <c r="B28" s="25" t="s">
        <v>16</v>
      </c>
      <c r="C28" s="26">
        <v>199754</v>
      </c>
      <c r="D28" s="27">
        <v>195586.31894900001</v>
      </c>
      <c r="E28" s="28">
        <f>E27+C28-D28</f>
        <v>457898.50303700019</v>
      </c>
      <c r="F28" s="25"/>
      <c r="G28" s="25" t="s">
        <v>16</v>
      </c>
      <c r="H28" s="29">
        <f>IF(C28="", "", IF(D28="", "",D28-D13))</f>
        <v>59113.152953000012</v>
      </c>
      <c r="I28" s="29">
        <f>IF(D28="", "", IF(E28="", "",E28-E13))</f>
        <v>193900.47412200022</v>
      </c>
    </row>
    <row r="29" spans="1:9" x14ac:dyDescent="0.25">
      <c r="A29" s="25"/>
      <c r="B29" s="25" t="s">
        <v>17</v>
      </c>
      <c r="C29" s="26">
        <v>117707.989999</v>
      </c>
      <c r="D29" s="27">
        <v>163667.105606</v>
      </c>
      <c r="E29" s="28">
        <f>E28+C29-D29</f>
        <v>411939.38743000018</v>
      </c>
      <c r="F29" s="25"/>
      <c r="G29" s="25" t="s">
        <v>17</v>
      </c>
      <c r="H29" s="29">
        <f>IF(C29="", "", IF(D29="", "",D29-D14))</f>
        <v>15341.041032999987</v>
      </c>
      <c r="I29" s="29">
        <f>IF(D29="", "", IF(E29="", "",E29-E14))</f>
        <v>234691.37708800018</v>
      </c>
    </row>
    <row r="30" spans="1:9" x14ac:dyDescent="0.25">
      <c r="A30" s="30"/>
      <c r="B30" s="30" t="s">
        <v>18</v>
      </c>
      <c r="C30" s="31">
        <v>111729.229507</v>
      </c>
      <c r="D30" s="32">
        <v>109906.088101</v>
      </c>
      <c r="E30" s="33">
        <f>E29+C30-D30</f>
        <v>413762.52883600019</v>
      </c>
      <c r="F30" s="30"/>
      <c r="G30" s="30" t="s">
        <v>18</v>
      </c>
      <c r="H30" s="34">
        <f>IF(C30="", "", IF(D30="", "",D30-D15))</f>
        <v>26650.897482</v>
      </c>
      <c r="I30" s="34">
        <f>IF(D30="", "", IF(E30="", "",E30-E15))</f>
        <v>210192.97388200019</v>
      </c>
    </row>
    <row r="31" spans="1:9" s="2" customFormat="1" x14ac:dyDescent="0.25">
      <c r="A31" s="35"/>
      <c r="B31" s="35" t="s">
        <v>19</v>
      </c>
      <c r="C31" s="36">
        <f>SUM(C19:C30)</f>
        <v>1896526.487335</v>
      </c>
      <c r="D31" s="37">
        <f>SUM(D19:D30)</f>
        <v>1686333.5134529998</v>
      </c>
      <c r="E31" s="28"/>
      <c r="F31" s="35"/>
      <c r="G31" s="35"/>
      <c r="H31" s="28">
        <f>SUMIF(C19:C30,"&gt;=0",H19:H30)</f>
        <v>607682.69668699987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158043.87394458332</v>
      </c>
      <c r="D32" s="37">
        <f>AVERAGE(D19:D30)</f>
        <v>140527.79278774999</v>
      </c>
      <c r="E32" s="38">
        <f>C32/D32-1</f>
        <v>0.12464496032673922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413762.52883600019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53833.88</v>
      </c>
      <c r="D34" s="13">
        <v>160012.13151400001</v>
      </c>
      <c r="E34" s="14">
        <f>E33+C34-D34</f>
        <v>307584.27732200018</v>
      </c>
      <c r="F34" s="11"/>
      <c r="G34" s="11" t="s">
        <v>7</v>
      </c>
      <c r="H34" s="15">
        <f>IF(C34="", "", IF(D34="", "",D34-D19))</f>
        <v>60881.263123000012</v>
      </c>
      <c r="I34" s="15">
        <f>IF(D34="", "", IF(E34="", "",E34-E19))</f>
        <v>204163.81704500018</v>
      </c>
    </row>
    <row r="35" spans="1:9" x14ac:dyDescent="0.25">
      <c r="A35" s="11"/>
      <c r="B35" s="11" t="s">
        <v>8</v>
      </c>
      <c r="C35" s="12">
        <v>303998.65166500001</v>
      </c>
      <c r="D35" s="13">
        <v>261504.83363099999</v>
      </c>
      <c r="E35" s="14">
        <f>E34+C35-D35</f>
        <v>350078.09535600012</v>
      </c>
      <c r="F35" s="11"/>
      <c r="G35" s="11" t="s">
        <v>8</v>
      </c>
      <c r="H35" s="15">
        <f>IF(C35="", "", IF(D35="", "",D35-D20))</f>
        <v>136130.376384</v>
      </c>
      <c r="I35" s="15">
        <f>IF(D35="", "", IF(E35="", "",E35-E20))</f>
        <v>171318.5447560001</v>
      </c>
    </row>
    <row r="36" spans="1:9" x14ac:dyDescent="0.25">
      <c r="A36" s="11"/>
      <c r="B36" s="11" t="s">
        <v>9</v>
      </c>
      <c r="C36" s="12">
        <v>489732.65822300001</v>
      </c>
      <c r="D36" s="13">
        <v>265382.92813100002</v>
      </c>
      <c r="E36" s="14">
        <f>E35+C36-D36</f>
        <v>574427.82544800011</v>
      </c>
      <c r="F36" s="11"/>
      <c r="G36" s="11" t="s">
        <v>9</v>
      </c>
      <c r="H36" s="15">
        <f>IF(C36="", "", IF(D36="", "",D36-D21))</f>
        <v>138648.63396300003</v>
      </c>
      <c r="I36" s="15">
        <f>IF(D36="", "", IF(E36="", "",E36-E21))</f>
        <v>202263.5890160001</v>
      </c>
    </row>
    <row r="37" spans="1:9" x14ac:dyDescent="0.25">
      <c r="A37" s="11"/>
      <c r="B37" s="11" t="s">
        <v>10</v>
      </c>
      <c r="C37" s="12">
        <v>404366.62</v>
      </c>
      <c r="D37" s="13">
        <v>281127.99800299999</v>
      </c>
      <c r="E37" s="14">
        <f>E36+C37-D37</f>
        <v>697666.44744500006</v>
      </c>
      <c r="F37" s="11"/>
      <c r="G37" s="11" t="s">
        <v>10</v>
      </c>
      <c r="H37" s="15">
        <f>IF(C37="", "", IF(D37="", "",D37-D22))</f>
        <v>179122.64715099998</v>
      </c>
      <c r="I37" s="15">
        <f>IF(D37="", "", IF(E37="", "",E37-E22))</f>
        <v>428211.90105000004</v>
      </c>
    </row>
    <row r="38" spans="1:9" x14ac:dyDescent="0.25">
      <c r="A38" s="11"/>
      <c r="B38" s="11" t="s">
        <v>11</v>
      </c>
      <c r="C38" s="12">
        <v>122158.88</v>
      </c>
      <c r="D38" s="13">
        <v>245343.47144299999</v>
      </c>
      <c r="E38" s="14">
        <f>E37+C38-D38</f>
        <v>574481.85600200004</v>
      </c>
      <c r="F38" s="11"/>
      <c r="G38" s="11" t="s">
        <v>11</v>
      </c>
      <c r="H38" s="15">
        <f>IF(C38="", "", IF(D38="", "",D38-D23))</f>
        <v>120274.45347799998</v>
      </c>
      <c r="I38" s="15">
        <f>IF(D38="", "", IF(E38="", "",E38-E23))</f>
        <v>334626.084929</v>
      </c>
    </row>
    <row r="39" spans="1:9" x14ac:dyDescent="0.25">
      <c r="A39" s="11"/>
      <c r="B39" s="11" t="s">
        <v>12</v>
      </c>
      <c r="C39" s="12">
        <v>266993.62183100003</v>
      </c>
      <c r="D39" s="13">
        <v>267655.74258000002</v>
      </c>
      <c r="E39" s="14">
        <f>E38+C39-D39</f>
        <v>573819.73525299993</v>
      </c>
      <c r="F39" s="11"/>
      <c r="G39" s="11" t="s">
        <v>12</v>
      </c>
      <c r="H39" s="15">
        <f>IF(C39="", "", IF(D39="", "",D39-D24))</f>
        <v>156465.74800700002</v>
      </c>
      <c r="I39" s="15">
        <f>IF(D39="", "", IF(E39="", "",E39-E24))</f>
        <v>354645.56875299988</v>
      </c>
    </row>
    <row r="40" spans="1:9" x14ac:dyDescent="0.25">
      <c r="A40" s="11"/>
      <c r="B40" s="11" t="s">
        <v>13</v>
      </c>
      <c r="C40" s="12">
        <v>229674.98</v>
      </c>
      <c r="D40" s="13">
        <v>227194.86780899999</v>
      </c>
      <c r="E40" s="14">
        <f>E39+C40-D40</f>
        <v>576299.84744399996</v>
      </c>
      <c r="F40" s="11"/>
      <c r="G40" s="11" t="s">
        <v>13</v>
      </c>
      <c r="H40" s="15">
        <f>IF(C40="", "", IF(D40="", "",D40-D25))</f>
        <v>41394.717370999977</v>
      </c>
      <c r="I40" s="15">
        <f>IF(D40="", "", IF(E40="", "",E40-E25))</f>
        <v>356969.88037699985</v>
      </c>
    </row>
    <row r="41" spans="1:9" x14ac:dyDescent="0.25">
      <c r="A41" s="11"/>
      <c r="B41" s="11" t="s">
        <v>14</v>
      </c>
      <c r="C41" s="12">
        <v>286634.644569</v>
      </c>
      <c r="D41" s="13">
        <v>275763.69088299997</v>
      </c>
      <c r="E41" s="14">
        <f>E40+C41-D41</f>
        <v>587170.80113000004</v>
      </c>
      <c r="F41" s="11"/>
      <c r="G41" s="11" t="s">
        <v>14</v>
      </c>
      <c r="H41" s="15">
        <f>IF(C41="", "", IF(D41="", "",D41-D26))</f>
        <v>110848.73392999999</v>
      </c>
      <c r="I41" s="15">
        <f>IF(D41="", "", IF(E41="", "",E41-E26))</f>
        <v>260384.91431899992</v>
      </c>
    </row>
    <row r="42" spans="1:9" x14ac:dyDescent="0.25">
      <c r="A42" s="11"/>
      <c r="B42" s="11" t="s">
        <v>15</v>
      </c>
      <c r="C42" s="12">
        <v>290105.80999500002</v>
      </c>
      <c r="D42" s="13">
        <v>326204.65157799999</v>
      </c>
      <c r="E42" s="14">
        <f>E41+C42-D42</f>
        <v>551071.95954700001</v>
      </c>
      <c r="F42" s="11"/>
      <c r="G42" s="11" t="s">
        <v>15</v>
      </c>
      <c r="H42" s="15">
        <f>IF(C42="", "", IF(D42="", "",D42-D27))</f>
        <v>149249.74136799999</v>
      </c>
      <c r="I42" s="15">
        <f>IF(D42="", "", IF(E42="", "",E42-E27))</f>
        <v>97341.137560999836</v>
      </c>
    </row>
    <row r="43" spans="1:9" x14ac:dyDescent="0.25">
      <c r="A43" s="11"/>
      <c r="B43" s="11" t="s">
        <v>16</v>
      </c>
      <c r="C43" s="12">
        <v>294598.32</v>
      </c>
      <c r="D43" s="13">
        <v>278814.423916</v>
      </c>
      <c r="E43" s="14">
        <f>E42+C43-D43</f>
        <v>566855.85563100013</v>
      </c>
      <c r="F43" s="11"/>
      <c r="G43" s="11" t="s">
        <v>16</v>
      </c>
      <c r="H43" s="15">
        <f>IF(C43="", "", IF(D43="", "",D43-D28))</f>
        <v>83228.104966999992</v>
      </c>
      <c r="I43" s="15">
        <f>IF(D43="", "", IF(E43="", "",E43-E28))</f>
        <v>108957.35259399994</v>
      </c>
    </row>
    <row r="44" spans="1:9" x14ac:dyDescent="0.25">
      <c r="A44" s="11"/>
      <c r="B44" s="11" t="s">
        <v>17</v>
      </c>
      <c r="C44" s="12">
        <v>309000.07</v>
      </c>
      <c r="D44" s="13">
        <v>331717.29748100002</v>
      </c>
      <c r="E44" s="14">
        <f>E43+C44-D44</f>
        <v>544138.62815000024</v>
      </c>
      <c r="F44" s="11"/>
      <c r="G44" s="11" t="s">
        <v>17</v>
      </c>
      <c r="H44" s="15">
        <f>IF(C44="", "", IF(D44="", "",D44-D29))</f>
        <v>168050.19187500002</v>
      </c>
      <c r="I44" s="15">
        <f>IF(D44="", "", IF(E44="", "",E44-E29))</f>
        <v>132199.24072000006</v>
      </c>
    </row>
    <row r="45" spans="1:9" x14ac:dyDescent="0.25">
      <c r="A45" s="16"/>
      <c r="B45" s="16" t="s">
        <v>18</v>
      </c>
      <c r="C45" s="17">
        <v>222980.37</v>
      </c>
      <c r="D45" s="18">
        <v>275565.13191400003</v>
      </c>
      <c r="E45" s="19">
        <f>E44+C45-D45</f>
        <v>491553.86623600021</v>
      </c>
      <c r="F45" s="16"/>
      <c r="G45" s="16" t="s">
        <v>18</v>
      </c>
      <c r="H45" s="20">
        <f>IF(C45="", "", IF(D45="", "",D45-D30))</f>
        <v>165659.04381300003</v>
      </c>
      <c r="I45" s="20">
        <f>IF(D45="", "", IF(E45="", "",E45-E30))</f>
        <v>77791.337400000019</v>
      </c>
    </row>
    <row r="46" spans="1:9" s="2" customFormat="1" x14ac:dyDescent="0.25">
      <c r="A46" s="21"/>
      <c r="B46" s="21" t="s">
        <v>19</v>
      </c>
      <c r="C46" s="22">
        <f>SUM(C34:C45)</f>
        <v>3274078.5062830001</v>
      </c>
      <c r="D46" s="23">
        <f>SUM(D34:D45)</f>
        <v>3196287.168883</v>
      </c>
      <c r="E46" s="14"/>
      <c r="F46" s="21"/>
      <c r="G46" s="21"/>
      <c r="H46" s="14">
        <f>SUMIF(C34:C45,"&gt;=0",H34:H45)</f>
        <v>1509953.65543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272839.87552358332</v>
      </c>
      <c r="D47" s="23">
        <f>AVERAGE(D34:D45)</f>
        <v>266357.26407358336</v>
      </c>
      <c r="E47" s="24">
        <f>C47/D47-1</f>
        <v>2.4338031375067404E-2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491553.86623600021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354258.87</v>
      </c>
      <c r="D49" s="27">
        <v>261564.543336</v>
      </c>
      <c r="E49" s="28">
        <f>E48+C49-D49</f>
        <v>584248.19290000014</v>
      </c>
      <c r="F49" s="25"/>
      <c r="G49" s="25" t="s">
        <v>7</v>
      </c>
      <c r="H49" s="29">
        <f>IF(C49="", "", IF(D49="", "",D49-D34))</f>
        <v>101552.41182199999</v>
      </c>
      <c r="I49" s="29">
        <f>IF(D49="", "", IF(E49="", "",E49-E34))</f>
        <v>276663.91557799996</v>
      </c>
    </row>
    <row r="50" spans="1:9" x14ac:dyDescent="0.25">
      <c r="A50" s="25"/>
      <c r="B50" s="25" t="s">
        <v>8</v>
      </c>
      <c r="C50" s="26">
        <v>371877.13999900001</v>
      </c>
      <c r="D50" s="27">
        <v>356785.02308900002</v>
      </c>
      <c r="E50" s="28">
        <f>E49+C50-D50</f>
        <v>599340.30981000012</v>
      </c>
      <c r="F50" s="25"/>
      <c r="G50" s="25" t="s">
        <v>8</v>
      </c>
      <c r="H50" s="29">
        <f>IF(C50="", "", IF(D50="", "",D50-D35))</f>
        <v>95280.189458000037</v>
      </c>
      <c r="I50" s="29">
        <f>IF(D50="", "", IF(E50="", "",E50-E35))</f>
        <v>249262.214454</v>
      </c>
    </row>
    <row r="51" spans="1:9" x14ac:dyDescent="0.25">
      <c r="A51" s="25"/>
      <c r="B51" s="25" t="s">
        <v>9</v>
      </c>
      <c r="C51" s="26">
        <v>464819.10999899998</v>
      </c>
      <c r="D51" s="27">
        <v>400586.36166200001</v>
      </c>
      <c r="E51" s="28">
        <f>E50+C51-D51</f>
        <v>663573.05814700015</v>
      </c>
      <c r="F51" s="25"/>
      <c r="G51" s="25" t="s">
        <v>9</v>
      </c>
      <c r="H51" s="29">
        <f>IF(C51="", "", IF(D51="", "",D51-D36))</f>
        <v>135203.43353099999</v>
      </c>
      <c r="I51" s="29">
        <f>IF(D51="", "", IF(E51="", "",E51-E36))</f>
        <v>89145.232699000044</v>
      </c>
    </row>
    <row r="52" spans="1:9" x14ac:dyDescent="0.25">
      <c r="A52" s="25"/>
      <c r="B52" s="25" t="s">
        <v>10</v>
      </c>
      <c r="C52" s="26">
        <v>320284.07</v>
      </c>
      <c r="D52" s="27">
        <v>332181.57838700002</v>
      </c>
      <c r="E52" s="28">
        <f>E51+C52-D52</f>
        <v>651675.5497600002</v>
      </c>
      <c r="F52" s="25"/>
      <c r="G52" s="25" t="s">
        <v>10</v>
      </c>
      <c r="H52" s="29">
        <f>IF(C52="", "", IF(D52="", "",D52-D37))</f>
        <v>51053.58038400003</v>
      </c>
      <c r="I52" s="29">
        <f>IF(D52="", "", IF(E52="", "",E52-E37))</f>
        <v>-45990.897684999858</v>
      </c>
    </row>
    <row r="53" spans="1:9" x14ac:dyDescent="0.25">
      <c r="A53" s="25"/>
      <c r="B53" s="25" t="s">
        <v>11</v>
      </c>
      <c r="C53" s="26">
        <v>478226.199998</v>
      </c>
      <c r="D53" s="27">
        <v>466303.176117</v>
      </c>
      <c r="E53" s="28">
        <f>E52+C53-D53</f>
        <v>663598.57364100032</v>
      </c>
      <c r="F53" s="25"/>
      <c r="G53" s="25" t="s">
        <v>11</v>
      </c>
      <c r="H53" s="29">
        <f>IF(C53="", "", IF(D53="", "",D53-D38))</f>
        <v>220959.70467400001</v>
      </c>
      <c r="I53" s="29">
        <f>IF(D53="", "", IF(E53="", "",E53-E38))</f>
        <v>89116.717639000271</v>
      </c>
    </row>
    <row r="54" spans="1:9" x14ac:dyDescent="0.25">
      <c r="A54" s="25"/>
      <c r="B54" s="25" t="s">
        <v>12</v>
      </c>
      <c r="C54" s="26">
        <v>739068.10999799997</v>
      </c>
      <c r="D54" s="27">
        <v>598996.07178400003</v>
      </c>
      <c r="E54" s="28">
        <f>E53+C54-D54</f>
        <v>803670.61185500014</v>
      </c>
      <c r="F54" s="25"/>
      <c r="G54" s="25" t="s">
        <v>12</v>
      </c>
      <c r="H54" s="29">
        <f>IF(C54="", "", IF(D54="", "",D54-D39))</f>
        <v>331340.32920400001</v>
      </c>
      <c r="I54" s="29">
        <f>IF(D54="", "", IF(E54="", "",E54-E39))</f>
        <v>229850.87660200021</v>
      </c>
    </row>
    <row r="55" spans="1:9" x14ac:dyDescent="0.25">
      <c r="A55" s="25"/>
      <c r="B55" s="25" t="s">
        <v>13</v>
      </c>
      <c r="C55" s="26">
        <v>358981.949999</v>
      </c>
      <c r="D55" s="27">
        <v>576173.29991099995</v>
      </c>
      <c r="E55" s="28">
        <f>E54+C55-D55</f>
        <v>586479.26194300025</v>
      </c>
      <c r="F55" s="25"/>
      <c r="G55" s="25" t="s">
        <v>13</v>
      </c>
      <c r="H55" s="29">
        <f>IF(C55="", "", IF(D55="", "",D55-D40))</f>
        <v>348978.43210199999</v>
      </c>
      <c r="I55" s="29">
        <f>IF(D55="", "", IF(E55="", "",E55-E40))</f>
        <v>10179.414499000297</v>
      </c>
    </row>
    <row r="56" spans="1:9" x14ac:dyDescent="0.25">
      <c r="A56" s="25"/>
      <c r="B56" s="25" t="s">
        <v>14</v>
      </c>
      <c r="C56" s="26">
        <v>465917.25</v>
      </c>
      <c r="D56" s="27">
        <v>443273.43150399998</v>
      </c>
      <c r="E56" s="28">
        <f>E55+C56-D56</f>
        <v>609123.08043900039</v>
      </c>
      <c r="F56" s="25"/>
      <c r="G56" s="25" t="s">
        <v>14</v>
      </c>
      <c r="H56" s="29">
        <f>IF(C56="", "", IF(D56="", "",D56-D41))</f>
        <v>167509.740621</v>
      </c>
      <c r="I56" s="29">
        <f>IF(D56="", "", IF(E56="", "",E56-E41))</f>
        <v>21952.279309000354</v>
      </c>
    </row>
    <row r="57" spans="1:9" x14ac:dyDescent="0.25">
      <c r="A57" s="25"/>
      <c r="B57" s="25" t="s">
        <v>15</v>
      </c>
      <c r="C57" s="26">
        <v>329980.73999799998</v>
      </c>
      <c r="D57" s="27">
        <v>445744.60989899997</v>
      </c>
      <c r="E57" s="28">
        <f>E56+C57-D57</f>
        <v>493359.21053800039</v>
      </c>
      <c r="F57" s="25"/>
      <c r="G57" s="25" t="s">
        <v>15</v>
      </c>
      <c r="H57" s="29">
        <f>IF(C57="", "", IF(D57="", "",D57-D42))</f>
        <v>119539.95832099998</v>
      </c>
      <c r="I57" s="29">
        <f>IF(D57="", "", IF(E57="", "",E57-E42))</f>
        <v>-57712.749008999614</v>
      </c>
    </row>
    <row r="58" spans="1:9" x14ac:dyDescent="0.25">
      <c r="A58" s="25"/>
      <c r="B58" s="25" t="s">
        <v>16</v>
      </c>
      <c r="C58" s="26">
        <v>506196.98999899998</v>
      </c>
      <c r="D58" s="27">
        <v>437328.16269000003</v>
      </c>
      <c r="E58" s="28">
        <f>E57+C58-D58</f>
        <v>562228.03784700029</v>
      </c>
      <c r="F58" s="25"/>
      <c r="G58" s="25" t="s">
        <v>16</v>
      </c>
      <c r="H58" s="29">
        <f>IF(C58="", "", IF(D58="", "",D58-D43))</f>
        <v>158513.73877400003</v>
      </c>
      <c r="I58" s="29">
        <f>IF(D58="", "", IF(E58="", "",E58-E43))</f>
        <v>-4627.8177839998389</v>
      </c>
    </row>
    <row r="59" spans="1:9" x14ac:dyDescent="0.25">
      <c r="A59" s="25"/>
      <c r="B59" s="25" t="s">
        <v>17</v>
      </c>
      <c r="C59" s="26">
        <v>344078.06</v>
      </c>
      <c r="D59" s="27">
        <v>498245.16049600003</v>
      </c>
      <c r="E59" s="28">
        <f>E58+C59-D59</f>
        <v>408060.9373510002</v>
      </c>
      <c r="F59" s="25"/>
      <c r="G59" s="25" t="s">
        <v>17</v>
      </c>
      <c r="H59" s="29">
        <f>IF(C59="", "", IF(D59="", "",D59-D44))</f>
        <v>166527.86301500001</v>
      </c>
      <c r="I59" s="29">
        <f>IF(D59="", "", IF(E59="", "",E59-E44))</f>
        <v>-136077.69079900003</v>
      </c>
    </row>
    <row r="60" spans="1:9" x14ac:dyDescent="0.25">
      <c r="A60" s="30"/>
      <c r="B60" s="30" t="s">
        <v>18</v>
      </c>
      <c r="C60" s="31">
        <v>224374.65</v>
      </c>
      <c r="D60" s="32">
        <v>317938.15155000001</v>
      </c>
      <c r="E60" s="33">
        <f>E59+C60-D60</f>
        <v>314497.43580100016</v>
      </c>
      <c r="F60" s="30"/>
      <c r="G60" s="30" t="s">
        <v>18</v>
      </c>
      <c r="H60" s="34">
        <f>IF(C60="", "", IF(D60="", "",D60-D45))</f>
        <v>42373.019635999983</v>
      </c>
      <c r="I60" s="34">
        <f>IF(D60="", "", IF(E60="", "",E60-E45))</f>
        <v>-177056.43043500005</v>
      </c>
    </row>
    <row r="61" spans="1:9" s="2" customFormat="1" x14ac:dyDescent="0.25">
      <c r="A61" s="35"/>
      <c r="B61" s="35" t="s">
        <v>19</v>
      </c>
      <c r="C61" s="36">
        <f>SUM(C49:C60)</f>
        <v>4958063.1399900001</v>
      </c>
      <c r="D61" s="37">
        <f>SUM(D49:D60)</f>
        <v>5135119.5704249991</v>
      </c>
      <c r="E61" s="28"/>
      <c r="F61" s="35"/>
      <c r="G61" s="35"/>
      <c r="H61" s="28">
        <f>SUMIF(C49:C60,"&gt;=0",H49:H60)</f>
        <v>1938832.401542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413171.92833249999</v>
      </c>
      <c r="D62" s="37">
        <f>AVERAGE(D49:D60)</f>
        <v>427926.63086874993</v>
      </c>
      <c r="E62" s="38">
        <f>C62/D62-1</f>
        <v>-3.4479514645526677E-2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314497.43580100016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482458.509999</v>
      </c>
      <c r="D64" s="13">
        <v>245845.65752400001</v>
      </c>
      <c r="E64" s="14">
        <f>E63+C64-D64</f>
        <v>551110.28827600006</v>
      </c>
      <c r="F64" s="11"/>
      <c r="G64" s="11" t="s">
        <v>7</v>
      </c>
      <c r="H64" s="15">
        <f>IF(C64="", "", IF(D64="", "",D64-D49))</f>
        <v>-15718.885811999993</v>
      </c>
      <c r="I64" s="15">
        <f>IF(D64="", "", IF(E64="", "",E64-E49))</f>
        <v>-33137.904624000075</v>
      </c>
    </row>
    <row r="65" spans="1:9" x14ac:dyDescent="0.25">
      <c r="A65" s="11"/>
      <c r="B65" s="11" t="s">
        <v>8</v>
      </c>
      <c r="C65" s="12">
        <v>433479.44</v>
      </c>
      <c r="D65" s="13">
        <v>396917.11582100001</v>
      </c>
      <c r="E65" s="14">
        <f>E64+C65-D65</f>
        <v>587672.61245500017</v>
      </c>
      <c r="F65" s="11"/>
      <c r="G65" s="11" t="s">
        <v>8</v>
      </c>
      <c r="H65" s="15">
        <f>IF(C65="", "", IF(D65="", "",D65-D50))</f>
        <v>40132.09273199999</v>
      </c>
      <c r="I65" s="15">
        <f>IF(D65="", "", IF(E65="", "",E65-E50))</f>
        <v>-11667.697354999953</v>
      </c>
    </row>
    <row r="66" spans="1:9" x14ac:dyDescent="0.25">
      <c r="A66" s="11"/>
      <c r="B66" s="11" t="s">
        <v>9</v>
      </c>
      <c r="C66" s="12">
        <v>429042.71</v>
      </c>
      <c r="D66" s="13">
        <v>408377.81489199999</v>
      </c>
      <c r="E66" s="14">
        <f>E65+C66-D66</f>
        <v>608337.50756300008</v>
      </c>
      <c r="F66" s="11"/>
      <c r="G66" s="11" t="s">
        <v>9</v>
      </c>
      <c r="H66" s="15">
        <f>IF(C66="", "", IF(D66="", "",D66-D51))</f>
        <v>7791.4532299999846</v>
      </c>
      <c r="I66" s="15">
        <f>IF(D66="", "", IF(E66="", "",E66-E51))</f>
        <v>-55235.55058400007</v>
      </c>
    </row>
    <row r="67" spans="1:9" x14ac:dyDescent="0.25">
      <c r="A67" s="11"/>
      <c r="B67" s="11" t="s">
        <v>10</v>
      </c>
      <c r="C67" s="12">
        <v>308037.46999999997</v>
      </c>
      <c r="D67" s="13">
        <v>343638.96497899998</v>
      </c>
      <c r="E67" s="14">
        <f>E66+C67-D67</f>
        <v>572736.01258400013</v>
      </c>
      <c r="F67" s="11"/>
      <c r="G67" s="11" t="s">
        <v>10</v>
      </c>
      <c r="H67" s="15">
        <f>IF(C67="", "", IF(D67="", "",D67-D52))</f>
        <v>11457.386591999966</v>
      </c>
      <c r="I67" s="15">
        <f>IF(D67="", "", IF(E67="", "",E67-E52))</f>
        <v>-78939.537176000071</v>
      </c>
    </row>
    <row r="68" spans="1:9" x14ac:dyDescent="0.25">
      <c r="A68" s="11"/>
      <c r="B68" s="11" t="s">
        <v>11</v>
      </c>
      <c r="C68" s="12">
        <v>418482.75</v>
      </c>
      <c r="D68" s="13">
        <v>390395.11813999998</v>
      </c>
      <c r="E68" s="14">
        <f>E67+C68-D68</f>
        <v>600823.64444400021</v>
      </c>
      <c r="F68" s="11"/>
      <c r="G68" s="11" t="s">
        <v>11</v>
      </c>
      <c r="H68" s="15">
        <f>IF(C68="", "", IF(D68="", "",D68-D53))</f>
        <v>-75908.057977000019</v>
      </c>
      <c r="I68" s="15">
        <f>IF(D68="", "", IF(E68="", "",E68-E53))</f>
        <v>-62774.929197000107</v>
      </c>
    </row>
    <row r="69" spans="1:9" x14ac:dyDescent="0.25">
      <c r="A69" s="11"/>
      <c r="B69" s="11" t="s">
        <v>12</v>
      </c>
      <c r="C69" s="12">
        <v>423544.02999900002</v>
      </c>
      <c r="D69" s="13">
        <v>448398.84087299998</v>
      </c>
      <c r="E69" s="14">
        <f>E68+C69-D69</f>
        <v>575968.83357000025</v>
      </c>
      <c r="F69" s="11"/>
      <c r="G69" s="11" t="s">
        <v>12</v>
      </c>
      <c r="H69" s="15">
        <f>IF(C69="", "", IF(D69="", "",D69-D54))</f>
        <v>-150597.23091100005</v>
      </c>
      <c r="I69" s="15">
        <f>IF(D69="", "", IF(E69="", "",E69-E54))</f>
        <v>-227701.77828499989</v>
      </c>
    </row>
    <row r="70" spans="1:9" x14ac:dyDescent="0.25">
      <c r="A70" s="11"/>
      <c r="B70" s="11" t="s">
        <v>13</v>
      </c>
      <c r="C70" s="12">
        <v>608443.99</v>
      </c>
      <c r="D70" s="13">
        <v>432492.88241899997</v>
      </c>
      <c r="E70" s="14">
        <f>E69+C70-D70</f>
        <v>751919.94115100033</v>
      </c>
      <c r="F70" s="11"/>
      <c r="G70" s="11" t="s">
        <v>13</v>
      </c>
      <c r="H70" s="15">
        <f>IF(C70="", "", IF(D70="", "",D70-D55))</f>
        <v>-143680.41749199998</v>
      </c>
      <c r="I70" s="15">
        <f>IF(D70="", "", IF(E70="", "",E70-E55))</f>
        <v>165440.67920800007</v>
      </c>
    </row>
    <row r="71" spans="1:9" x14ac:dyDescent="0.25">
      <c r="A71" s="11"/>
      <c r="B71" s="11" t="s">
        <v>14</v>
      </c>
      <c r="C71" s="12">
        <v>532913.38</v>
      </c>
      <c r="D71" s="13">
        <v>627013.55802</v>
      </c>
      <c r="E71" s="14">
        <f>E70+C71-D71</f>
        <v>657819.76313100045</v>
      </c>
      <c r="F71" s="11"/>
      <c r="G71" s="11" t="s">
        <v>14</v>
      </c>
      <c r="H71" s="15">
        <f>IF(C71="", "", IF(D71="", "",D71-D56))</f>
        <v>183740.12651600002</v>
      </c>
      <c r="I71" s="15">
        <f>IF(D71="", "", IF(E71="", "",E71-E56))</f>
        <v>48696.68269200006</v>
      </c>
    </row>
    <row r="72" spans="1:9" x14ac:dyDescent="0.25">
      <c r="A72" s="11"/>
      <c r="B72" s="11" t="s">
        <v>15</v>
      </c>
      <c r="C72" s="12">
        <v>904820.12999699998</v>
      </c>
      <c r="D72" s="13">
        <v>475948.97313200001</v>
      </c>
      <c r="E72" s="14">
        <f>E71+C72-D72</f>
        <v>1086690.9199960004</v>
      </c>
      <c r="F72" s="11"/>
      <c r="G72" s="11" t="s">
        <v>15</v>
      </c>
      <c r="H72" s="15">
        <f>IF(C72="", "", IF(D72="", "",D72-D57))</f>
        <v>30204.36323300004</v>
      </c>
      <c r="I72" s="15">
        <f>IF(D72="", "", IF(E72="", "",E72-E57))</f>
        <v>593331.70945800003</v>
      </c>
    </row>
    <row r="73" spans="1:9" x14ac:dyDescent="0.25">
      <c r="A73" s="11"/>
      <c r="B73" s="11" t="s">
        <v>16</v>
      </c>
      <c r="C73" s="12">
        <v>604939.13</v>
      </c>
      <c r="D73" s="13">
        <v>662084.62999699998</v>
      </c>
      <c r="E73" s="14">
        <f>E72+C73-D73</f>
        <v>1029545.4199990003</v>
      </c>
      <c r="F73" s="11"/>
      <c r="G73" s="11" t="s">
        <v>16</v>
      </c>
      <c r="H73" s="15">
        <f>IF(C73="", "", IF(D73="", "",D73-D58))</f>
        <v>224756.46730699996</v>
      </c>
      <c r="I73" s="15">
        <f>IF(D73="", "", IF(E73="", "",E73-E58))</f>
        <v>467317.38215199998</v>
      </c>
    </row>
    <row r="74" spans="1:9" x14ac:dyDescent="0.25">
      <c r="A74" s="11"/>
      <c r="B74" s="11" t="s">
        <v>17</v>
      </c>
      <c r="C74" s="12">
        <v>316239.63</v>
      </c>
      <c r="D74" s="13">
        <v>491086.231783</v>
      </c>
      <c r="E74" s="14">
        <f>E73+C74-D74</f>
        <v>854698.81821600022</v>
      </c>
      <c r="F74" s="11"/>
      <c r="G74" s="11" t="s">
        <v>17</v>
      </c>
      <c r="H74" s="15">
        <f>IF(C74="", "", IF(D74="", "",D74-D59))</f>
        <v>-7158.9287130000303</v>
      </c>
      <c r="I74" s="15">
        <f>IF(D74="", "", IF(E74="", "",E74-E59))</f>
        <v>446637.88086500001</v>
      </c>
    </row>
    <row r="75" spans="1:9" x14ac:dyDescent="0.25">
      <c r="A75" s="16"/>
      <c r="B75" s="16" t="s">
        <v>18</v>
      </c>
      <c r="C75" s="17">
        <v>309371.80999899999</v>
      </c>
      <c r="D75" s="18">
        <v>438714.833965</v>
      </c>
      <c r="E75" s="19">
        <f>E74+C75-D75</f>
        <v>725355.79425000027</v>
      </c>
      <c r="F75" s="16"/>
      <c r="G75" s="16" t="s">
        <v>18</v>
      </c>
      <c r="H75" s="20">
        <f>IF(C75="", "", IF(D75="", "",D75-D60))</f>
        <v>120776.68241499999</v>
      </c>
      <c r="I75" s="20">
        <f>IF(D75="", "", IF(E75="", "",E75-E60))</f>
        <v>410858.35844900011</v>
      </c>
    </row>
    <row r="76" spans="1:9" s="2" customFormat="1" x14ac:dyDescent="0.25">
      <c r="A76" s="21"/>
      <c r="B76" s="21" t="s">
        <v>19</v>
      </c>
      <c r="C76" s="22">
        <f>SUM(C64:C75)</f>
        <v>5771772.9799939999</v>
      </c>
      <c r="D76" s="23">
        <f>SUM(D64:D75)</f>
        <v>5360914.6215449991</v>
      </c>
      <c r="E76" s="14"/>
      <c r="F76" s="21"/>
      <c r="G76" s="21"/>
      <c r="H76" s="14">
        <f>SUMIF(C64:C75,"&gt;=0",H64:H75)</f>
        <v>225795.0511199999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480981.08166616666</v>
      </c>
      <c r="D77" s="23">
        <f>AVERAGE(D64:D75)</f>
        <v>446742.88512874994</v>
      </c>
      <c r="E77" s="24">
        <f>C77/D77-1</f>
        <v>7.6639601160182647E-2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725355.79425000027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725355.79425000027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725355.79425000027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725355.79425000027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725355.79425000027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725355.79425000027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725355.79425000027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725355.79425000027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725355.79425000027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725355.79425000027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725355.79425000027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725355.79425000027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725355.79425000027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A8675-3871-4365-9DFA-4A1DC7D7F294}">
  <sheetPr codeName="Sheet12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586282.25492700003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315190.252255</v>
      </c>
      <c r="D4" s="13">
        <v>240573.65419900001</v>
      </c>
      <c r="E4" s="14">
        <f>E3+C4-D4</f>
        <v>660898.85298299999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336526.650869</v>
      </c>
      <c r="D5" s="13">
        <v>401981.617654</v>
      </c>
      <c r="E5" s="14">
        <f>E4+C5-D5</f>
        <v>595443.88619800005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381645.96980100003</v>
      </c>
      <c r="D6" s="13">
        <v>372914.909629</v>
      </c>
      <c r="E6" s="14">
        <f>E5+C6-D6</f>
        <v>604174.94637000014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256008.48889099999</v>
      </c>
      <c r="D7" s="13">
        <v>338984.57420199999</v>
      </c>
      <c r="E7" s="14">
        <f>E6+C7-D7</f>
        <v>521198.86105900019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291005.66241799999</v>
      </c>
      <c r="D8" s="13">
        <v>342769.610109</v>
      </c>
      <c r="E8" s="14">
        <f>E7+C8-D8</f>
        <v>469434.91336800018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205027.47066799999</v>
      </c>
      <c r="D9" s="13">
        <v>239106.881008</v>
      </c>
      <c r="E9" s="14">
        <f>E8+C9-D9</f>
        <v>435355.50302800012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341068.020839</v>
      </c>
      <c r="D10" s="13">
        <v>308277.22256299999</v>
      </c>
      <c r="E10" s="14">
        <f>E9+C10-D10</f>
        <v>468146.30130400014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185413.77</v>
      </c>
      <c r="D11" s="13">
        <v>219592.58786900001</v>
      </c>
      <c r="E11" s="14">
        <f>E10+C11-D11</f>
        <v>433967.48343500006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257084.67333600001</v>
      </c>
      <c r="D12" s="13">
        <v>242596.77574700001</v>
      </c>
      <c r="E12" s="14">
        <f>E11+C12-D12</f>
        <v>448455.381024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332525.23314800003</v>
      </c>
      <c r="D13" s="13">
        <v>337090.77309500001</v>
      </c>
      <c r="E13" s="14">
        <f>E12+C13-D13</f>
        <v>443889.84107699996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412060.96526600001</v>
      </c>
      <c r="D14" s="13">
        <v>385277.76592199999</v>
      </c>
      <c r="E14" s="14">
        <f>E13+C14-D14</f>
        <v>470673.04042099993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240148.53088999999</v>
      </c>
      <c r="D15" s="18">
        <v>237351.637326</v>
      </c>
      <c r="E15" s="19">
        <f>E14+C15-D15</f>
        <v>473469.93398499989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3553705.6883810004</v>
      </c>
      <c r="D16" s="23">
        <f>SUM(D4:D15)</f>
        <v>3666518.0093230004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296142.14069841668</v>
      </c>
      <c r="D17" s="23">
        <f>AVERAGE(D4:D15)</f>
        <v>305543.16744358337</v>
      </c>
      <c r="E17" s="24">
        <f>C17/D17-1</f>
        <v>-3.0768244054753868E-2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473469.93398499989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142714.53796099999</v>
      </c>
      <c r="D19" s="27">
        <v>172546.59454300001</v>
      </c>
      <c r="E19" s="28">
        <f>E18+C19-D19</f>
        <v>443637.8774029999</v>
      </c>
      <c r="F19" s="25"/>
      <c r="G19" s="25" t="s">
        <v>7</v>
      </c>
      <c r="H19" s="29">
        <f>IF(C19="", "", IF(D19="", "",D19-D4))</f>
        <v>-68027.059655999998</v>
      </c>
      <c r="I19" s="29">
        <f>IF(D19="", "", IF(E19="", "",E19-E4))</f>
        <v>-217260.97558000009</v>
      </c>
    </row>
    <row r="20" spans="1:9" x14ac:dyDescent="0.25">
      <c r="A20" s="25"/>
      <c r="B20" s="25" t="s">
        <v>8</v>
      </c>
      <c r="C20" s="26">
        <v>273926.26759800001</v>
      </c>
      <c r="D20" s="27">
        <v>266324.278552</v>
      </c>
      <c r="E20" s="28">
        <f>E19+C20-D20</f>
        <v>451239.86644899991</v>
      </c>
      <c r="F20" s="25"/>
      <c r="G20" s="25" t="s">
        <v>8</v>
      </c>
      <c r="H20" s="29">
        <f>IF(C20="", "", IF(D20="", "",D20-D5))</f>
        <v>-135657.339102</v>
      </c>
      <c r="I20" s="29">
        <f>IF(D20="", "", IF(E20="", "",E20-E5))</f>
        <v>-144204.01974900014</v>
      </c>
    </row>
    <row r="21" spans="1:9" x14ac:dyDescent="0.25">
      <c r="A21" s="25"/>
      <c r="B21" s="25" t="s">
        <v>9</v>
      </c>
      <c r="C21" s="26">
        <v>290777.44125600002</v>
      </c>
      <c r="D21" s="27">
        <v>303156.15476200002</v>
      </c>
      <c r="E21" s="28">
        <f>E20+C21-D21</f>
        <v>438861.15294299991</v>
      </c>
      <c r="F21" s="25"/>
      <c r="G21" s="25" t="s">
        <v>9</v>
      </c>
      <c r="H21" s="29">
        <f>IF(C21="", "", IF(D21="", "",D21-D6))</f>
        <v>-69758.754866999981</v>
      </c>
      <c r="I21" s="29">
        <f>IF(D21="", "", IF(E21="", "",E21-E6))</f>
        <v>-165313.79342700023</v>
      </c>
    </row>
    <row r="22" spans="1:9" x14ac:dyDescent="0.25">
      <c r="A22" s="25"/>
      <c r="B22" s="25" t="s">
        <v>10</v>
      </c>
      <c r="C22" s="26">
        <v>91548.27</v>
      </c>
      <c r="D22" s="27">
        <v>170853.03915</v>
      </c>
      <c r="E22" s="28">
        <f>E21+C22-D22</f>
        <v>359556.3837929999</v>
      </c>
      <c r="F22" s="25"/>
      <c r="G22" s="25" t="s">
        <v>10</v>
      </c>
      <c r="H22" s="29">
        <f>IF(C22="", "", IF(D22="", "",D22-D7))</f>
        <v>-168131.53505199999</v>
      </c>
      <c r="I22" s="29">
        <f>IF(D22="", "", IF(E22="", "",E22-E7))</f>
        <v>-161642.47726600029</v>
      </c>
    </row>
    <row r="23" spans="1:9" x14ac:dyDescent="0.25">
      <c r="A23" s="25"/>
      <c r="B23" s="25" t="s">
        <v>11</v>
      </c>
      <c r="C23" s="26">
        <v>284467.38360499998</v>
      </c>
      <c r="D23" s="27">
        <v>262816.37438599998</v>
      </c>
      <c r="E23" s="28">
        <f>E22+C23-D23</f>
        <v>381207.3930119999</v>
      </c>
      <c r="F23" s="25"/>
      <c r="G23" s="25" t="s">
        <v>11</v>
      </c>
      <c r="H23" s="29">
        <f>IF(C23="", "", IF(D23="", "",D23-D8))</f>
        <v>-79953.23572300002</v>
      </c>
      <c r="I23" s="29">
        <f>IF(D23="", "", IF(E23="", "",E23-E8))</f>
        <v>-88227.520356000285</v>
      </c>
    </row>
    <row r="24" spans="1:9" x14ac:dyDescent="0.25">
      <c r="A24" s="25"/>
      <c r="B24" s="25" t="s">
        <v>12</v>
      </c>
      <c r="C24" s="26">
        <v>288134.82255400001</v>
      </c>
      <c r="D24" s="27">
        <v>257143.89154899999</v>
      </c>
      <c r="E24" s="28">
        <f>E23+C24-D24</f>
        <v>412198.32401699998</v>
      </c>
      <c r="F24" s="25"/>
      <c r="G24" s="25" t="s">
        <v>12</v>
      </c>
      <c r="H24" s="29">
        <f>IF(C24="", "", IF(D24="", "",D24-D9))</f>
        <v>18037.010540999996</v>
      </c>
      <c r="I24" s="29">
        <f>IF(D24="", "", IF(E24="", "",E24-E9))</f>
        <v>-23157.179011000146</v>
      </c>
    </row>
    <row r="25" spans="1:9" x14ac:dyDescent="0.25">
      <c r="A25" s="25"/>
      <c r="B25" s="25" t="s">
        <v>13</v>
      </c>
      <c r="C25" s="26">
        <v>249615.34251300001</v>
      </c>
      <c r="D25" s="27">
        <v>248476.52248399999</v>
      </c>
      <c r="E25" s="28">
        <f>E24+C25-D25</f>
        <v>413337.14404600009</v>
      </c>
      <c r="F25" s="25"/>
      <c r="G25" s="25" t="s">
        <v>13</v>
      </c>
      <c r="H25" s="29">
        <f>IF(C25="", "", IF(D25="", "",D25-D10))</f>
        <v>-59800.700079000002</v>
      </c>
      <c r="I25" s="29">
        <f>IF(D25="", "", IF(E25="", "",E25-E10))</f>
        <v>-54809.15725800005</v>
      </c>
    </row>
    <row r="26" spans="1:9" x14ac:dyDescent="0.25">
      <c r="A26" s="25"/>
      <c r="B26" s="25" t="s">
        <v>14</v>
      </c>
      <c r="C26" s="26">
        <v>206909.80321099999</v>
      </c>
      <c r="D26" s="27">
        <v>220818.98368899999</v>
      </c>
      <c r="E26" s="28">
        <f>E25+C26-D26</f>
        <v>399427.96356800001</v>
      </c>
      <c r="F26" s="25"/>
      <c r="G26" s="25" t="s">
        <v>14</v>
      </c>
      <c r="H26" s="29">
        <f>IF(C26="", "", IF(D26="", "",D26-D11))</f>
        <v>1226.3958199999761</v>
      </c>
      <c r="I26" s="29">
        <f>IF(D26="", "", IF(E26="", "",E26-E11))</f>
        <v>-34539.519867000054</v>
      </c>
    </row>
    <row r="27" spans="1:9" x14ac:dyDescent="0.25">
      <c r="A27" s="25"/>
      <c r="B27" s="25" t="s">
        <v>15</v>
      </c>
      <c r="C27" s="26">
        <v>227708.9803</v>
      </c>
      <c r="D27" s="27">
        <v>245255.56974599999</v>
      </c>
      <c r="E27" s="28">
        <f>E26+C27-D27</f>
        <v>381881.37412200007</v>
      </c>
      <c r="F27" s="25"/>
      <c r="G27" s="25" t="s">
        <v>15</v>
      </c>
      <c r="H27" s="29">
        <f>IF(C27="", "", IF(D27="", "",D27-D12))</f>
        <v>2658.7939989999868</v>
      </c>
      <c r="I27" s="29">
        <f>IF(D27="", "", IF(E27="", "",E27-E12))</f>
        <v>-66574.006901999936</v>
      </c>
    </row>
    <row r="28" spans="1:9" x14ac:dyDescent="0.25">
      <c r="A28" s="25"/>
      <c r="B28" s="25" t="s">
        <v>16</v>
      </c>
      <c r="C28" s="26">
        <v>257503.13187899999</v>
      </c>
      <c r="D28" s="27">
        <v>218921.64773699999</v>
      </c>
      <c r="E28" s="28">
        <f>E27+C28-D28</f>
        <v>420462.85826400004</v>
      </c>
      <c r="F28" s="25"/>
      <c r="G28" s="25" t="s">
        <v>16</v>
      </c>
      <c r="H28" s="29">
        <f>IF(C28="", "", IF(D28="", "",D28-D13))</f>
        <v>-118169.12535800002</v>
      </c>
      <c r="I28" s="29">
        <f>IF(D28="", "", IF(E28="", "",E28-E13))</f>
        <v>-23426.982812999922</v>
      </c>
    </row>
    <row r="29" spans="1:9" x14ac:dyDescent="0.25">
      <c r="A29" s="25"/>
      <c r="B29" s="25" t="s">
        <v>17</v>
      </c>
      <c r="C29" s="26">
        <v>301739.151167</v>
      </c>
      <c r="D29" s="27">
        <v>319088.369129</v>
      </c>
      <c r="E29" s="28">
        <f>E28+C29-D29</f>
        <v>403113.6403020001</v>
      </c>
      <c r="F29" s="25"/>
      <c r="G29" s="25" t="s">
        <v>17</v>
      </c>
      <c r="H29" s="29">
        <f>IF(C29="", "", IF(D29="", "",D29-D14))</f>
        <v>-66189.396792999993</v>
      </c>
      <c r="I29" s="29">
        <f>IF(D29="", "", IF(E29="", "",E29-E14))</f>
        <v>-67559.400118999823</v>
      </c>
    </row>
    <row r="30" spans="1:9" x14ac:dyDescent="0.25">
      <c r="A30" s="30"/>
      <c r="B30" s="30" t="s">
        <v>18</v>
      </c>
      <c r="C30" s="31">
        <v>180384.97733299999</v>
      </c>
      <c r="D30" s="32">
        <v>216488.65247900001</v>
      </c>
      <c r="E30" s="33">
        <f>E29+C30-D30</f>
        <v>367009.96515599999</v>
      </c>
      <c r="F30" s="30"/>
      <c r="G30" s="30" t="s">
        <v>18</v>
      </c>
      <c r="H30" s="34">
        <f>IF(C30="", "", IF(D30="", "",D30-D15))</f>
        <v>-20862.984846999985</v>
      </c>
      <c r="I30" s="34">
        <f>IF(D30="", "", IF(E30="", "",E30-E15))</f>
        <v>-106459.9688289999</v>
      </c>
    </row>
    <row r="31" spans="1:9" s="2" customFormat="1" x14ac:dyDescent="0.25">
      <c r="A31" s="35"/>
      <c r="B31" s="35" t="s">
        <v>19</v>
      </c>
      <c r="C31" s="36">
        <f>SUM(C19:C30)</f>
        <v>2795430.109377</v>
      </c>
      <c r="D31" s="37">
        <f>SUM(D19:D30)</f>
        <v>2901890.0782060004</v>
      </c>
      <c r="E31" s="28"/>
      <c r="F31" s="35"/>
      <c r="G31" s="35"/>
      <c r="H31" s="28">
        <f>SUMIF(C19:C30,"&gt;=0",H19:H30)</f>
        <v>-764627.93111700017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232952.50911474999</v>
      </c>
      <c r="D32" s="37">
        <f>AVERAGE(D19:D30)</f>
        <v>241824.17318383337</v>
      </c>
      <c r="E32" s="38">
        <f>C32/D32-1</f>
        <v>-3.6686423661786649E-2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367009.96515599999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195958.27583299999</v>
      </c>
      <c r="D34" s="13">
        <v>166315.237739</v>
      </c>
      <c r="E34" s="14">
        <f>E33+C34-D34</f>
        <v>396653.00324999995</v>
      </c>
      <c r="F34" s="11"/>
      <c r="G34" s="11" t="s">
        <v>7</v>
      </c>
      <c r="H34" s="15">
        <f>IF(C34="", "", IF(D34="", "",D34-D19))</f>
        <v>-6231.35680400001</v>
      </c>
      <c r="I34" s="15">
        <f>IF(D34="", "", IF(E34="", "",E34-E19))</f>
        <v>-46984.874152999953</v>
      </c>
    </row>
    <row r="35" spans="1:9" x14ac:dyDescent="0.25">
      <c r="A35" s="11"/>
      <c r="B35" s="11" t="s">
        <v>8</v>
      </c>
      <c r="C35" s="12">
        <v>273890.99782300001</v>
      </c>
      <c r="D35" s="13">
        <v>241373.169964</v>
      </c>
      <c r="E35" s="14">
        <f>E34+C35-D35</f>
        <v>429170.83110900002</v>
      </c>
      <c r="F35" s="11"/>
      <c r="G35" s="11" t="s">
        <v>8</v>
      </c>
      <c r="H35" s="15">
        <f>IF(C35="", "", IF(D35="", "",D35-D20))</f>
        <v>-24951.108588000003</v>
      </c>
      <c r="I35" s="15">
        <f>IF(D35="", "", IF(E35="", "",E35-E20))</f>
        <v>-22069.035339999886</v>
      </c>
    </row>
    <row r="36" spans="1:9" x14ac:dyDescent="0.25">
      <c r="A36" s="11"/>
      <c r="B36" s="11" t="s">
        <v>9</v>
      </c>
      <c r="C36" s="12">
        <v>293725.78737500001</v>
      </c>
      <c r="D36" s="13">
        <v>274074.916264</v>
      </c>
      <c r="E36" s="14">
        <f>E35+C36-D36</f>
        <v>448821.70221999998</v>
      </c>
      <c r="F36" s="11"/>
      <c r="G36" s="11" t="s">
        <v>9</v>
      </c>
      <c r="H36" s="15">
        <f>IF(C36="", "", IF(D36="", "",D36-D21))</f>
        <v>-29081.238498000021</v>
      </c>
      <c r="I36" s="15">
        <f>IF(D36="", "", IF(E36="", "",E36-E21))</f>
        <v>9960.549277000071</v>
      </c>
    </row>
    <row r="37" spans="1:9" x14ac:dyDescent="0.25">
      <c r="A37" s="11"/>
      <c r="B37" s="11" t="s">
        <v>10</v>
      </c>
      <c r="C37" s="12">
        <v>230347.74367900001</v>
      </c>
      <c r="D37" s="13">
        <v>251081.156277</v>
      </c>
      <c r="E37" s="14">
        <f>E36+C37-D37</f>
        <v>428088.28962199995</v>
      </c>
      <c r="F37" s="11"/>
      <c r="G37" s="11" t="s">
        <v>10</v>
      </c>
      <c r="H37" s="15">
        <f>IF(C37="", "", IF(D37="", "",D37-D22))</f>
        <v>80228.117127000005</v>
      </c>
      <c r="I37" s="15">
        <f>IF(D37="", "", IF(E37="", "",E37-E22))</f>
        <v>68531.905829000054</v>
      </c>
    </row>
    <row r="38" spans="1:9" x14ac:dyDescent="0.25">
      <c r="A38" s="11"/>
      <c r="B38" s="11" t="s">
        <v>11</v>
      </c>
      <c r="C38" s="12">
        <v>295692.564801</v>
      </c>
      <c r="D38" s="13">
        <v>231475.11494599999</v>
      </c>
      <c r="E38" s="14">
        <f>E37+C38-D38</f>
        <v>492305.73947700002</v>
      </c>
      <c r="F38" s="11"/>
      <c r="G38" s="11" t="s">
        <v>11</v>
      </c>
      <c r="H38" s="15">
        <f>IF(C38="", "", IF(D38="", "",D38-D23))</f>
        <v>-31341.259439999994</v>
      </c>
      <c r="I38" s="15">
        <f>IF(D38="", "", IF(E38="", "",E38-E23))</f>
        <v>111098.34646500013</v>
      </c>
    </row>
    <row r="39" spans="1:9" x14ac:dyDescent="0.25">
      <c r="A39" s="11"/>
      <c r="B39" s="11" t="s">
        <v>12</v>
      </c>
      <c r="C39" s="12">
        <v>271816.15154200001</v>
      </c>
      <c r="D39" s="13">
        <v>291687.77472099999</v>
      </c>
      <c r="E39" s="14">
        <f>E38+C39-D39</f>
        <v>472434.11629799998</v>
      </c>
      <c r="F39" s="11"/>
      <c r="G39" s="11" t="s">
        <v>12</v>
      </c>
      <c r="H39" s="15">
        <f>IF(C39="", "", IF(D39="", "",D39-D24))</f>
        <v>34543.883172000002</v>
      </c>
      <c r="I39" s="15">
        <f>IF(D39="", "", IF(E39="", "",E39-E24))</f>
        <v>60235.792281000002</v>
      </c>
    </row>
    <row r="40" spans="1:9" x14ac:dyDescent="0.25">
      <c r="A40" s="11"/>
      <c r="B40" s="11" t="s">
        <v>13</v>
      </c>
      <c r="C40" s="12">
        <v>265836.64540600003</v>
      </c>
      <c r="D40" s="13">
        <v>222640.151534</v>
      </c>
      <c r="E40" s="14">
        <f>E39+C40-D40</f>
        <v>515630.61016999994</v>
      </c>
      <c r="F40" s="11"/>
      <c r="G40" s="11" t="s">
        <v>13</v>
      </c>
      <c r="H40" s="15">
        <f>IF(C40="", "", IF(D40="", "",D40-D25))</f>
        <v>-25836.370949999982</v>
      </c>
      <c r="I40" s="15">
        <f>IF(D40="", "", IF(E40="", "",E40-E25))</f>
        <v>102293.46612399985</v>
      </c>
    </row>
    <row r="41" spans="1:9" x14ac:dyDescent="0.25">
      <c r="A41" s="11"/>
      <c r="B41" s="11" t="s">
        <v>14</v>
      </c>
      <c r="C41" s="12">
        <v>189005.28895700001</v>
      </c>
      <c r="D41" s="13">
        <v>234377.03473799999</v>
      </c>
      <c r="E41" s="14">
        <f>E40+C41-D41</f>
        <v>470258.86438899999</v>
      </c>
      <c r="F41" s="11"/>
      <c r="G41" s="11" t="s">
        <v>14</v>
      </c>
      <c r="H41" s="15">
        <f>IF(C41="", "", IF(D41="", "",D41-D26))</f>
        <v>13558.051049000002</v>
      </c>
      <c r="I41" s="15">
        <f>IF(D41="", "", IF(E41="", "",E41-E26))</f>
        <v>70830.900820999988</v>
      </c>
    </row>
    <row r="42" spans="1:9" x14ac:dyDescent="0.25">
      <c r="A42" s="11"/>
      <c r="B42" s="11" t="s">
        <v>15</v>
      </c>
      <c r="C42" s="12">
        <v>314820.69044400001</v>
      </c>
      <c r="D42" s="13">
        <v>294181.78817199997</v>
      </c>
      <c r="E42" s="14">
        <f>E41+C42-D42</f>
        <v>490897.76666100009</v>
      </c>
      <c r="F42" s="11"/>
      <c r="G42" s="11" t="s">
        <v>15</v>
      </c>
      <c r="H42" s="15">
        <f>IF(C42="", "", IF(D42="", "",D42-D27))</f>
        <v>48926.218425999978</v>
      </c>
      <c r="I42" s="15">
        <f>IF(D42="", "", IF(E42="", "",E42-E27))</f>
        <v>109016.39253900002</v>
      </c>
    </row>
    <row r="43" spans="1:9" x14ac:dyDescent="0.25">
      <c r="A43" s="11"/>
      <c r="B43" s="11" t="s">
        <v>16</v>
      </c>
      <c r="C43" s="12">
        <v>271671.77233299997</v>
      </c>
      <c r="D43" s="13">
        <v>264834.02095199999</v>
      </c>
      <c r="E43" s="14">
        <f>E42+C43-D43</f>
        <v>497735.51804200007</v>
      </c>
      <c r="F43" s="11"/>
      <c r="G43" s="11" t="s">
        <v>16</v>
      </c>
      <c r="H43" s="15">
        <f>IF(C43="", "", IF(D43="", "",D43-D28))</f>
        <v>45912.373215</v>
      </c>
      <c r="I43" s="15">
        <f>IF(D43="", "", IF(E43="", "",E43-E28))</f>
        <v>77272.65977800003</v>
      </c>
    </row>
    <row r="44" spans="1:9" x14ac:dyDescent="0.25">
      <c r="A44" s="11"/>
      <c r="B44" s="11" t="s">
        <v>17</v>
      </c>
      <c r="C44" s="12">
        <v>445256.87991800002</v>
      </c>
      <c r="D44" s="13">
        <v>384095.59771200002</v>
      </c>
      <c r="E44" s="14">
        <f>E43+C44-D44</f>
        <v>558896.80024800007</v>
      </c>
      <c r="F44" s="11"/>
      <c r="G44" s="11" t="s">
        <v>17</v>
      </c>
      <c r="H44" s="15">
        <f>IF(C44="", "", IF(D44="", "",D44-D29))</f>
        <v>65007.228583000018</v>
      </c>
      <c r="I44" s="15">
        <f>IF(D44="", "", IF(E44="", "",E44-E29))</f>
        <v>155783.15994599997</v>
      </c>
    </row>
    <row r="45" spans="1:9" x14ac:dyDescent="0.25">
      <c r="A45" s="16"/>
      <c r="B45" s="16" t="s">
        <v>18</v>
      </c>
      <c r="C45" s="17">
        <v>126599.476516</v>
      </c>
      <c r="D45" s="18">
        <v>230967.53073299999</v>
      </c>
      <c r="E45" s="19">
        <f>E44+C45-D45</f>
        <v>454528.74603100005</v>
      </c>
      <c r="F45" s="16"/>
      <c r="G45" s="16" t="s">
        <v>18</v>
      </c>
      <c r="H45" s="20">
        <f>IF(C45="", "", IF(D45="", "",D45-D30))</f>
        <v>14478.878253999981</v>
      </c>
      <c r="I45" s="20">
        <f>IF(D45="", "", IF(E45="", "",E45-E30))</f>
        <v>87518.780875000055</v>
      </c>
    </row>
    <row r="46" spans="1:9" s="2" customFormat="1" x14ac:dyDescent="0.25">
      <c r="A46" s="21"/>
      <c r="B46" s="21" t="s">
        <v>19</v>
      </c>
      <c r="C46" s="22">
        <f>SUM(C34:C45)</f>
        <v>3174622.2746270001</v>
      </c>
      <c r="D46" s="23">
        <f>SUM(D34:D45)</f>
        <v>3087103.4937519999</v>
      </c>
      <c r="E46" s="14"/>
      <c r="F46" s="21"/>
      <c r="G46" s="21"/>
      <c r="H46" s="14">
        <f>SUMIF(C34:C45,"&gt;=0",H34:H45)</f>
        <v>185213.41554599997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264551.85621891666</v>
      </c>
      <c r="D47" s="23">
        <f>AVERAGE(D34:D45)</f>
        <v>257258.62447933332</v>
      </c>
      <c r="E47" s="24">
        <f>C47/D47-1</f>
        <v>2.8349804615274365E-2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454528.74603100005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242969.14600000001</v>
      </c>
      <c r="D49" s="27">
        <v>144054.43776999999</v>
      </c>
      <c r="E49" s="28">
        <f>E48+C49-D49</f>
        <v>553443.45426100004</v>
      </c>
      <c r="F49" s="25"/>
      <c r="G49" s="25" t="s">
        <v>7</v>
      </c>
      <c r="H49" s="29">
        <f>IF(C49="", "", IF(D49="", "",D49-D34))</f>
        <v>-22260.799969000014</v>
      </c>
      <c r="I49" s="29">
        <f>IF(D49="", "", IF(E49="", "",E49-E34))</f>
        <v>156790.45101100008</v>
      </c>
    </row>
    <row r="50" spans="1:9" x14ac:dyDescent="0.25">
      <c r="A50" s="25"/>
      <c r="B50" s="25" t="s">
        <v>8</v>
      </c>
      <c r="C50" s="26">
        <v>264329.93449700001</v>
      </c>
      <c r="D50" s="27">
        <v>267381.36296</v>
      </c>
      <c r="E50" s="28">
        <f>E49+C50-D50</f>
        <v>550392.02579799993</v>
      </c>
      <c r="F50" s="25"/>
      <c r="G50" s="25" t="s">
        <v>8</v>
      </c>
      <c r="H50" s="29">
        <f>IF(C50="", "", IF(D50="", "",D50-D35))</f>
        <v>26008.192995999998</v>
      </c>
      <c r="I50" s="29">
        <f>IF(D50="", "", IF(E50="", "",E50-E35))</f>
        <v>121221.19468899991</v>
      </c>
    </row>
    <row r="51" spans="1:9" x14ac:dyDescent="0.25">
      <c r="A51" s="25"/>
      <c r="B51" s="25" t="s">
        <v>9</v>
      </c>
      <c r="C51" s="26">
        <v>257671.867964</v>
      </c>
      <c r="D51" s="27">
        <v>256488.188757</v>
      </c>
      <c r="E51" s="28">
        <f>E50+C51-D51</f>
        <v>551575.70500499988</v>
      </c>
      <c r="F51" s="25"/>
      <c r="G51" s="25" t="s">
        <v>9</v>
      </c>
      <c r="H51" s="29">
        <f>IF(C51="", "", IF(D51="", "",D51-D36))</f>
        <v>-17586.727507000003</v>
      </c>
      <c r="I51" s="29">
        <f>IF(D51="", "", IF(E51="", "",E51-E36))</f>
        <v>102754.0027849999</v>
      </c>
    </row>
    <row r="52" spans="1:9" x14ac:dyDescent="0.25">
      <c r="A52" s="25"/>
      <c r="B52" s="25" t="s">
        <v>10</v>
      </c>
      <c r="C52" s="26">
        <v>283004.27099500003</v>
      </c>
      <c r="D52" s="27">
        <v>245656.66079699999</v>
      </c>
      <c r="E52" s="28">
        <f>E51+C52-D52</f>
        <v>588923.31520299986</v>
      </c>
      <c r="F52" s="25"/>
      <c r="G52" s="25" t="s">
        <v>10</v>
      </c>
      <c r="H52" s="29">
        <f>IF(C52="", "", IF(D52="", "",D52-D37))</f>
        <v>-5424.4954800000123</v>
      </c>
      <c r="I52" s="29">
        <f>IF(D52="", "", IF(E52="", "",E52-E37))</f>
        <v>160835.02558099991</v>
      </c>
    </row>
    <row r="53" spans="1:9" x14ac:dyDescent="0.25">
      <c r="A53" s="25"/>
      <c r="B53" s="25" t="s">
        <v>11</v>
      </c>
      <c r="C53" s="26">
        <v>225182.543813</v>
      </c>
      <c r="D53" s="27">
        <v>262576.71181800001</v>
      </c>
      <c r="E53" s="28">
        <f>E52+C53-D53</f>
        <v>551529.14719799976</v>
      </c>
      <c r="F53" s="25"/>
      <c r="G53" s="25" t="s">
        <v>11</v>
      </c>
      <c r="H53" s="29">
        <f>IF(C53="", "", IF(D53="", "",D53-D38))</f>
        <v>31101.596872000024</v>
      </c>
      <c r="I53" s="29">
        <f>IF(D53="", "", IF(E53="", "",E53-E38))</f>
        <v>59223.407720999734</v>
      </c>
    </row>
    <row r="54" spans="1:9" x14ac:dyDescent="0.25">
      <c r="A54" s="25"/>
      <c r="B54" s="25" t="s">
        <v>12</v>
      </c>
      <c r="C54" s="26">
        <v>173833.417197</v>
      </c>
      <c r="D54" s="27">
        <v>245588.75348099999</v>
      </c>
      <c r="E54" s="28">
        <f>E53+C54-D54</f>
        <v>479773.8109139998</v>
      </c>
      <c r="F54" s="25"/>
      <c r="G54" s="25" t="s">
        <v>12</v>
      </c>
      <c r="H54" s="29">
        <f>IF(C54="", "", IF(D54="", "",D54-D39))</f>
        <v>-46099.021240000002</v>
      </c>
      <c r="I54" s="29">
        <f>IF(D54="", "", IF(E54="", "",E54-E39))</f>
        <v>7339.6946159998188</v>
      </c>
    </row>
    <row r="55" spans="1:9" x14ac:dyDescent="0.25">
      <c r="A55" s="25"/>
      <c r="B55" s="25" t="s">
        <v>13</v>
      </c>
      <c r="C55" s="26">
        <v>193799.17167499999</v>
      </c>
      <c r="D55" s="27">
        <v>184393.35584800001</v>
      </c>
      <c r="E55" s="28">
        <f>E54+C55-D55</f>
        <v>489179.62674099975</v>
      </c>
      <c r="F55" s="25"/>
      <c r="G55" s="25" t="s">
        <v>13</v>
      </c>
      <c r="H55" s="29">
        <f>IF(C55="", "", IF(D55="", "",D55-D40))</f>
        <v>-38246.795685999998</v>
      </c>
      <c r="I55" s="29">
        <f>IF(D55="", "", IF(E55="", "",E55-E40))</f>
        <v>-26450.983429000189</v>
      </c>
    </row>
    <row r="56" spans="1:9" x14ac:dyDescent="0.25">
      <c r="A56" s="25"/>
      <c r="B56" s="25" t="s">
        <v>14</v>
      </c>
      <c r="C56" s="26">
        <v>382455.77520999999</v>
      </c>
      <c r="D56" s="27">
        <v>308055.65545700002</v>
      </c>
      <c r="E56" s="28">
        <f>E55+C56-D56</f>
        <v>563579.74649399973</v>
      </c>
      <c r="F56" s="25"/>
      <c r="G56" s="25" t="s">
        <v>14</v>
      </c>
      <c r="H56" s="29">
        <f>IF(C56="", "", IF(D56="", "",D56-D41))</f>
        <v>73678.620719000028</v>
      </c>
      <c r="I56" s="29">
        <f>IF(D56="", "", IF(E56="", "",E56-E41))</f>
        <v>93320.882104999735</v>
      </c>
    </row>
    <row r="57" spans="1:9" x14ac:dyDescent="0.25">
      <c r="A57" s="25"/>
      <c r="B57" s="25" t="s">
        <v>15</v>
      </c>
      <c r="C57" s="26">
        <v>331511.09042700002</v>
      </c>
      <c r="D57" s="27">
        <v>354744.02816300001</v>
      </c>
      <c r="E57" s="28">
        <f>E56+C57-D57</f>
        <v>540346.80875799968</v>
      </c>
      <c r="F57" s="25"/>
      <c r="G57" s="25" t="s">
        <v>15</v>
      </c>
      <c r="H57" s="29">
        <f>IF(C57="", "", IF(D57="", "",D57-D42))</f>
        <v>60562.239991000039</v>
      </c>
      <c r="I57" s="29">
        <f>IF(D57="", "", IF(E57="", "",E57-E42))</f>
        <v>49449.04209699959</v>
      </c>
    </row>
    <row r="58" spans="1:9" x14ac:dyDescent="0.25">
      <c r="A58" s="25"/>
      <c r="B58" s="25" t="s">
        <v>16</v>
      </c>
      <c r="C58" s="26">
        <v>227015.04216300001</v>
      </c>
      <c r="D58" s="27">
        <v>288752.07460699999</v>
      </c>
      <c r="E58" s="28">
        <f>E57+C58-D58</f>
        <v>478609.77631399967</v>
      </c>
      <c r="F58" s="25"/>
      <c r="G58" s="25" t="s">
        <v>16</v>
      </c>
      <c r="H58" s="29">
        <f>IF(C58="", "", IF(D58="", "",D58-D43))</f>
        <v>23918.053654999996</v>
      </c>
      <c r="I58" s="29">
        <f>IF(D58="", "", IF(E58="", "",E58-E43))</f>
        <v>-19125.741728000401</v>
      </c>
    </row>
    <row r="59" spans="1:9" x14ac:dyDescent="0.25">
      <c r="A59" s="25"/>
      <c r="B59" s="25" t="s">
        <v>17</v>
      </c>
      <c r="C59" s="26">
        <v>220198.13768000001</v>
      </c>
      <c r="D59" s="27">
        <v>296260.41245200002</v>
      </c>
      <c r="E59" s="28">
        <f>E58+C59-D59</f>
        <v>402547.50154199969</v>
      </c>
      <c r="F59" s="25"/>
      <c r="G59" s="25" t="s">
        <v>17</v>
      </c>
      <c r="H59" s="29">
        <f>IF(C59="", "", IF(D59="", "",D59-D44))</f>
        <v>-87835.185259999998</v>
      </c>
      <c r="I59" s="29">
        <f>IF(D59="", "", IF(E59="", "",E59-E44))</f>
        <v>-156349.29870600038</v>
      </c>
    </row>
    <row r="60" spans="1:9" x14ac:dyDescent="0.25">
      <c r="A60" s="30"/>
      <c r="B60" s="30" t="s">
        <v>18</v>
      </c>
      <c r="C60" s="31">
        <v>166018.0189</v>
      </c>
      <c r="D60" s="32">
        <v>175950.31137400001</v>
      </c>
      <c r="E60" s="33">
        <f>E59+C60-D60</f>
        <v>392615.20906799962</v>
      </c>
      <c r="F60" s="30"/>
      <c r="G60" s="30" t="s">
        <v>18</v>
      </c>
      <c r="H60" s="34">
        <f>IF(C60="", "", IF(D60="", "",D60-D45))</f>
        <v>-55017.219358999981</v>
      </c>
      <c r="I60" s="34">
        <f>IF(D60="", "", IF(E60="", "",E60-E45))</f>
        <v>-61913.536963000428</v>
      </c>
    </row>
    <row r="61" spans="1:9" s="2" customFormat="1" x14ac:dyDescent="0.25">
      <c r="A61" s="35"/>
      <c r="B61" s="35" t="s">
        <v>19</v>
      </c>
      <c r="C61" s="36">
        <f>SUM(C49:C60)</f>
        <v>2967988.4165210002</v>
      </c>
      <c r="D61" s="37">
        <f>SUM(D49:D60)</f>
        <v>3029901.9534840002</v>
      </c>
      <c r="E61" s="28"/>
      <c r="F61" s="35"/>
      <c r="G61" s="35"/>
      <c r="H61" s="28">
        <f>SUMIF(C49:C60,"&gt;=0",H49:H60)</f>
        <v>-57201.540267999924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247332.36804341667</v>
      </c>
      <c r="D62" s="37">
        <f>AVERAGE(D49:D60)</f>
        <v>252491.82945700001</v>
      </c>
      <c r="E62" s="38">
        <f>C62/D62-1</f>
        <v>-2.0434171769752263E-2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392615.20906799962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168056.56950000001</v>
      </c>
      <c r="D64" s="13">
        <v>121239.99591100001</v>
      </c>
      <c r="E64" s="14">
        <f>E63+C64-D64</f>
        <v>439431.7826569996</v>
      </c>
      <c r="F64" s="11"/>
      <c r="G64" s="11" t="s">
        <v>7</v>
      </c>
      <c r="H64" s="15">
        <f>IF(C64="", "", IF(D64="", "",D64-D49))</f>
        <v>-22814.441858999984</v>
      </c>
      <c r="I64" s="15">
        <f>IF(D64="", "", IF(E64="", "",E64-E49))</f>
        <v>-114011.67160400044</v>
      </c>
    </row>
    <row r="65" spans="1:9" x14ac:dyDescent="0.25">
      <c r="A65" s="11"/>
      <c r="B65" s="11" t="s">
        <v>8</v>
      </c>
      <c r="C65" s="12">
        <v>143209.3983</v>
      </c>
      <c r="D65" s="13">
        <v>149621.52521699999</v>
      </c>
      <c r="E65" s="14">
        <f>E64+C65-D65</f>
        <v>433019.65573999955</v>
      </c>
      <c r="F65" s="11"/>
      <c r="G65" s="11" t="s">
        <v>8</v>
      </c>
      <c r="H65" s="15">
        <f>IF(C65="", "", IF(D65="", "",D65-D50))</f>
        <v>-117759.83774300001</v>
      </c>
      <c r="I65" s="15">
        <f>IF(D65="", "", IF(E65="", "",E65-E50))</f>
        <v>-117372.37005800038</v>
      </c>
    </row>
    <row r="66" spans="1:9" x14ac:dyDescent="0.25">
      <c r="A66" s="11"/>
      <c r="B66" s="11" t="s">
        <v>9</v>
      </c>
      <c r="C66" s="12">
        <v>214273.09525899999</v>
      </c>
      <c r="D66" s="13">
        <v>230026.375042</v>
      </c>
      <c r="E66" s="14">
        <f>E65+C66-D66</f>
        <v>417266.3759569996</v>
      </c>
      <c r="F66" s="11"/>
      <c r="G66" s="11" t="s">
        <v>9</v>
      </c>
      <c r="H66" s="15">
        <f>IF(C66="", "", IF(D66="", "",D66-D51))</f>
        <v>-26461.813714999997</v>
      </c>
      <c r="I66" s="15">
        <f>IF(D66="", "", IF(E66="", "",E66-E51))</f>
        <v>-134309.32904800028</v>
      </c>
    </row>
    <row r="67" spans="1:9" x14ac:dyDescent="0.25">
      <c r="A67" s="11"/>
      <c r="B67" s="11" t="s">
        <v>10</v>
      </c>
      <c r="C67" s="12">
        <v>153629.53278099999</v>
      </c>
      <c r="D67" s="13">
        <v>169249.92645100001</v>
      </c>
      <c r="E67" s="14">
        <f>E66+C67-D67</f>
        <v>401645.98228699958</v>
      </c>
      <c r="F67" s="11"/>
      <c r="G67" s="11" t="s">
        <v>10</v>
      </c>
      <c r="H67" s="15">
        <f>IF(C67="", "", IF(D67="", "",D67-D52))</f>
        <v>-76406.734345999983</v>
      </c>
      <c r="I67" s="15">
        <f>IF(D67="", "", IF(E67="", "",E67-E52))</f>
        <v>-187277.33291600028</v>
      </c>
    </row>
    <row r="68" spans="1:9" x14ac:dyDescent="0.25">
      <c r="A68" s="11"/>
      <c r="B68" s="11" t="s">
        <v>11</v>
      </c>
      <c r="C68" s="12">
        <v>181591.68966599999</v>
      </c>
      <c r="D68" s="13">
        <v>204769.76845100001</v>
      </c>
      <c r="E68" s="14">
        <f>E67+C68-D68</f>
        <v>378467.90350199956</v>
      </c>
      <c r="F68" s="11"/>
      <c r="G68" s="11" t="s">
        <v>11</v>
      </c>
      <c r="H68" s="15">
        <f>IF(C68="", "", IF(D68="", "",D68-D53))</f>
        <v>-57806.943367</v>
      </c>
      <c r="I68" s="15">
        <f>IF(D68="", "", IF(E68="", "",E68-E53))</f>
        <v>-173061.24369600019</v>
      </c>
    </row>
    <row r="69" spans="1:9" x14ac:dyDescent="0.25">
      <c r="A69" s="11"/>
      <c r="B69" s="11" t="s">
        <v>12</v>
      </c>
      <c r="C69" s="12">
        <v>371778.52347900002</v>
      </c>
      <c r="D69" s="13">
        <v>178664.25038400001</v>
      </c>
      <c r="E69" s="14">
        <f>E68+C69-D69</f>
        <v>571582.17659699952</v>
      </c>
      <c r="F69" s="11"/>
      <c r="G69" s="11" t="s">
        <v>12</v>
      </c>
      <c r="H69" s="15">
        <f>IF(C69="", "", IF(D69="", "",D69-D54))</f>
        <v>-66924.503096999979</v>
      </c>
      <c r="I69" s="15">
        <f>IF(D69="", "", IF(E69="", "",E69-E54))</f>
        <v>91808.36568299972</v>
      </c>
    </row>
    <row r="70" spans="1:9" x14ac:dyDescent="0.25">
      <c r="A70" s="11"/>
      <c r="B70" s="11" t="s">
        <v>13</v>
      </c>
      <c r="C70" s="12">
        <v>109001.47</v>
      </c>
      <c r="D70" s="13">
        <v>185859.71950800001</v>
      </c>
      <c r="E70" s="14">
        <f>E69+C70-D70</f>
        <v>494723.92708899948</v>
      </c>
      <c r="F70" s="11"/>
      <c r="G70" s="11" t="s">
        <v>13</v>
      </c>
      <c r="H70" s="15">
        <f>IF(C70="", "", IF(D70="", "",D70-D55))</f>
        <v>1466.3636600000027</v>
      </c>
      <c r="I70" s="15">
        <f>IF(D70="", "", IF(E70="", "",E70-E55))</f>
        <v>5544.3003479997278</v>
      </c>
    </row>
    <row r="71" spans="1:9" x14ac:dyDescent="0.25">
      <c r="A71" s="11"/>
      <c r="B71" s="11" t="s">
        <v>14</v>
      </c>
      <c r="C71" s="12">
        <v>63981.746878999998</v>
      </c>
      <c r="D71" s="13">
        <v>134405.773831</v>
      </c>
      <c r="E71" s="14">
        <f>E70+C71-D71</f>
        <v>424299.90013699955</v>
      </c>
      <c r="F71" s="11"/>
      <c r="G71" s="11" t="s">
        <v>14</v>
      </c>
      <c r="H71" s="15">
        <f>IF(C71="", "", IF(D71="", "",D71-D56))</f>
        <v>-173649.88162600002</v>
      </c>
      <c r="I71" s="15">
        <f>IF(D71="", "", IF(E71="", "",E71-E56))</f>
        <v>-139279.84635700018</v>
      </c>
    </row>
    <row r="72" spans="1:9" x14ac:dyDescent="0.25">
      <c r="A72" s="11"/>
      <c r="B72" s="11" t="s">
        <v>15</v>
      </c>
      <c r="C72" s="12">
        <v>86122.173735999997</v>
      </c>
      <c r="D72" s="13">
        <v>126264.358097</v>
      </c>
      <c r="E72" s="14">
        <f>E71+C72-D72</f>
        <v>384157.71577599953</v>
      </c>
      <c r="F72" s="11"/>
      <c r="G72" s="11" t="s">
        <v>15</v>
      </c>
      <c r="H72" s="15">
        <f>IF(C72="", "", IF(D72="", "",D72-D57))</f>
        <v>-228479.67006600002</v>
      </c>
      <c r="I72" s="15">
        <f>IF(D72="", "", IF(E72="", "",E72-E57))</f>
        <v>-156189.09298200015</v>
      </c>
    </row>
    <row r="73" spans="1:9" x14ac:dyDescent="0.25">
      <c r="A73" s="11"/>
      <c r="B73" s="11" t="s">
        <v>16</v>
      </c>
      <c r="C73" s="12">
        <v>149922.38</v>
      </c>
      <c r="D73" s="13">
        <v>137853.43129899999</v>
      </c>
      <c r="E73" s="14">
        <f>E72+C73-D73</f>
        <v>396226.66447699961</v>
      </c>
      <c r="F73" s="11"/>
      <c r="G73" s="11" t="s">
        <v>16</v>
      </c>
      <c r="H73" s="15">
        <f>IF(C73="", "", IF(D73="", "",D73-D58))</f>
        <v>-150898.643308</v>
      </c>
      <c r="I73" s="15">
        <f>IF(D73="", "", IF(E73="", "",E73-E58))</f>
        <v>-82383.111837000062</v>
      </c>
    </row>
    <row r="74" spans="1:9" x14ac:dyDescent="0.25">
      <c r="A74" s="11"/>
      <c r="B74" s="11" t="s">
        <v>17</v>
      </c>
      <c r="C74" s="12">
        <v>107199.985</v>
      </c>
      <c r="D74" s="13">
        <v>154551.446218</v>
      </c>
      <c r="E74" s="14">
        <f>E73+C74-D74</f>
        <v>348875.20325899962</v>
      </c>
      <c r="F74" s="11"/>
      <c r="G74" s="11" t="s">
        <v>17</v>
      </c>
      <c r="H74" s="15">
        <f>IF(C74="", "", IF(D74="", "",D74-D59))</f>
        <v>-141708.96623400002</v>
      </c>
      <c r="I74" s="15">
        <f>IF(D74="", "", IF(E74="", "",E74-E59))</f>
        <v>-53672.298283000069</v>
      </c>
    </row>
    <row r="75" spans="1:9" x14ac:dyDescent="0.25">
      <c r="A75" s="16"/>
      <c r="B75" s="16" t="s">
        <v>18</v>
      </c>
      <c r="C75" s="17">
        <v>114812.889727</v>
      </c>
      <c r="D75" s="18">
        <v>138109.843265</v>
      </c>
      <c r="E75" s="19">
        <f>E74+C75-D75</f>
        <v>325578.24972099962</v>
      </c>
      <c r="F75" s="16"/>
      <c r="G75" s="16" t="s">
        <v>18</v>
      </c>
      <c r="H75" s="20">
        <f>IF(C75="", "", IF(D75="", "",D75-D60))</f>
        <v>-37840.468109000009</v>
      </c>
      <c r="I75" s="20">
        <f>IF(D75="", "", IF(E75="", "",E75-E60))</f>
        <v>-67036.959346999996</v>
      </c>
    </row>
    <row r="76" spans="1:9" s="2" customFormat="1" x14ac:dyDescent="0.25">
      <c r="A76" s="21"/>
      <c r="B76" s="21" t="s">
        <v>19</v>
      </c>
      <c r="C76" s="22">
        <f>SUM(C64:C75)</f>
        <v>1863579.4543269998</v>
      </c>
      <c r="D76" s="23">
        <f>SUM(D64:D75)</f>
        <v>1930616.4136740002</v>
      </c>
      <c r="E76" s="14"/>
      <c r="F76" s="21"/>
      <c r="G76" s="21"/>
      <c r="H76" s="14">
        <f>SUMIF(C64:C75,"&gt;=0",H64:H75)</f>
        <v>-1099285.5398099998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155298.28786058331</v>
      </c>
      <c r="D77" s="23">
        <f>AVERAGE(D64:D75)</f>
        <v>160884.70113950002</v>
      </c>
      <c r="E77" s="24">
        <f>C77/D77-1</f>
        <v>-3.4723085783481933E-2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325578.24972099962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325578.24972099962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325578.24972099962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325578.24972099962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325578.24972099962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325578.24972099962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325578.24972099962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325578.24972099962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325578.24972099962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325578.24972099962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325578.24972099962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325578.24972099962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325578.24972099962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8328A-1FF7-4595-9AC6-CD8A7655DE80}">
  <sheetPr codeName="Sheet13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70043.617836999998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0</v>
      </c>
      <c r="D4" s="13">
        <v>204.744</v>
      </c>
      <c r="E4" s="14">
        <f>E3+C4-D4</f>
        <v>69838.873836999992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1920.02</v>
      </c>
      <c r="D5" s="13">
        <v>1434.1101289999999</v>
      </c>
      <c r="E5" s="14">
        <f>E4+C5-D5</f>
        <v>70324.783708000003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1075.55</v>
      </c>
      <c r="D6" s="13">
        <v>2620.7402830000001</v>
      </c>
      <c r="E6" s="14">
        <f>E5+C6-D6</f>
        <v>68779.593424999999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46053.06</v>
      </c>
      <c r="D7" s="13">
        <v>4994.4766639999998</v>
      </c>
      <c r="E7" s="14">
        <f>E6+C7-D7</f>
        <v>109838.176761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1804.75</v>
      </c>
      <c r="D8" s="13">
        <v>43746.268333</v>
      </c>
      <c r="E8" s="14">
        <f>E7+C8-D8</f>
        <v>67896.658427999995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615.72</v>
      </c>
      <c r="D9" s="13">
        <v>689.72</v>
      </c>
      <c r="E9" s="14">
        <f>E8+C9-D9</f>
        <v>67822.658427999995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823.27</v>
      </c>
      <c r="D10" s="13">
        <v>3592.0806910000001</v>
      </c>
      <c r="E10" s="14">
        <f>E9+C10-D10</f>
        <v>65053.847736999996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599.9</v>
      </c>
      <c r="D11" s="13">
        <v>1003.995</v>
      </c>
      <c r="E11" s="14">
        <f>E10+C11-D11</f>
        <v>64649.752736999995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813</v>
      </c>
      <c r="D12" s="13">
        <v>162.69999999999999</v>
      </c>
      <c r="E12" s="14">
        <f>E11+C12-D12</f>
        <v>65300.052736999998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4682.26</v>
      </c>
      <c r="D13" s="13">
        <v>5557.6260910000001</v>
      </c>
      <c r="E13" s="14">
        <f>E12+C13-D13</f>
        <v>64424.686646000002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190.75</v>
      </c>
      <c r="D14" s="13">
        <v>1872.781827</v>
      </c>
      <c r="E14" s="14">
        <f>E13+C14-D14</f>
        <v>62742.654819000003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220.2</v>
      </c>
      <c r="D15" s="18">
        <v>421.62</v>
      </c>
      <c r="E15" s="19">
        <f>E14+C15-D15</f>
        <v>62541.234818999998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58798.479999999996</v>
      </c>
      <c r="D16" s="23">
        <f>SUM(D4:D15)</f>
        <v>66300.863018000004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4899.873333333333</v>
      </c>
      <c r="D17" s="23">
        <f>AVERAGE(D4:D15)</f>
        <v>5525.0719181666673</v>
      </c>
      <c r="E17" s="24">
        <f>C17/D17-1</f>
        <v>-0.11315664195748387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62541.234818999998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1465.74</v>
      </c>
      <c r="D19" s="27">
        <v>2888.6329999999998</v>
      </c>
      <c r="E19" s="28">
        <f>E18+C19-D19</f>
        <v>61118.341818999994</v>
      </c>
      <c r="F19" s="25"/>
      <c r="G19" s="25" t="s">
        <v>7</v>
      </c>
      <c r="H19" s="29">
        <f>IF(C19="", "", IF(D19="", "",D19-D4))</f>
        <v>2683.8889999999997</v>
      </c>
      <c r="I19" s="29">
        <f>IF(D19="", "", IF(E19="", "",E19-E4))</f>
        <v>-8720.5320179999981</v>
      </c>
    </row>
    <row r="20" spans="1:9" x14ac:dyDescent="0.25">
      <c r="A20" s="25"/>
      <c r="B20" s="25" t="s">
        <v>8</v>
      </c>
      <c r="C20" s="26">
        <v>1981</v>
      </c>
      <c r="D20" s="27">
        <v>6814.4723130000002</v>
      </c>
      <c r="E20" s="28">
        <f>E19+C20-D20</f>
        <v>56284.869505999995</v>
      </c>
      <c r="F20" s="25"/>
      <c r="G20" s="25" t="s">
        <v>8</v>
      </c>
      <c r="H20" s="29">
        <f>IF(C20="", "", IF(D20="", "",D20-D5))</f>
        <v>5380.3621840000005</v>
      </c>
      <c r="I20" s="29">
        <f>IF(D20="", "", IF(E20="", "",E20-E5))</f>
        <v>-14039.914202000007</v>
      </c>
    </row>
    <row r="21" spans="1:9" x14ac:dyDescent="0.25">
      <c r="A21" s="25"/>
      <c r="B21" s="25" t="s">
        <v>9</v>
      </c>
      <c r="C21" s="26">
        <v>6224.2</v>
      </c>
      <c r="D21" s="27">
        <v>1415.4431999999999</v>
      </c>
      <c r="E21" s="28">
        <f>E20+C21-D21</f>
        <v>61093.626305999991</v>
      </c>
      <c r="F21" s="25"/>
      <c r="G21" s="25" t="s">
        <v>9</v>
      </c>
      <c r="H21" s="29">
        <f>IF(C21="", "", IF(D21="", "",D21-D6))</f>
        <v>-1205.2970830000002</v>
      </c>
      <c r="I21" s="29">
        <f>IF(D21="", "", IF(E21="", "",E21-E6))</f>
        <v>-7685.9671190000081</v>
      </c>
    </row>
    <row r="22" spans="1:9" x14ac:dyDescent="0.25">
      <c r="A22" s="25"/>
      <c r="B22" s="25" t="s">
        <v>10</v>
      </c>
      <c r="C22" s="26">
        <v>0</v>
      </c>
      <c r="D22" s="27">
        <v>6527.7643639999997</v>
      </c>
      <c r="E22" s="28">
        <f>E21+C22-D22</f>
        <v>54565.861941999989</v>
      </c>
      <c r="F22" s="25"/>
      <c r="G22" s="25" t="s">
        <v>10</v>
      </c>
      <c r="H22" s="29">
        <f>IF(C22="", "", IF(D22="", "",D22-D7))</f>
        <v>1533.2876999999999</v>
      </c>
      <c r="I22" s="29">
        <f>IF(D22="", "", IF(E22="", "",E22-E7))</f>
        <v>-55272.314819000007</v>
      </c>
    </row>
    <row r="23" spans="1:9" x14ac:dyDescent="0.25">
      <c r="A23" s="25"/>
      <c r="B23" s="25" t="s">
        <v>11</v>
      </c>
      <c r="C23" s="26">
        <v>21031.95</v>
      </c>
      <c r="D23" s="27">
        <v>21682.78</v>
      </c>
      <c r="E23" s="28">
        <f>E22+C23-D23</f>
        <v>53915.031941999987</v>
      </c>
      <c r="F23" s="25"/>
      <c r="G23" s="25" t="s">
        <v>11</v>
      </c>
      <c r="H23" s="29">
        <f>IF(C23="", "", IF(D23="", "",D23-D8))</f>
        <v>-22063.488333000001</v>
      </c>
      <c r="I23" s="29">
        <f>IF(D23="", "", IF(E23="", "",E23-E8))</f>
        <v>-13981.626486000008</v>
      </c>
    </row>
    <row r="24" spans="1:9" x14ac:dyDescent="0.25">
      <c r="A24" s="25"/>
      <c r="B24" s="25" t="s">
        <v>12</v>
      </c>
      <c r="C24" s="26">
        <v>371.52</v>
      </c>
      <c r="D24" s="27">
        <v>688.94880000000001</v>
      </c>
      <c r="E24" s="28">
        <f>E23+C24-D24</f>
        <v>53597.603141999985</v>
      </c>
      <c r="F24" s="25"/>
      <c r="G24" s="25" t="s">
        <v>12</v>
      </c>
      <c r="H24" s="29">
        <f>IF(C24="", "", IF(D24="", "",D24-D9))</f>
        <v>-0.77120000000002165</v>
      </c>
      <c r="I24" s="29">
        <f>IF(D24="", "", IF(E24="", "",E24-E9))</f>
        <v>-14225.05528600001</v>
      </c>
    </row>
    <row r="25" spans="1:9" x14ac:dyDescent="0.25">
      <c r="A25" s="25"/>
      <c r="B25" s="25" t="s">
        <v>13</v>
      </c>
      <c r="C25" s="26">
        <v>179819.22</v>
      </c>
      <c r="D25" s="27">
        <v>38479.294457999997</v>
      </c>
      <c r="E25" s="28">
        <f>E24+C25-D25</f>
        <v>194937.52868399999</v>
      </c>
      <c r="F25" s="25"/>
      <c r="G25" s="25" t="s">
        <v>13</v>
      </c>
      <c r="H25" s="29">
        <f>IF(C25="", "", IF(D25="", "",D25-D10))</f>
        <v>34887.213766999994</v>
      </c>
      <c r="I25" s="29">
        <f>IF(D25="", "", IF(E25="", "",E25-E10))</f>
        <v>129883.68094699999</v>
      </c>
    </row>
    <row r="26" spans="1:9" x14ac:dyDescent="0.25">
      <c r="A26" s="25"/>
      <c r="B26" s="25" t="s">
        <v>14</v>
      </c>
      <c r="C26" s="26">
        <v>17083.473333000002</v>
      </c>
      <c r="D26" s="27">
        <v>49925.726185</v>
      </c>
      <c r="E26" s="28">
        <f>E25+C26-D26</f>
        <v>162095.27583199998</v>
      </c>
      <c r="F26" s="25"/>
      <c r="G26" s="25" t="s">
        <v>14</v>
      </c>
      <c r="H26" s="29">
        <f>IF(C26="", "", IF(D26="", "",D26-D11))</f>
        <v>48921.731184999997</v>
      </c>
      <c r="I26" s="29">
        <f>IF(D26="", "", IF(E26="", "",E26-E11))</f>
        <v>97445.523094999982</v>
      </c>
    </row>
    <row r="27" spans="1:9" x14ac:dyDescent="0.25">
      <c r="A27" s="25"/>
      <c r="B27" s="25" t="s">
        <v>15</v>
      </c>
      <c r="C27" s="26">
        <v>135117.12</v>
      </c>
      <c r="D27" s="27">
        <v>96538.728338999994</v>
      </c>
      <c r="E27" s="28">
        <f>E26+C27-D27</f>
        <v>200673.66749299996</v>
      </c>
      <c r="F27" s="25"/>
      <c r="G27" s="25" t="s">
        <v>15</v>
      </c>
      <c r="H27" s="29">
        <f>IF(C27="", "", IF(D27="", "",D27-D12))</f>
        <v>96376.028338999997</v>
      </c>
      <c r="I27" s="29">
        <f>IF(D27="", "", IF(E27="", "",E27-E12))</f>
        <v>135373.61475599997</v>
      </c>
    </row>
    <row r="28" spans="1:9" x14ac:dyDescent="0.25">
      <c r="A28" s="25"/>
      <c r="B28" s="25" t="s">
        <v>16</v>
      </c>
      <c r="C28" s="26">
        <v>154918.53</v>
      </c>
      <c r="D28" s="27">
        <v>126781.089975</v>
      </c>
      <c r="E28" s="28">
        <f>E27+C28-D28</f>
        <v>228811.10751799995</v>
      </c>
      <c r="F28" s="25"/>
      <c r="G28" s="25" t="s">
        <v>16</v>
      </c>
      <c r="H28" s="29">
        <f>IF(C28="", "", IF(D28="", "",D28-D13))</f>
        <v>121223.463884</v>
      </c>
      <c r="I28" s="29">
        <f>IF(D28="", "", IF(E28="", "",E28-E13))</f>
        <v>164386.42087199993</v>
      </c>
    </row>
    <row r="29" spans="1:9" x14ac:dyDescent="0.25">
      <c r="A29" s="25"/>
      <c r="B29" s="25" t="s">
        <v>17</v>
      </c>
      <c r="C29" s="26">
        <v>169193.91</v>
      </c>
      <c r="D29" s="27">
        <v>135295.41444299999</v>
      </c>
      <c r="E29" s="28">
        <f>E28+C29-D29</f>
        <v>262709.60307499999</v>
      </c>
      <c r="F29" s="25"/>
      <c r="G29" s="25" t="s">
        <v>17</v>
      </c>
      <c r="H29" s="29">
        <f>IF(C29="", "", IF(D29="", "",D29-D14))</f>
        <v>133422.63261599999</v>
      </c>
      <c r="I29" s="29">
        <f>IF(D29="", "", IF(E29="", "",E29-E14))</f>
        <v>199966.948256</v>
      </c>
    </row>
    <row r="30" spans="1:9" x14ac:dyDescent="0.25">
      <c r="A30" s="30"/>
      <c r="B30" s="30" t="s">
        <v>18</v>
      </c>
      <c r="C30" s="31">
        <v>274810.50520000001</v>
      </c>
      <c r="D30" s="32">
        <v>292620.90940399998</v>
      </c>
      <c r="E30" s="33">
        <f>E29+C30-D30</f>
        <v>244899.19887100003</v>
      </c>
      <c r="F30" s="30"/>
      <c r="G30" s="30" t="s">
        <v>18</v>
      </c>
      <c r="H30" s="34">
        <f>IF(C30="", "", IF(D30="", "",D30-D15))</f>
        <v>292199.28940399998</v>
      </c>
      <c r="I30" s="34">
        <f>IF(D30="", "", IF(E30="", "",E30-E15))</f>
        <v>182357.96405200002</v>
      </c>
    </row>
    <row r="31" spans="1:9" s="2" customFormat="1" x14ac:dyDescent="0.25">
      <c r="A31" s="35"/>
      <c r="B31" s="35" t="s">
        <v>19</v>
      </c>
      <c r="C31" s="36">
        <f>SUM(C19:C30)</f>
        <v>962017.16853300005</v>
      </c>
      <c r="D31" s="37">
        <f>SUM(D19:D30)</f>
        <v>779659.20448099996</v>
      </c>
      <c r="E31" s="28"/>
      <c r="F31" s="35"/>
      <c r="G31" s="35"/>
      <c r="H31" s="28">
        <f>SUMIF(C19:C30,"&gt;=0",H19:H30)</f>
        <v>713358.34146300005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80168.097377750004</v>
      </c>
      <c r="D32" s="37">
        <f>AVERAGE(D19:D30)</f>
        <v>64971.600373416666</v>
      </c>
      <c r="E32" s="38">
        <f>C32/D32-1</f>
        <v>0.23389445414601528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244899.19887100003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213386.34673300001</v>
      </c>
      <c r="D34" s="13">
        <v>104497.514524</v>
      </c>
      <c r="E34" s="14">
        <f>E33+C34-D34</f>
        <v>353788.03108000004</v>
      </c>
      <c r="F34" s="11"/>
      <c r="G34" s="11" t="s">
        <v>7</v>
      </c>
      <c r="H34" s="15">
        <f>IF(C34="", "", IF(D34="", "",D34-D19))</f>
        <v>101608.881524</v>
      </c>
      <c r="I34" s="15">
        <f>IF(D34="", "", IF(E34="", "",E34-E19))</f>
        <v>292669.68926100002</v>
      </c>
    </row>
    <row r="35" spans="1:9" x14ac:dyDescent="0.25">
      <c r="A35" s="11"/>
      <c r="B35" s="11" t="s">
        <v>8</v>
      </c>
      <c r="C35" s="12">
        <v>360959.18009500002</v>
      </c>
      <c r="D35" s="13">
        <v>212873.321589</v>
      </c>
      <c r="E35" s="14">
        <f>E34+C35-D35</f>
        <v>501873.88958600006</v>
      </c>
      <c r="F35" s="11"/>
      <c r="G35" s="11" t="s">
        <v>8</v>
      </c>
      <c r="H35" s="15">
        <f>IF(C35="", "", IF(D35="", "",D35-D20))</f>
        <v>206058.84927599999</v>
      </c>
      <c r="I35" s="15">
        <f>IF(D35="", "", IF(E35="", "",E35-E20))</f>
        <v>445589.02008000005</v>
      </c>
    </row>
    <row r="36" spans="1:9" x14ac:dyDescent="0.25">
      <c r="A36" s="11"/>
      <c r="B36" s="11" t="s">
        <v>9</v>
      </c>
      <c r="C36" s="12">
        <v>246498.28750000001</v>
      </c>
      <c r="D36" s="13">
        <v>188623.658558</v>
      </c>
      <c r="E36" s="14">
        <f>E35+C36-D36</f>
        <v>559748.5185280001</v>
      </c>
      <c r="F36" s="11"/>
      <c r="G36" s="11" t="s">
        <v>9</v>
      </c>
      <c r="H36" s="15">
        <f>IF(C36="", "", IF(D36="", "",D36-D21))</f>
        <v>187208.21535799999</v>
      </c>
      <c r="I36" s="15">
        <f>IF(D36="", "", IF(E36="", "",E36-E21))</f>
        <v>498654.89222200011</v>
      </c>
    </row>
    <row r="37" spans="1:9" x14ac:dyDescent="0.25">
      <c r="A37" s="11"/>
      <c r="B37" s="11" t="s">
        <v>10</v>
      </c>
      <c r="C37" s="12">
        <v>203410.351</v>
      </c>
      <c r="D37" s="13">
        <v>198498.98994900001</v>
      </c>
      <c r="E37" s="14">
        <f>E36+C37-D37</f>
        <v>564659.87957900017</v>
      </c>
      <c r="F37" s="11"/>
      <c r="G37" s="11" t="s">
        <v>10</v>
      </c>
      <c r="H37" s="15">
        <f>IF(C37="", "", IF(D37="", "",D37-D22))</f>
        <v>191971.22558500001</v>
      </c>
      <c r="I37" s="15">
        <f>IF(D37="", "", IF(E37="", "",E37-E22))</f>
        <v>510094.01763700019</v>
      </c>
    </row>
    <row r="38" spans="1:9" x14ac:dyDescent="0.25">
      <c r="A38" s="11"/>
      <c r="B38" s="11" t="s">
        <v>11</v>
      </c>
      <c r="C38" s="12">
        <v>168316.30618799999</v>
      </c>
      <c r="D38" s="13">
        <v>168471.244875</v>
      </c>
      <c r="E38" s="14">
        <f>E37+C38-D38</f>
        <v>564504.94089200022</v>
      </c>
      <c r="F38" s="11"/>
      <c r="G38" s="11" t="s">
        <v>11</v>
      </c>
      <c r="H38" s="15">
        <f>IF(C38="", "", IF(D38="", "",D38-D23))</f>
        <v>146788.46487500001</v>
      </c>
      <c r="I38" s="15">
        <f>IF(D38="", "", IF(E38="", "",E38-E23))</f>
        <v>510589.90895000024</v>
      </c>
    </row>
    <row r="39" spans="1:9" x14ac:dyDescent="0.25">
      <c r="A39" s="11"/>
      <c r="B39" s="11" t="s">
        <v>12</v>
      </c>
      <c r="C39" s="12">
        <v>67731.027923000001</v>
      </c>
      <c r="D39" s="13">
        <v>130651.206635</v>
      </c>
      <c r="E39" s="14">
        <f>E38+C39-D39</f>
        <v>501584.76218000025</v>
      </c>
      <c r="F39" s="11"/>
      <c r="G39" s="11" t="s">
        <v>12</v>
      </c>
      <c r="H39" s="15">
        <f>IF(C39="", "", IF(D39="", "",D39-D24))</f>
        <v>129962.257835</v>
      </c>
      <c r="I39" s="15">
        <f>IF(D39="", "", IF(E39="", "",E39-E24))</f>
        <v>447987.15903800027</v>
      </c>
    </row>
    <row r="40" spans="1:9" x14ac:dyDescent="0.25">
      <c r="A40" s="11"/>
      <c r="B40" s="11" t="s">
        <v>13</v>
      </c>
      <c r="C40" s="12">
        <v>171728.69625000001</v>
      </c>
      <c r="D40" s="13">
        <v>191817.49982299999</v>
      </c>
      <c r="E40" s="14">
        <f>E39+C40-D40</f>
        <v>481495.95860700024</v>
      </c>
      <c r="F40" s="11"/>
      <c r="G40" s="11" t="s">
        <v>13</v>
      </c>
      <c r="H40" s="15">
        <f>IF(C40="", "", IF(D40="", "",D40-D25))</f>
        <v>153338.205365</v>
      </c>
      <c r="I40" s="15">
        <f>IF(D40="", "", IF(E40="", "",E40-E25))</f>
        <v>286558.42992300028</v>
      </c>
    </row>
    <row r="41" spans="1:9" x14ac:dyDescent="0.25">
      <c r="A41" s="11"/>
      <c r="B41" s="11" t="s">
        <v>14</v>
      </c>
      <c r="C41" s="12">
        <v>255150.23756800001</v>
      </c>
      <c r="D41" s="13">
        <v>221248.40511600001</v>
      </c>
      <c r="E41" s="14">
        <f>E40+C41-D41</f>
        <v>515397.7910590003</v>
      </c>
      <c r="F41" s="11"/>
      <c r="G41" s="11" t="s">
        <v>14</v>
      </c>
      <c r="H41" s="15">
        <f>IF(C41="", "", IF(D41="", "",D41-D26))</f>
        <v>171322.678931</v>
      </c>
      <c r="I41" s="15">
        <f>IF(D41="", "", IF(E41="", "",E41-E26))</f>
        <v>353302.51522700035</v>
      </c>
    </row>
    <row r="42" spans="1:9" x14ac:dyDescent="0.25">
      <c r="A42" s="11"/>
      <c r="B42" s="11" t="s">
        <v>15</v>
      </c>
      <c r="C42" s="12">
        <v>155535.07833300001</v>
      </c>
      <c r="D42" s="13">
        <v>186017.93633600001</v>
      </c>
      <c r="E42" s="14">
        <f>E41+C42-D42</f>
        <v>484914.93305600039</v>
      </c>
      <c r="F42" s="11"/>
      <c r="G42" s="11" t="s">
        <v>15</v>
      </c>
      <c r="H42" s="15">
        <f>IF(C42="", "", IF(D42="", "",D42-D27))</f>
        <v>89479.20799700002</v>
      </c>
      <c r="I42" s="15">
        <f>IF(D42="", "", IF(E42="", "",E42-E27))</f>
        <v>284241.26556300046</v>
      </c>
    </row>
    <row r="43" spans="1:9" x14ac:dyDescent="0.25">
      <c r="A43" s="11"/>
      <c r="B43" s="11" t="s">
        <v>16</v>
      </c>
      <c r="C43" s="12">
        <v>233914.50255999999</v>
      </c>
      <c r="D43" s="13">
        <v>222311.42140399999</v>
      </c>
      <c r="E43" s="14">
        <f>E42+C43-D43</f>
        <v>496518.0142120003</v>
      </c>
      <c r="F43" s="11"/>
      <c r="G43" s="11" t="s">
        <v>16</v>
      </c>
      <c r="H43" s="15">
        <f>IF(C43="", "", IF(D43="", "",D43-D28))</f>
        <v>95530.331428999998</v>
      </c>
      <c r="I43" s="15">
        <f>IF(D43="", "", IF(E43="", "",E43-E28))</f>
        <v>267706.90669400035</v>
      </c>
    </row>
    <row r="44" spans="1:9" x14ac:dyDescent="0.25">
      <c r="A44" s="11"/>
      <c r="B44" s="11" t="s">
        <v>17</v>
      </c>
      <c r="C44" s="12">
        <v>338735.95889200002</v>
      </c>
      <c r="D44" s="13">
        <v>161975.98780500001</v>
      </c>
      <c r="E44" s="14">
        <f>E43+C44-D44</f>
        <v>673277.98529900028</v>
      </c>
      <c r="F44" s="11"/>
      <c r="G44" s="11" t="s">
        <v>17</v>
      </c>
      <c r="H44" s="15">
        <f>IF(C44="", "", IF(D44="", "",D44-D29))</f>
        <v>26680.573362000025</v>
      </c>
      <c r="I44" s="15">
        <f>IF(D44="", "", IF(E44="", "",E44-E29))</f>
        <v>410568.38222400029</v>
      </c>
    </row>
    <row r="45" spans="1:9" x14ac:dyDescent="0.25">
      <c r="A45" s="16"/>
      <c r="B45" s="16" t="s">
        <v>18</v>
      </c>
      <c r="C45" s="17">
        <v>335253.40591700003</v>
      </c>
      <c r="D45" s="18">
        <v>187176.562347</v>
      </c>
      <c r="E45" s="19">
        <f>E44+C45-D45</f>
        <v>821354.82886900031</v>
      </c>
      <c r="F45" s="16"/>
      <c r="G45" s="16" t="s">
        <v>18</v>
      </c>
      <c r="H45" s="20">
        <f>IF(C45="", "", IF(D45="", "",D45-D30))</f>
        <v>-105444.34705699998</v>
      </c>
      <c r="I45" s="20">
        <f>IF(D45="", "", IF(E45="", "",E45-E30))</f>
        <v>576455.62999800034</v>
      </c>
    </row>
    <row r="46" spans="1:9" s="2" customFormat="1" x14ac:dyDescent="0.25">
      <c r="A46" s="21"/>
      <c r="B46" s="21" t="s">
        <v>19</v>
      </c>
      <c r="C46" s="22">
        <f>SUM(C34:C45)</f>
        <v>2750619.3789590001</v>
      </c>
      <c r="D46" s="23">
        <f>SUM(D34:D45)</f>
        <v>2174163.7489609998</v>
      </c>
      <c r="E46" s="14"/>
      <c r="F46" s="21"/>
      <c r="G46" s="21"/>
      <c r="H46" s="14">
        <f>SUMIF(C34:C45,"&gt;=0",H34:H45)</f>
        <v>1394504.5444800002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229218.28157991669</v>
      </c>
      <c r="D47" s="23">
        <f>AVERAGE(D34:D45)</f>
        <v>181180.31241341666</v>
      </c>
      <c r="E47" s="24">
        <f>C47/D47-1</f>
        <v>0.26513901276915308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821354.82886900031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237395</v>
      </c>
      <c r="D49" s="27">
        <v>211396.377462</v>
      </c>
      <c r="E49" s="28">
        <f>E48+C49-D49</f>
        <v>847353.45140700031</v>
      </c>
      <c r="F49" s="25"/>
      <c r="G49" s="25" t="s">
        <v>7</v>
      </c>
      <c r="H49" s="29">
        <f>IF(C49="", "", IF(D49="", "",D49-D34))</f>
        <v>106898.86293800001</v>
      </c>
      <c r="I49" s="29">
        <f>IF(D49="", "", IF(E49="", "",E49-E34))</f>
        <v>493565.42032700026</v>
      </c>
    </row>
    <row r="50" spans="1:9" x14ac:dyDescent="0.25">
      <c r="A50" s="25"/>
      <c r="B50" s="25" t="s">
        <v>8</v>
      </c>
      <c r="C50" s="26">
        <v>188876.05633799999</v>
      </c>
      <c r="D50" s="27">
        <v>157741.012904</v>
      </c>
      <c r="E50" s="28">
        <f>E49+C50-D50</f>
        <v>878488.4948410003</v>
      </c>
      <c r="F50" s="25"/>
      <c r="G50" s="25" t="s">
        <v>8</v>
      </c>
      <c r="H50" s="29">
        <f>IF(C50="", "", IF(D50="", "",D50-D35))</f>
        <v>-55132.308684999996</v>
      </c>
      <c r="I50" s="29">
        <f>IF(D50="", "", IF(E50="", "",E50-E35))</f>
        <v>376614.60525500024</v>
      </c>
    </row>
    <row r="51" spans="1:9" x14ac:dyDescent="0.25">
      <c r="A51" s="25"/>
      <c r="B51" s="25" t="s">
        <v>9</v>
      </c>
      <c r="C51" s="26">
        <v>511760</v>
      </c>
      <c r="D51" s="27">
        <v>300569.85718699999</v>
      </c>
      <c r="E51" s="28">
        <f>E50+C51-D51</f>
        <v>1089678.6376540004</v>
      </c>
      <c r="F51" s="25"/>
      <c r="G51" s="25" t="s">
        <v>9</v>
      </c>
      <c r="H51" s="29">
        <f>IF(C51="", "", IF(D51="", "",D51-D36))</f>
        <v>111946.19862899999</v>
      </c>
      <c r="I51" s="29">
        <f>IF(D51="", "", IF(E51="", "",E51-E36))</f>
        <v>529930.11912600033</v>
      </c>
    </row>
    <row r="52" spans="1:9" x14ac:dyDescent="0.25">
      <c r="A52" s="25"/>
      <c r="B52" s="25" t="s">
        <v>10</v>
      </c>
      <c r="C52" s="26">
        <v>209530.334</v>
      </c>
      <c r="D52" s="27">
        <v>403948.27056899999</v>
      </c>
      <c r="E52" s="28">
        <f>E51+C52-D52</f>
        <v>895260.70108500053</v>
      </c>
      <c r="F52" s="25"/>
      <c r="G52" s="25" t="s">
        <v>10</v>
      </c>
      <c r="H52" s="29">
        <f>IF(C52="", "", IF(D52="", "",D52-D37))</f>
        <v>205449.28061999998</v>
      </c>
      <c r="I52" s="29">
        <f>IF(D52="", "", IF(E52="", "",E52-E37))</f>
        <v>330600.82150600036</v>
      </c>
    </row>
    <row r="53" spans="1:9" x14ac:dyDescent="0.25">
      <c r="A53" s="25"/>
      <c r="B53" s="25" t="s">
        <v>11</v>
      </c>
      <c r="C53" s="26">
        <v>153696.71571399999</v>
      </c>
      <c r="D53" s="27">
        <v>221199.55429199999</v>
      </c>
      <c r="E53" s="28">
        <f>E52+C53-D53</f>
        <v>827757.86250700045</v>
      </c>
      <c r="F53" s="25"/>
      <c r="G53" s="25" t="s">
        <v>11</v>
      </c>
      <c r="H53" s="29">
        <f>IF(C53="", "", IF(D53="", "",D53-D38))</f>
        <v>52728.309416999982</v>
      </c>
      <c r="I53" s="29">
        <f>IF(D53="", "", IF(E53="", "",E53-E38))</f>
        <v>263252.92161500023</v>
      </c>
    </row>
    <row r="54" spans="1:9" x14ac:dyDescent="0.25">
      <c r="A54" s="25"/>
      <c r="B54" s="25" t="s">
        <v>12</v>
      </c>
      <c r="C54" s="26">
        <v>191756.87700000001</v>
      </c>
      <c r="D54" s="27">
        <v>221819.643105</v>
      </c>
      <c r="E54" s="28">
        <f>E53+C54-D54</f>
        <v>797695.0964020004</v>
      </c>
      <c r="F54" s="25"/>
      <c r="G54" s="25" t="s">
        <v>12</v>
      </c>
      <c r="H54" s="29">
        <f>IF(C54="", "", IF(D54="", "",D54-D39))</f>
        <v>91168.436470000001</v>
      </c>
      <c r="I54" s="29">
        <f>IF(D54="", "", IF(E54="", "",E54-E39))</f>
        <v>296110.33422200015</v>
      </c>
    </row>
    <row r="55" spans="1:9" x14ac:dyDescent="0.25">
      <c r="A55" s="25"/>
      <c r="B55" s="25" t="s">
        <v>13</v>
      </c>
      <c r="C55" s="26">
        <v>125374.25900000001</v>
      </c>
      <c r="D55" s="27">
        <v>135912.45051900001</v>
      </c>
      <c r="E55" s="28">
        <f>E54+C55-D55</f>
        <v>787156.9048830003</v>
      </c>
      <c r="F55" s="25"/>
      <c r="G55" s="25" t="s">
        <v>13</v>
      </c>
      <c r="H55" s="29">
        <f>IF(C55="", "", IF(D55="", "",D55-D40))</f>
        <v>-55905.049303999986</v>
      </c>
      <c r="I55" s="29">
        <f>IF(D55="", "", IF(E55="", "",E55-E40))</f>
        <v>305660.94627600006</v>
      </c>
    </row>
    <row r="56" spans="1:9" x14ac:dyDescent="0.25">
      <c r="A56" s="25"/>
      <c r="B56" s="25" t="s">
        <v>14</v>
      </c>
      <c r="C56" s="26">
        <v>61369.86</v>
      </c>
      <c r="D56" s="27">
        <v>171682.88978600001</v>
      </c>
      <c r="E56" s="28">
        <f>E55+C56-D56</f>
        <v>676843.87509700027</v>
      </c>
      <c r="F56" s="25"/>
      <c r="G56" s="25" t="s">
        <v>14</v>
      </c>
      <c r="H56" s="29">
        <f>IF(C56="", "", IF(D56="", "",D56-D41))</f>
        <v>-49565.515329999995</v>
      </c>
      <c r="I56" s="29">
        <f>IF(D56="", "", IF(E56="", "",E56-E41))</f>
        <v>161446.08403799997</v>
      </c>
    </row>
    <row r="57" spans="1:9" x14ac:dyDescent="0.25">
      <c r="A57" s="25"/>
      <c r="B57" s="25" t="s">
        <v>15</v>
      </c>
      <c r="C57" s="26">
        <v>159461.62683299999</v>
      </c>
      <c r="D57" s="27">
        <v>278133.329149</v>
      </c>
      <c r="E57" s="28">
        <f>E56+C57-D57</f>
        <v>558172.17278100026</v>
      </c>
      <c r="F57" s="25"/>
      <c r="G57" s="25" t="s">
        <v>15</v>
      </c>
      <c r="H57" s="29">
        <f>IF(C57="", "", IF(D57="", "",D57-D42))</f>
        <v>92115.392812999984</v>
      </c>
      <c r="I57" s="29">
        <f>IF(D57="", "", IF(E57="", "",E57-E42))</f>
        <v>73257.239724999876</v>
      </c>
    </row>
    <row r="58" spans="1:9" x14ac:dyDescent="0.25">
      <c r="A58" s="25"/>
      <c r="B58" s="25" t="s">
        <v>16</v>
      </c>
      <c r="C58" s="26">
        <v>140363.39000000001</v>
      </c>
      <c r="D58" s="27">
        <v>255864.070557</v>
      </c>
      <c r="E58" s="28">
        <f>E57+C58-D58</f>
        <v>442671.49222400028</v>
      </c>
      <c r="F58" s="25"/>
      <c r="G58" s="25" t="s">
        <v>16</v>
      </c>
      <c r="H58" s="29">
        <f>IF(C58="", "", IF(D58="", "",D58-D43))</f>
        <v>33552.649153000006</v>
      </c>
      <c r="I58" s="29">
        <f>IF(D58="", "", IF(E58="", "",E58-E43))</f>
        <v>-53846.521988000022</v>
      </c>
    </row>
    <row r="59" spans="1:9" x14ac:dyDescent="0.25">
      <c r="A59" s="25"/>
      <c r="B59" s="25" t="s">
        <v>17</v>
      </c>
      <c r="C59" s="26">
        <v>353696.4</v>
      </c>
      <c r="D59" s="27">
        <v>287726.78930200002</v>
      </c>
      <c r="E59" s="28">
        <f>E58+C59-D59</f>
        <v>508641.10292200028</v>
      </c>
      <c r="F59" s="25"/>
      <c r="G59" s="25" t="s">
        <v>17</v>
      </c>
      <c r="H59" s="29">
        <f>IF(C59="", "", IF(D59="", "",D59-D44))</f>
        <v>125750.80149700001</v>
      </c>
      <c r="I59" s="29">
        <f>IF(D59="", "", IF(E59="", "",E59-E44))</f>
        <v>-164636.882377</v>
      </c>
    </row>
    <row r="60" spans="1:9" x14ac:dyDescent="0.25">
      <c r="A60" s="30"/>
      <c r="B60" s="30" t="s">
        <v>18</v>
      </c>
      <c r="C60" s="31">
        <v>412637.31</v>
      </c>
      <c r="D60" s="32">
        <v>335079.05765099998</v>
      </c>
      <c r="E60" s="33">
        <f>E59+C60-D60</f>
        <v>586199.3552710003</v>
      </c>
      <c r="F60" s="30"/>
      <c r="G60" s="30" t="s">
        <v>18</v>
      </c>
      <c r="H60" s="34">
        <f>IF(C60="", "", IF(D60="", "",D60-D45))</f>
        <v>147902.49530399998</v>
      </c>
      <c r="I60" s="34">
        <f>IF(D60="", "", IF(E60="", "",E60-E45))</f>
        <v>-235155.47359800001</v>
      </c>
    </row>
    <row r="61" spans="1:9" s="2" customFormat="1" x14ac:dyDescent="0.25">
      <c r="A61" s="35"/>
      <c r="B61" s="35" t="s">
        <v>19</v>
      </c>
      <c r="C61" s="36">
        <f>SUM(C49:C60)</f>
        <v>2745917.8288850002</v>
      </c>
      <c r="D61" s="37">
        <f>SUM(D49:D60)</f>
        <v>2981073.3024829999</v>
      </c>
      <c r="E61" s="28"/>
      <c r="F61" s="35"/>
      <c r="G61" s="35"/>
      <c r="H61" s="28">
        <f>SUMIF(C49:C60,"&gt;=0",H49:H60)</f>
        <v>806909.55352199997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228826.48574041668</v>
      </c>
      <c r="D62" s="37">
        <f>AVERAGE(D49:D60)</f>
        <v>248422.77520691665</v>
      </c>
      <c r="E62" s="38">
        <f>C62/D62-1</f>
        <v>-7.8882821634118638E-2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586199.3552710003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46152.42</v>
      </c>
      <c r="D64" s="13">
        <v>146836.92220599999</v>
      </c>
      <c r="E64" s="14">
        <f>E63+C64-D64</f>
        <v>485514.85306500038</v>
      </c>
      <c r="F64" s="11"/>
      <c r="G64" s="11" t="s">
        <v>7</v>
      </c>
      <c r="H64" s="15">
        <f>IF(C64="", "", IF(D64="", "",D64-D49))</f>
        <v>-64559.455256000016</v>
      </c>
      <c r="I64" s="15">
        <f>IF(D64="", "", IF(E64="", "",E64-E49))</f>
        <v>-361838.59834199992</v>
      </c>
    </row>
    <row r="65" spans="1:9" x14ac:dyDescent="0.25">
      <c r="A65" s="11"/>
      <c r="B65" s="11" t="s">
        <v>8</v>
      </c>
      <c r="C65" s="12">
        <v>182301.77</v>
      </c>
      <c r="D65" s="13">
        <v>237871.886704</v>
      </c>
      <c r="E65" s="14">
        <f>E64+C65-D65</f>
        <v>429944.7363610004</v>
      </c>
      <c r="F65" s="11"/>
      <c r="G65" s="11" t="s">
        <v>8</v>
      </c>
      <c r="H65" s="15">
        <f>IF(C65="", "", IF(D65="", "",D65-D50))</f>
        <v>80130.873800000001</v>
      </c>
      <c r="I65" s="15">
        <f>IF(D65="", "", IF(E65="", "",E65-E50))</f>
        <v>-448543.7584799999</v>
      </c>
    </row>
    <row r="66" spans="1:9" x14ac:dyDescent="0.25">
      <c r="A66" s="11"/>
      <c r="B66" s="11" t="s">
        <v>9</v>
      </c>
      <c r="C66" s="12">
        <v>238401.9</v>
      </c>
      <c r="D66" s="13">
        <v>169488.57999100001</v>
      </c>
      <c r="E66" s="14">
        <f>E65+C66-D66</f>
        <v>498858.05637000035</v>
      </c>
      <c r="F66" s="11"/>
      <c r="G66" s="11" t="s">
        <v>9</v>
      </c>
      <c r="H66" s="15">
        <f>IF(C66="", "", IF(D66="", "",D66-D51))</f>
        <v>-131081.27719599998</v>
      </c>
      <c r="I66" s="15">
        <f>IF(D66="", "", IF(E66="", "",E66-E51))</f>
        <v>-590820.58128400007</v>
      </c>
    </row>
    <row r="67" spans="1:9" x14ac:dyDescent="0.25">
      <c r="A67" s="11"/>
      <c r="B67" s="11" t="s">
        <v>10</v>
      </c>
      <c r="C67" s="12">
        <v>166718.019</v>
      </c>
      <c r="D67" s="13">
        <v>195858.55562900001</v>
      </c>
      <c r="E67" s="14">
        <f>E66+C67-D67</f>
        <v>469717.51974100032</v>
      </c>
      <c r="F67" s="11"/>
      <c r="G67" s="11" t="s">
        <v>10</v>
      </c>
      <c r="H67" s="15">
        <f>IF(C67="", "", IF(D67="", "",D67-D52))</f>
        <v>-208089.71493999998</v>
      </c>
      <c r="I67" s="15">
        <f>IF(D67="", "", IF(E67="", "",E67-E52))</f>
        <v>-425543.18134400022</v>
      </c>
    </row>
    <row r="68" spans="1:9" x14ac:dyDescent="0.25">
      <c r="A68" s="11"/>
      <c r="B68" s="11" t="s">
        <v>11</v>
      </c>
      <c r="C68" s="12">
        <v>334900.12</v>
      </c>
      <c r="D68" s="13">
        <v>249471.326535</v>
      </c>
      <c r="E68" s="14">
        <f>E67+C68-D68</f>
        <v>555146.31320600025</v>
      </c>
      <c r="F68" s="11"/>
      <c r="G68" s="11" t="s">
        <v>11</v>
      </c>
      <c r="H68" s="15">
        <f>IF(C68="", "", IF(D68="", "",D68-D53))</f>
        <v>28271.772243000014</v>
      </c>
      <c r="I68" s="15">
        <f>IF(D68="", "", IF(E68="", "",E68-E53))</f>
        <v>-272611.5493010002</v>
      </c>
    </row>
    <row r="69" spans="1:9" x14ac:dyDescent="0.25">
      <c r="A69" s="11"/>
      <c r="B69" s="11" t="s">
        <v>12</v>
      </c>
      <c r="C69" s="12">
        <v>427787.52875</v>
      </c>
      <c r="D69" s="13">
        <v>515640.80845000001</v>
      </c>
      <c r="E69" s="14">
        <f>E68+C69-D69</f>
        <v>467293.0335060003</v>
      </c>
      <c r="F69" s="11"/>
      <c r="G69" s="11" t="s">
        <v>12</v>
      </c>
      <c r="H69" s="15">
        <f>IF(C69="", "", IF(D69="", "",D69-D54))</f>
        <v>293821.16534499999</v>
      </c>
      <c r="I69" s="15">
        <f>IF(D69="", "", IF(E69="", "",E69-E54))</f>
        <v>-330402.0628960001</v>
      </c>
    </row>
    <row r="70" spans="1:9" x14ac:dyDescent="0.25">
      <c r="A70" s="11"/>
      <c r="B70" s="11" t="s">
        <v>13</v>
      </c>
      <c r="C70" s="12">
        <v>325048.38</v>
      </c>
      <c r="D70" s="13">
        <v>157963.84388299999</v>
      </c>
      <c r="E70" s="14">
        <f>E69+C70-D70</f>
        <v>634377.56962300034</v>
      </c>
      <c r="F70" s="11"/>
      <c r="G70" s="11" t="s">
        <v>13</v>
      </c>
      <c r="H70" s="15">
        <f>IF(C70="", "", IF(D70="", "",D70-D55))</f>
        <v>22051.393363999989</v>
      </c>
      <c r="I70" s="15">
        <f>IF(D70="", "", IF(E70="", "",E70-E55))</f>
        <v>-152779.33525999996</v>
      </c>
    </row>
    <row r="71" spans="1:9" x14ac:dyDescent="0.25">
      <c r="A71" s="11"/>
      <c r="B71" s="11" t="s">
        <v>14</v>
      </c>
      <c r="C71" s="12">
        <v>288629.85639999999</v>
      </c>
      <c r="D71" s="13">
        <v>202067.785359</v>
      </c>
      <c r="E71" s="14">
        <f>E70+C71-D71</f>
        <v>720939.64066400041</v>
      </c>
      <c r="F71" s="11"/>
      <c r="G71" s="11" t="s">
        <v>14</v>
      </c>
      <c r="H71" s="15">
        <f>IF(C71="", "", IF(D71="", "",D71-D56))</f>
        <v>30384.895572999987</v>
      </c>
      <c r="I71" s="15">
        <f>IF(D71="", "", IF(E71="", "",E71-E56))</f>
        <v>44095.76556700014</v>
      </c>
    </row>
    <row r="72" spans="1:9" x14ac:dyDescent="0.25">
      <c r="A72" s="11"/>
      <c r="B72" s="11" t="s">
        <v>15</v>
      </c>
      <c r="C72" s="12">
        <v>167688.01999999999</v>
      </c>
      <c r="D72" s="13">
        <v>281722.66344899999</v>
      </c>
      <c r="E72" s="14">
        <f>E71+C72-D72</f>
        <v>606904.99721500045</v>
      </c>
      <c r="F72" s="11"/>
      <c r="G72" s="11" t="s">
        <v>15</v>
      </c>
      <c r="H72" s="15">
        <f>IF(C72="", "", IF(D72="", "",D72-D57))</f>
        <v>3589.3342999999877</v>
      </c>
      <c r="I72" s="15">
        <f>IF(D72="", "", IF(E72="", "",E72-E57))</f>
        <v>48732.824434000184</v>
      </c>
    </row>
    <row r="73" spans="1:9" x14ac:dyDescent="0.25">
      <c r="A73" s="11"/>
      <c r="B73" s="11" t="s">
        <v>16</v>
      </c>
      <c r="C73" s="12">
        <v>353603.49200000003</v>
      </c>
      <c r="D73" s="13">
        <v>368561.14971600001</v>
      </c>
      <c r="E73" s="14">
        <f>E72+C73-D73</f>
        <v>591947.33949900046</v>
      </c>
      <c r="F73" s="11"/>
      <c r="G73" s="11" t="s">
        <v>16</v>
      </c>
      <c r="H73" s="15">
        <f>IF(C73="", "", IF(D73="", "",D73-D58))</f>
        <v>112697.07915900002</v>
      </c>
      <c r="I73" s="15">
        <f>IF(D73="", "", IF(E73="", "",E73-E58))</f>
        <v>149275.84727500018</v>
      </c>
    </row>
    <row r="74" spans="1:9" x14ac:dyDescent="0.25">
      <c r="A74" s="11"/>
      <c r="B74" s="11" t="s">
        <v>17</v>
      </c>
      <c r="C74" s="12">
        <v>246943.61</v>
      </c>
      <c r="D74" s="13">
        <v>369853.833231</v>
      </c>
      <c r="E74" s="14">
        <f>E73+C74-D74</f>
        <v>469037.11626800045</v>
      </c>
      <c r="F74" s="11"/>
      <c r="G74" s="11" t="s">
        <v>17</v>
      </c>
      <c r="H74" s="15">
        <f>IF(C74="", "", IF(D74="", "",D74-D59))</f>
        <v>82127.043928999978</v>
      </c>
      <c r="I74" s="15">
        <f>IF(D74="", "", IF(E74="", "",E74-E59))</f>
        <v>-39603.986653999833</v>
      </c>
    </row>
    <row r="75" spans="1:9" x14ac:dyDescent="0.25">
      <c r="A75" s="16"/>
      <c r="B75" s="16" t="s">
        <v>18</v>
      </c>
      <c r="C75" s="17">
        <v>246943.61</v>
      </c>
      <c r="D75" s="18">
        <v>369853.833231</v>
      </c>
      <c r="E75" s="19">
        <f>E74+C75-D75</f>
        <v>346126.89303700044</v>
      </c>
      <c r="F75" s="16"/>
      <c r="G75" s="16" t="s">
        <v>18</v>
      </c>
      <c r="H75" s="20">
        <f>IF(C75="", "", IF(D75="", "",D75-D60))</f>
        <v>34774.775580000016</v>
      </c>
      <c r="I75" s="20">
        <f>IF(D75="", "", IF(E75="", "",E75-E60))</f>
        <v>-240072.46223399986</v>
      </c>
    </row>
    <row r="76" spans="1:9" s="2" customFormat="1" x14ac:dyDescent="0.25">
      <c r="A76" s="21"/>
      <c r="B76" s="21" t="s">
        <v>19</v>
      </c>
      <c r="C76" s="22">
        <f>SUM(C64:C75)</f>
        <v>3025118.7261499995</v>
      </c>
      <c r="D76" s="23">
        <f>SUM(D64:D75)</f>
        <v>3265191.1883840002</v>
      </c>
      <c r="E76" s="14"/>
      <c r="F76" s="21"/>
      <c r="G76" s="21"/>
      <c r="H76" s="14">
        <f>SUMIF(C64:C75,"&gt;=0",H64:H75)</f>
        <v>284117.885901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252093.22717916663</v>
      </c>
      <c r="D77" s="23">
        <f>AVERAGE(D64:D75)</f>
        <v>272099.26569866668</v>
      </c>
      <c r="E77" s="24">
        <f>C77/D77-1</f>
        <v>-7.3524779525335093E-2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346126.89303700044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346126.89303700044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346126.89303700044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346126.89303700044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346126.89303700044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346126.89303700044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346126.89303700044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346126.89303700044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346126.89303700044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346126.89303700044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346126.89303700044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346126.89303700044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346126.89303700044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0CAB-18E9-42C4-9FB8-16C5B3ADBB22}">
  <sheetPr codeName="Sheet14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74834.108051000003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175344.79</v>
      </c>
      <c r="D4" s="13">
        <v>78647.338000000003</v>
      </c>
      <c r="E4" s="14">
        <f>E3+C4-D4</f>
        <v>171531.56005100004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140968.09</v>
      </c>
      <c r="D5" s="13">
        <v>167024.26199999999</v>
      </c>
      <c r="E5" s="14">
        <f>E4+C5-D5</f>
        <v>145475.38805100007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423565.84</v>
      </c>
      <c r="D6" s="13">
        <v>285809.13699999999</v>
      </c>
      <c r="E6" s="14">
        <f>E5+C6-D6</f>
        <v>283232.09105100005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146241.66</v>
      </c>
      <c r="D7" s="13">
        <v>275299.67975000001</v>
      </c>
      <c r="E7" s="14">
        <f>E6+C7-D7</f>
        <v>154174.07130100008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208654.94</v>
      </c>
      <c r="D8" s="13">
        <v>224269.34035000001</v>
      </c>
      <c r="E8" s="14">
        <f>E7+C8-D8</f>
        <v>138559.67095100007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389271.51</v>
      </c>
      <c r="D9" s="13">
        <v>177999.49825</v>
      </c>
      <c r="E9" s="14">
        <f>E8+C9-D9</f>
        <v>349831.68270100007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202901.46</v>
      </c>
      <c r="D10" s="13">
        <v>205344.44025000001</v>
      </c>
      <c r="E10" s="14">
        <f>E9+C10-D10</f>
        <v>347388.70245100011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193019.2</v>
      </c>
      <c r="D11" s="13">
        <v>244426.44931200001</v>
      </c>
      <c r="E11" s="14">
        <f>E10+C11-D11</f>
        <v>295981.45313900016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141858.01999999999</v>
      </c>
      <c r="D12" s="13">
        <v>233634.867168</v>
      </c>
      <c r="E12" s="14">
        <f>E11+C12-D12</f>
        <v>204204.60597100013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386944.92</v>
      </c>
      <c r="D13" s="13">
        <v>250173.63141</v>
      </c>
      <c r="E13" s="14">
        <f>E12+C13-D13</f>
        <v>340975.89456100005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433774.45</v>
      </c>
      <c r="D14" s="13">
        <v>375603.77218700002</v>
      </c>
      <c r="E14" s="14">
        <f>E13+C14-D14</f>
        <v>399146.5723740001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139596.04</v>
      </c>
      <c r="D15" s="18">
        <v>244267.459562</v>
      </c>
      <c r="E15" s="19">
        <f>E14+C15-D15</f>
        <v>294475.15281200013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2982140.9200000004</v>
      </c>
      <c r="D16" s="23">
        <f>SUM(D4:D15)</f>
        <v>2762499.8752390002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248511.74333333338</v>
      </c>
      <c r="D17" s="23">
        <f>AVERAGE(D4:D15)</f>
        <v>230208.32293658334</v>
      </c>
      <c r="E17" s="24">
        <f>C17/D17-1</f>
        <v>7.9508074092491388E-2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294475.15281200013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143876.51999999999</v>
      </c>
      <c r="D19" s="27">
        <v>172862.63803599999</v>
      </c>
      <c r="E19" s="28">
        <f>E18+C19-D19</f>
        <v>265489.03477600019</v>
      </c>
      <c r="F19" s="25"/>
      <c r="G19" s="25" t="s">
        <v>7</v>
      </c>
      <c r="H19" s="29">
        <f>IF(C19="", "", IF(D19="", "",D19-D4))</f>
        <v>94215.300035999986</v>
      </c>
      <c r="I19" s="29">
        <f>IF(D19="", "", IF(E19="", "",E19-E4))</f>
        <v>93957.474725000153</v>
      </c>
    </row>
    <row r="20" spans="1:9" x14ac:dyDescent="0.25">
      <c r="A20" s="25"/>
      <c r="B20" s="25" t="s">
        <v>8</v>
      </c>
      <c r="C20" s="26">
        <v>333326.78999999998</v>
      </c>
      <c r="D20" s="27">
        <v>287334.19253499998</v>
      </c>
      <c r="E20" s="28">
        <f>E19+C20-D20</f>
        <v>311481.63224100013</v>
      </c>
      <c r="F20" s="25"/>
      <c r="G20" s="25" t="s">
        <v>8</v>
      </c>
      <c r="H20" s="29">
        <f>IF(C20="", "", IF(D20="", "",D20-D5))</f>
        <v>120309.93053499999</v>
      </c>
      <c r="I20" s="29">
        <f>IF(D20="", "", IF(E20="", "",E20-E5))</f>
        <v>166006.24419000006</v>
      </c>
    </row>
    <row r="21" spans="1:9" x14ac:dyDescent="0.25">
      <c r="A21" s="25"/>
      <c r="B21" s="25" t="s">
        <v>9</v>
      </c>
      <c r="C21" s="26">
        <v>365772.83</v>
      </c>
      <c r="D21" s="27">
        <v>336413.04379999998</v>
      </c>
      <c r="E21" s="28">
        <f>E20+C21-D21</f>
        <v>340841.41844100016</v>
      </c>
      <c r="F21" s="25"/>
      <c r="G21" s="25" t="s">
        <v>9</v>
      </c>
      <c r="H21" s="29">
        <f>IF(C21="", "", IF(D21="", "",D21-D6))</f>
        <v>50603.906799999997</v>
      </c>
      <c r="I21" s="29">
        <f>IF(D21="", "", IF(E21="", "",E21-E6))</f>
        <v>57609.327390000108</v>
      </c>
    </row>
    <row r="22" spans="1:9" x14ac:dyDescent="0.25">
      <c r="A22" s="25"/>
      <c r="B22" s="25" t="s">
        <v>10</v>
      </c>
      <c r="C22" s="26">
        <v>75148.34</v>
      </c>
      <c r="D22" s="27">
        <v>264078.60799599998</v>
      </c>
      <c r="E22" s="28">
        <f>E21+C22-D22</f>
        <v>151911.15044500015</v>
      </c>
      <c r="F22" s="25"/>
      <c r="G22" s="25" t="s">
        <v>10</v>
      </c>
      <c r="H22" s="29">
        <f>IF(C22="", "", IF(D22="", "",D22-D7))</f>
        <v>-11221.071754000033</v>
      </c>
      <c r="I22" s="29">
        <f>IF(D22="", "", IF(E22="", "",E22-E7))</f>
        <v>-2262.9208559999242</v>
      </c>
    </row>
    <row r="23" spans="1:9" x14ac:dyDescent="0.25">
      <c r="A23" s="25"/>
      <c r="B23" s="25" t="s">
        <v>11</v>
      </c>
      <c r="C23" s="26">
        <v>459284.35</v>
      </c>
      <c r="D23" s="27">
        <v>461945.47620899999</v>
      </c>
      <c r="E23" s="28">
        <f>E22+C23-D23</f>
        <v>149250.02423600014</v>
      </c>
      <c r="F23" s="25"/>
      <c r="G23" s="25" t="s">
        <v>11</v>
      </c>
      <c r="H23" s="29">
        <f>IF(C23="", "", IF(D23="", "",D23-D8))</f>
        <v>237676.13585899997</v>
      </c>
      <c r="I23" s="29">
        <f>IF(D23="", "", IF(E23="", "",E23-E8))</f>
        <v>10690.353285000077</v>
      </c>
    </row>
    <row r="24" spans="1:9" x14ac:dyDescent="0.25">
      <c r="A24" s="25"/>
      <c r="B24" s="25" t="s">
        <v>12</v>
      </c>
      <c r="C24" s="26">
        <v>284448.15000000002</v>
      </c>
      <c r="D24" s="27">
        <v>277998.77838999999</v>
      </c>
      <c r="E24" s="28">
        <f>E23+C24-D24</f>
        <v>155699.39584600017</v>
      </c>
      <c r="F24" s="25"/>
      <c r="G24" s="25" t="s">
        <v>12</v>
      </c>
      <c r="H24" s="29">
        <f>IF(C24="", "", IF(D24="", "",D24-D9))</f>
        <v>99999.280139999988</v>
      </c>
      <c r="I24" s="29">
        <f>IF(D24="", "", IF(E24="", "",E24-E9))</f>
        <v>-194132.2868549999</v>
      </c>
    </row>
    <row r="25" spans="1:9" x14ac:dyDescent="0.25">
      <c r="A25" s="25"/>
      <c r="B25" s="25" t="s">
        <v>13</v>
      </c>
      <c r="C25" s="26">
        <v>142001.22</v>
      </c>
      <c r="D25" s="27">
        <v>153085.03714599999</v>
      </c>
      <c r="E25" s="28">
        <f>E24+C25-D25</f>
        <v>144615.57870000016</v>
      </c>
      <c r="F25" s="25"/>
      <c r="G25" s="25" t="s">
        <v>13</v>
      </c>
      <c r="H25" s="29">
        <f>IF(C25="", "", IF(D25="", "",D25-D10))</f>
        <v>-52259.403104000026</v>
      </c>
      <c r="I25" s="29">
        <f>IF(D25="", "", IF(E25="", "",E25-E10))</f>
        <v>-202773.12375099995</v>
      </c>
    </row>
    <row r="26" spans="1:9" x14ac:dyDescent="0.25">
      <c r="A26" s="25"/>
      <c r="B26" s="25" t="s">
        <v>14</v>
      </c>
      <c r="C26" s="26">
        <v>364432.96</v>
      </c>
      <c r="D26" s="27">
        <v>274070.00939999998</v>
      </c>
      <c r="E26" s="28">
        <f>E25+C26-D26</f>
        <v>234978.52930000017</v>
      </c>
      <c r="F26" s="25"/>
      <c r="G26" s="25" t="s">
        <v>14</v>
      </c>
      <c r="H26" s="29">
        <f>IF(C26="", "", IF(D26="", "",D26-D11))</f>
        <v>29643.560087999969</v>
      </c>
      <c r="I26" s="29">
        <f>IF(D26="", "", IF(E26="", "",E26-E11))</f>
        <v>-61002.923838999995</v>
      </c>
    </row>
    <row r="27" spans="1:9" x14ac:dyDescent="0.25">
      <c r="A27" s="25"/>
      <c r="B27" s="25" t="s">
        <v>15</v>
      </c>
      <c r="C27" s="26">
        <v>277419.58</v>
      </c>
      <c r="D27" s="27">
        <v>333347.20500000002</v>
      </c>
      <c r="E27" s="28">
        <f>E26+C27-D27</f>
        <v>179050.90430000017</v>
      </c>
      <c r="F27" s="25"/>
      <c r="G27" s="25" t="s">
        <v>15</v>
      </c>
      <c r="H27" s="29">
        <f>IF(C27="", "", IF(D27="", "",D27-D12))</f>
        <v>99712.337832000019</v>
      </c>
      <c r="I27" s="29">
        <f>IF(D27="", "", IF(E27="", "",E27-E12))</f>
        <v>-25153.701670999959</v>
      </c>
    </row>
    <row r="28" spans="1:9" x14ac:dyDescent="0.25">
      <c r="A28" s="25"/>
      <c r="B28" s="25" t="s">
        <v>16</v>
      </c>
      <c r="C28" s="26">
        <v>283161.57999900001</v>
      </c>
      <c r="D28" s="27">
        <v>282400.772429</v>
      </c>
      <c r="E28" s="28">
        <f>E27+C28-D28</f>
        <v>179811.71187000017</v>
      </c>
      <c r="F28" s="25"/>
      <c r="G28" s="25" t="s">
        <v>16</v>
      </c>
      <c r="H28" s="29">
        <f>IF(C28="", "", IF(D28="", "",D28-D13))</f>
        <v>32227.141019000002</v>
      </c>
      <c r="I28" s="29">
        <f>IF(D28="", "", IF(E28="", "",E28-E13))</f>
        <v>-161164.18269099988</v>
      </c>
    </row>
    <row r="29" spans="1:9" x14ac:dyDescent="0.25">
      <c r="A29" s="25"/>
      <c r="B29" s="25" t="s">
        <v>17</v>
      </c>
      <c r="C29" s="26">
        <v>336340.41</v>
      </c>
      <c r="D29" s="27">
        <v>246892.74379000001</v>
      </c>
      <c r="E29" s="28">
        <f>E28+C29-D29</f>
        <v>269259.37808000017</v>
      </c>
      <c r="F29" s="25"/>
      <c r="G29" s="25" t="s">
        <v>17</v>
      </c>
      <c r="H29" s="29">
        <f>IF(C29="", "", IF(D29="", "",D29-D14))</f>
        <v>-128711.02839700002</v>
      </c>
      <c r="I29" s="29">
        <f>IF(D29="", "", IF(E29="", "",E29-E14))</f>
        <v>-129887.19429399993</v>
      </c>
    </row>
    <row r="30" spans="1:9" x14ac:dyDescent="0.25">
      <c r="A30" s="30"/>
      <c r="B30" s="30" t="s">
        <v>18</v>
      </c>
      <c r="C30" s="31">
        <v>296575.34000000003</v>
      </c>
      <c r="D30" s="32">
        <v>155493.57143400001</v>
      </c>
      <c r="E30" s="33">
        <f>E29+C30-D30</f>
        <v>410341.14664600021</v>
      </c>
      <c r="F30" s="30"/>
      <c r="G30" s="30" t="s">
        <v>18</v>
      </c>
      <c r="H30" s="34">
        <f>IF(C30="", "", IF(D30="", "",D30-D15))</f>
        <v>-88773.888127999991</v>
      </c>
      <c r="I30" s="34">
        <f>IF(D30="", "", IF(E30="", "",E30-E15))</f>
        <v>115865.99383400008</v>
      </c>
    </row>
    <row r="31" spans="1:9" s="2" customFormat="1" x14ac:dyDescent="0.25">
      <c r="A31" s="35"/>
      <c r="B31" s="35" t="s">
        <v>19</v>
      </c>
      <c r="C31" s="36">
        <f>SUM(C19:C30)</f>
        <v>3361788.0699990001</v>
      </c>
      <c r="D31" s="37">
        <f>SUM(D19:D30)</f>
        <v>3245922.0761650004</v>
      </c>
      <c r="E31" s="28"/>
      <c r="F31" s="35"/>
      <c r="G31" s="35"/>
      <c r="H31" s="28">
        <f>SUMIF(C19:C30,"&gt;=0",H19:H30)</f>
        <v>483422.2009259999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280149.00583325</v>
      </c>
      <c r="D32" s="37">
        <f>AVERAGE(D19:D30)</f>
        <v>270493.50634708337</v>
      </c>
      <c r="E32" s="38">
        <f>C32/D32-1</f>
        <v>3.5695864261440668E-2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410341.14664600021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190400.09</v>
      </c>
      <c r="D34" s="13">
        <v>335854.26221100002</v>
      </c>
      <c r="E34" s="14">
        <f>E33+C34-D34</f>
        <v>264886.97443500016</v>
      </c>
      <c r="F34" s="11"/>
      <c r="G34" s="11" t="s">
        <v>7</v>
      </c>
      <c r="H34" s="15">
        <f>IF(C34="", "", IF(D34="", "",D34-D19))</f>
        <v>162991.62417500003</v>
      </c>
      <c r="I34" s="15">
        <f>IF(D34="", "", IF(E34="", "",E34-E19))</f>
        <v>-602.06034100003308</v>
      </c>
    </row>
    <row r="35" spans="1:9" x14ac:dyDescent="0.25">
      <c r="A35" s="11"/>
      <c r="B35" s="11" t="s">
        <v>8</v>
      </c>
      <c r="C35" s="12">
        <v>563981.29</v>
      </c>
      <c r="D35" s="13">
        <v>303534.91489000001</v>
      </c>
      <c r="E35" s="14">
        <f>E34+C35-D35</f>
        <v>525333.34954500024</v>
      </c>
      <c r="F35" s="11"/>
      <c r="G35" s="11" t="s">
        <v>8</v>
      </c>
      <c r="H35" s="15">
        <f>IF(C35="", "", IF(D35="", "",D35-D20))</f>
        <v>16200.722355000034</v>
      </c>
      <c r="I35" s="15">
        <f>IF(D35="", "", IF(E35="", "",E35-E20))</f>
        <v>213851.71730400011</v>
      </c>
    </row>
    <row r="36" spans="1:9" x14ac:dyDescent="0.25">
      <c r="A36" s="11"/>
      <c r="B36" s="11" t="s">
        <v>9</v>
      </c>
      <c r="C36" s="12">
        <v>485183.2</v>
      </c>
      <c r="D36" s="13">
        <v>317068.98964300001</v>
      </c>
      <c r="E36" s="14">
        <f>E35+C36-D36</f>
        <v>693447.55990200024</v>
      </c>
      <c r="F36" s="11"/>
      <c r="G36" s="11" t="s">
        <v>9</v>
      </c>
      <c r="H36" s="15">
        <f>IF(C36="", "", IF(D36="", "",D36-D21))</f>
        <v>-19344.054156999977</v>
      </c>
      <c r="I36" s="15">
        <f>IF(D36="", "", IF(E36="", "",E36-E21))</f>
        <v>352606.14146100008</v>
      </c>
    </row>
    <row r="37" spans="1:9" x14ac:dyDescent="0.25">
      <c r="A37" s="11"/>
      <c r="B37" s="11" t="s">
        <v>10</v>
      </c>
      <c r="C37" s="12">
        <v>380351.28</v>
      </c>
      <c r="D37" s="13">
        <v>371385.870888</v>
      </c>
      <c r="E37" s="14">
        <f>E36+C37-D37</f>
        <v>702412.96901400026</v>
      </c>
      <c r="F37" s="11"/>
      <c r="G37" s="11" t="s">
        <v>10</v>
      </c>
      <c r="H37" s="15">
        <f>IF(C37="", "", IF(D37="", "",D37-D22))</f>
        <v>107307.26289200003</v>
      </c>
      <c r="I37" s="15">
        <f>IF(D37="", "", IF(E37="", "",E37-E22))</f>
        <v>550501.81856900011</v>
      </c>
    </row>
    <row r="38" spans="1:9" x14ac:dyDescent="0.25">
      <c r="A38" s="11"/>
      <c r="B38" s="11" t="s">
        <v>11</v>
      </c>
      <c r="C38" s="12">
        <v>392772.68</v>
      </c>
      <c r="D38" s="13">
        <v>535394.783987</v>
      </c>
      <c r="E38" s="14">
        <f>E37+C38-D38</f>
        <v>559790.86502700031</v>
      </c>
      <c r="F38" s="11"/>
      <c r="G38" s="11" t="s">
        <v>11</v>
      </c>
      <c r="H38" s="15">
        <f>IF(C38="", "", IF(D38="", "",D38-D23))</f>
        <v>73449.307778000017</v>
      </c>
      <c r="I38" s="15">
        <f>IF(D38="", "", IF(E38="", "",E38-E23))</f>
        <v>410540.84079100017</v>
      </c>
    </row>
    <row r="39" spans="1:9" x14ac:dyDescent="0.25">
      <c r="A39" s="11"/>
      <c r="B39" s="11" t="s">
        <v>12</v>
      </c>
      <c r="C39" s="12">
        <v>395878.40000000002</v>
      </c>
      <c r="D39" s="13">
        <v>599510.86013000004</v>
      </c>
      <c r="E39" s="14">
        <f>E38+C39-D39</f>
        <v>356158.40489700029</v>
      </c>
      <c r="F39" s="11"/>
      <c r="G39" s="11" t="s">
        <v>12</v>
      </c>
      <c r="H39" s="15">
        <f>IF(C39="", "", IF(D39="", "",D39-D24))</f>
        <v>321512.08174000005</v>
      </c>
      <c r="I39" s="15">
        <f>IF(D39="", "", IF(E39="", "",E39-E24))</f>
        <v>200459.00905100012</v>
      </c>
    </row>
    <row r="40" spans="1:9" x14ac:dyDescent="0.25">
      <c r="A40" s="11"/>
      <c r="B40" s="11" t="s">
        <v>13</v>
      </c>
      <c r="C40" s="12">
        <v>559596.71</v>
      </c>
      <c r="D40" s="13">
        <v>431492.07297500002</v>
      </c>
      <c r="E40" s="14">
        <f>E39+C40-D40</f>
        <v>484263.04192200024</v>
      </c>
      <c r="F40" s="11"/>
      <c r="G40" s="11" t="s">
        <v>13</v>
      </c>
      <c r="H40" s="15">
        <f>IF(C40="", "", IF(D40="", "",D40-D25))</f>
        <v>278407.03582900006</v>
      </c>
      <c r="I40" s="15">
        <f>IF(D40="", "", IF(E40="", "",E40-E25))</f>
        <v>339647.46322200005</v>
      </c>
    </row>
    <row r="41" spans="1:9" x14ac:dyDescent="0.25">
      <c r="A41" s="11"/>
      <c r="B41" s="11" t="s">
        <v>14</v>
      </c>
      <c r="C41" s="12">
        <v>529947.04</v>
      </c>
      <c r="D41" s="13">
        <v>638476.53400099999</v>
      </c>
      <c r="E41" s="14">
        <f>E40+C41-D41</f>
        <v>375733.54792100028</v>
      </c>
      <c r="F41" s="11"/>
      <c r="G41" s="11" t="s">
        <v>14</v>
      </c>
      <c r="H41" s="15">
        <f>IF(C41="", "", IF(D41="", "",D41-D26))</f>
        <v>364406.52460100001</v>
      </c>
      <c r="I41" s="15">
        <f>IF(D41="", "", IF(E41="", "",E41-E26))</f>
        <v>140755.01862100011</v>
      </c>
    </row>
    <row r="42" spans="1:9" x14ac:dyDescent="0.25">
      <c r="A42" s="11"/>
      <c r="B42" s="11" t="s">
        <v>15</v>
      </c>
      <c r="C42" s="12">
        <v>769786.61</v>
      </c>
      <c r="D42" s="13">
        <v>692432.74138200004</v>
      </c>
      <c r="E42" s="14">
        <f>E41+C42-D42</f>
        <v>453087.41653900035</v>
      </c>
      <c r="F42" s="11"/>
      <c r="G42" s="11" t="s">
        <v>15</v>
      </c>
      <c r="H42" s="15">
        <f>IF(C42="", "", IF(D42="", "",D42-D27))</f>
        <v>359085.53638200002</v>
      </c>
      <c r="I42" s="15">
        <f>IF(D42="", "", IF(E42="", "",E42-E27))</f>
        <v>274036.51223900018</v>
      </c>
    </row>
    <row r="43" spans="1:9" x14ac:dyDescent="0.25">
      <c r="A43" s="11"/>
      <c r="B43" s="11" t="s">
        <v>16</v>
      </c>
      <c r="C43" s="12">
        <v>738306.72</v>
      </c>
      <c r="D43" s="13">
        <v>675174.30823700002</v>
      </c>
      <c r="E43" s="14">
        <f>E42+C43-D43</f>
        <v>516219.8283020003</v>
      </c>
      <c r="F43" s="11"/>
      <c r="G43" s="11" t="s">
        <v>16</v>
      </c>
      <c r="H43" s="15">
        <f>IF(C43="", "", IF(D43="", "",D43-D28))</f>
        <v>392773.53580800002</v>
      </c>
      <c r="I43" s="15">
        <f>IF(D43="", "", IF(E43="", "",E43-E28))</f>
        <v>336408.11643200013</v>
      </c>
    </row>
    <row r="44" spans="1:9" x14ac:dyDescent="0.25">
      <c r="A44" s="11"/>
      <c r="B44" s="11" t="s">
        <v>17</v>
      </c>
      <c r="C44" s="12">
        <v>728496.2</v>
      </c>
      <c r="D44" s="13">
        <v>750792.97499699995</v>
      </c>
      <c r="E44" s="14">
        <f>E43+C44-D44</f>
        <v>493923.05330500042</v>
      </c>
      <c r="F44" s="11"/>
      <c r="G44" s="11" t="s">
        <v>17</v>
      </c>
      <c r="H44" s="15">
        <f>IF(C44="", "", IF(D44="", "",D44-D29))</f>
        <v>503900.23120699998</v>
      </c>
      <c r="I44" s="15">
        <f>IF(D44="", "", IF(E44="", "",E44-E29))</f>
        <v>224663.67522500025</v>
      </c>
    </row>
    <row r="45" spans="1:9" x14ac:dyDescent="0.25">
      <c r="A45" s="16"/>
      <c r="B45" s="16" t="s">
        <v>18</v>
      </c>
      <c r="C45" s="17">
        <v>459128.54</v>
      </c>
      <c r="D45" s="18">
        <v>527531.92377700005</v>
      </c>
      <c r="E45" s="19">
        <f>E44+C45-D45</f>
        <v>425519.66952800029</v>
      </c>
      <c r="F45" s="16"/>
      <c r="G45" s="16" t="s">
        <v>18</v>
      </c>
      <c r="H45" s="20">
        <f>IF(C45="", "", IF(D45="", "",D45-D30))</f>
        <v>372038.35234300001</v>
      </c>
      <c r="I45" s="20">
        <f>IF(D45="", "", IF(E45="", "",E45-E30))</f>
        <v>15178.522882000078</v>
      </c>
    </row>
    <row r="46" spans="1:9" s="2" customFormat="1" x14ac:dyDescent="0.25">
      <c r="A46" s="21"/>
      <c r="B46" s="21" t="s">
        <v>19</v>
      </c>
      <c r="C46" s="22">
        <f>SUM(C34:C45)</f>
        <v>6193828.7599999998</v>
      </c>
      <c r="D46" s="23">
        <f>SUM(D34:D45)</f>
        <v>6178650.2371180002</v>
      </c>
      <c r="E46" s="14"/>
      <c r="F46" s="21"/>
      <c r="G46" s="21"/>
      <c r="H46" s="14">
        <f>SUMIF(C34:C45,"&gt;=0",H34:H45)</f>
        <v>2932728.1609530002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516152.39666666667</v>
      </c>
      <c r="D47" s="23">
        <f>AVERAGE(D34:D45)</f>
        <v>514887.51975983335</v>
      </c>
      <c r="E47" s="24">
        <f>C47/D47-1</f>
        <v>2.4566082072126072E-3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425519.66952800029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254166.32</v>
      </c>
      <c r="D49" s="27">
        <v>230527.70430899999</v>
      </c>
      <c r="E49" s="28">
        <f>E48+C49-D49</f>
        <v>449158.28521900036</v>
      </c>
      <c r="F49" s="25"/>
      <c r="G49" s="25" t="s">
        <v>7</v>
      </c>
      <c r="H49" s="29">
        <f>IF(C49="", "", IF(D49="", "",D49-D34))</f>
        <v>-105326.55790200003</v>
      </c>
      <c r="I49" s="29">
        <f>IF(D49="", "", IF(E49="", "",E49-E34))</f>
        <v>184271.3107840002</v>
      </c>
    </row>
    <row r="50" spans="1:9" x14ac:dyDescent="0.25">
      <c r="A50" s="25"/>
      <c r="B50" s="25" t="s">
        <v>8</v>
      </c>
      <c r="C50" s="26">
        <v>606105.30000000005</v>
      </c>
      <c r="D50" s="27">
        <v>562467.04306699999</v>
      </c>
      <c r="E50" s="28">
        <f>E49+C50-D50</f>
        <v>492796.54215200047</v>
      </c>
      <c r="F50" s="25"/>
      <c r="G50" s="25" t="s">
        <v>8</v>
      </c>
      <c r="H50" s="29">
        <f>IF(C50="", "", IF(D50="", "",D50-D35))</f>
        <v>258932.12817699998</v>
      </c>
      <c r="I50" s="29">
        <f>IF(D50="", "", IF(E50="", "",E50-E35))</f>
        <v>-32536.807392999763</v>
      </c>
    </row>
    <row r="51" spans="1:9" x14ac:dyDescent="0.25">
      <c r="A51" s="25"/>
      <c r="B51" s="25" t="s">
        <v>9</v>
      </c>
      <c r="C51" s="26">
        <v>928663.40999800002</v>
      </c>
      <c r="D51" s="27">
        <v>926888.33798099996</v>
      </c>
      <c r="E51" s="28">
        <f>E50+C51-D51</f>
        <v>494571.61416900053</v>
      </c>
      <c r="F51" s="25"/>
      <c r="G51" s="25" t="s">
        <v>9</v>
      </c>
      <c r="H51" s="29">
        <f>IF(C51="", "", IF(D51="", "",D51-D36))</f>
        <v>609819.34833800001</v>
      </c>
      <c r="I51" s="29">
        <f>IF(D51="", "", IF(E51="", "",E51-E36))</f>
        <v>-198875.94573299971</v>
      </c>
    </row>
    <row r="52" spans="1:9" x14ac:dyDescent="0.25">
      <c r="A52" s="25"/>
      <c r="B52" s="25" t="s">
        <v>10</v>
      </c>
      <c r="C52" s="26">
        <v>0</v>
      </c>
      <c r="D52" s="27">
        <v>257886.26296399999</v>
      </c>
      <c r="E52" s="28">
        <f>E51+C52-D52</f>
        <v>236685.35120500054</v>
      </c>
      <c r="F52" s="25"/>
      <c r="G52" s="25" t="s">
        <v>10</v>
      </c>
      <c r="H52" s="29">
        <f>IF(C52="", "", IF(D52="", "",D52-D37))</f>
        <v>-113499.60792400001</v>
      </c>
      <c r="I52" s="29">
        <f>IF(D52="", "", IF(E52="", "",E52-E37))</f>
        <v>-465727.61780899973</v>
      </c>
    </row>
    <row r="53" spans="1:9" x14ac:dyDescent="0.25">
      <c r="A53" s="25"/>
      <c r="B53" s="25" t="s">
        <v>11</v>
      </c>
      <c r="C53" s="26">
        <v>533859.94999899995</v>
      </c>
      <c r="D53" s="27">
        <v>362413.39334200002</v>
      </c>
      <c r="E53" s="28">
        <f>E52+C53-D53</f>
        <v>408131.90786200046</v>
      </c>
      <c r="F53" s="25"/>
      <c r="G53" s="25" t="s">
        <v>11</v>
      </c>
      <c r="H53" s="29">
        <f>IF(C53="", "", IF(D53="", "",D53-D38))</f>
        <v>-172981.39064499998</v>
      </c>
      <c r="I53" s="29">
        <f>IF(D53="", "", IF(E53="", "",E53-E38))</f>
        <v>-151658.95716499985</v>
      </c>
    </row>
    <row r="54" spans="1:9" x14ac:dyDescent="0.25">
      <c r="A54" s="25"/>
      <c r="B54" s="25" t="s">
        <v>12</v>
      </c>
      <c r="C54" s="26">
        <v>256331.49999899999</v>
      </c>
      <c r="D54" s="27">
        <v>285122.44786999997</v>
      </c>
      <c r="E54" s="28">
        <f>E53+C54-D54</f>
        <v>379340.95999100042</v>
      </c>
      <c r="F54" s="25"/>
      <c r="G54" s="25" t="s">
        <v>12</v>
      </c>
      <c r="H54" s="29">
        <f>IF(C54="", "", IF(D54="", "",D54-D39))</f>
        <v>-314388.41226000007</v>
      </c>
      <c r="I54" s="29">
        <f>IF(D54="", "", IF(E54="", "",E54-E39))</f>
        <v>23182.555094000127</v>
      </c>
    </row>
    <row r="55" spans="1:9" x14ac:dyDescent="0.25">
      <c r="A55" s="25"/>
      <c r="B55" s="25" t="s">
        <v>13</v>
      </c>
      <c r="C55" s="26">
        <v>555225.30999800004</v>
      </c>
      <c r="D55" s="27">
        <v>367794.21863900003</v>
      </c>
      <c r="E55" s="28">
        <f>E54+C55-D55</f>
        <v>566772.05135000031</v>
      </c>
      <c r="F55" s="25"/>
      <c r="G55" s="25" t="s">
        <v>13</v>
      </c>
      <c r="H55" s="29">
        <f>IF(C55="", "", IF(D55="", "",D55-D40))</f>
        <v>-63697.854335999989</v>
      </c>
      <c r="I55" s="29">
        <f>IF(D55="", "", IF(E55="", "",E55-E40))</f>
        <v>82509.009428000078</v>
      </c>
    </row>
    <row r="56" spans="1:9" x14ac:dyDescent="0.25">
      <c r="A56" s="25"/>
      <c r="B56" s="25" t="s">
        <v>14</v>
      </c>
      <c r="C56" s="26">
        <v>702534.42</v>
      </c>
      <c r="D56" s="27">
        <v>685664.91709500004</v>
      </c>
      <c r="E56" s="28">
        <f>E55+C56-D56</f>
        <v>583641.5542550002</v>
      </c>
      <c r="F56" s="25"/>
      <c r="G56" s="25" t="s">
        <v>14</v>
      </c>
      <c r="H56" s="29">
        <f>IF(C56="", "", IF(D56="", "",D56-D41))</f>
        <v>47188.383094000048</v>
      </c>
      <c r="I56" s="29">
        <f>IF(D56="", "", IF(E56="", "",E56-E41))</f>
        <v>207908.00633399992</v>
      </c>
    </row>
    <row r="57" spans="1:9" x14ac:dyDescent="0.25">
      <c r="A57" s="25"/>
      <c r="B57" s="25" t="s">
        <v>15</v>
      </c>
      <c r="C57" s="26">
        <v>782105.03999800002</v>
      </c>
      <c r="D57" s="27">
        <v>825457.60849799996</v>
      </c>
      <c r="E57" s="28">
        <f>E56+C57-D57</f>
        <v>540288.98575500038</v>
      </c>
      <c r="F57" s="25"/>
      <c r="G57" s="25" t="s">
        <v>15</v>
      </c>
      <c r="H57" s="29">
        <f>IF(C57="", "", IF(D57="", "",D57-D42))</f>
        <v>133024.86711599992</v>
      </c>
      <c r="I57" s="29">
        <f>IF(D57="", "", IF(E57="", "",E57-E42))</f>
        <v>87201.569216000033</v>
      </c>
    </row>
    <row r="58" spans="1:9" x14ac:dyDescent="0.25">
      <c r="A58" s="25"/>
      <c r="B58" s="25" t="s">
        <v>16</v>
      </c>
      <c r="C58" s="26">
        <v>1041539.189998</v>
      </c>
      <c r="D58" s="27">
        <v>1001836.384024</v>
      </c>
      <c r="E58" s="28">
        <f>E57+C58-D58</f>
        <v>579991.7917290004</v>
      </c>
      <c r="F58" s="25"/>
      <c r="G58" s="25" t="s">
        <v>16</v>
      </c>
      <c r="H58" s="29">
        <f>IF(C58="", "", IF(D58="", "",D58-D43))</f>
        <v>326662.07578700001</v>
      </c>
      <c r="I58" s="29">
        <f>IF(D58="", "", IF(E58="", "",E58-E43))</f>
        <v>63771.963427000097</v>
      </c>
    </row>
    <row r="59" spans="1:9" x14ac:dyDescent="0.25">
      <c r="A59" s="25"/>
      <c r="B59" s="25" t="s">
        <v>17</v>
      </c>
      <c r="C59" s="26">
        <v>866717.31999900006</v>
      </c>
      <c r="D59" s="27">
        <v>1005414.626762</v>
      </c>
      <c r="E59" s="28">
        <f>E58+C59-D59</f>
        <v>441294.48496600043</v>
      </c>
      <c r="F59" s="25"/>
      <c r="G59" s="25" t="s">
        <v>17</v>
      </c>
      <c r="H59" s="29">
        <f>IF(C59="", "", IF(D59="", "",D59-D44))</f>
        <v>254621.65176500008</v>
      </c>
      <c r="I59" s="29">
        <f>IF(D59="", "", IF(E59="", "",E59-E44))</f>
        <v>-52628.56833899999</v>
      </c>
    </row>
    <row r="60" spans="1:9" x14ac:dyDescent="0.25">
      <c r="A60" s="30"/>
      <c r="B60" s="30" t="s">
        <v>18</v>
      </c>
      <c r="C60" s="31">
        <v>470527.33999800001</v>
      </c>
      <c r="D60" s="32">
        <v>452841.77898900001</v>
      </c>
      <c r="E60" s="33">
        <f>E59+C60-D60</f>
        <v>458980.04597500036</v>
      </c>
      <c r="F60" s="30"/>
      <c r="G60" s="30" t="s">
        <v>18</v>
      </c>
      <c r="H60" s="34">
        <f>IF(C60="", "", IF(D60="", "",D60-D45))</f>
        <v>-74690.144788000034</v>
      </c>
      <c r="I60" s="34">
        <f>IF(D60="", "", IF(E60="", "",E60-E45))</f>
        <v>33460.376447000075</v>
      </c>
    </row>
    <row r="61" spans="1:9" s="2" customFormat="1" x14ac:dyDescent="0.25">
      <c r="A61" s="35"/>
      <c r="B61" s="35" t="s">
        <v>19</v>
      </c>
      <c r="C61" s="36">
        <f>SUM(C49:C60)</f>
        <v>6997775.0999870002</v>
      </c>
      <c r="D61" s="37">
        <f>SUM(D49:D60)</f>
        <v>6964314.7235399997</v>
      </c>
      <c r="E61" s="28"/>
      <c r="F61" s="35"/>
      <c r="G61" s="35"/>
      <c r="H61" s="28">
        <f>SUMIF(C49:C60,"&gt;=0",H49:H60)</f>
        <v>785664.48642199999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583147.92499891669</v>
      </c>
      <c r="D62" s="37">
        <f>AVERAGE(D49:D60)</f>
        <v>580359.56029499997</v>
      </c>
      <c r="E62" s="38">
        <f>C62/D62-1</f>
        <v>4.8045468614308362E-3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458980.04597500036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651836.11999799998</v>
      </c>
      <c r="D64" s="13">
        <v>504484.01454900001</v>
      </c>
      <c r="E64" s="14">
        <f>E63+C64-D64</f>
        <v>606332.15142400027</v>
      </c>
      <c r="F64" s="11"/>
      <c r="G64" s="11" t="s">
        <v>7</v>
      </c>
      <c r="H64" s="15">
        <f>IF(C64="", "", IF(D64="", "",D64-D49))</f>
        <v>273956.31024000002</v>
      </c>
      <c r="I64" s="15">
        <f>IF(D64="", "", IF(E64="", "",E64-E49))</f>
        <v>157173.86620499991</v>
      </c>
    </row>
    <row r="65" spans="1:9" x14ac:dyDescent="0.25">
      <c r="A65" s="11"/>
      <c r="B65" s="11" t="s">
        <v>8</v>
      </c>
      <c r="C65" s="12">
        <v>768070.86</v>
      </c>
      <c r="D65" s="13">
        <v>548916.12347400002</v>
      </c>
      <c r="E65" s="14">
        <f>E64+C65-D65</f>
        <v>825486.88795000035</v>
      </c>
      <c r="F65" s="11"/>
      <c r="G65" s="11" t="s">
        <v>8</v>
      </c>
      <c r="H65" s="15">
        <f>IF(C65="", "", IF(D65="", "",D65-D50))</f>
        <v>-13550.91959299997</v>
      </c>
      <c r="I65" s="15">
        <f>IF(D65="", "", IF(E65="", "",E65-E50))</f>
        <v>332690.34579799988</v>
      </c>
    </row>
    <row r="66" spans="1:9" x14ac:dyDescent="0.25">
      <c r="A66" s="11"/>
      <c r="B66" s="11" t="s">
        <v>9</v>
      </c>
      <c r="C66" s="12">
        <v>764769.53999800002</v>
      </c>
      <c r="D66" s="13">
        <v>943987.11180399999</v>
      </c>
      <c r="E66" s="14">
        <f>E65+C66-D66</f>
        <v>646269.31614400039</v>
      </c>
      <c r="F66" s="11"/>
      <c r="G66" s="11" t="s">
        <v>9</v>
      </c>
      <c r="H66" s="15">
        <f>IF(C66="", "", IF(D66="", "",D66-D51))</f>
        <v>17098.773823000025</v>
      </c>
      <c r="I66" s="15">
        <f>IF(D66="", "", IF(E66="", "",E66-E51))</f>
        <v>151697.70197499986</v>
      </c>
    </row>
    <row r="67" spans="1:9" x14ac:dyDescent="0.25">
      <c r="A67" s="11"/>
      <c r="B67" s="11" t="s">
        <v>10</v>
      </c>
      <c r="C67" s="12">
        <v>614751.45999899996</v>
      </c>
      <c r="D67" s="13">
        <v>535487.866759</v>
      </c>
      <c r="E67" s="14">
        <f>E66+C67-D67</f>
        <v>725532.90938400046</v>
      </c>
      <c r="F67" s="11"/>
      <c r="G67" s="11" t="s">
        <v>10</v>
      </c>
      <c r="H67" s="15">
        <f>IF(C67="", "", IF(D67="", "",D67-D52))</f>
        <v>277601.603795</v>
      </c>
      <c r="I67" s="15">
        <f>IF(D67="", "", IF(E67="", "",E67-E52))</f>
        <v>488847.55817899993</v>
      </c>
    </row>
    <row r="68" spans="1:9" x14ac:dyDescent="0.25">
      <c r="A68" s="11"/>
      <c r="B68" s="11" t="s">
        <v>11</v>
      </c>
      <c r="C68" s="12">
        <v>657823.85999899998</v>
      </c>
      <c r="D68" s="13">
        <v>693142.267979</v>
      </c>
      <c r="E68" s="14">
        <f>E67+C68-D68</f>
        <v>690214.50140400045</v>
      </c>
      <c r="F68" s="11"/>
      <c r="G68" s="11" t="s">
        <v>11</v>
      </c>
      <c r="H68" s="15">
        <f>IF(C68="", "", IF(D68="", "",D68-D53))</f>
        <v>330728.87463699997</v>
      </c>
      <c r="I68" s="15">
        <f>IF(D68="", "", IF(E68="", "",E68-E53))</f>
        <v>282082.59354199999</v>
      </c>
    </row>
    <row r="69" spans="1:9" x14ac:dyDescent="0.25">
      <c r="A69" s="11"/>
      <c r="B69" s="11" t="s">
        <v>12</v>
      </c>
      <c r="C69" s="12">
        <v>506713.46999800002</v>
      </c>
      <c r="D69" s="13">
        <v>611907.11705200002</v>
      </c>
      <c r="E69" s="14">
        <f>E68+C69-D69</f>
        <v>585020.85435000039</v>
      </c>
      <c r="F69" s="11"/>
      <c r="G69" s="11" t="s">
        <v>12</v>
      </c>
      <c r="H69" s="15">
        <f>IF(C69="", "", IF(D69="", "",D69-D54))</f>
        <v>326784.66918200004</v>
      </c>
      <c r="I69" s="15">
        <f>IF(D69="", "", IF(E69="", "",E69-E54))</f>
        <v>205679.89435899997</v>
      </c>
    </row>
    <row r="70" spans="1:9" x14ac:dyDescent="0.25">
      <c r="A70" s="11"/>
      <c r="B70" s="11" t="s">
        <v>13</v>
      </c>
      <c r="C70" s="12">
        <v>772574.71919800004</v>
      </c>
      <c r="D70" s="13">
        <v>692572.42482900003</v>
      </c>
      <c r="E70" s="14">
        <f>E69+C70-D70</f>
        <v>665023.14871900028</v>
      </c>
      <c r="F70" s="11"/>
      <c r="G70" s="11" t="s">
        <v>13</v>
      </c>
      <c r="H70" s="15">
        <f>IF(C70="", "", IF(D70="", "",D70-D55))</f>
        <v>324778.20619</v>
      </c>
      <c r="I70" s="15">
        <f>IF(D70="", "", IF(E70="", "",E70-E55))</f>
        <v>98251.097368999966</v>
      </c>
    </row>
    <row r="71" spans="1:9" x14ac:dyDescent="0.25">
      <c r="A71" s="11"/>
      <c r="B71" s="11" t="s">
        <v>14</v>
      </c>
      <c r="C71" s="12">
        <v>505578.46</v>
      </c>
      <c r="D71" s="13">
        <v>616123.57897499995</v>
      </c>
      <c r="E71" s="14">
        <f>E70+C71-D71</f>
        <v>554478.02974400041</v>
      </c>
      <c r="F71" s="11"/>
      <c r="G71" s="11" t="s">
        <v>14</v>
      </c>
      <c r="H71" s="15">
        <f>IF(C71="", "", IF(D71="", "",D71-D56))</f>
        <v>-69541.338120000088</v>
      </c>
      <c r="I71" s="15">
        <f>IF(D71="", "", IF(E71="", "",E71-E56))</f>
        <v>-29163.524510999792</v>
      </c>
    </row>
    <row r="72" spans="1:9" x14ac:dyDescent="0.25">
      <c r="A72" s="11"/>
      <c r="B72" s="11" t="s">
        <v>15</v>
      </c>
      <c r="C72" s="12">
        <v>650154.019998</v>
      </c>
      <c r="D72" s="13">
        <v>616995.08787100005</v>
      </c>
      <c r="E72" s="14">
        <f>E71+C72-D72</f>
        <v>587636.96187100036</v>
      </c>
      <c r="F72" s="11"/>
      <c r="G72" s="11" t="s">
        <v>15</v>
      </c>
      <c r="H72" s="15">
        <f>IF(C72="", "", IF(D72="", "",D72-D57))</f>
        <v>-208462.5206269999</v>
      </c>
      <c r="I72" s="15">
        <f>IF(D72="", "", IF(E72="", "",E72-E57))</f>
        <v>47347.976115999976</v>
      </c>
    </row>
    <row r="73" spans="1:9" x14ac:dyDescent="0.25">
      <c r="A73" s="11"/>
      <c r="B73" s="11" t="s">
        <v>16</v>
      </c>
      <c r="C73" s="12">
        <v>931900.639998</v>
      </c>
      <c r="D73" s="13">
        <v>859559.21171199996</v>
      </c>
      <c r="E73" s="14">
        <f>E72+C73-D73</f>
        <v>659978.39015700039</v>
      </c>
      <c r="F73" s="11"/>
      <c r="G73" s="11" t="s">
        <v>16</v>
      </c>
      <c r="H73" s="15">
        <f>IF(C73="", "", IF(D73="", "",D73-D58))</f>
        <v>-142277.17231200007</v>
      </c>
      <c r="I73" s="15">
        <f>IF(D73="", "", IF(E73="", "",E73-E58))</f>
        <v>79986.598427999998</v>
      </c>
    </row>
    <row r="74" spans="1:9" x14ac:dyDescent="0.25">
      <c r="A74" s="11"/>
      <c r="B74" s="11" t="s">
        <v>17</v>
      </c>
      <c r="C74" s="12">
        <v>592793.89999900002</v>
      </c>
      <c r="D74" s="13">
        <v>668874.34649400006</v>
      </c>
      <c r="E74" s="14">
        <f>E73+C74-D74</f>
        <v>583897.94366200024</v>
      </c>
      <c r="F74" s="11"/>
      <c r="G74" s="11" t="s">
        <v>17</v>
      </c>
      <c r="H74" s="15">
        <f>IF(C74="", "", IF(D74="", "",D74-D59))</f>
        <v>-336540.28026799997</v>
      </c>
      <c r="I74" s="15">
        <f>IF(D74="", "", IF(E74="", "",E74-E59))</f>
        <v>142603.45869599981</v>
      </c>
    </row>
    <row r="75" spans="1:9" x14ac:dyDescent="0.25">
      <c r="A75" s="16"/>
      <c r="B75" s="16" t="s">
        <v>18</v>
      </c>
      <c r="C75" s="17">
        <v>253241.949999</v>
      </c>
      <c r="D75" s="18">
        <v>254320.87940500001</v>
      </c>
      <c r="E75" s="19">
        <f>E74+C75-D75</f>
        <v>582819.01425600029</v>
      </c>
      <c r="F75" s="16"/>
      <c r="G75" s="16" t="s">
        <v>18</v>
      </c>
      <c r="H75" s="20">
        <f>IF(C75="", "", IF(D75="", "",D75-D60))</f>
        <v>-198520.899584</v>
      </c>
      <c r="I75" s="20">
        <f>IF(D75="", "", IF(E75="", "",E75-E60))</f>
        <v>123838.96828099992</v>
      </c>
    </row>
    <row r="76" spans="1:9" s="2" customFormat="1" x14ac:dyDescent="0.25">
      <c r="A76" s="21"/>
      <c r="B76" s="21" t="s">
        <v>19</v>
      </c>
      <c r="C76" s="22">
        <f>SUM(C64:C75)</f>
        <v>7670208.9991840003</v>
      </c>
      <c r="D76" s="23">
        <f>SUM(D64:D75)</f>
        <v>7546370.0309030004</v>
      </c>
      <c r="E76" s="14"/>
      <c r="F76" s="21"/>
      <c r="G76" s="21"/>
      <c r="H76" s="14">
        <f>SUMIF(C64:C75,"&gt;=0",H64:H75)</f>
        <v>582055.307363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639184.08326533332</v>
      </c>
      <c r="D77" s="23">
        <f>AVERAGE(D64:D75)</f>
        <v>628864.16924191674</v>
      </c>
      <c r="E77" s="24">
        <f>C77/D77-1</f>
        <v>1.6410402322423634E-2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582819.01425600029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582819.01425600029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582819.01425600029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582819.01425600029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582819.01425600029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582819.01425600029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582819.01425600029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582819.01425600029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582819.01425600029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582819.01425600029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582819.01425600029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582819.01425600029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582819.01425600029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D335-0FC4-4010-980C-A06C899300D0}">
  <sheetPr codeName="Sheet15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178427.64284300001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141380.32999900001</v>
      </c>
      <c r="D4" s="13">
        <v>95509.320078000004</v>
      </c>
      <c r="E4" s="14">
        <f>E3+C4-D4</f>
        <v>224298.652764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123702.53</v>
      </c>
      <c r="D5" s="13">
        <v>104361.313429</v>
      </c>
      <c r="E5" s="14">
        <f>E4+C5-D5</f>
        <v>243639.86933500002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320387.13408799999</v>
      </c>
      <c r="D6" s="13">
        <v>382526.49150300003</v>
      </c>
      <c r="E6" s="14">
        <f>E5+C6-D6</f>
        <v>181500.51191999996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144569.45000000001</v>
      </c>
      <c r="D7" s="13">
        <v>127981.531598</v>
      </c>
      <c r="E7" s="14">
        <f>E6+C7-D7</f>
        <v>198088.43032199997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227936.35000100001</v>
      </c>
      <c r="D8" s="13">
        <v>236118.36635</v>
      </c>
      <c r="E8" s="14">
        <f>E7+C8-D8</f>
        <v>189906.41397299999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264894.77750000003</v>
      </c>
      <c r="D9" s="13">
        <v>266143.53262100002</v>
      </c>
      <c r="E9" s="14">
        <f>E8+C9-D9</f>
        <v>188657.65885199996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254454.27</v>
      </c>
      <c r="D10" s="13">
        <v>255965.59330400001</v>
      </c>
      <c r="E10" s="14">
        <f>E9+C10-D10</f>
        <v>187146.33554799992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207993.56860500001</v>
      </c>
      <c r="D11" s="13">
        <v>219397.90121400001</v>
      </c>
      <c r="E11" s="14">
        <f>E10+C11-D11</f>
        <v>175742.00293899991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156751.97519999999</v>
      </c>
      <c r="D12" s="13">
        <v>144079.06578199999</v>
      </c>
      <c r="E12" s="14">
        <f>E11+C12-D12</f>
        <v>188414.91235699991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269561.64000999997</v>
      </c>
      <c r="D13" s="13">
        <v>256369.183403</v>
      </c>
      <c r="E13" s="14">
        <f>E12+C13-D13</f>
        <v>201607.36896399991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111517.08</v>
      </c>
      <c r="D14" s="13">
        <v>123832.056939</v>
      </c>
      <c r="E14" s="14">
        <f>E13+C14-D14</f>
        <v>189292.39202499992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60536.56</v>
      </c>
      <c r="D15" s="18">
        <v>75392.255495999998</v>
      </c>
      <c r="E15" s="19">
        <f>E14+C15-D15</f>
        <v>174436.69652899992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2283685.6654029996</v>
      </c>
      <c r="D16" s="23">
        <f>SUM(D4:D15)</f>
        <v>2287676.6117170001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190307.1387835833</v>
      </c>
      <c r="D17" s="23">
        <f>AVERAGE(D4:D15)</f>
        <v>190639.71764308334</v>
      </c>
      <c r="E17" s="24">
        <f>C17/D17-1</f>
        <v>-1.744541292925561E-3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174436.69652899992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160035.06</v>
      </c>
      <c r="D19" s="27">
        <v>117121.108517</v>
      </c>
      <c r="E19" s="28">
        <f>E18+C19-D19</f>
        <v>217350.6480119999</v>
      </c>
      <c r="F19" s="25"/>
      <c r="G19" s="25" t="s">
        <v>7</v>
      </c>
      <c r="H19" s="29">
        <f>IF(C19="", "", IF(D19="", "",D19-D4))</f>
        <v>21611.788438999996</v>
      </c>
      <c r="I19" s="29">
        <f>IF(D19="", "", IF(E19="", "",E19-E4))</f>
        <v>-6948.0047520000953</v>
      </c>
    </row>
    <row r="20" spans="1:9" x14ac:dyDescent="0.25">
      <c r="A20" s="25"/>
      <c r="B20" s="25" t="s">
        <v>8</v>
      </c>
      <c r="C20" s="26">
        <v>227553.005</v>
      </c>
      <c r="D20" s="27">
        <v>210727.407244</v>
      </c>
      <c r="E20" s="28">
        <f>E19+C20-D20</f>
        <v>234176.24576799991</v>
      </c>
      <c r="F20" s="25"/>
      <c r="G20" s="25" t="s">
        <v>8</v>
      </c>
      <c r="H20" s="29">
        <f>IF(C20="", "", IF(D20="", "",D20-D5))</f>
        <v>106366.093815</v>
      </c>
      <c r="I20" s="29">
        <f>IF(D20="", "", IF(E20="", "",E20-E5))</f>
        <v>-9463.6235670001188</v>
      </c>
    </row>
    <row r="21" spans="1:9" x14ac:dyDescent="0.25">
      <c r="A21" s="25"/>
      <c r="B21" s="25" t="s">
        <v>9</v>
      </c>
      <c r="C21" s="26">
        <v>338483.71027799998</v>
      </c>
      <c r="D21" s="27">
        <v>313697.524783</v>
      </c>
      <c r="E21" s="28">
        <f>E20+C21-D21</f>
        <v>258962.43126299989</v>
      </c>
      <c r="F21" s="25"/>
      <c r="G21" s="25" t="s">
        <v>9</v>
      </c>
      <c r="H21" s="29">
        <f>IF(C21="", "", IF(D21="", "",D21-D6))</f>
        <v>-68828.966720000026</v>
      </c>
      <c r="I21" s="29">
        <f>IF(D21="", "", IF(E21="", "",E21-E6))</f>
        <v>77461.919342999929</v>
      </c>
    </row>
    <row r="22" spans="1:9" x14ac:dyDescent="0.25">
      <c r="A22" s="25"/>
      <c r="B22" s="25" t="s">
        <v>10</v>
      </c>
      <c r="C22" s="26">
        <v>63719.199999999997</v>
      </c>
      <c r="D22" s="27">
        <v>108978.444019</v>
      </c>
      <c r="E22" s="28">
        <f>E21+C22-D22</f>
        <v>213703.18724399991</v>
      </c>
      <c r="F22" s="25"/>
      <c r="G22" s="25" t="s">
        <v>10</v>
      </c>
      <c r="H22" s="29">
        <f>IF(C22="", "", IF(D22="", "",D22-D7))</f>
        <v>-19003.087578999999</v>
      </c>
      <c r="I22" s="29">
        <f>IF(D22="", "", IF(E22="", "",E22-E7))</f>
        <v>15614.756921999942</v>
      </c>
    </row>
    <row r="23" spans="1:9" x14ac:dyDescent="0.25">
      <c r="A23" s="25"/>
      <c r="B23" s="25" t="s">
        <v>11</v>
      </c>
      <c r="C23" s="26">
        <v>84788.22</v>
      </c>
      <c r="D23" s="27">
        <v>101641.66972599999</v>
      </c>
      <c r="E23" s="28">
        <f>E22+C23-D23</f>
        <v>196849.73751799989</v>
      </c>
      <c r="F23" s="25"/>
      <c r="G23" s="25" t="s">
        <v>11</v>
      </c>
      <c r="H23" s="29">
        <f>IF(C23="", "", IF(D23="", "",D23-D8))</f>
        <v>-134476.696624</v>
      </c>
      <c r="I23" s="29">
        <f>IF(D23="", "", IF(E23="", "",E23-E8))</f>
        <v>6943.3235449999047</v>
      </c>
    </row>
    <row r="24" spans="1:9" x14ac:dyDescent="0.25">
      <c r="A24" s="25"/>
      <c r="B24" s="25" t="s">
        <v>12</v>
      </c>
      <c r="C24" s="26">
        <v>227626.6</v>
      </c>
      <c r="D24" s="27">
        <v>201371.88560199999</v>
      </c>
      <c r="E24" s="28">
        <f>E23+C24-D24</f>
        <v>223104.45191599993</v>
      </c>
      <c r="F24" s="25"/>
      <c r="G24" s="25" t="s">
        <v>12</v>
      </c>
      <c r="H24" s="29">
        <f>IF(C24="", "", IF(D24="", "",D24-D9))</f>
        <v>-64771.647019000025</v>
      </c>
      <c r="I24" s="29">
        <f>IF(D24="", "", IF(E24="", "",E24-E9))</f>
        <v>34446.793063999969</v>
      </c>
    </row>
    <row r="25" spans="1:9" x14ac:dyDescent="0.25">
      <c r="A25" s="25"/>
      <c r="B25" s="25" t="s">
        <v>13</v>
      </c>
      <c r="C25" s="26">
        <v>208443.3077</v>
      </c>
      <c r="D25" s="27">
        <v>212896.06768099999</v>
      </c>
      <c r="E25" s="28">
        <f>E24+C25-D25</f>
        <v>218651.69193499995</v>
      </c>
      <c r="F25" s="25"/>
      <c r="G25" s="25" t="s">
        <v>13</v>
      </c>
      <c r="H25" s="29">
        <f>IF(C25="", "", IF(D25="", "",D25-D10))</f>
        <v>-43069.525623000023</v>
      </c>
      <c r="I25" s="29">
        <f>IF(D25="", "", IF(E25="", "",E25-E10))</f>
        <v>31505.356387000036</v>
      </c>
    </row>
    <row r="26" spans="1:9" x14ac:dyDescent="0.25">
      <c r="A26" s="25"/>
      <c r="B26" s="25" t="s">
        <v>14</v>
      </c>
      <c r="C26" s="26">
        <v>191451</v>
      </c>
      <c r="D26" s="27">
        <v>204978.60869299999</v>
      </c>
      <c r="E26" s="28">
        <f>E25+C26-D26</f>
        <v>205124.08324199996</v>
      </c>
      <c r="F26" s="25"/>
      <c r="G26" s="25" t="s">
        <v>14</v>
      </c>
      <c r="H26" s="29">
        <f>IF(C26="", "", IF(D26="", "",D26-D11))</f>
        <v>-14419.292521000025</v>
      </c>
      <c r="I26" s="29">
        <f>IF(D26="", "", IF(E26="", "",E26-E11))</f>
        <v>29382.080303000053</v>
      </c>
    </row>
    <row r="27" spans="1:9" x14ac:dyDescent="0.25">
      <c r="A27" s="25"/>
      <c r="B27" s="25" t="s">
        <v>15</v>
      </c>
      <c r="C27" s="26">
        <v>264214.49</v>
      </c>
      <c r="D27" s="27">
        <v>240192.87081600001</v>
      </c>
      <c r="E27" s="28">
        <f>E26+C27-D27</f>
        <v>229145.70242599995</v>
      </c>
      <c r="F27" s="25"/>
      <c r="G27" s="25" t="s">
        <v>15</v>
      </c>
      <c r="H27" s="29">
        <f>IF(C27="", "", IF(D27="", "",D27-D12))</f>
        <v>96113.805034000019</v>
      </c>
      <c r="I27" s="29">
        <f>IF(D27="", "", IF(E27="", "",E27-E12))</f>
        <v>40730.790069000039</v>
      </c>
    </row>
    <row r="28" spans="1:9" x14ac:dyDescent="0.25">
      <c r="A28" s="25"/>
      <c r="B28" s="25" t="s">
        <v>16</v>
      </c>
      <c r="C28" s="26">
        <v>208704.26375000001</v>
      </c>
      <c r="D28" s="27">
        <v>216807.566865</v>
      </c>
      <c r="E28" s="28">
        <f>E27+C28-D28</f>
        <v>221042.39931099996</v>
      </c>
      <c r="F28" s="25"/>
      <c r="G28" s="25" t="s">
        <v>16</v>
      </c>
      <c r="H28" s="29">
        <f>IF(C28="", "", IF(D28="", "",D28-D13))</f>
        <v>-39561.616538000002</v>
      </c>
      <c r="I28" s="29">
        <f>IF(D28="", "", IF(E28="", "",E28-E13))</f>
        <v>19435.030347000051</v>
      </c>
    </row>
    <row r="29" spans="1:9" x14ac:dyDescent="0.25">
      <c r="A29" s="25"/>
      <c r="B29" s="25" t="s">
        <v>17</v>
      </c>
      <c r="C29" s="26">
        <v>202415.85</v>
      </c>
      <c r="D29" s="27">
        <v>193714.87345099999</v>
      </c>
      <c r="E29" s="28">
        <f>E28+C29-D29</f>
        <v>229743.37586</v>
      </c>
      <c r="F29" s="25"/>
      <c r="G29" s="25" t="s">
        <v>17</v>
      </c>
      <c r="H29" s="29">
        <f>IF(C29="", "", IF(D29="", "",D29-D14))</f>
        <v>69882.81651199999</v>
      </c>
      <c r="I29" s="29">
        <f>IF(D29="", "", IF(E29="", "",E29-E14))</f>
        <v>40450.983835000079</v>
      </c>
    </row>
    <row r="30" spans="1:9" x14ac:dyDescent="0.25">
      <c r="A30" s="30"/>
      <c r="B30" s="30" t="s">
        <v>18</v>
      </c>
      <c r="C30" s="31">
        <v>99740.91</v>
      </c>
      <c r="D30" s="32">
        <v>131592.74923099999</v>
      </c>
      <c r="E30" s="33">
        <f>E29+C30-D30</f>
        <v>197891.53662900001</v>
      </c>
      <c r="F30" s="30"/>
      <c r="G30" s="30" t="s">
        <v>18</v>
      </c>
      <c r="H30" s="34">
        <f>IF(C30="", "", IF(D30="", "",D30-D15))</f>
        <v>56200.493734999996</v>
      </c>
      <c r="I30" s="34">
        <f>IF(D30="", "", IF(E30="", "",E30-E15))</f>
        <v>23454.840100000089</v>
      </c>
    </row>
    <row r="31" spans="1:9" s="2" customFormat="1" x14ac:dyDescent="0.25">
      <c r="A31" s="35"/>
      <c r="B31" s="35" t="s">
        <v>19</v>
      </c>
      <c r="C31" s="36">
        <f>SUM(C19:C30)</f>
        <v>2277175.6167279999</v>
      </c>
      <c r="D31" s="37">
        <f>SUM(D19:D30)</f>
        <v>2253720.7766279997</v>
      </c>
      <c r="E31" s="28"/>
      <c r="F31" s="35"/>
      <c r="G31" s="35"/>
      <c r="H31" s="28">
        <f>SUMIF(C19:C30,"&gt;=0",H19:H30)</f>
        <v>-33955.835089000117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189764.63472733332</v>
      </c>
      <c r="D32" s="37">
        <f>AVERAGE(D19:D30)</f>
        <v>187810.06471899999</v>
      </c>
      <c r="E32" s="38">
        <f>C32/D32-1</f>
        <v>1.0407163275609088E-2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197891.53662900001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170431.05</v>
      </c>
      <c r="D34" s="13">
        <v>95798.916727000003</v>
      </c>
      <c r="E34" s="14">
        <f>E33+C34-D34</f>
        <v>272523.66990199999</v>
      </c>
      <c r="F34" s="11"/>
      <c r="G34" s="11" t="s">
        <v>7</v>
      </c>
      <c r="H34" s="15">
        <f>IF(C34="", "", IF(D34="", "",D34-D19))</f>
        <v>-21322.191789999997</v>
      </c>
      <c r="I34" s="15">
        <f>IF(D34="", "", IF(E34="", "",E34-E19))</f>
        <v>55173.021890000091</v>
      </c>
    </row>
    <row r="35" spans="1:9" x14ac:dyDescent="0.25">
      <c r="A35" s="11"/>
      <c r="B35" s="11" t="s">
        <v>8</v>
      </c>
      <c r="C35" s="12">
        <v>162258.827143</v>
      </c>
      <c r="D35" s="13">
        <v>209282.94220699999</v>
      </c>
      <c r="E35" s="14">
        <f>E34+C35-D35</f>
        <v>225499.55483799998</v>
      </c>
      <c r="F35" s="11"/>
      <c r="G35" s="11" t="s">
        <v>8</v>
      </c>
      <c r="H35" s="15">
        <f>IF(C35="", "", IF(D35="", "",D35-D20))</f>
        <v>-1444.4650370000163</v>
      </c>
      <c r="I35" s="15">
        <f>IF(D35="", "", IF(E35="", "",E35-E20))</f>
        <v>-8676.6909299999243</v>
      </c>
    </row>
    <row r="36" spans="1:9" x14ac:dyDescent="0.25">
      <c r="A36" s="11"/>
      <c r="B36" s="11" t="s">
        <v>9</v>
      </c>
      <c r="C36" s="12">
        <v>246913.699999</v>
      </c>
      <c r="D36" s="13">
        <v>206925.23237700001</v>
      </c>
      <c r="E36" s="14">
        <f>E35+C36-D36</f>
        <v>265488.02246000001</v>
      </c>
      <c r="F36" s="11"/>
      <c r="G36" s="11" t="s">
        <v>9</v>
      </c>
      <c r="H36" s="15">
        <f>IF(C36="", "", IF(D36="", "",D36-D21))</f>
        <v>-106772.29240599999</v>
      </c>
      <c r="I36" s="15">
        <f>IF(D36="", "", IF(E36="", "",E36-E21))</f>
        <v>6525.591197000118</v>
      </c>
    </row>
    <row r="37" spans="1:9" x14ac:dyDescent="0.25">
      <c r="A37" s="11"/>
      <c r="B37" s="11" t="s">
        <v>10</v>
      </c>
      <c r="C37" s="12">
        <v>102307.7</v>
      </c>
      <c r="D37" s="13">
        <v>113169.191796</v>
      </c>
      <c r="E37" s="14">
        <f>E36+C37-D37</f>
        <v>254626.53066400002</v>
      </c>
      <c r="F37" s="11"/>
      <c r="G37" s="11" t="s">
        <v>10</v>
      </c>
      <c r="H37" s="15">
        <f>IF(C37="", "", IF(D37="", "",D37-D22))</f>
        <v>4190.7477769999969</v>
      </c>
      <c r="I37" s="15">
        <f>IF(D37="", "", IF(E37="", "",E37-E22))</f>
        <v>40923.343420000107</v>
      </c>
    </row>
    <row r="38" spans="1:9" x14ac:dyDescent="0.25">
      <c r="A38" s="11"/>
      <c r="B38" s="11" t="s">
        <v>11</v>
      </c>
      <c r="C38" s="12">
        <v>98053.24</v>
      </c>
      <c r="D38" s="13">
        <v>144645.89645599999</v>
      </c>
      <c r="E38" s="14">
        <f>E37+C38-D38</f>
        <v>208033.87420800002</v>
      </c>
      <c r="F38" s="11"/>
      <c r="G38" s="11" t="s">
        <v>11</v>
      </c>
      <c r="H38" s="15">
        <f>IF(C38="", "", IF(D38="", "",D38-D23))</f>
        <v>43004.226729999995</v>
      </c>
      <c r="I38" s="15">
        <f>IF(D38="", "", IF(E38="", "",E38-E23))</f>
        <v>11184.13669000013</v>
      </c>
    </row>
    <row r="39" spans="1:9" x14ac:dyDescent="0.25">
      <c r="A39" s="11"/>
      <c r="B39" s="11" t="s">
        <v>12</v>
      </c>
      <c r="C39" s="12">
        <v>155323.19</v>
      </c>
      <c r="D39" s="13">
        <v>148977.871996</v>
      </c>
      <c r="E39" s="14">
        <f>E38+C39-D39</f>
        <v>214379.19221200002</v>
      </c>
      <c r="F39" s="11"/>
      <c r="G39" s="11" t="s">
        <v>12</v>
      </c>
      <c r="H39" s="15">
        <f>IF(C39="", "", IF(D39="", "",D39-D24))</f>
        <v>-52394.013605999993</v>
      </c>
      <c r="I39" s="15">
        <f>IF(D39="", "", IF(E39="", "",E39-E24))</f>
        <v>-8725.2597039999091</v>
      </c>
    </row>
    <row r="40" spans="1:9" x14ac:dyDescent="0.25">
      <c r="A40" s="11"/>
      <c r="B40" s="11" t="s">
        <v>13</v>
      </c>
      <c r="C40" s="12">
        <v>148759.79999999999</v>
      </c>
      <c r="D40" s="13">
        <v>128419.921147</v>
      </c>
      <c r="E40" s="14">
        <f>E39+C40-D40</f>
        <v>234719.07106500003</v>
      </c>
      <c r="F40" s="11"/>
      <c r="G40" s="11" t="s">
        <v>13</v>
      </c>
      <c r="H40" s="15">
        <f>IF(C40="", "", IF(D40="", "",D40-D25))</f>
        <v>-84476.146533999985</v>
      </c>
      <c r="I40" s="15">
        <f>IF(D40="", "", IF(E40="", "",E40-E25))</f>
        <v>16067.379130000074</v>
      </c>
    </row>
    <row r="41" spans="1:9" x14ac:dyDescent="0.25">
      <c r="A41" s="11"/>
      <c r="B41" s="11" t="s">
        <v>14</v>
      </c>
      <c r="C41" s="12">
        <v>209098.05</v>
      </c>
      <c r="D41" s="13">
        <v>136575.38338000001</v>
      </c>
      <c r="E41" s="14">
        <f>E40+C41-D41</f>
        <v>307241.737685</v>
      </c>
      <c r="F41" s="11"/>
      <c r="G41" s="11" t="s">
        <v>14</v>
      </c>
      <c r="H41" s="15">
        <f>IF(C41="", "", IF(D41="", "",D41-D26))</f>
        <v>-68403.225312999974</v>
      </c>
      <c r="I41" s="15">
        <f>IF(D41="", "", IF(E41="", "",E41-E26))</f>
        <v>102117.65444300004</v>
      </c>
    </row>
    <row r="42" spans="1:9" x14ac:dyDescent="0.25">
      <c r="A42" s="11"/>
      <c r="B42" s="11" t="s">
        <v>15</v>
      </c>
      <c r="C42" s="12">
        <v>241236.11008000001</v>
      </c>
      <c r="D42" s="13">
        <v>223147.095134</v>
      </c>
      <c r="E42" s="14">
        <f>E41+C42-D42</f>
        <v>325330.75263100007</v>
      </c>
      <c r="F42" s="11"/>
      <c r="G42" s="11" t="s">
        <v>15</v>
      </c>
      <c r="H42" s="15">
        <f>IF(C42="", "", IF(D42="", "",D42-D27))</f>
        <v>-17045.775682000007</v>
      </c>
      <c r="I42" s="15">
        <f>IF(D42="", "", IF(E42="", "",E42-E27))</f>
        <v>96185.050205000123</v>
      </c>
    </row>
    <row r="43" spans="1:9" x14ac:dyDescent="0.25">
      <c r="A43" s="11"/>
      <c r="B43" s="11" t="s">
        <v>16</v>
      </c>
      <c r="C43" s="12">
        <v>151215.11619999999</v>
      </c>
      <c r="D43" s="13">
        <v>164721.46124100001</v>
      </c>
      <c r="E43" s="14">
        <f>E42+C43-D43</f>
        <v>311824.40759000008</v>
      </c>
      <c r="F43" s="11"/>
      <c r="G43" s="11" t="s">
        <v>16</v>
      </c>
      <c r="H43" s="15">
        <f>IF(C43="", "", IF(D43="", "",D43-D28))</f>
        <v>-52086.105623999989</v>
      </c>
      <c r="I43" s="15">
        <f>IF(D43="", "", IF(E43="", "",E43-E28))</f>
        <v>90782.008279000118</v>
      </c>
    </row>
    <row r="44" spans="1:9" x14ac:dyDescent="0.25">
      <c r="A44" s="11"/>
      <c r="B44" s="11" t="s">
        <v>17</v>
      </c>
      <c r="C44" s="12">
        <v>104938.860002</v>
      </c>
      <c r="D44" s="13">
        <v>151191.994916</v>
      </c>
      <c r="E44" s="14">
        <f>E43+C44-D44</f>
        <v>265571.27267600008</v>
      </c>
      <c r="F44" s="11"/>
      <c r="G44" s="11" t="s">
        <v>17</v>
      </c>
      <c r="H44" s="15">
        <f>IF(C44="", "", IF(D44="", "",D44-D29))</f>
        <v>-42522.878534999996</v>
      </c>
      <c r="I44" s="15">
        <f>IF(D44="", "", IF(E44="", "",E44-E29))</f>
        <v>35827.89681600008</v>
      </c>
    </row>
    <row r="45" spans="1:9" x14ac:dyDescent="0.25">
      <c r="A45" s="16"/>
      <c r="B45" s="16" t="s">
        <v>18</v>
      </c>
      <c r="C45" s="17">
        <v>39873.550000000003</v>
      </c>
      <c r="D45" s="18">
        <v>67121.996293999997</v>
      </c>
      <c r="E45" s="19">
        <f>E44+C45-D45</f>
        <v>238322.82638200006</v>
      </c>
      <c r="F45" s="16"/>
      <c r="G45" s="16" t="s">
        <v>18</v>
      </c>
      <c r="H45" s="20">
        <f>IF(C45="", "", IF(D45="", "",D45-D30))</f>
        <v>-64470.752936999997</v>
      </c>
      <c r="I45" s="20">
        <f>IF(D45="", "", IF(E45="", "",E45-E30))</f>
        <v>40431.289753000048</v>
      </c>
    </row>
    <row r="46" spans="1:9" s="2" customFormat="1" x14ac:dyDescent="0.25">
      <c r="A46" s="21"/>
      <c r="B46" s="21" t="s">
        <v>19</v>
      </c>
      <c r="C46" s="22">
        <f>SUM(C34:C45)</f>
        <v>1830409.1934240002</v>
      </c>
      <c r="D46" s="23">
        <f>SUM(D34:D45)</f>
        <v>1789977.9036710002</v>
      </c>
      <c r="E46" s="14"/>
      <c r="F46" s="21"/>
      <c r="G46" s="21"/>
      <c r="H46" s="14">
        <f>SUMIF(C34:C45,"&gt;=0",H34:H45)</f>
        <v>-463742.87295699993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152534.09945200002</v>
      </c>
      <c r="D47" s="23">
        <f>AVERAGE(D34:D45)</f>
        <v>149164.82530591669</v>
      </c>
      <c r="E47" s="24">
        <f>C47/D47-1</f>
        <v>2.2587591539583229E-2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238322.82638200006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155681.82999999999</v>
      </c>
      <c r="D49" s="27">
        <v>118850.062129</v>
      </c>
      <c r="E49" s="28">
        <f>E48+C49-D49</f>
        <v>275154.5942530001</v>
      </c>
      <c r="F49" s="25"/>
      <c r="G49" s="25" t="s">
        <v>7</v>
      </c>
      <c r="H49" s="29">
        <f>IF(C49="", "", IF(D49="", "",D49-D34))</f>
        <v>23051.145401999995</v>
      </c>
      <c r="I49" s="29">
        <f>IF(D49="", "", IF(E49="", "",E49-E34))</f>
        <v>2630.9243510001106</v>
      </c>
    </row>
    <row r="50" spans="1:9" x14ac:dyDescent="0.25">
      <c r="A50" s="25"/>
      <c r="B50" s="25" t="s">
        <v>8</v>
      </c>
      <c r="C50" s="26">
        <v>146317.74</v>
      </c>
      <c r="D50" s="27">
        <v>147234.30163599999</v>
      </c>
      <c r="E50" s="28">
        <f>E49+C50-D50</f>
        <v>274238.03261700011</v>
      </c>
      <c r="F50" s="25"/>
      <c r="G50" s="25" t="s">
        <v>8</v>
      </c>
      <c r="H50" s="29">
        <f>IF(C50="", "", IF(D50="", "",D50-D35))</f>
        <v>-62048.640570999996</v>
      </c>
      <c r="I50" s="29">
        <f>IF(D50="", "", IF(E50="", "",E50-E35))</f>
        <v>48738.477779000124</v>
      </c>
    </row>
    <row r="51" spans="1:9" x14ac:dyDescent="0.25">
      <c r="A51" s="25"/>
      <c r="B51" s="25" t="s">
        <v>9</v>
      </c>
      <c r="C51" s="26">
        <v>241859.91</v>
      </c>
      <c r="D51" s="27">
        <v>224817.477243</v>
      </c>
      <c r="E51" s="28">
        <f>E50+C51-D51</f>
        <v>291280.46537400008</v>
      </c>
      <c r="F51" s="25"/>
      <c r="G51" s="25" t="s">
        <v>9</v>
      </c>
      <c r="H51" s="29">
        <f>IF(C51="", "", IF(D51="", "",D51-D36))</f>
        <v>17892.244865999994</v>
      </c>
      <c r="I51" s="29">
        <f>IF(D51="", "", IF(E51="", "",E51-E36))</f>
        <v>25792.442914000072</v>
      </c>
    </row>
    <row r="52" spans="1:9" x14ac:dyDescent="0.25">
      <c r="A52" s="25"/>
      <c r="B52" s="25" t="s">
        <v>10</v>
      </c>
      <c r="C52" s="26">
        <v>266259.89817599999</v>
      </c>
      <c r="D52" s="27">
        <v>148161.00589599999</v>
      </c>
      <c r="E52" s="28">
        <f>E51+C52-D52</f>
        <v>409379.35765400017</v>
      </c>
      <c r="F52" s="25"/>
      <c r="G52" s="25" t="s">
        <v>10</v>
      </c>
      <c r="H52" s="29">
        <f>IF(C52="", "", IF(D52="", "",D52-D37))</f>
        <v>34991.814099999989</v>
      </c>
      <c r="I52" s="29">
        <f>IF(D52="", "", IF(E52="", "",E52-E37))</f>
        <v>154752.82699000015</v>
      </c>
    </row>
    <row r="53" spans="1:9" x14ac:dyDescent="0.25">
      <c r="A53" s="25"/>
      <c r="B53" s="25" t="s">
        <v>11</v>
      </c>
      <c r="C53" s="26">
        <v>184481.21000200001</v>
      </c>
      <c r="D53" s="27">
        <v>303497.83926699997</v>
      </c>
      <c r="E53" s="28">
        <f>E52+C53-D53</f>
        <v>290362.72838900017</v>
      </c>
      <c r="F53" s="25"/>
      <c r="G53" s="25" t="s">
        <v>11</v>
      </c>
      <c r="H53" s="29">
        <f>IF(C53="", "", IF(D53="", "",D53-D38))</f>
        <v>158851.94281099999</v>
      </c>
      <c r="I53" s="29">
        <f>IF(D53="", "", IF(E53="", "",E53-E38))</f>
        <v>82328.854181000148</v>
      </c>
    </row>
    <row r="54" spans="1:9" x14ac:dyDescent="0.25">
      <c r="A54" s="25"/>
      <c r="B54" s="25" t="s">
        <v>12</v>
      </c>
      <c r="C54" s="26">
        <v>155931.28</v>
      </c>
      <c r="D54" s="27">
        <v>136982.24214399999</v>
      </c>
      <c r="E54" s="28">
        <f>E53+C54-D54</f>
        <v>309311.76624500018</v>
      </c>
      <c r="F54" s="25"/>
      <c r="G54" s="25" t="s">
        <v>12</v>
      </c>
      <c r="H54" s="29">
        <f>IF(C54="", "", IF(D54="", "",D54-D39))</f>
        <v>-11995.629852000013</v>
      </c>
      <c r="I54" s="29">
        <f>IF(D54="", "", IF(E54="", "",E54-E39))</f>
        <v>94932.574033000157</v>
      </c>
    </row>
    <row r="55" spans="1:9" x14ac:dyDescent="0.25">
      <c r="A55" s="25"/>
      <c r="B55" s="25" t="s">
        <v>13</v>
      </c>
      <c r="C55" s="26">
        <v>111752.72834099999</v>
      </c>
      <c r="D55" s="27">
        <v>155231.41232800001</v>
      </c>
      <c r="E55" s="28">
        <f>E54+C55-D55</f>
        <v>265833.08225800015</v>
      </c>
      <c r="F55" s="25"/>
      <c r="G55" s="25" t="s">
        <v>13</v>
      </c>
      <c r="H55" s="29">
        <f>IF(C55="", "", IF(D55="", "",D55-D40))</f>
        <v>26811.491181000005</v>
      </c>
      <c r="I55" s="29">
        <f>IF(D55="", "", IF(E55="", "",E55-E40))</f>
        <v>31114.011193000129</v>
      </c>
    </row>
    <row r="56" spans="1:9" x14ac:dyDescent="0.25">
      <c r="A56" s="25"/>
      <c r="B56" s="25" t="s">
        <v>14</v>
      </c>
      <c r="C56" s="26">
        <v>239131.96</v>
      </c>
      <c r="D56" s="27">
        <v>205344.623517</v>
      </c>
      <c r="E56" s="28">
        <f>E55+C56-D56</f>
        <v>299620.41874100012</v>
      </c>
      <c r="F56" s="25"/>
      <c r="G56" s="25" t="s">
        <v>14</v>
      </c>
      <c r="H56" s="29">
        <f>IF(C56="", "", IF(D56="", "",D56-D41))</f>
        <v>68769.240136999986</v>
      </c>
      <c r="I56" s="29">
        <f>IF(D56="", "", IF(E56="", "",E56-E41))</f>
        <v>-7621.3189439998823</v>
      </c>
    </row>
    <row r="57" spans="1:9" x14ac:dyDescent="0.25">
      <c r="A57" s="25"/>
      <c r="B57" s="25" t="s">
        <v>15</v>
      </c>
      <c r="C57" s="26">
        <v>337304.13</v>
      </c>
      <c r="D57" s="27">
        <v>355099.14180500002</v>
      </c>
      <c r="E57" s="28">
        <f>E56+C57-D57</f>
        <v>281825.4069360001</v>
      </c>
      <c r="F57" s="25"/>
      <c r="G57" s="25" t="s">
        <v>15</v>
      </c>
      <c r="H57" s="29">
        <f>IF(C57="", "", IF(D57="", "",D57-D42))</f>
        <v>131952.04667100002</v>
      </c>
      <c r="I57" s="29">
        <f>IF(D57="", "", IF(E57="", "",E57-E42))</f>
        <v>-43505.345694999967</v>
      </c>
    </row>
    <row r="58" spans="1:9" x14ac:dyDescent="0.25">
      <c r="A58" s="25"/>
      <c r="B58" s="25" t="s">
        <v>16</v>
      </c>
      <c r="C58" s="26">
        <v>216041.97007499999</v>
      </c>
      <c r="D58" s="27">
        <v>224156.15202499999</v>
      </c>
      <c r="E58" s="28">
        <f>E57+C58-D58</f>
        <v>273711.2249860001</v>
      </c>
      <c r="F58" s="25"/>
      <c r="G58" s="25" t="s">
        <v>16</v>
      </c>
      <c r="H58" s="29">
        <f>IF(C58="", "", IF(D58="", "",D58-D43))</f>
        <v>59434.690783999977</v>
      </c>
      <c r="I58" s="29">
        <f>IF(D58="", "", IF(E58="", "",E58-E43))</f>
        <v>-38113.182603999972</v>
      </c>
    </row>
    <row r="59" spans="1:9" x14ac:dyDescent="0.25">
      <c r="A59" s="25"/>
      <c r="B59" s="25" t="s">
        <v>17</v>
      </c>
      <c r="C59" s="26">
        <v>241043.58</v>
      </c>
      <c r="D59" s="27">
        <v>225593.322667</v>
      </c>
      <c r="E59" s="28">
        <f>E58+C59-D59</f>
        <v>289161.48231900006</v>
      </c>
      <c r="F59" s="25"/>
      <c r="G59" s="25" t="s">
        <v>17</v>
      </c>
      <c r="H59" s="29">
        <f>IF(C59="", "", IF(D59="", "",D59-D44))</f>
        <v>74401.327751000004</v>
      </c>
      <c r="I59" s="29">
        <f>IF(D59="", "", IF(E59="", "",E59-E44))</f>
        <v>23590.20964299998</v>
      </c>
    </row>
    <row r="60" spans="1:9" x14ac:dyDescent="0.25">
      <c r="A60" s="30"/>
      <c r="B60" s="30" t="s">
        <v>18</v>
      </c>
      <c r="C60" s="31">
        <v>101602.33</v>
      </c>
      <c r="D60" s="32">
        <v>135073.070343</v>
      </c>
      <c r="E60" s="33">
        <f>E59+C60-D60</f>
        <v>255690.74197600008</v>
      </c>
      <c r="F60" s="30"/>
      <c r="G60" s="30" t="s">
        <v>18</v>
      </c>
      <c r="H60" s="34">
        <f>IF(C60="", "", IF(D60="", "",D60-D45))</f>
        <v>67951.074049000003</v>
      </c>
      <c r="I60" s="34">
        <f>IF(D60="", "", IF(E60="", "",E60-E45))</f>
        <v>17367.91559400002</v>
      </c>
    </row>
    <row r="61" spans="1:9" s="2" customFormat="1" x14ac:dyDescent="0.25">
      <c r="A61" s="35"/>
      <c r="B61" s="35" t="s">
        <v>19</v>
      </c>
      <c r="C61" s="36">
        <f>SUM(C49:C60)</f>
        <v>2397408.566594</v>
      </c>
      <c r="D61" s="37">
        <f>SUM(D49:D60)</f>
        <v>2380040.6510000001</v>
      </c>
      <c r="E61" s="28"/>
      <c r="F61" s="35"/>
      <c r="G61" s="35"/>
      <c r="H61" s="28">
        <f>SUMIF(C49:C60,"&gt;=0",H49:H60)</f>
        <v>590062.74732899992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199784.04721616665</v>
      </c>
      <c r="D62" s="37">
        <f>AVERAGE(D49:D60)</f>
        <v>198336.72091666667</v>
      </c>
      <c r="E62" s="38">
        <f>C62/D62-1</f>
        <v>7.2973188868443728E-3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255690.74197600008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118827.88</v>
      </c>
      <c r="D64" s="13">
        <v>82943.672900999998</v>
      </c>
      <c r="E64" s="14">
        <f>E63+C64-D64</f>
        <v>291574.94907500007</v>
      </c>
      <c r="F64" s="11"/>
      <c r="G64" s="11" t="s">
        <v>7</v>
      </c>
      <c r="H64" s="15">
        <f>IF(C64="", "", IF(D64="", "",D64-D49))</f>
        <v>-35906.389228</v>
      </c>
      <c r="I64" s="15">
        <f>IF(D64="", "", IF(E64="", "",E64-E49))</f>
        <v>16420.354821999965</v>
      </c>
    </row>
    <row r="65" spans="1:9" x14ac:dyDescent="0.25">
      <c r="A65" s="11"/>
      <c r="B65" s="11" t="s">
        <v>8</v>
      </c>
      <c r="C65" s="12">
        <v>161017.4</v>
      </c>
      <c r="D65" s="13">
        <v>163579.501406</v>
      </c>
      <c r="E65" s="14">
        <f>E64+C65-D65</f>
        <v>289012.84766900004</v>
      </c>
      <c r="F65" s="11"/>
      <c r="G65" s="11" t="s">
        <v>8</v>
      </c>
      <c r="H65" s="15">
        <f>IF(C65="", "", IF(D65="", "",D65-D50))</f>
        <v>16345.199770000007</v>
      </c>
      <c r="I65" s="15">
        <f>IF(D65="", "", IF(E65="", "",E65-E50))</f>
        <v>14774.815051999933</v>
      </c>
    </row>
    <row r="66" spans="1:9" x14ac:dyDescent="0.25">
      <c r="A66" s="11"/>
      <c r="B66" s="11" t="s">
        <v>9</v>
      </c>
      <c r="C66" s="12">
        <v>132790.39999999999</v>
      </c>
      <c r="D66" s="13">
        <v>146940.00197400001</v>
      </c>
      <c r="E66" s="14">
        <f>E65+C66-D66</f>
        <v>274863.24569500005</v>
      </c>
      <c r="F66" s="11"/>
      <c r="G66" s="11" t="s">
        <v>9</v>
      </c>
      <c r="H66" s="15">
        <f>IF(C66="", "", IF(D66="", "",D66-D51))</f>
        <v>-77877.475268999988</v>
      </c>
      <c r="I66" s="15">
        <f>IF(D66="", "", IF(E66="", "",E66-E51))</f>
        <v>-16417.219679000031</v>
      </c>
    </row>
    <row r="67" spans="1:9" x14ac:dyDescent="0.25">
      <c r="A67" s="11"/>
      <c r="B67" s="11" t="s">
        <v>10</v>
      </c>
      <c r="C67" s="12">
        <v>117305.45</v>
      </c>
      <c r="D67" s="13">
        <v>112354.86687899999</v>
      </c>
      <c r="E67" s="14">
        <f>E66+C67-D67</f>
        <v>279813.82881600008</v>
      </c>
      <c r="F67" s="11"/>
      <c r="G67" s="11" t="s">
        <v>10</v>
      </c>
      <c r="H67" s="15">
        <f>IF(C67="", "", IF(D67="", "",D67-D52))</f>
        <v>-35806.139016999994</v>
      </c>
      <c r="I67" s="15">
        <f>IF(D67="", "", IF(E67="", "",E67-E52))</f>
        <v>-129565.52883800009</v>
      </c>
    </row>
    <row r="68" spans="1:9" x14ac:dyDescent="0.25">
      <c r="A68" s="11"/>
      <c r="B68" s="11" t="s">
        <v>11</v>
      </c>
      <c r="C68" s="12">
        <v>270608.40999999997</v>
      </c>
      <c r="D68" s="13">
        <v>259381.092145</v>
      </c>
      <c r="E68" s="14">
        <f>E67+C68-D68</f>
        <v>291041.14667100005</v>
      </c>
      <c r="F68" s="11"/>
      <c r="G68" s="11" t="s">
        <v>11</v>
      </c>
      <c r="H68" s="15">
        <f>IF(C68="", "", IF(D68="", "",D68-D53))</f>
        <v>-44116.747121999972</v>
      </c>
      <c r="I68" s="15">
        <f>IF(D68="", "", IF(E68="", "",E68-E53))</f>
        <v>678.41828199988231</v>
      </c>
    </row>
    <row r="69" spans="1:9" x14ac:dyDescent="0.25">
      <c r="A69" s="11"/>
      <c r="B69" s="11" t="s">
        <v>12</v>
      </c>
      <c r="C69" s="12">
        <v>193317</v>
      </c>
      <c r="D69" s="13">
        <v>172200.58914299999</v>
      </c>
      <c r="E69" s="14">
        <f>E68+C69-D69</f>
        <v>312157.55752800009</v>
      </c>
      <c r="F69" s="11"/>
      <c r="G69" s="11" t="s">
        <v>12</v>
      </c>
      <c r="H69" s="15">
        <f>IF(C69="", "", IF(D69="", "",D69-D54))</f>
        <v>35218.346999000001</v>
      </c>
      <c r="I69" s="15">
        <f>IF(D69="", "", IF(E69="", "",E69-E54))</f>
        <v>2845.7912829999113</v>
      </c>
    </row>
    <row r="70" spans="1:9" x14ac:dyDescent="0.25">
      <c r="A70" s="11"/>
      <c r="B70" s="11" t="s">
        <v>13</v>
      </c>
      <c r="C70" s="12">
        <v>234618.62</v>
      </c>
      <c r="D70" s="13">
        <v>233192.59568</v>
      </c>
      <c r="E70" s="14">
        <f>E69+C70-D70</f>
        <v>313583.58184800006</v>
      </c>
      <c r="F70" s="11"/>
      <c r="G70" s="11" t="s">
        <v>13</v>
      </c>
      <c r="H70" s="15">
        <f>IF(C70="", "", IF(D70="", "",D70-D55))</f>
        <v>77961.183351999993</v>
      </c>
      <c r="I70" s="15">
        <f>IF(D70="", "", IF(E70="", "",E70-E55))</f>
        <v>47750.499589999905</v>
      </c>
    </row>
    <row r="71" spans="1:9" x14ac:dyDescent="0.25">
      <c r="A71" s="11"/>
      <c r="B71" s="11" t="s">
        <v>14</v>
      </c>
      <c r="C71" s="12">
        <v>171502.47</v>
      </c>
      <c r="D71" s="13">
        <v>154484.086091</v>
      </c>
      <c r="E71" s="14">
        <f>E70+C71-D71</f>
        <v>330601.96575700003</v>
      </c>
      <c r="F71" s="11"/>
      <c r="G71" s="11" t="s">
        <v>14</v>
      </c>
      <c r="H71" s="15">
        <f>IF(C71="", "", IF(D71="", "",D71-D56))</f>
        <v>-50860.537425999995</v>
      </c>
      <c r="I71" s="15">
        <f>IF(D71="", "", IF(E71="", "",E71-E56))</f>
        <v>30981.547015999909</v>
      </c>
    </row>
    <row r="72" spans="1:9" x14ac:dyDescent="0.25">
      <c r="A72" s="11"/>
      <c r="B72" s="11" t="s">
        <v>15</v>
      </c>
      <c r="C72" s="12">
        <v>246538.42</v>
      </c>
      <c r="D72" s="13">
        <v>234976.76363999999</v>
      </c>
      <c r="E72" s="14">
        <f>E71+C72-D72</f>
        <v>342163.62211700005</v>
      </c>
      <c r="F72" s="11"/>
      <c r="G72" s="11" t="s">
        <v>15</v>
      </c>
      <c r="H72" s="15">
        <f>IF(C72="", "", IF(D72="", "",D72-D57))</f>
        <v>-120122.37816500003</v>
      </c>
      <c r="I72" s="15">
        <f>IF(D72="", "", IF(E72="", "",E72-E57))</f>
        <v>60338.215180999949</v>
      </c>
    </row>
    <row r="73" spans="1:9" x14ac:dyDescent="0.25">
      <c r="A73" s="11"/>
      <c r="B73" s="11" t="s">
        <v>16</v>
      </c>
      <c r="C73" s="12">
        <v>253069.75</v>
      </c>
      <c r="D73" s="13">
        <v>237141.60185199999</v>
      </c>
      <c r="E73" s="14">
        <f>E72+C73-D73</f>
        <v>358091.77026500006</v>
      </c>
      <c r="F73" s="11"/>
      <c r="G73" s="11" t="s">
        <v>16</v>
      </c>
      <c r="H73" s="15">
        <f>IF(C73="", "", IF(D73="", "",D73-D58))</f>
        <v>12985.449827000004</v>
      </c>
      <c r="I73" s="15">
        <f>IF(D73="", "", IF(E73="", "",E73-E58))</f>
        <v>84380.545278999954</v>
      </c>
    </row>
    <row r="74" spans="1:9" x14ac:dyDescent="0.25">
      <c r="A74" s="11"/>
      <c r="B74" s="11" t="s">
        <v>17</v>
      </c>
      <c r="C74" s="12">
        <v>196021.56</v>
      </c>
      <c r="D74" s="13">
        <v>209033.01553599999</v>
      </c>
      <c r="E74" s="14">
        <f>E73+C74-D74</f>
        <v>345080.31472899998</v>
      </c>
      <c r="F74" s="11"/>
      <c r="G74" s="11" t="s">
        <v>17</v>
      </c>
      <c r="H74" s="15">
        <f>IF(C74="", "", IF(D74="", "",D74-D59))</f>
        <v>-16560.307131000009</v>
      </c>
      <c r="I74" s="15">
        <f>IF(D74="", "", IF(E74="", "",E74-E59))</f>
        <v>55918.832409999915</v>
      </c>
    </row>
    <row r="75" spans="1:9" x14ac:dyDescent="0.25">
      <c r="A75" s="16"/>
      <c r="B75" s="16" t="s">
        <v>18</v>
      </c>
      <c r="C75" s="17">
        <v>91964.84</v>
      </c>
      <c r="D75" s="18">
        <v>139178.23262200001</v>
      </c>
      <c r="E75" s="19">
        <f>E74+C75-D75</f>
        <v>297866.9221069999</v>
      </c>
      <c r="F75" s="16"/>
      <c r="G75" s="16" t="s">
        <v>18</v>
      </c>
      <c r="H75" s="20">
        <f>IF(C75="", "", IF(D75="", "",D75-D60))</f>
        <v>4105.162279000011</v>
      </c>
      <c r="I75" s="20">
        <f>IF(D75="", "", IF(E75="", "",E75-E60))</f>
        <v>42176.180130999826</v>
      </c>
    </row>
    <row r="76" spans="1:9" s="2" customFormat="1" x14ac:dyDescent="0.25">
      <c r="A76" s="21"/>
      <c r="B76" s="21" t="s">
        <v>19</v>
      </c>
      <c r="C76" s="22">
        <f>SUM(C64:C75)</f>
        <v>2187582.2000000002</v>
      </c>
      <c r="D76" s="23">
        <f>SUM(D64:D75)</f>
        <v>2145406.0198690002</v>
      </c>
      <c r="E76" s="14"/>
      <c r="F76" s="21"/>
      <c r="G76" s="21"/>
      <c r="H76" s="14">
        <f>SUMIF(C64:C75,"&gt;=0",H64:H75)</f>
        <v>-234634.63113099997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182298.51666666669</v>
      </c>
      <c r="D77" s="23">
        <f>AVERAGE(D64:D75)</f>
        <v>178783.83498908335</v>
      </c>
      <c r="E77" s="24">
        <f>C77/D77-1</f>
        <v>1.9658833684812471E-2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297866.9221069999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297866.9221069999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297866.9221069999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297866.9221069999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297866.9221069999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297866.9221069999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297866.9221069999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297866.9221069999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297866.9221069999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297866.9221069999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297866.9221069999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297866.9221069999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297866.9221069999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2E89D-1954-4936-9257-2DE23EA1DE14}">
  <sheetPr codeName="Sheet16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178157.989998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222045.51</v>
      </c>
      <c r="D4" s="13">
        <v>54905.71</v>
      </c>
      <c r="E4" s="14">
        <f>E3+C4-D4</f>
        <v>345297.78999799996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41717.96</v>
      </c>
      <c r="D5" s="13">
        <v>96702.1</v>
      </c>
      <c r="E5" s="14">
        <f>E4+C5-D5</f>
        <v>290313.64999800001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27524.32</v>
      </c>
      <c r="D6" s="13">
        <v>74770.83</v>
      </c>
      <c r="E6" s="14">
        <f>E5+C6-D6</f>
        <v>243067.139998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79996.45</v>
      </c>
      <c r="D7" s="13">
        <v>56143.87</v>
      </c>
      <c r="E7" s="14">
        <f>E6+C7-D7</f>
        <v>266919.71999800002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185689.79</v>
      </c>
      <c r="D8" s="13">
        <v>124364.748333</v>
      </c>
      <c r="E8" s="14">
        <f>E7+C8-D8</f>
        <v>328244.761665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38133.730000000003</v>
      </c>
      <c r="D9" s="13">
        <v>98571.669167</v>
      </c>
      <c r="E9" s="14">
        <f>E8+C9-D9</f>
        <v>267806.82249799999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80284.28</v>
      </c>
      <c r="D10" s="13">
        <v>91560.159333000003</v>
      </c>
      <c r="E10" s="14">
        <f>E9+C10-D10</f>
        <v>256530.943165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290134.2</v>
      </c>
      <c r="D11" s="13">
        <v>191414.298889</v>
      </c>
      <c r="E11" s="14">
        <f>E10+C11-D11</f>
        <v>355250.84427600005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69949.84</v>
      </c>
      <c r="D12" s="13">
        <v>166403.08527800001</v>
      </c>
      <c r="E12" s="14">
        <f>E11+C12-D12</f>
        <v>258797.598998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77640.95</v>
      </c>
      <c r="D13" s="13">
        <v>122686.015</v>
      </c>
      <c r="E13" s="14">
        <f>E12+C13-D13</f>
        <v>213752.53399799997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108191.48</v>
      </c>
      <c r="D14" s="13">
        <v>127711.466636</v>
      </c>
      <c r="E14" s="14">
        <f>E13+C14-D14</f>
        <v>194232.54736199995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69779.740000000005</v>
      </c>
      <c r="D15" s="18">
        <v>93292.550998999999</v>
      </c>
      <c r="E15" s="19">
        <f>E14+C15-D15</f>
        <v>170719.73636299997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1291088.25</v>
      </c>
      <c r="D16" s="23">
        <f>SUM(D4:D15)</f>
        <v>1298526.5036349997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107590.6875</v>
      </c>
      <c r="D17" s="23">
        <f>AVERAGE(D4:D15)</f>
        <v>108210.54196958331</v>
      </c>
      <c r="E17" s="24">
        <f>C17/D17-1</f>
        <v>-5.7282262735320888E-3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170719.73636299997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188834.57</v>
      </c>
      <c r="D19" s="27">
        <v>66114.789999999994</v>
      </c>
      <c r="E19" s="28">
        <f>E18+C19-D19</f>
        <v>293439.51636299997</v>
      </c>
      <c r="F19" s="25"/>
      <c r="G19" s="25" t="s">
        <v>7</v>
      </c>
      <c r="H19" s="29">
        <f>IF(C19="", "", IF(D19="", "",D19-D4))</f>
        <v>11209.079999999994</v>
      </c>
      <c r="I19" s="29">
        <f>IF(D19="", "", IF(E19="", "",E19-E4))</f>
        <v>-51858.27363499999</v>
      </c>
    </row>
    <row r="20" spans="1:9" x14ac:dyDescent="0.25">
      <c r="A20" s="25"/>
      <c r="B20" s="25" t="s">
        <v>8</v>
      </c>
      <c r="C20" s="26">
        <v>119785.92</v>
      </c>
      <c r="D20" s="27">
        <v>150858.16</v>
      </c>
      <c r="E20" s="28">
        <f>E19+C20-D20</f>
        <v>262367.27636299992</v>
      </c>
      <c r="F20" s="25"/>
      <c r="G20" s="25" t="s">
        <v>8</v>
      </c>
      <c r="H20" s="29">
        <f>IF(C20="", "", IF(D20="", "",D20-D5))</f>
        <v>54156.06</v>
      </c>
      <c r="I20" s="29">
        <f>IF(D20="", "", IF(E20="", "",E20-E5))</f>
        <v>-27946.373635000084</v>
      </c>
    </row>
    <row r="21" spans="1:9" x14ac:dyDescent="0.25">
      <c r="A21" s="25"/>
      <c r="B21" s="25" t="s">
        <v>9</v>
      </c>
      <c r="C21" s="26">
        <v>133316.88</v>
      </c>
      <c r="D21" s="27">
        <v>208207.27154399999</v>
      </c>
      <c r="E21" s="28">
        <f>E20+C21-D21</f>
        <v>187476.88481899994</v>
      </c>
      <c r="F21" s="25"/>
      <c r="G21" s="25" t="s">
        <v>9</v>
      </c>
      <c r="H21" s="29">
        <f>IF(C21="", "", IF(D21="", "",D21-D6))</f>
        <v>133436.441544</v>
      </c>
      <c r="I21" s="29">
        <f>IF(D21="", "", IF(E21="", "",E21-E6))</f>
        <v>-55590.255179000058</v>
      </c>
    </row>
    <row r="22" spans="1:9" x14ac:dyDescent="0.25">
      <c r="A22" s="25"/>
      <c r="B22" s="25" t="s">
        <v>10</v>
      </c>
      <c r="C22" s="26">
        <v>83309.05</v>
      </c>
      <c r="D22" s="27">
        <v>99207.25</v>
      </c>
      <c r="E22" s="28">
        <f>E21+C22-D22</f>
        <v>171578.68481899996</v>
      </c>
      <c r="F22" s="25"/>
      <c r="G22" s="25" t="s">
        <v>10</v>
      </c>
      <c r="H22" s="29">
        <f>IF(C22="", "", IF(D22="", "",D22-D7))</f>
        <v>43063.38</v>
      </c>
      <c r="I22" s="29">
        <f>IF(D22="", "", IF(E22="", "",E22-E7))</f>
        <v>-95341.035179000057</v>
      </c>
    </row>
    <row r="23" spans="1:9" x14ac:dyDescent="0.25">
      <c r="A23" s="25"/>
      <c r="B23" s="25" t="s">
        <v>11</v>
      </c>
      <c r="C23" s="26">
        <v>276578.71999999997</v>
      </c>
      <c r="D23" s="27">
        <v>119898.82042</v>
      </c>
      <c r="E23" s="28">
        <f>E22+C23-D23</f>
        <v>328258.58439899993</v>
      </c>
      <c r="F23" s="25"/>
      <c r="G23" s="25" t="s">
        <v>11</v>
      </c>
      <c r="H23" s="29">
        <f>IF(C23="", "", IF(D23="", "",D23-D8))</f>
        <v>-4465.9279129999923</v>
      </c>
      <c r="I23" s="29">
        <f>IF(D23="", "", IF(E23="", "",E23-E8))</f>
        <v>13.82273399992846</v>
      </c>
    </row>
    <row r="24" spans="1:9" x14ac:dyDescent="0.25">
      <c r="A24" s="25"/>
      <c r="B24" s="25" t="s">
        <v>12</v>
      </c>
      <c r="C24" s="26">
        <v>34300.11</v>
      </c>
      <c r="D24" s="27">
        <v>83942.997126000002</v>
      </c>
      <c r="E24" s="28">
        <f>E23+C24-D24</f>
        <v>278615.69727299991</v>
      </c>
      <c r="F24" s="25"/>
      <c r="G24" s="25" t="s">
        <v>12</v>
      </c>
      <c r="H24" s="29">
        <f>IF(C24="", "", IF(D24="", "",D24-D9))</f>
        <v>-14628.672040999998</v>
      </c>
      <c r="I24" s="29">
        <f>IF(D24="", "", IF(E24="", "",E24-E9))</f>
        <v>10808.874774999917</v>
      </c>
    </row>
    <row r="25" spans="1:9" x14ac:dyDescent="0.25">
      <c r="A25" s="25"/>
      <c r="B25" s="25" t="s">
        <v>13</v>
      </c>
      <c r="C25" s="26">
        <v>63434.54</v>
      </c>
      <c r="D25" s="27">
        <v>103296.19278700001</v>
      </c>
      <c r="E25" s="28">
        <f>E24+C25-D25</f>
        <v>238754.04448599988</v>
      </c>
      <c r="F25" s="25"/>
      <c r="G25" s="25" t="s">
        <v>13</v>
      </c>
      <c r="H25" s="29">
        <f>IF(C25="", "", IF(D25="", "",D25-D10))</f>
        <v>11736.033454000004</v>
      </c>
      <c r="I25" s="29">
        <f>IF(D25="", "", IF(E25="", "",E25-E10))</f>
        <v>-17776.898679000122</v>
      </c>
    </row>
    <row r="26" spans="1:9" x14ac:dyDescent="0.25">
      <c r="A26" s="25"/>
      <c r="B26" s="25" t="s">
        <v>14</v>
      </c>
      <c r="C26" s="26">
        <v>67462.759999999995</v>
      </c>
      <c r="D26" s="27">
        <v>105755.09366699999</v>
      </c>
      <c r="E26" s="28">
        <f>E25+C26-D26</f>
        <v>200461.71081899985</v>
      </c>
      <c r="F26" s="25"/>
      <c r="G26" s="25" t="s">
        <v>14</v>
      </c>
      <c r="H26" s="29">
        <f>IF(C26="", "", IF(D26="", "",D26-D11))</f>
        <v>-85659.205222000004</v>
      </c>
      <c r="I26" s="29">
        <f>IF(D26="", "", IF(E26="", "",E26-E11))</f>
        <v>-154789.13345700019</v>
      </c>
    </row>
    <row r="27" spans="1:9" x14ac:dyDescent="0.25">
      <c r="A27" s="25"/>
      <c r="B27" s="25" t="s">
        <v>15</v>
      </c>
      <c r="C27" s="26">
        <v>142843.28</v>
      </c>
      <c r="D27" s="27">
        <v>111458.484039</v>
      </c>
      <c r="E27" s="28">
        <f>E26+C27-D27</f>
        <v>231846.50677999982</v>
      </c>
      <c r="F27" s="25"/>
      <c r="G27" s="25" t="s">
        <v>15</v>
      </c>
      <c r="H27" s="29">
        <f>IF(C27="", "", IF(D27="", "",D27-D12))</f>
        <v>-54944.601239000011</v>
      </c>
      <c r="I27" s="29">
        <f>IF(D27="", "", IF(E27="", "",E27-E12))</f>
        <v>-26951.09221800018</v>
      </c>
    </row>
    <row r="28" spans="1:9" x14ac:dyDescent="0.25">
      <c r="A28" s="25"/>
      <c r="B28" s="25" t="s">
        <v>16</v>
      </c>
      <c r="C28" s="26">
        <v>65467.53</v>
      </c>
      <c r="D28" s="27">
        <v>148826.566861</v>
      </c>
      <c r="E28" s="28">
        <f>E27+C28-D28</f>
        <v>148487.46991899985</v>
      </c>
      <c r="F28" s="25"/>
      <c r="G28" s="25" t="s">
        <v>16</v>
      </c>
      <c r="H28" s="29">
        <f>IF(C28="", "", IF(D28="", "",D28-D13))</f>
        <v>26140.551861</v>
      </c>
      <c r="I28" s="29">
        <f>IF(D28="", "", IF(E28="", "",E28-E13))</f>
        <v>-65265.06407900012</v>
      </c>
    </row>
    <row r="29" spans="1:9" x14ac:dyDescent="0.25">
      <c r="A29" s="25"/>
      <c r="B29" s="25" t="s">
        <v>17</v>
      </c>
      <c r="C29" s="26">
        <v>164974.16</v>
      </c>
      <c r="D29" s="27">
        <v>117108.88733300001</v>
      </c>
      <c r="E29" s="28">
        <f>E28+C29-D29</f>
        <v>196352.74258599983</v>
      </c>
      <c r="F29" s="25"/>
      <c r="G29" s="25" t="s">
        <v>17</v>
      </c>
      <c r="H29" s="29">
        <f>IF(C29="", "", IF(D29="", "",D29-D14))</f>
        <v>-10602.579302999991</v>
      </c>
      <c r="I29" s="29">
        <f>IF(D29="", "", IF(E29="", "",E29-E14))</f>
        <v>2120.1952239998791</v>
      </c>
    </row>
    <row r="30" spans="1:9" x14ac:dyDescent="0.25">
      <c r="A30" s="30"/>
      <c r="B30" s="30" t="s">
        <v>18</v>
      </c>
      <c r="C30" s="31">
        <v>33263.75</v>
      </c>
      <c r="D30" s="32">
        <v>89416.910474999997</v>
      </c>
      <c r="E30" s="33">
        <f>E29+C30-D30</f>
        <v>140199.58211099985</v>
      </c>
      <c r="F30" s="30"/>
      <c r="G30" s="30" t="s">
        <v>18</v>
      </c>
      <c r="H30" s="34">
        <f>IF(C30="", "", IF(D30="", "",D30-D15))</f>
        <v>-3875.6405240000022</v>
      </c>
      <c r="I30" s="34">
        <f>IF(D30="", "", IF(E30="", "",E30-E15))</f>
        <v>-30520.154252000124</v>
      </c>
    </row>
    <row r="31" spans="1:9" s="2" customFormat="1" x14ac:dyDescent="0.25">
      <c r="A31" s="35"/>
      <c r="B31" s="35" t="s">
        <v>19</v>
      </c>
      <c r="C31" s="36">
        <f>SUM(C19:C30)</f>
        <v>1373571.27</v>
      </c>
      <c r="D31" s="37">
        <f>SUM(D19:D30)</f>
        <v>1404091.4242519999</v>
      </c>
      <c r="E31" s="28"/>
      <c r="F31" s="35"/>
      <c r="G31" s="35"/>
      <c r="H31" s="28">
        <f>SUMIF(C19:C30,"&gt;=0",H19:H30)</f>
        <v>105564.92061699998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114464.27250000001</v>
      </c>
      <c r="D32" s="37">
        <f>AVERAGE(D19:D30)</f>
        <v>117007.61868766666</v>
      </c>
      <c r="E32" s="38">
        <f>C32/D32-1</f>
        <v>-2.173658618295371E-2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140199.58211099985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350322.34</v>
      </c>
      <c r="D34" s="13">
        <v>66857.835999999996</v>
      </c>
      <c r="E34" s="14">
        <f>E33+C34-D34</f>
        <v>423664.08611099987</v>
      </c>
      <c r="F34" s="11"/>
      <c r="G34" s="11" t="s">
        <v>7</v>
      </c>
      <c r="H34" s="15">
        <f>IF(C34="", "", IF(D34="", "",D34-D19))</f>
        <v>743.0460000000021</v>
      </c>
      <c r="I34" s="15">
        <f>IF(D34="", "", IF(E34="", "",E34-E19))</f>
        <v>130224.56974799989</v>
      </c>
    </row>
    <row r="35" spans="1:9" x14ac:dyDescent="0.25">
      <c r="A35" s="11"/>
      <c r="B35" s="11" t="s">
        <v>8</v>
      </c>
      <c r="C35" s="12">
        <v>32612.21</v>
      </c>
      <c r="D35" s="13">
        <v>112602.617334</v>
      </c>
      <c r="E35" s="14">
        <f>E34+C35-D35</f>
        <v>343673.67877699988</v>
      </c>
      <c r="F35" s="11"/>
      <c r="G35" s="11" t="s">
        <v>8</v>
      </c>
      <c r="H35" s="15">
        <f>IF(C35="", "", IF(D35="", "",D35-D20))</f>
        <v>-38255.542666000008</v>
      </c>
      <c r="I35" s="15">
        <f>IF(D35="", "", IF(E35="", "",E35-E20))</f>
        <v>81306.402413999953</v>
      </c>
    </row>
    <row r="36" spans="1:9" x14ac:dyDescent="0.25">
      <c r="A36" s="11"/>
      <c r="B36" s="11" t="s">
        <v>9</v>
      </c>
      <c r="C36" s="12">
        <v>298443.99</v>
      </c>
      <c r="D36" s="13">
        <v>136070.33783999999</v>
      </c>
      <c r="E36" s="14">
        <f>E35+C36-D36</f>
        <v>506047.33093699993</v>
      </c>
      <c r="F36" s="11"/>
      <c r="G36" s="11" t="s">
        <v>9</v>
      </c>
      <c r="H36" s="15">
        <f>IF(C36="", "", IF(D36="", "",D36-D21))</f>
        <v>-72136.933703999995</v>
      </c>
      <c r="I36" s="15">
        <f>IF(D36="", "", IF(E36="", "",E36-E21))</f>
        <v>318570.44611799996</v>
      </c>
    </row>
    <row r="37" spans="1:9" x14ac:dyDescent="0.25">
      <c r="A37" s="11"/>
      <c r="B37" s="11" t="s">
        <v>10</v>
      </c>
      <c r="C37" s="12">
        <v>278216.64</v>
      </c>
      <c r="D37" s="13">
        <v>137276.08727300001</v>
      </c>
      <c r="E37" s="14">
        <f>E36+C37-D37</f>
        <v>646987.88366399985</v>
      </c>
      <c r="F37" s="11"/>
      <c r="G37" s="11" t="s">
        <v>10</v>
      </c>
      <c r="H37" s="15">
        <f>IF(C37="", "", IF(D37="", "",D37-D22))</f>
        <v>38068.837273000012</v>
      </c>
      <c r="I37" s="15">
        <f>IF(D37="", "", IF(E37="", "",E37-E22))</f>
        <v>475409.19884499989</v>
      </c>
    </row>
    <row r="38" spans="1:9" x14ac:dyDescent="0.25">
      <c r="A38" s="11"/>
      <c r="B38" s="11" t="s">
        <v>11</v>
      </c>
      <c r="C38" s="12">
        <v>68740.540032000004</v>
      </c>
      <c r="D38" s="13">
        <v>142984.30442599999</v>
      </c>
      <c r="E38" s="14">
        <f>E37+C38-D38</f>
        <v>572744.11926999991</v>
      </c>
      <c r="F38" s="11"/>
      <c r="G38" s="11" t="s">
        <v>11</v>
      </c>
      <c r="H38" s="15">
        <f>IF(C38="", "", IF(D38="", "",D38-D23))</f>
        <v>23085.484005999984</v>
      </c>
      <c r="I38" s="15">
        <f>IF(D38="", "", IF(E38="", "",E38-E23))</f>
        <v>244485.53487099998</v>
      </c>
    </row>
    <row r="39" spans="1:9" x14ac:dyDescent="0.25">
      <c r="A39" s="11"/>
      <c r="B39" s="11" t="s">
        <v>12</v>
      </c>
      <c r="C39" s="12">
        <v>28721.19</v>
      </c>
      <c r="D39" s="13">
        <v>84237.160161000007</v>
      </c>
      <c r="E39" s="14">
        <f>E38+C39-D39</f>
        <v>517228.14910899987</v>
      </c>
      <c r="F39" s="11"/>
      <c r="G39" s="11" t="s">
        <v>12</v>
      </c>
      <c r="H39" s="15">
        <f>IF(C39="", "", IF(D39="", "",D39-D24))</f>
        <v>294.16303500000504</v>
      </c>
      <c r="I39" s="15">
        <f>IF(D39="", "", IF(E39="", "",E39-E24))</f>
        <v>238612.45183599996</v>
      </c>
    </row>
    <row r="40" spans="1:9" x14ac:dyDescent="0.25">
      <c r="A40" s="11"/>
      <c r="B40" s="11" t="s">
        <v>13</v>
      </c>
      <c r="C40" s="12">
        <v>167706.64000000001</v>
      </c>
      <c r="D40" s="13">
        <v>105936.09</v>
      </c>
      <c r="E40" s="14">
        <f>E39+C40-D40</f>
        <v>578998.69910899992</v>
      </c>
      <c r="F40" s="11"/>
      <c r="G40" s="11" t="s">
        <v>13</v>
      </c>
      <c r="H40" s="15">
        <f>IF(C40="", "", IF(D40="", "",D40-D25))</f>
        <v>2639.8972129999893</v>
      </c>
      <c r="I40" s="15">
        <f>IF(D40="", "", IF(E40="", "",E40-E25))</f>
        <v>340244.65462300007</v>
      </c>
    </row>
    <row r="41" spans="1:9" x14ac:dyDescent="0.25">
      <c r="A41" s="11"/>
      <c r="B41" s="11" t="s">
        <v>14</v>
      </c>
      <c r="C41" s="12">
        <v>48568.52</v>
      </c>
      <c r="D41" s="13">
        <v>111094.484778</v>
      </c>
      <c r="E41" s="14">
        <f>E40+C41-D41</f>
        <v>516472.73433099996</v>
      </c>
      <c r="F41" s="11"/>
      <c r="G41" s="11" t="s">
        <v>14</v>
      </c>
      <c r="H41" s="15">
        <f>IF(C41="", "", IF(D41="", "",D41-D26))</f>
        <v>5339.3911110000045</v>
      </c>
      <c r="I41" s="15">
        <f>IF(D41="", "", IF(E41="", "",E41-E26))</f>
        <v>316011.0235120001</v>
      </c>
    </row>
    <row r="42" spans="1:9" x14ac:dyDescent="0.25">
      <c r="A42" s="11"/>
      <c r="B42" s="11" t="s">
        <v>15</v>
      </c>
      <c r="C42" s="12">
        <v>29823.94</v>
      </c>
      <c r="D42" s="13">
        <v>116779.216699</v>
      </c>
      <c r="E42" s="14">
        <f>E41+C42-D42</f>
        <v>429517.45763199998</v>
      </c>
      <c r="F42" s="11"/>
      <c r="G42" s="11" t="s">
        <v>15</v>
      </c>
      <c r="H42" s="15">
        <f>IF(C42="", "", IF(D42="", "",D42-D27))</f>
        <v>5320.7326599999942</v>
      </c>
      <c r="I42" s="15">
        <f>IF(D42="", "", IF(E42="", "",E42-E27))</f>
        <v>197670.95085200015</v>
      </c>
    </row>
    <row r="43" spans="1:9" x14ac:dyDescent="0.25">
      <c r="A43" s="11"/>
      <c r="B43" s="11" t="s">
        <v>16</v>
      </c>
      <c r="C43" s="12">
        <v>55749.2</v>
      </c>
      <c r="D43" s="13">
        <v>125192.516087</v>
      </c>
      <c r="E43" s="14">
        <f>E42+C43-D43</f>
        <v>360074.14154500002</v>
      </c>
      <c r="F43" s="11"/>
      <c r="G43" s="11" t="s">
        <v>16</v>
      </c>
      <c r="H43" s="15">
        <f>IF(C43="", "", IF(D43="", "",D43-D28))</f>
        <v>-23634.050774000003</v>
      </c>
      <c r="I43" s="15">
        <f>IF(D43="", "", IF(E43="", "",E43-E28))</f>
        <v>211586.67162600017</v>
      </c>
    </row>
    <row r="44" spans="1:9" x14ac:dyDescent="0.25">
      <c r="A44" s="11"/>
      <c r="B44" s="11" t="s">
        <v>17</v>
      </c>
      <c r="C44" s="12">
        <v>61971.14</v>
      </c>
      <c r="D44" s="13">
        <v>101463.114</v>
      </c>
      <c r="E44" s="14">
        <f>E43+C44-D44</f>
        <v>320582.16754500003</v>
      </c>
      <c r="F44" s="11"/>
      <c r="G44" s="11" t="s">
        <v>17</v>
      </c>
      <c r="H44" s="15">
        <f>IF(C44="", "", IF(D44="", "",D44-D29))</f>
        <v>-15645.773333000005</v>
      </c>
      <c r="I44" s="15">
        <f>IF(D44="", "", IF(E44="", "",E44-E29))</f>
        <v>124229.4249590002</v>
      </c>
    </row>
    <row r="45" spans="1:9" x14ac:dyDescent="0.25">
      <c r="A45" s="16"/>
      <c r="B45" s="16" t="s">
        <v>18</v>
      </c>
      <c r="C45" s="17">
        <v>18295.740000000002</v>
      </c>
      <c r="D45" s="18">
        <v>91299</v>
      </c>
      <c r="E45" s="19">
        <f>E44+C45-D45</f>
        <v>247578.90754500002</v>
      </c>
      <c r="F45" s="16"/>
      <c r="G45" s="16" t="s">
        <v>18</v>
      </c>
      <c r="H45" s="20">
        <f>IF(C45="", "", IF(D45="", "",D45-D30))</f>
        <v>1882.0895250000031</v>
      </c>
      <c r="I45" s="20">
        <f>IF(D45="", "", IF(E45="", "",E45-E30))</f>
        <v>107379.32543400017</v>
      </c>
    </row>
    <row r="46" spans="1:9" s="2" customFormat="1" x14ac:dyDescent="0.25">
      <c r="A46" s="21"/>
      <c r="B46" s="21" t="s">
        <v>19</v>
      </c>
      <c r="C46" s="22">
        <f>SUM(C34:C45)</f>
        <v>1439172.0900319999</v>
      </c>
      <c r="D46" s="23">
        <f>SUM(D34:D45)</f>
        <v>1331792.7645980001</v>
      </c>
      <c r="E46" s="14"/>
      <c r="F46" s="21"/>
      <c r="G46" s="21"/>
      <c r="H46" s="14">
        <f>SUMIF(C34:C45,"&gt;=0",H34:H45)</f>
        <v>-72298.659654000017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119931.00750266666</v>
      </c>
      <c r="D47" s="23">
        <f>AVERAGE(D34:D45)</f>
        <v>110982.73038316668</v>
      </c>
      <c r="E47" s="24">
        <f>C47/D47-1</f>
        <v>8.0627653407031374E-2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247578.90754500002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54663.360000000001</v>
      </c>
      <c r="D49" s="27">
        <v>64065.401909</v>
      </c>
      <c r="E49" s="28">
        <f>E48+C49-D49</f>
        <v>238176.865636</v>
      </c>
      <c r="F49" s="25"/>
      <c r="G49" s="25" t="s">
        <v>7</v>
      </c>
      <c r="H49" s="29">
        <f>IF(C49="", "", IF(D49="", "",D49-D34))</f>
        <v>-2792.4340909999955</v>
      </c>
      <c r="I49" s="29">
        <f>IF(D49="", "", IF(E49="", "",E49-E34))</f>
        <v>-185487.22047499986</v>
      </c>
    </row>
    <row r="50" spans="1:9" x14ac:dyDescent="0.25">
      <c r="A50" s="25"/>
      <c r="B50" s="25" t="s">
        <v>8</v>
      </c>
      <c r="C50" s="26">
        <v>145125.37</v>
      </c>
      <c r="D50" s="27">
        <v>79903.830721999999</v>
      </c>
      <c r="E50" s="28">
        <f>E49+C50-D50</f>
        <v>303398.40491400001</v>
      </c>
      <c r="F50" s="25"/>
      <c r="G50" s="25" t="s">
        <v>8</v>
      </c>
      <c r="H50" s="29">
        <f>IF(C50="", "", IF(D50="", "",D50-D35))</f>
        <v>-32698.786611999996</v>
      </c>
      <c r="I50" s="29">
        <f>IF(D50="", "", IF(E50="", "",E50-E35))</f>
        <v>-40275.273862999864</v>
      </c>
    </row>
    <row r="51" spans="1:9" x14ac:dyDescent="0.25">
      <c r="A51" s="25"/>
      <c r="B51" s="25" t="s">
        <v>9</v>
      </c>
      <c r="C51" s="26">
        <v>312505.90000000002</v>
      </c>
      <c r="D51" s="27">
        <v>84354.72</v>
      </c>
      <c r="E51" s="28">
        <f>E50+C51-D51</f>
        <v>531549.58491400001</v>
      </c>
      <c r="F51" s="25"/>
      <c r="G51" s="25" t="s">
        <v>9</v>
      </c>
      <c r="H51" s="29">
        <f>IF(C51="", "", IF(D51="", "",D51-D36))</f>
        <v>-51715.617839999992</v>
      </c>
      <c r="I51" s="29">
        <f>IF(D51="", "", IF(E51="", "",E51-E36))</f>
        <v>25502.253977000073</v>
      </c>
    </row>
    <row r="52" spans="1:9" x14ac:dyDescent="0.25">
      <c r="A52" s="25"/>
      <c r="B52" s="25" t="s">
        <v>10</v>
      </c>
      <c r="C52" s="26">
        <v>166407.46</v>
      </c>
      <c r="D52" s="27">
        <v>104696.682</v>
      </c>
      <c r="E52" s="28">
        <f>E51+C52-D52</f>
        <v>593260.36291399994</v>
      </c>
      <c r="F52" s="25"/>
      <c r="G52" s="25" t="s">
        <v>10</v>
      </c>
      <c r="H52" s="29">
        <f>IF(C52="", "", IF(D52="", "",D52-D37))</f>
        <v>-32579.405273000011</v>
      </c>
      <c r="I52" s="29">
        <f>IF(D52="", "", IF(E52="", "",E52-E37))</f>
        <v>-53727.520749999909</v>
      </c>
    </row>
    <row r="53" spans="1:9" x14ac:dyDescent="0.25">
      <c r="A53" s="25"/>
      <c r="B53" s="25" t="s">
        <v>11</v>
      </c>
      <c r="C53" s="26">
        <v>45776.68</v>
      </c>
      <c r="D53" s="27">
        <v>118263.19</v>
      </c>
      <c r="E53" s="28">
        <f>E52+C53-D53</f>
        <v>520773.85291399999</v>
      </c>
      <c r="F53" s="25"/>
      <c r="G53" s="25" t="s">
        <v>11</v>
      </c>
      <c r="H53" s="29">
        <f>IF(C53="", "", IF(D53="", "",D53-D38))</f>
        <v>-24721.114425999986</v>
      </c>
      <c r="I53" s="29">
        <f>IF(D53="", "", IF(E53="", "",E53-E38))</f>
        <v>-51970.26635599992</v>
      </c>
    </row>
    <row r="54" spans="1:9" x14ac:dyDescent="0.25">
      <c r="A54" s="25"/>
      <c r="B54" s="25" t="s">
        <v>12</v>
      </c>
      <c r="C54" s="26">
        <v>36941.919999999998</v>
      </c>
      <c r="D54" s="27">
        <v>90688.68</v>
      </c>
      <c r="E54" s="28">
        <f>E53+C54-D54</f>
        <v>467027.09291399998</v>
      </c>
      <c r="F54" s="25"/>
      <c r="G54" s="25" t="s">
        <v>12</v>
      </c>
      <c r="H54" s="29">
        <f>IF(C54="", "", IF(D54="", "",D54-D39))</f>
        <v>6451.519838999986</v>
      </c>
      <c r="I54" s="29">
        <f>IF(D54="", "", IF(E54="", "",E54-E39))</f>
        <v>-50201.056194999896</v>
      </c>
    </row>
    <row r="55" spans="1:9" x14ac:dyDescent="0.25">
      <c r="A55" s="25"/>
      <c r="B55" s="25" t="s">
        <v>13</v>
      </c>
      <c r="C55" s="26">
        <v>39347.440000000002</v>
      </c>
      <c r="D55" s="27">
        <v>155689.42000000001</v>
      </c>
      <c r="E55" s="28">
        <f>E54+C55-D55</f>
        <v>350685.11291399994</v>
      </c>
      <c r="F55" s="25"/>
      <c r="G55" s="25" t="s">
        <v>13</v>
      </c>
      <c r="H55" s="29">
        <f>IF(C55="", "", IF(D55="", "",D55-D40))</f>
        <v>49753.330000000016</v>
      </c>
      <c r="I55" s="29">
        <f>IF(D55="", "", IF(E55="", "",E55-E40))</f>
        <v>-228313.58619499998</v>
      </c>
    </row>
    <row r="56" spans="1:9" x14ac:dyDescent="0.25">
      <c r="A56" s="25"/>
      <c r="B56" s="25" t="s">
        <v>14</v>
      </c>
      <c r="C56" s="26">
        <v>42948.97</v>
      </c>
      <c r="D56" s="27">
        <v>145927.99</v>
      </c>
      <c r="E56" s="28">
        <f>E55+C56-D56</f>
        <v>247706.09291399992</v>
      </c>
      <c r="F56" s="25"/>
      <c r="G56" s="25" t="s">
        <v>14</v>
      </c>
      <c r="H56" s="29">
        <f>IF(C56="", "", IF(D56="", "",D56-D41))</f>
        <v>34833.505221999993</v>
      </c>
      <c r="I56" s="29">
        <f>IF(D56="", "", IF(E56="", "",E56-E41))</f>
        <v>-268766.64141700004</v>
      </c>
    </row>
    <row r="57" spans="1:9" x14ac:dyDescent="0.25">
      <c r="A57" s="25"/>
      <c r="B57" s="25" t="s">
        <v>15</v>
      </c>
      <c r="C57" s="26">
        <v>87122.35</v>
      </c>
      <c r="D57" s="27">
        <v>131353.19</v>
      </c>
      <c r="E57" s="28">
        <f>E56+C57-D57</f>
        <v>203475.2529139999</v>
      </c>
      <c r="F57" s="25"/>
      <c r="G57" s="25" t="s">
        <v>15</v>
      </c>
      <c r="H57" s="29">
        <f>IF(C57="", "", IF(D57="", "",D57-D42))</f>
        <v>14573.973301000005</v>
      </c>
      <c r="I57" s="29">
        <f>IF(D57="", "", IF(E57="", "",E57-E42))</f>
        <v>-226042.20471800008</v>
      </c>
    </row>
    <row r="58" spans="1:9" x14ac:dyDescent="0.25">
      <c r="A58" s="25"/>
      <c r="B58" s="25" t="s">
        <v>16</v>
      </c>
      <c r="C58" s="26">
        <v>103322.48</v>
      </c>
      <c r="D58" s="27">
        <v>99262.65</v>
      </c>
      <c r="E58" s="28">
        <f>E57+C58-D58</f>
        <v>207535.08291399988</v>
      </c>
      <c r="F58" s="25"/>
      <c r="G58" s="25" t="s">
        <v>16</v>
      </c>
      <c r="H58" s="29">
        <f>IF(C58="", "", IF(D58="", "",D58-D43))</f>
        <v>-25929.866087000002</v>
      </c>
      <c r="I58" s="29">
        <f>IF(D58="", "", IF(E58="", "",E58-E43))</f>
        <v>-152539.05863100014</v>
      </c>
    </row>
    <row r="59" spans="1:9" x14ac:dyDescent="0.25">
      <c r="A59" s="25"/>
      <c r="B59" s="25" t="s">
        <v>17</v>
      </c>
      <c r="C59" s="26">
        <v>65475.7</v>
      </c>
      <c r="D59" s="27">
        <v>107818.26</v>
      </c>
      <c r="E59" s="28">
        <f>E58+C59-D59</f>
        <v>165192.52291399986</v>
      </c>
      <c r="F59" s="25"/>
      <c r="G59" s="25" t="s">
        <v>17</v>
      </c>
      <c r="H59" s="29">
        <f>IF(C59="", "", IF(D59="", "",D59-D44))</f>
        <v>6355.1459999999934</v>
      </c>
      <c r="I59" s="29">
        <f>IF(D59="", "", IF(E59="", "",E59-E44))</f>
        <v>-155389.64463100018</v>
      </c>
    </row>
    <row r="60" spans="1:9" x14ac:dyDescent="0.25">
      <c r="A60" s="30"/>
      <c r="B60" s="30" t="s">
        <v>18</v>
      </c>
      <c r="C60" s="31">
        <v>43604.160000000003</v>
      </c>
      <c r="D60" s="32">
        <v>79075</v>
      </c>
      <c r="E60" s="33">
        <f>E59+C60-D60</f>
        <v>129721.68291399986</v>
      </c>
      <c r="F60" s="30"/>
      <c r="G60" s="30" t="s">
        <v>18</v>
      </c>
      <c r="H60" s="34">
        <f>IF(C60="", "", IF(D60="", "",D60-D45))</f>
        <v>-12224</v>
      </c>
      <c r="I60" s="34">
        <f>IF(D60="", "", IF(E60="", "",E60-E45))</f>
        <v>-117857.22463100016</v>
      </c>
    </row>
    <row r="61" spans="1:9" s="2" customFormat="1" x14ac:dyDescent="0.25">
      <c r="A61" s="35"/>
      <c r="B61" s="35" t="s">
        <v>19</v>
      </c>
      <c r="C61" s="36">
        <f>SUM(C49:C60)</f>
        <v>1143241.79</v>
      </c>
      <c r="D61" s="37">
        <f>SUM(D49:D60)</f>
        <v>1261099.0146309999</v>
      </c>
      <c r="E61" s="28"/>
      <c r="F61" s="35"/>
      <c r="G61" s="35"/>
      <c r="H61" s="28">
        <f>SUMIF(C49:C60,"&gt;=0",H49:H60)</f>
        <v>-70693.749966999996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95270.14916666667</v>
      </c>
      <c r="D62" s="37">
        <f>AVERAGE(D49:D60)</f>
        <v>105091.58455258333</v>
      </c>
      <c r="E62" s="38">
        <f>C62/D62-1</f>
        <v>-9.3455964411712111E-2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129721.68291399986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54933.59</v>
      </c>
      <c r="D64" s="13">
        <v>41010.589999999997</v>
      </c>
      <c r="E64" s="14">
        <f>E63+C64-D64</f>
        <v>143644.68291399986</v>
      </c>
      <c r="F64" s="11"/>
      <c r="G64" s="11" t="s">
        <v>7</v>
      </c>
      <c r="H64" s="15">
        <f>IF(C64="", "", IF(D64="", "",D64-D49))</f>
        <v>-23054.811909000004</v>
      </c>
      <c r="I64" s="15">
        <f>IF(D64="", "", IF(E64="", "",E64-E49))</f>
        <v>-94532.182722000143</v>
      </c>
    </row>
    <row r="65" spans="1:9" x14ac:dyDescent="0.25">
      <c r="A65" s="11"/>
      <c r="B65" s="11" t="s">
        <v>8</v>
      </c>
      <c r="C65" s="12">
        <v>121786.4</v>
      </c>
      <c r="D65" s="13">
        <v>125428.15</v>
      </c>
      <c r="E65" s="14">
        <f>E64+C65-D65</f>
        <v>140002.93291399986</v>
      </c>
      <c r="F65" s="11"/>
      <c r="G65" s="11" t="s">
        <v>8</v>
      </c>
      <c r="H65" s="15">
        <f>IF(C65="", "", IF(D65="", "",D65-D50))</f>
        <v>45524.319277999995</v>
      </c>
      <c r="I65" s="15">
        <f>IF(D65="", "", IF(E65="", "",E65-E50))</f>
        <v>-163395.47200000015</v>
      </c>
    </row>
    <row r="66" spans="1:9" x14ac:dyDescent="0.25">
      <c r="A66" s="11"/>
      <c r="B66" s="11" t="s">
        <v>9</v>
      </c>
      <c r="C66" s="12">
        <v>200446.54</v>
      </c>
      <c r="D66" s="13">
        <v>179452.5</v>
      </c>
      <c r="E66" s="14">
        <f>E65+C66-D66</f>
        <v>160996.97291399987</v>
      </c>
      <c r="F66" s="11"/>
      <c r="G66" s="11" t="s">
        <v>9</v>
      </c>
      <c r="H66" s="15">
        <f>IF(C66="", "", IF(D66="", "",D66-D51))</f>
        <v>95097.78</v>
      </c>
      <c r="I66" s="15">
        <f>IF(D66="", "", IF(E66="", "",E66-E51))</f>
        <v>-370552.61200000014</v>
      </c>
    </row>
    <row r="67" spans="1:9" x14ac:dyDescent="0.25">
      <c r="A67" s="11"/>
      <c r="B67" s="11" t="s">
        <v>10</v>
      </c>
      <c r="C67" s="12">
        <v>44685.99</v>
      </c>
      <c r="D67" s="13">
        <v>66236.62</v>
      </c>
      <c r="E67" s="14">
        <f>E66+C67-D67</f>
        <v>139446.34291399986</v>
      </c>
      <c r="F67" s="11"/>
      <c r="G67" s="11" t="s">
        <v>10</v>
      </c>
      <c r="H67" s="15">
        <f>IF(C67="", "", IF(D67="", "",D67-D52))</f>
        <v>-38460.062000000005</v>
      </c>
      <c r="I67" s="15">
        <f>IF(D67="", "", IF(E67="", "",E67-E52))</f>
        <v>-453814.02000000008</v>
      </c>
    </row>
    <row r="68" spans="1:9" x14ac:dyDescent="0.25">
      <c r="A68" s="11"/>
      <c r="B68" s="11" t="s">
        <v>11</v>
      </c>
      <c r="C68" s="12">
        <v>127446.11</v>
      </c>
      <c r="D68" s="13">
        <v>135124.01999999999</v>
      </c>
      <c r="E68" s="14">
        <f>E67+C68-D68</f>
        <v>131768.43291399986</v>
      </c>
      <c r="F68" s="11"/>
      <c r="G68" s="11" t="s">
        <v>11</v>
      </c>
      <c r="H68" s="15">
        <f>IF(C68="", "", IF(D68="", "",D68-D53))</f>
        <v>16860.829999999987</v>
      </c>
      <c r="I68" s="15">
        <f>IF(D68="", "", IF(E68="", "",E68-E53))</f>
        <v>-389005.42000000016</v>
      </c>
    </row>
    <row r="69" spans="1:9" x14ac:dyDescent="0.25">
      <c r="A69" s="11"/>
      <c r="B69" s="11" t="s">
        <v>12</v>
      </c>
      <c r="C69" s="12">
        <v>123861.18</v>
      </c>
      <c r="D69" s="13">
        <v>84793.22</v>
      </c>
      <c r="E69" s="14">
        <f>E68+C69-D69</f>
        <v>170836.39291399985</v>
      </c>
      <c r="F69" s="11"/>
      <c r="G69" s="11" t="s">
        <v>12</v>
      </c>
      <c r="H69" s="15">
        <f>IF(C69="", "", IF(D69="", "",D69-D54))</f>
        <v>-5895.4599999999919</v>
      </c>
      <c r="I69" s="15">
        <f>IF(D69="", "", IF(E69="", "",E69-E54))</f>
        <v>-296190.70000000013</v>
      </c>
    </row>
    <row r="70" spans="1:9" x14ac:dyDescent="0.25">
      <c r="A70" s="11"/>
      <c r="B70" s="11" t="s">
        <v>13</v>
      </c>
      <c r="C70" s="12">
        <v>70079.69</v>
      </c>
      <c r="D70" s="13">
        <v>104299.03</v>
      </c>
      <c r="E70" s="14">
        <f>E69+C70-D70</f>
        <v>136617.05291399985</v>
      </c>
      <c r="F70" s="11"/>
      <c r="G70" s="11" t="s">
        <v>13</v>
      </c>
      <c r="H70" s="15">
        <f>IF(C70="", "", IF(D70="", "",D70-D55))</f>
        <v>-51390.390000000014</v>
      </c>
      <c r="I70" s="15">
        <f>IF(D70="", "", IF(E70="", "",E70-E55))</f>
        <v>-214068.06000000008</v>
      </c>
    </row>
    <row r="71" spans="1:9" x14ac:dyDescent="0.25">
      <c r="A71" s="11"/>
      <c r="B71" s="11" t="s">
        <v>14</v>
      </c>
      <c r="C71" s="12">
        <v>48675.22</v>
      </c>
      <c r="D71" s="13">
        <v>66232.69</v>
      </c>
      <c r="E71" s="14">
        <f>E70+C71-D71</f>
        <v>119059.58291399985</v>
      </c>
      <c r="F71" s="11"/>
      <c r="G71" s="11" t="s">
        <v>14</v>
      </c>
      <c r="H71" s="15">
        <f>IF(C71="", "", IF(D71="", "",D71-D56))</f>
        <v>-79695.299999999988</v>
      </c>
      <c r="I71" s="15">
        <f>IF(D71="", "", IF(E71="", "",E71-E56))</f>
        <v>-128646.51000000007</v>
      </c>
    </row>
    <row r="72" spans="1:9" x14ac:dyDescent="0.25">
      <c r="A72" s="11"/>
      <c r="B72" s="11" t="s">
        <v>15</v>
      </c>
      <c r="C72" s="12">
        <v>66513.37</v>
      </c>
      <c r="D72" s="13">
        <v>67460.59</v>
      </c>
      <c r="E72" s="14">
        <f>E71+C72-D72</f>
        <v>118112.36291399985</v>
      </c>
      <c r="F72" s="11"/>
      <c r="G72" s="11" t="s">
        <v>15</v>
      </c>
      <c r="H72" s="15">
        <f>IF(C72="", "", IF(D72="", "",D72-D57))</f>
        <v>-63892.600000000006</v>
      </c>
      <c r="I72" s="15">
        <f>IF(D72="", "", IF(E72="", "",E72-E57))</f>
        <v>-85362.890000000043</v>
      </c>
    </row>
    <row r="73" spans="1:9" x14ac:dyDescent="0.25">
      <c r="A73" s="11"/>
      <c r="B73" s="11" t="s">
        <v>16</v>
      </c>
      <c r="C73" s="12">
        <v>123217.59</v>
      </c>
      <c r="D73" s="13">
        <v>104169.73</v>
      </c>
      <c r="E73" s="14">
        <f>E72+C73-D73</f>
        <v>137160.22291399987</v>
      </c>
      <c r="F73" s="11"/>
      <c r="G73" s="11" t="s">
        <v>16</v>
      </c>
      <c r="H73" s="15">
        <f>IF(C73="", "", IF(D73="", "",D73-D58))</f>
        <v>4907.0800000000017</v>
      </c>
      <c r="I73" s="15">
        <f>IF(D73="", "", IF(E73="", "",E73-E58))</f>
        <v>-70374.860000000015</v>
      </c>
    </row>
    <row r="74" spans="1:9" x14ac:dyDescent="0.25">
      <c r="A74" s="11"/>
      <c r="B74" s="11" t="s">
        <v>17</v>
      </c>
      <c r="C74" s="12">
        <v>80519.100000000006</v>
      </c>
      <c r="D74" s="13">
        <v>105498.94</v>
      </c>
      <c r="E74" s="14">
        <f>E73+C74-D74</f>
        <v>112180.38291399987</v>
      </c>
      <c r="F74" s="11"/>
      <c r="G74" s="11" t="s">
        <v>17</v>
      </c>
      <c r="H74" s="15">
        <f>IF(C74="", "", IF(D74="", "",D74-D59))</f>
        <v>-2319.3199999999924</v>
      </c>
      <c r="I74" s="15">
        <f>IF(D74="", "", IF(E74="", "",E74-E59))</f>
        <v>-53012.139999999985</v>
      </c>
    </row>
    <row r="75" spans="1:9" x14ac:dyDescent="0.25">
      <c r="A75" s="16"/>
      <c r="B75" s="16" t="s">
        <v>18</v>
      </c>
      <c r="C75" s="17">
        <v>32227.72</v>
      </c>
      <c r="D75" s="18">
        <v>121463.42</v>
      </c>
      <c r="E75" s="19">
        <f>E74+C75-D75</f>
        <v>22944.682913999874</v>
      </c>
      <c r="F75" s="16"/>
      <c r="G75" s="16" t="s">
        <v>18</v>
      </c>
      <c r="H75" s="20">
        <f>IF(C75="", "", IF(D75="", "",D75-D60))</f>
        <v>42388.42</v>
      </c>
      <c r="I75" s="20">
        <f>IF(D75="", "", IF(E75="", "",E75-E60))</f>
        <v>-106776.99999999999</v>
      </c>
    </row>
    <row r="76" spans="1:9" s="2" customFormat="1" x14ac:dyDescent="0.25">
      <c r="A76" s="21"/>
      <c r="B76" s="21" t="s">
        <v>19</v>
      </c>
      <c r="C76" s="22">
        <f>SUM(C64:C75)</f>
        <v>1094392.5</v>
      </c>
      <c r="D76" s="23">
        <f>SUM(D64:D75)</f>
        <v>1201169.5</v>
      </c>
      <c r="E76" s="14"/>
      <c r="F76" s="21"/>
      <c r="G76" s="21"/>
      <c r="H76" s="14">
        <f>SUMIF(C64:C75,"&gt;=0",H64:H75)</f>
        <v>-59929.514631000013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91199.375</v>
      </c>
      <c r="D77" s="23">
        <f>AVERAGE(D64:D75)</f>
        <v>100097.45833333333</v>
      </c>
      <c r="E77" s="24">
        <f>C77/D77-1</f>
        <v>-8.8894198529016921E-2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22944.682913999874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22944.682913999874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22944.682913999874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22944.682913999874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22944.682913999874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22944.682913999874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22944.682913999874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22944.682913999874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22944.682913999874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22944.682913999874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22944.682913999874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22944.682913999874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22944.682913999874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97C4-00F6-4333-A83D-B4DE6EC6C637}">
  <sheetPr codeName="Sheet17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31331.236724999999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49211.25</v>
      </c>
      <c r="D4" s="13">
        <v>33851.167656999998</v>
      </c>
      <c r="E4" s="14">
        <f>E3+C4-D4</f>
        <v>46691.319067999997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49336.91</v>
      </c>
      <c r="D5" s="13">
        <v>48259.593352000004</v>
      </c>
      <c r="E5" s="14">
        <f>E4+C5-D5</f>
        <v>47768.635715999997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93888.320000000007</v>
      </c>
      <c r="D6" s="13">
        <v>68446.518096999993</v>
      </c>
      <c r="E6" s="14">
        <f>E5+C6-D6</f>
        <v>73210.437619000004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37286.769999999997</v>
      </c>
      <c r="D7" s="13">
        <v>49669.736911</v>
      </c>
      <c r="E7" s="14">
        <f>E6+C7-D7</f>
        <v>60827.470707999993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77924.23</v>
      </c>
      <c r="D8" s="13">
        <v>72340.201104000007</v>
      </c>
      <c r="E8" s="14">
        <f>E7+C8-D8</f>
        <v>66411.499603999982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44405.51</v>
      </c>
      <c r="D9" s="13">
        <v>42960.731763999996</v>
      </c>
      <c r="E9" s="14">
        <f>E8+C9-D9</f>
        <v>67856.277839999995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39180.449999999997</v>
      </c>
      <c r="D10" s="13">
        <v>59836.229538</v>
      </c>
      <c r="E10" s="14">
        <f>E9+C10-D10</f>
        <v>47200.498301999993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73900.27</v>
      </c>
      <c r="D11" s="13">
        <v>64841.768362000003</v>
      </c>
      <c r="E11" s="14">
        <f>E10+C11-D11</f>
        <v>56258.999939999994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108576.159997</v>
      </c>
      <c r="D12" s="13">
        <v>72913.623040000006</v>
      </c>
      <c r="E12" s="14">
        <f>E11+C12-D12</f>
        <v>91921.536896999984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104297.88999</v>
      </c>
      <c r="D13" s="13">
        <v>70749.077283000006</v>
      </c>
      <c r="E13" s="14">
        <f>E12+C13-D13</f>
        <v>125470.34960399997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15291.51</v>
      </c>
      <c r="D14" s="13">
        <v>79135.909006000002</v>
      </c>
      <c r="E14" s="14">
        <f>E13+C14-D14</f>
        <v>61625.950597999967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31415.32</v>
      </c>
      <c r="D15" s="18">
        <v>37578.173088000003</v>
      </c>
      <c r="E15" s="19">
        <f>E14+C15-D15</f>
        <v>55463.09750999997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724714.58998699987</v>
      </c>
      <c r="D16" s="23">
        <f>SUM(D4:D15)</f>
        <v>700582.72920200019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60392.882498916653</v>
      </c>
      <c r="D17" s="23">
        <f>AVERAGE(D4:D15)</f>
        <v>58381.894100166683</v>
      </c>
      <c r="E17" s="24">
        <f>C17/D17-1</f>
        <v>3.4445412053601521E-2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55463.09750999997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112825.67999800001</v>
      </c>
      <c r="D19" s="27">
        <v>40097.681109999998</v>
      </c>
      <c r="E19" s="28">
        <f>E18+C19-D19</f>
        <v>128191.09639799997</v>
      </c>
      <c r="F19" s="25"/>
      <c r="G19" s="25" t="s">
        <v>7</v>
      </c>
      <c r="H19" s="29">
        <f>IF(C19="", "", IF(D19="", "",D19-D4))</f>
        <v>6246.5134529999996</v>
      </c>
      <c r="I19" s="29">
        <f>IF(D19="", "", IF(E19="", "",E19-E4))</f>
        <v>81499.777329999968</v>
      </c>
    </row>
    <row r="20" spans="1:9" x14ac:dyDescent="0.25">
      <c r="A20" s="25"/>
      <c r="B20" s="25" t="s">
        <v>8</v>
      </c>
      <c r="C20" s="26">
        <v>7972.97</v>
      </c>
      <c r="D20" s="27">
        <v>70478.195575000005</v>
      </c>
      <c r="E20" s="28">
        <f>E19+C20-D20</f>
        <v>65685.870822999961</v>
      </c>
      <c r="F20" s="25"/>
      <c r="G20" s="25" t="s">
        <v>8</v>
      </c>
      <c r="H20" s="29">
        <f>IF(C20="", "", IF(D20="", "",D20-D5))</f>
        <v>22218.602223000002</v>
      </c>
      <c r="I20" s="29">
        <f>IF(D20="", "", IF(E20="", "",E20-E5))</f>
        <v>17917.235106999964</v>
      </c>
    </row>
    <row r="21" spans="1:9" x14ac:dyDescent="0.25">
      <c r="A21" s="25"/>
      <c r="B21" s="25" t="s">
        <v>9</v>
      </c>
      <c r="C21" s="26">
        <v>137172.79</v>
      </c>
      <c r="D21" s="27">
        <v>72919.569841000004</v>
      </c>
      <c r="E21" s="28">
        <f>E20+C21-D21</f>
        <v>129939.09098199995</v>
      </c>
      <c r="F21" s="25"/>
      <c r="G21" s="25" t="s">
        <v>9</v>
      </c>
      <c r="H21" s="29">
        <f>IF(C21="", "", IF(D21="", "",D21-D6))</f>
        <v>4473.0517440000112</v>
      </c>
      <c r="I21" s="29">
        <f>IF(D21="", "", IF(E21="", "",E21-E6))</f>
        <v>56728.653362999947</v>
      </c>
    </row>
    <row r="22" spans="1:9" x14ac:dyDescent="0.25">
      <c r="A22" s="25"/>
      <c r="B22" s="25" t="s">
        <v>10</v>
      </c>
      <c r="C22" s="26">
        <v>52.26</v>
      </c>
      <c r="D22" s="27">
        <v>61284.591295999999</v>
      </c>
      <c r="E22" s="28">
        <f>E21+C22-D22</f>
        <v>68706.759685999947</v>
      </c>
      <c r="F22" s="25"/>
      <c r="G22" s="25" t="s">
        <v>10</v>
      </c>
      <c r="H22" s="29">
        <f>IF(C22="", "", IF(D22="", "",D22-D7))</f>
        <v>11614.854384999999</v>
      </c>
      <c r="I22" s="29">
        <f>IF(D22="", "", IF(E22="", "",E22-E7))</f>
        <v>7879.2889779999532</v>
      </c>
    </row>
    <row r="23" spans="1:9" x14ac:dyDescent="0.25">
      <c r="A23" s="25"/>
      <c r="B23" s="25" t="s">
        <v>11</v>
      </c>
      <c r="C23" s="26">
        <v>33588.49</v>
      </c>
      <c r="D23" s="27">
        <v>63117.944401000001</v>
      </c>
      <c r="E23" s="28">
        <f>E22+C23-D23</f>
        <v>39177.305284999937</v>
      </c>
      <c r="F23" s="25"/>
      <c r="G23" s="25" t="s">
        <v>11</v>
      </c>
      <c r="H23" s="29">
        <f>IF(C23="", "", IF(D23="", "",D23-D8))</f>
        <v>-9222.2567030000064</v>
      </c>
      <c r="I23" s="29">
        <f>IF(D23="", "", IF(E23="", "",E23-E8))</f>
        <v>-27234.194319000046</v>
      </c>
    </row>
    <row r="24" spans="1:9" x14ac:dyDescent="0.25">
      <c r="A24" s="25"/>
      <c r="B24" s="25" t="s">
        <v>12</v>
      </c>
      <c r="C24" s="26">
        <v>125956.57</v>
      </c>
      <c r="D24" s="27">
        <v>81946.308378000002</v>
      </c>
      <c r="E24" s="28">
        <f>E23+C24-D24</f>
        <v>83187.566906999957</v>
      </c>
      <c r="F24" s="25"/>
      <c r="G24" s="25" t="s">
        <v>12</v>
      </c>
      <c r="H24" s="29">
        <f>IF(C24="", "", IF(D24="", "",D24-D9))</f>
        <v>38985.576614000005</v>
      </c>
      <c r="I24" s="29">
        <f>IF(D24="", "", IF(E24="", "",E24-E9))</f>
        <v>15331.289066999962</v>
      </c>
    </row>
    <row r="25" spans="1:9" x14ac:dyDescent="0.25">
      <c r="A25" s="25"/>
      <c r="B25" s="25" t="s">
        <v>13</v>
      </c>
      <c r="C25" s="26">
        <v>79689.570000000007</v>
      </c>
      <c r="D25" s="27">
        <v>109286.019136</v>
      </c>
      <c r="E25" s="28">
        <f>E24+C25-D25</f>
        <v>53591.117770999976</v>
      </c>
      <c r="F25" s="25"/>
      <c r="G25" s="25" t="s">
        <v>13</v>
      </c>
      <c r="H25" s="29">
        <f>IF(C25="", "", IF(D25="", "",D25-D10))</f>
        <v>49449.789598000003</v>
      </c>
      <c r="I25" s="29">
        <f>IF(D25="", "", IF(E25="", "",E25-E10))</f>
        <v>6390.6194689999829</v>
      </c>
    </row>
    <row r="26" spans="1:9" x14ac:dyDescent="0.25">
      <c r="A26" s="25"/>
      <c r="B26" s="25" t="s">
        <v>14</v>
      </c>
      <c r="C26" s="26">
        <v>78306.100000000006</v>
      </c>
      <c r="D26" s="27">
        <v>64637.566751999999</v>
      </c>
      <c r="E26" s="28">
        <f>E25+C26-D26</f>
        <v>67259.651018999997</v>
      </c>
      <c r="F26" s="25"/>
      <c r="G26" s="25" t="s">
        <v>14</v>
      </c>
      <c r="H26" s="29">
        <f>IF(C26="", "", IF(D26="", "",D26-D11))</f>
        <v>-204.20161000000371</v>
      </c>
      <c r="I26" s="29">
        <f>IF(D26="", "", IF(E26="", "",E26-E11))</f>
        <v>11000.651079000003</v>
      </c>
    </row>
    <row r="27" spans="1:9" x14ac:dyDescent="0.25">
      <c r="A27" s="25"/>
      <c r="B27" s="25" t="s">
        <v>15</v>
      </c>
      <c r="C27" s="26">
        <v>120672.34</v>
      </c>
      <c r="D27" s="27">
        <v>103271.09151100001</v>
      </c>
      <c r="E27" s="28">
        <f>E26+C27-D27</f>
        <v>84660.899508000002</v>
      </c>
      <c r="F27" s="25"/>
      <c r="G27" s="25" t="s">
        <v>15</v>
      </c>
      <c r="H27" s="29">
        <f>IF(C27="", "", IF(D27="", "",D27-D12))</f>
        <v>30357.468471</v>
      </c>
      <c r="I27" s="29">
        <f>IF(D27="", "", IF(E27="", "",E27-E12))</f>
        <v>-7260.6373889999813</v>
      </c>
    </row>
    <row r="28" spans="1:9" x14ac:dyDescent="0.25">
      <c r="A28" s="25"/>
      <c r="B28" s="25" t="s">
        <v>16</v>
      </c>
      <c r="C28" s="26">
        <v>112824.74</v>
      </c>
      <c r="D28" s="27">
        <v>108571.69101900001</v>
      </c>
      <c r="E28" s="28">
        <f>E27+C28-D28</f>
        <v>88913.948488999988</v>
      </c>
      <c r="F28" s="25"/>
      <c r="G28" s="25" t="s">
        <v>16</v>
      </c>
      <c r="H28" s="29">
        <f>IF(C28="", "", IF(D28="", "",D28-D13))</f>
        <v>37822.613735999999</v>
      </c>
      <c r="I28" s="29">
        <f>IF(D28="", "", IF(E28="", "",E28-E13))</f>
        <v>-36556.401114999986</v>
      </c>
    </row>
    <row r="29" spans="1:9" x14ac:dyDescent="0.25">
      <c r="A29" s="25"/>
      <c r="B29" s="25" t="s">
        <v>17</v>
      </c>
      <c r="C29" s="26">
        <v>147180</v>
      </c>
      <c r="D29" s="27">
        <v>106782.279775</v>
      </c>
      <c r="E29" s="28">
        <f>E28+C29-D29</f>
        <v>129311.66871399997</v>
      </c>
      <c r="F29" s="25"/>
      <c r="G29" s="25" t="s">
        <v>17</v>
      </c>
      <c r="H29" s="29">
        <f>IF(C29="", "", IF(D29="", "",D29-D14))</f>
        <v>27646.370769000001</v>
      </c>
      <c r="I29" s="29">
        <f>IF(D29="", "", IF(E29="", "",E29-E14))</f>
        <v>67685.718116000004</v>
      </c>
    </row>
    <row r="30" spans="1:9" x14ac:dyDescent="0.25">
      <c r="A30" s="30"/>
      <c r="B30" s="30" t="s">
        <v>18</v>
      </c>
      <c r="C30" s="31">
        <v>25763.34</v>
      </c>
      <c r="D30" s="32">
        <v>99735.949867000003</v>
      </c>
      <c r="E30" s="33">
        <f>E29+C30-D30</f>
        <v>55339.058846999964</v>
      </c>
      <c r="F30" s="30"/>
      <c r="G30" s="30" t="s">
        <v>18</v>
      </c>
      <c r="H30" s="34">
        <f>IF(C30="", "", IF(D30="", "",D30-D15))</f>
        <v>62157.776779</v>
      </c>
      <c r="I30" s="34">
        <f>IF(D30="", "", IF(E30="", "",E30-E15))</f>
        <v>-124.03866300000664</v>
      </c>
    </row>
    <row r="31" spans="1:9" s="2" customFormat="1" x14ac:dyDescent="0.25">
      <c r="A31" s="35"/>
      <c r="B31" s="35" t="s">
        <v>19</v>
      </c>
      <c r="C31" s="36">
        <f>SUM(C19:C30)</f>
        <v>982004.84999799996</v>
      </c>
      <c r="D31" s="37">
        <f>SUM(D19:D30)</f>
        <v>982128.88866099983</v>
      </c>
      <c r="E31" s="28"/>
      <c r="F31" s="35"/>
      <c r="G31" s="35"/>
      <c r="H31" s="28">
        <f>SUMIF(C19:C30,"&gt;=0",H19:H30)</f>
        <v>281546.15945899999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81833.737499833325</v>
      </c>
      <c r="D32" s="37">
        <f>AVERAGE(D19:D30)</f>
        <v>81844.074055083314</v>
      </c>
      <c r="E32" s="38">
        <f>C32/D32-1</f>
        <v>-1.2629570765299025E-4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55339.058846999964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193436.5</v>
      </c>
      <c r="D34" s="13">
        <v>93371.969815999997</v>
      </c>
      <c r="E34" s="14">
        <f>E33+C34-D34</f>
        <v>155403.58903099995</v>
      </c>
      <c r="F34" s="11"/>
      <c r="G34" s="11" t="s">
        <v>7</v>
      </c>
      <c r="H34" s="15">
        <f>IF(C34="", "", IF(D34="", "",D34-D19))</f>
        <v>53274.288705999999</v>
      </c>
      <c r="I34" s="15">
        <f>IF(D34="", "", IF(E34="", "",E34-E19))</f>
        <v>27212.492632999987</v>
      </c>
    </row>
    <row r="35" spans="1:9" x14ac:dyDescent="0.25">
      <c r="A35" s="11"/>
      <c r="B35" s="11" t="s">
        <v>8</v>
      </c>
      <c r="C35" s="12">
        <v>107385.4</v>
      </c>
      <c r="D35" s="13">
        <v>93427.304856999996</v>
      </c>
      <c r="E35" s="14">
        <f>E34+C35-D35</f>
        <v>169361.68417399994</v>
      </c>
      <c r="F35" s="11"/>
      <c r="G35" s="11" t="s">
        <v>8</v>
      </c>
      <c r="H35" s="15">
        <f>IF(C35="", "", IF(D35="", "",D35-D20))</f>
        <v>22949.10928199999</v>
      </c>
      <c r="I35" s="15">
        <f>IF(D35="", "", IF(E35="", "",E35-E20))</f>
        <v>103675.81335099998</v>
      </c>
    </row>
    <row r="36" spans="1:9" x14ac:dyDescent="0.25">
      <c r="A36" s="11"/>
      <c r="B36" s="11" t="s">
        <v>9</v>
      </c>
      <c r="C36" s="12">
        <v>120802.15</v>
      </c>
      <c r="D36" s="13">
        <v>152623.35485999999</v>
      </c>
      <c r="E36" s="14">
        <f>E35+C36-D36</f>
        <v>137540.47931399997</v>
      </c>
      <c r="F36" s="11"/>
      <c r="G36" s="11" t="s">
        <v>9</v>
      </c>
      <c r="H36" s="15">
        <f>IF(C36="", "", IF(D36="", "",D36-D21))</f>
        <v>79703.785018999988</v>
      </c>
      <c r="I36" s="15">
        <f>IF(D36="", "", IF(E36="", "",E36-E21))</f>
        <v>7601.3883320000168</v>
      </c>
    </row>
    <row r="37" spans="1:9" x14ac:dyDescent="0.25">
      <c r="A37" s="11"/>
      <c r="B37" s="11" t="s">
        <v>10</v>
      </c>
      <c r="C37" s="12">
        <v>157375.61999499999</v>
      </c>
      <c r="D37" s="13">
        <v>109728.055159</v>
      </c>
      <c r="E37" s="14">
        <f>E36+C37-D37</f>
        <v>185188.04414999997</v>
      </c>
      <c r="F37" s="11"/>
      <c r="G37" s="11" t="s">
        <v>10</v>
      </c>
      <c r="H37" s="15">
        <f>IF(C37="", "", IF(D37="", "",D37-D22))</f>
        <v>48443.463862999997</v>
      </c>
      <c r="I37" s="15">
        <f>IF(D37="", "", IF(E37="", "",E37-E22))</f>
        <v>116481.28446400003</v>
      </c>
    </row>
    <row r="38" spans="1:9" x14ac:dyDescent="0.25">
      <c r="A38" s="11"/>
      <c r="B38" s="11" t="s">
        <v>11</v>
      </c>
      <c r="C38" s="12">
        <v>71566.44</v>
      </c>
      <c r="D38" s="13">
        <v>99207.781010999999</v>
      </c>
      <c r="E38" s="14">
        <f>E37+C38-D38</f>
        <v>157546.70313899999</v>
      </c>
      <c r="F38" s="11"/>
      <c r="G38" s="11" t="s">
        <v>11</v>
      </c>
      <c r="H38" s="15">
        <f>IF(C38="", "", IF(D38="", "",D38-D23))</f>
        <v>36089.836609999998</v>
      </c>
      <c r="I38" s="15">
        <f>IF(D38="", "", IF(E38="", "",E38-E23))</f>
        <v>118369.39785400005</v>
      </c>
    </row>
    <row r="39" spans="1:9" x14ac:dyDescent="0.25">
      <c r="A39" s="11"/>
      <c r="B39" s="11" t="s">
        <v>12</v>
      </c>
      <c r="C39" s="12">
        <v>155396.07</v>
      </c>
      <c r="D39" s="13">
        <v>87951.453546999997</v>
      </c>
      <c r="E39" s="14">
        <f>E38+C39-D39</f>
        <v>224991.31959199999</v>
      </c>
      <c r="F39" s="11"/>
      <c r="G39" s="11" t="s">
        <v>12</v>
      </c>
      <c r="H39" s="15">
        <f>IF(C39="", "", IF(D39="", "",D39-D24))</f>
        <v>6005.1451689999958</v>
      </c>
      <c r="I39" s="15">
        <f>IF(D39="", "", IF(E39="", "",E39-E24))</f>
        <v>141803.75268500001</v>
      </c>
    </row>
    <row r="40" spans="1:9" x14ac:dyDescent="0.25">
      <c r="A40" s="11"/>
      <c r="B40" s="11" t="s">
        <v>13</v>
      </c>
      <c r="C40" s="12">
        <v>122158.48</v>
      </c>
      <c r="D40" s="13">
        <v>118752.435522</v>
      </c>
      <c r="E40" s="14">
        <f>E39+C40-D40</f>
        <v>228397.36406999995</v>
      </c>
      <c r="F40" s="11"/>
      <c r="G40" s="11" t="s">
        <v>13</v>
      </c>
      <c r="H40" s="15">
        <f>IF(C40="", "", IF(D40="", "",D40-D25))</f>
        <v>9466.4163859999971</v>
      </c>
      <c r="I40" s="15">
        <f>IF(D40="", "", IF(E40="", "",E40-E25))</f>
        <v>174806.24629899999</v>
      </c>
    </row>
    <row r="41" spans="1:9" x14ac:dyDescent="0.25">
      <c r="A41" s="11"/>
      <c r="B41" s="11" t="s">
        <v>14</v>
      </c>
      <c r="C41" s="12">
        <v>122137.15</v>
      </c>
      <c r="D41" s="13">
        <v>121876.82958799999</v>
      </c>
      <c r="E41" s="14">
        <f>E40+C41-D41</f>
        <v>228657.68448199992</v>
      </c>
      <c r="F41" s="11"/>
      <c r="G41" s="11" t="s">
        <v>14</v>
      </c>
      <c r="H41" s="15">
        <f>IF(C41="", "", IF(D41="", "",D41-D26))</f>
        <v>57239.262835999994</v>
      </c>
      <c r="I41" s="15">
        <f>IF(D41="", "", IF(E41="", "",E41-E26))</f>
        <v>161398.03346299991</v>
      </c>
    </row>
    <row r="42" spans="1:9" x14ac:dyDescent="0.25">
      <c r="A42" s="11"/>
      <c r="B42" s="11" t="s">
        <v>15</v>
      </c>
      <c r="C42" s="12">
        <v>129853.94</v>
      </c>
      <c r="D42" s="13">
        <v>128878.022612</v>
      </c>
      <c r="E42" s="14">
        <f>E41+C42-D42</f>
        <v>229633.6018699999</v>
      </c>
      <c r="F42" s="11"/>
      <c r="G42" s="11" t="s">
        <v>15</v>
      </c>
      <c r="H42" s="15">
        <f>IF(C42="", "", IF(D42="", "",D42-D27))</f>
        <v>25606.931100999995</v>
      </c>
      <c r="I42" s="15">
        <f>IF(D42="", "", IF(E42="", "",E42-E27))</f>
        <v>144972.70236199989</v>
      </c>
    </row>
    <row r="43" spans="1:9" x14ac:dyDescent="0.25">
      <c r="A43" s="11"/>
      <c r="B43" s="11" t="s">
        <v>16</v>
      </c>
      <c r="C43" s="12">
        <v>277389.38</v>
      </c>
      <c r="D43" s="13">
        <v>148958.239971</v>
      </c>
      <c r="E43" s="14">
        <f>E42+C43-D43</f>
        <v>358064.7418989999</v>
      </c>
      <c r="F43" s="11"/>
      <c r="G43" s="11" t="s">
        <v>16</v>
      </c>
      <c r="H43" s="15">
        <f>IF(C43="", "", IF(D43="", "",D43-D28))</f>
        <v>40386.548951999997</v>
      </c>
      <c r="I43" s="15">
        <f>IF(D43="", "", IF(E43="", "",E43-E28))</f>
        <v>269150.79340999993</v>
      </c>
    </row>
    <row r="44" spans="1:9" x14ac:dyDescent="0.25">
      <c r="A44" s="11"/>
      <c r="B44" s="11" t="s">
        <v>17</v>
      </c>
      <c r="C44" s="12">
        <v>136003.54999999999</v>
      </c>
      <c r="D44" s="13">
        <v>129139.379445</v>
      </c>
      <c r="E44" s="14">
        <f>E43+C44-D44</f>
        <v>364928.91245399986</v>
      </c>
      <c r="F44" s="11"/>
      <c r="G44" s="11" t="s">
        <v>17</v>
      </c>
      <c r="H44" s="15">
        <f>IF(C44="", "", IF(D44="", "",D44-D29))</f>
        <v>22357.099669999996</v>
      </c>
      <c r="I44" s="15">
        <f>IF(D44="", "", IF(E44="", "",E44-E29))</f>
        <v>235617.24373999989</v>
      </c>
    </row>
    <row r="45" spans="1:9" x14ac:dyDescent="0.25">
      <c r="A45" s="16"/>
      <c r="B45" s="16" t="s">
        <v>18</v>
      </c>
      <c r="C45" s="17">
        <v>0</v>
      </c>
      <c r="D45" s="18">
        <v>98452.852199999994</v>
      </c>
      <c r="E45" s="19">
        <f>E44+C45-D45</f>
        <v>266476.06025399989</v>
      </c>
      <c r="F45" s="16"/>
      <c r="G45" s="16" t="s">
        <v>18</v>
      </c>
      <c r="H45" s="20">
        <f>IF(C45="", "", IF(D45="", "",D45-D30))</f>
        <v>-1283.0976670000091</v>
      </c>
      <c r="I45" s="20">
        <f>IF(D45="", "", IF(E45="", "",E45-E30))</f>
        <v>211137.00140699995</v>
      </c>
    </row>
    <row r="46" spans="1:9" s="2" customFormat="1" x14ac:dyDescent="0.25">
      <c r="A46" s="21"/>
      <c r="B46" s="21" t="s">
        <v>19</v>
      </c>
      <c r="C46" s="22">
        <f>SUM(C34:C45)</f>
        <v>1593504.6799950001</v>
      </c>
      <c r="D46" s="23">
        <f>SUM(D34:D45)</f>
        <v>1382367.6785880001</v>
      </c>
      <c r="E46" s="14"/>
      <c r="F46" s="21"/>
      <c r="G46" s="21"/>
      <c r="H46" s="14">
        <f>SUMIF(C34:C45,"&gt;=0",H34:H45)</f>
        <v>400238.78992699983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132792.05666625002</v>
      </c>
      <c r="D47" s="23">
        <f>AVERAGE(D34:D45)</f>
        <v>115197.30654900002</v>
      </c>
      <c r="E47" s="24">
        <f>C47/D47-1</f>
        <v>0.15273577694080842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266476.06025399989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127681.49999700001</v>
      </c>
      <c r="D49" s="27">
        <v>163927.30129100001</v>
      </c>
      <c r="E49" s="28">
        <f>E48+C49-D49</f>
        <v>230230.25895999986</v>
      </c>
      <c r="F49" s="25"/>
      <c r="G49" s="25" t="s">
        <v>7</v>
      </c>
      <c r="H49" s="29">
        <f>IF(C49="", "", IF(D49="", "",D49-D34))</f>
        <v>70555.331475000014</v>
      </c>
      <c r="I49" s="29">
        <f>IF(D49="", "", IF(E49="", "",E49-E34))</f>
        <v>74826.669928999909</v>
      </c>
    </row>
    <row r="50" spans="1:9" x14ac:dyDescent="0.25">
      <c r="A50" s="25"/>
      <c r="B50" s="25" t="s">
        <v>8</v>
      </c>
      <c r="C50" s="26">
        <v>357659.09999700001</v>
      </c>
      <c r="D50" s="27">
        <v>165250.09563900001</v>
      </c>
      <c r="E50" s="28">
        <f>E49+C50-D50</f>
        <v>422639.26331799984</v>
      </c>
      <c r="F50" s="25"/>
      <c r="G50" s="25" t="s">
        <v>8</v>
      </c>
      <c r="H50" s="29">
        <f>IF(C50="", "", IF(D50="", "",D50-D35))</f>
        <v>71822.790782000011</v>
      </c>
      <c r="I50" s="29">
        <f>IF(D50="", "", IF(E50="", "",E50-E35))</f>
        <v>253277.5791439999</v>
      </c>
    </row>
    <row r="51" spans="1:9" x14ac:dyDescent="0.25">
      <c r="A51" s="25"/>
      <c r="B51" s="25" t="s">
        <v>9</v>
      </c>
      <c r="C51" s="26">
        <v>87669.799998999995</v>
      </c>
      <c r="D51" s="27">
        <v>147306.52593500001</v>
      </c>
      <c r="E51" s="28">
        <f>E50+C51-D51</f>
        <v>363002.53738199978</v>
      </c>
      <c r="F51" s="25"/>
      <c r="G51" s="25" t="s">
        <v>9</v>
      </c>
      <c r="H51" s="29">
        <f>IF(C51="", "", IF(D51="", "",D51-D36))</f>
        <v>-5316.8289249999798</v>
      </c>
      <c r="I51" s="29">
        <f>IF(D51="", "", IF(E51="", "",E51-E36))</f>
        <v>225462.05806799981</v>
      </c>
    </row>
    <row r="52" spans="1:9" x14ac:dyDescent="0.25">
      <c r="A52" s="25"/>
      <c r="B52" s="25" t="s">
        <v>10</v>
      </c>
      <c r="C52" s="26">
        <v>104719.269999</v>
      </c>
      <c r="D52" s="27">
        <v>115810.886333</v>
      </c>
      <c r="E52" s="28">
        <f>E51+C52-D52</f>
        <v>351910.92104799976</v>
      </c>
      <c r="F52" s="25"/>
      <c r="G52" s="25" t="s">
        <v>10</v>
      </c>
      <c r="H52" s="29">
        <f>IF(C52="", "", IF(D52="", "",D52-D37))</f>
        <v>6082.8311740000063</v>
      </c>
      <c r="I52" s="29">
        <f>IF(D52="", "", IF(E52="", "",E52-E37))</f>
        <v>166722.87689799978</v>
      </c>
    </row>
    <row r="53" spans="1:9" x14ac:dyDescent="0.25">
      <c r="A53" s="25"/>
      <c r="B53" s="25" t="s">
        <v>11</v>
      </c>
      <c r="C53" s="26">
        <v>37671.129999999997</v>
      </c>
      <c r="D53" s="27">
        <v>107856.31437199999</v>
      </c>
      <c r="E53" s="28">
        <f>E52+C53-D53</f>
        <v>281725.73667599977</v>
      </c>
      <c r="F53" s="25"/>
      <c r="G53" s="25" t="s">
        <v>11</v>
      </c>
      <c r="H53" s="29">
        <f>IF(C53="", "", IF(D53="", "",D53-D38))</f>
        <v>8648.5333609999943</v>
      </c>
      <c r="I53" s="29">
        <f>IF(D53="", "", IF(E53="", "",E53-E38))</f>
        <v>124179.03353699978</v>
      </c>
    </row>
    <row r="54" spans="1:9" x14ac:dyDescent="0.25">
      <c r="A54" s="25"/>
      <c r="B54" s="25" t="s">
        <v>12</v>
      </c>
      <c r="C54" s="26">
        <v>174638.159999</v>
      </c>
      <c r="D54" s="27">
        <v>134897.03141900001</v>
      </c>
      <c r="E54" s="28">
        <f>E53+C54-D54</f>
        <v>321466.86525599973</v>
      </c>
      <c r="F54" s="25"/>
      <c r="G54" s="25" t="s">
        <v>12</v>
      </c>
      <c r="H54" s="29">
        <f>IF(C54="", "", IF(D54="", "",D54-D39))</f>
        <v>46945.577872000009</v>
      </c>
      <c r="I54" s="29">
        <f>IF(D54="", "", IF(E54="", "",E54-E39))</f>
        <v>96475.545663999743</v>
      </c>
    </row>
    <row r="55" spans="1:9" x14ac:dyDescent="0.25">
      <c r="A55" s="25"/>
      <c r="B55" s="25" t="s">
        <v>13</v>
      </c>
      <c r="C55" s="26">
        <v>42543.99</v>
      </c>
      <c r="D55" s="27">
        <v>124821.09427</v>
      </c>
      <c r="E55" s="28">
        <f>E54+C55-D55</f>
        <v>239189.76098599972</v>
      </c>
      <c r="F55" s="25"/>
      <c r="G55" s="25" t="s">
        <v>13</v>
      </c>
      <c r="H55" s="29">
        <f>IF(C55="", "", IF(D55="", "",D55-D40))</f>
        <v>6068.6587480000017</v>
      </c>
      <c r="I55" s="29">
        <f>IF(D55="", "", IF(E55="", "",E55-E40))</f>
        <v>10792.396915999765</v>
      </c>
    </row>
    <row r="56" spans="1:9" x14ac:dyDescent="0.25">
      <c r="A56" s="25"/>
      <c r="B56" s="25" t="s">
        <v>14</v>
      </c>
      <c r="C56" s="26">
        <v>136204.9</v>
      </c>
      <c r="D56" s="27">
        <v>160509.81275400001</v>
      </c>
      <c r="E56" s="28">
        <f>E55+C56-D56</f>
        <v>214884.84823199973</v>
      </c>
      <c r="F56" s="25"/>
      <c r="G56" s="25" t="s">
        <v>14</v>
      </c>
      <c r="H56" s="29">
        <f>IF(C56="", "", IF(D56="", "",D56-D41))</f>
        <v>38632.98316600002</v>
      </c>
      <c r="I56" s="29">
        <f>IF(D56="", "", IF(E56="", "",E56-E41))</f>
        <v>-13772.836250000197</v>
      </c>
    </row>
    <row r="57" spans="1:9" x14ac:dyDescent="0.25">
      <c r="A57" s="25"/>
      <c r="B57" s="25" t="s">
        <v>15</v>
      </c>
      <c r="C57" s="26">
        <v>159557.37999799999</v>
      </c>
      <c r="D57" s="27">
        <v>150997.34695199999</v>
      </c>
      <c r="E57" s="28">
        <f>E56+C57-D57</f>
        <v>223444.88127799972</v>
      </c>
      <c r="F57" s="25"/>
      <c r="G57" s="25" t="s">
        <v>15</v>
      </c>
      <c r="H57" s="29">
        <f>IF(C57="", "", IF(D57="", "",D57-D42))</f>
        <v>22119.324339999992</v>
      </c>
      <c r="I57" s="29">
        <f>IF(D57="", "", IF(E57="", "",E57-E42))</f>
        <v>-6188.7205920001725</v>
      </c>
    </row>
    <row r="58" spans="1:9" x14ac:dyDescent="0.25">
      <c r="A58" s="25"/>
      <c r="B58" s="25" t="s">
        <v>16</v>
      </c>
      <c r="C58" s="26">
        <v>159000.359998</v>
      </c>
      <c r="D58" s="27">
        <v>130605.519797</v>
      </c>
      <c r="E58" s="28">
        <f>E57+C58-D58</f>
        <v>251839.72147899971</v>
      </c>
      <c r="F58" s="25"/>
      <c r="G58" s="25" t="s">
        <v>16</v>
      </c>
      <c r="H58" s="29">
        <f>IF(C58="", "", IF(D58="", "",D58-D43))</f>
        <v>-18352.720174000002</v>
      </c>
      <c r="I58" s="29">
        <f>IF(D58="", "", IF(E58="", "",E58-E43))</f>
        <v>-106225.02042000019</v>
      </c>
    </row>
    <row r="59" spans="1:9" x14ac:dyDescent="0.25">
      <c r="A59" s="25"/>
      <c r="B59" s="25" t="s">
        <v>17</v>
      </c>
      <c r="C59" s="26">
        <v>160813.329998</v>
      </c>
      <c r="D59" s="27">
        <v>166473.41880399999</v>
      </c>
      <c r="E59" s="28">
        <f>E58+C59-D59</f>
        <v>246179.63267299972</v>
      </c>
      <c r="F59" s="25"/>
      <c r="G59" s="25" t="s">
        <v>17</v>
      </c>
      <c r="H59" s="29">
        <f>IF(C59="", "", IF(D59="", "",D59-D44))</f>
        <v>37334.039358999988</v>
      </c>
      <c r="I59" s="29">
        <f>IF(D59="", "", IF(E59="", "",E59-E44))</f>
        <v>-118749.27978100014</v>
      </c>
    </row>
    <row r="60" spans="1:9" x14ac:dyDescent="0.25">
      <c r="A60" s="30"/>
      <c r="B60" s="30" t="s">
        <v>18</v>
      </c>
      <c r="C60" s="31">
        <v>1672.5</v>
      </c>
      <c r="D60" s="32">
        <v>105973.45623</v>
      </c>
      <c r="E60" s="33">
        <f>E59+C60-D60</f>
        <v>141878.67644299974</v>
      </c>
      <c r="F60" s="30"/>
      <c r="G60" s="30" t="s">
        <v>18</v>
      </c>
      <c r="H60" s="34">
        <f>IF(C60="", "", IF(D60="", "",D60-D45))</f>
        <v>7520.6040300000022</v>
      </c>
      <c r="I60" s="34">
        <f>IF(D60="", "", IF(E60="", "",E60-E45))</f>
        <v>-124597.38381100015</v>
      </c>
    </row>
    <row r="61" spans="1:9" s="2" customFormat="1" x14ac:dyDescent="0.25">
      <c r="A61" s="35"/>
      <c r="B61" s="35" t="s">
        <v>19</v>
      </c>
      <c r="C61" s="36">
        <f>SUM(C49:C60)</f>
        <v>1549831.4199850003</v>
      </c>
      <c r="D61" s="37">
        <f>SUM(D49:D60)</f>
        <v>1674428.8037959998</v>
      </c>
      <c r="E61" s="28"/>
      <c r="F61" s="35"/>
      <c r="G61" s="35"/>
      <c r="H61" s="28">
        <f>SUMIF(C49:C60,"&gt;=0",H49:H60)</f>
        <v>292061.12520799995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129152.61833208335</v>
      </c>
      <c r="D62" s="37">
        <f>AVERAGE(D49:D60)</f>
        <v>139535.73364966665</v>
      </c>
      <c r="E62" s="38">
        <f>C62/D62-1</f>
        <v>-7.4411873188356625E-2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141878.67644299974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116540.7</v>
      </c>
      <c r="D64" s="13">
        <v>102753.682614</v>
      </c>
      <c r="E64" s="14">
        <f>E63+C64-D64</f>
        <v>155665.69382899976</v>
      </c>
      <c r="F64" s="11"/>
      <c r="G64" s="11" t="s">
        <v>7</v>
      </c>
      <c r="H64" s="15">
        <f>IF(C64="", "", IF(D64="", "",D64-D49))</f>
        <v>-61173.618677000006</v>
      </c>
      <c r="I64" s="15">
        <f>IF(D64="", "", IF(E64="", "",E64-E49))</f>
        <v>-74564.565131000098</v>
      </c>
    </row>
    <row r="65" spans="1:9" x14ac:dyDescent="0.25">
      <c r="A65" s="11"/>
      <c r="B65" s="11" t="s">
        <v>8</v>
      </c>
      <c r="C65" s="12">
        <v>367201.21999900002</v>
      </c>
      <c r="D65" s="13">
        <v>161725.805322</v>
      </c>
      <c r="E65" s="14">
        <f>E64+C65-D65</f>
        <v>361141.10850599979</v>
      </c>
      <c r="F65" s="11"/>
      <c r="G65" s="11" t="s">
        <v>8</v>
      </c>
      <c r="H65" s="15">
        <f>IF(C65="", "", IF(D65="", "",D65-D50))</f>
        <v>-3524.2903170000063</v>
      </c>
      <c r="I65" s="15">
        <f>IF(D65="", "", IF(E65="", "",E65-E50))</f>
        <v>-61498.154812000052</v>
      </c>
    </row>
    <row r="66" spans="1:9" x14ac:dyDescent="0.25">
      <c r="A66" s="11"/>
      <c r="B66" s="11" t="s">
        <v>9</v>
      </c>
      <c r="C66" s="12">
        <v>118645.1</v>
      </c>
      <c r="D66" s="13">
        <v>187885.577877</v>
      </c>
      <c r="E66" s="14">
        <f>E65+C66-D66</f>
        <v>291900.63062899979</v>
      </c>
      <c r="F66" s="11"/>
      <c r="G66" s="11" t="s">
        <v>9</v>
      </c>
      <c r="H66" s="15">
        <f>IF(C66="", "", IF(D66="", "",D66-D51))</f>
        <v>40579.051941999991</v>
      </c>
      <c r="I66" s="15">
        <f>IF(D66="", "", IF(E66="", "",E66-E51))</f>
        <v>-71101.906752999988</v>
      </c>
    </row>
    <row r="67" spans="1:9" x14ac:dyDescent="0.25">
      <c r="A67" s="11"/>
      <c r="B67" s="11" t="s">
        <v>10</v>
      </c>
      <c r="C67" s="12">
        <v>180961.56</v>
      </c>
      <c r="D67" s="13">
        <v>144698.113186</v>
      </c>
      <c r="E67" s="14">
        <f>E66+C67-D67</f>
        <v>328164.07744299981</v>
      </c>
      <c r="F67" s="11"/>
      <c r="G67" s="11" t="s">
        <v>10</v>
      </c>
      <c r="H67" s="15">
        <f>IF(C67="", "", IF(D67="", "",D67-D52))</f>
        <v>28887.226853</v>
      </c>
      <c r="I67" s="15">
        <f>IF(D67="", "", IF(E67="", "",E67-E52))</f>
        <v>-23746.843604999944</v>
      </c>
    </row>
    <row r="68" spans="1:9" x14ac:dyDescent="0.25">
      <c r="A68" s="11"/>
      <c r="B68" s="11" t="s">
        <v>11</v>
      </c>
      <c r="C68" s="12">
        <v>104030.56</v>
      </c>
      <c r="D68" s="13">
        <v>159257.14549600001</v>
      </c>
      <c r="E68" s="14">
        <f>E67+C68-D68</f>
        <v>272937.4919469998</v>
      </c>
      <c r="F68" s="11"/>
      <c r="G68" s="11" t="s">
        <v>11</v>
      </c>
      <c r="H68" s="15">
        <f>IF(C68="", "", IF(D68="", "",D68-D53))</f>
        <v>51400.831124000018</v>
      </c>
      <c r="I68" s="15">
        <f>IF(D68="", "", IF(E68="", "",E68-E53))</f>
        <v>-8788.2447289999691</v>
      </c>
    </row>
    <row r="69" spans="1:9" x14ac:dyDescent="0.25">
      <c r="A69" s="11"/>
      <c r="B69" s="11" t="s">
        <v>12</v>
      </c>
      <c r="C69" s="12">
        <v>164013.23999900001</v>
      </c>
      <c r="D69" s="13">
        <v>130958.661582</v>
      </c>
      <c r="E69" s="14">
        <f>E68+C69-D69</f>
        <v>305992.07036399981</v>
      </c>
      <c r="F69" s="11"/>
      <c r="G69" s="11" t="s">
        <v>12</v>
      </c>
      <c r="H69" s="15">
        <f>IF(C69="", "", IF(D69="", "",D69-D54))</f>
        <v>-3938.3698370000056</v>
      </c>
      <c r="I69" s="15">
        <f>IF(D69="", "", IF(E69="", "",E69-E54))</f>
        <v>-15474.794891999918</v>
      </c>
    </row>
    <row r="70" spans="1:9" x14ac:dyDescent="0.25">
      <c r="A70" s="11"/>
      <c r="B70" s="11" t="s">
        <v>13</v>
      </c>
      <c r="C70" s="12">
        <v>101735.61</v>
      </c>
      <c r="D70" s="13">
        <v>128916.890682</v>
      </c>
      <c r="E70" s="14">
        <f>E69+C70-D70</f>
        <v>278810.78968199983</v>
      </c>
      <c r="F70" s="11"/>
      <c r="G70" s="11" t="s">
        <v>13</v>
      </c>
      <c r="H70" s="15">
        <f>IF(C70="", "", IF(D70="", "",D70-D55))</f>
        <v>4095.7964119999961</v>
      </c>
      <c r="I70" s="15">
        <f>IF(D70="", "", IF(E70="", "",E70-E55))</f>
        <v>39621.02869600011</v>
      </c>
    </row>
    <row r="71" spans="1:9" x14ac:dyDescent="0.25">
      <c r="A71" s="11"/>
      <c r="B71" s="11" t="s">
        <v>14</v>
      </c>
      <c r="C71" s="12">
        <v>169120.62</v>
      </c>
      <c r="D71" s="13">
        <v>194468.35648700001</v>
      </c>
      <c r="E71" s="14">
        <f>E70+C71-D71</f>
        <v>253463.05319499981</v>
      </c>
      <c r="F71" s="11"/>
      <c r="G71" s="11" t="s">
        <v>14</v>
      </c>
      <c r="H71" s="15">
        <f>IF(C71="", "", IF(D71="", "",D71-D56))</f>
        <v>33958.543732999999</v>
      </c>
      <c r="I71" s="15">
        <f>IF(D71="", "", IF(E71="", "",E71-E56))</f>
        <v>38578.204963000084</v>
      </c>
    </row>
    <row r="72" spans="1:9" x14ac:dyDescent="0.25">
      <c r="A72" s="11"/>
      <c r="B72" s="11" t="s">
        <v>15</v>
      </c>
      <c r="C72" s="12">
        <v>90988.369999000002</v>
      </c>
      <c r="D72" s="13">
        <v>149733.65765899999</v>
      </c>
      <c r="E72" s="14">
        <f>E71+C72-D72</f>
        <v>194717.76553499981</v>
      </c>
      <c r="F72" s="11"/>
      <c r="G72" s="11" t="s">
        <v>15</v>
      </c>
      <c r="H72" s="15">
        <f>IF(C72="", "", IF(D72="", "",D72-D57))</f>
        <v>-1263.6892930000031</v>
      </c>
      <c r="I72" s="15">
        <f>IF(D72="", "", IF(E72="", "",E72-E57))</f>
        <v>-28727.115742999915</v>
      </c>
    </row>
    <row r="73" spans="1:9" x14ac:dyDescent="0.25">
      <c r="A73" s="11"/>
      <c r="B73" s="11" t="s">
        <v>16</v>
      </c>
      <c r="C73" s="12">
        <v>238791.12999799999</v>
      </c>
      <c r="D73" s="13">
        <v>169093.22841899999</v>
      </c>
      <c r="E73" s="14">
        <f>E72+C73-D73</f>
        <v>264415.66711399978</v>
      </c>
      <c r="F73" s="11"/>
      <c r="G73" s="11" t="s">
        <v>16</v>
      </c>
      <c r="H73" s="15">
        <f>IF(C73="", "", IF(D73="", "",D73-D58))</f>
        <v>38487.708621999991</v>
      </c>
      <c r="I73" s="15">
        <f>IF(D73="", "", IF(E73="", "",E73-E58))</f>
        <v>12575.945635000069</v>
      </c>
    </row>
    <row r="74" spans="1:9" x14ac:dyDescent="0.25">
      <c r="A74" s="11"/>
      <c r="B74" s="11" t="s">
        <v>17</v>
      </c>
      <c r="C74" s="12">
        <v>197038.599995</v>
      </c>
      <c r="D74" s="13">
        <v>216972.99582000001</v>
      </c>
      <c r="E74" s="14">
        <f>E73+C74-D74</f>
        <v>244481.27128899976</v>
      </c>
      <c r="F74" s="11"/>
      <c r="G74" s="11" t="s">
        <v>17</v>
      </c>
      <c r="H74" s="15">
        <f>IF(C74="", "", IF(D74="", "",D74-D59))</f>
        <v>50499.577016000025</v>
      </c>
      <c r="I74" s="15">
        <f>IF(D74="", "", IF(E74="", "",E74-E59))</f>
        <v>-1698.3613839999598</v>
      </c>
    </row>
    <row r="75" spans="1:9" x14ac:dyDescent="0.25">
      <c r="A75" s="16"/>
      <c r="B75" s="16" t="s">
        <v>18</v>
      </c>
      <c r="C75" s="17">
        <v>18460.03</v>
      </c>
      <c r="D75" s="18">
        <v>169508.01686599999</v>
      </c>
      <c r="E75" s="19">
        <f>E74+C75-D75</f>
        <v>93433.284422999743</v>
      </c>
      <c r="F75" s="16"/>
      <c r="G75" s="16" t="s">
        <v>18</v>
      </c>
      <c r="H75" s="20">
        <f>IF(C75="", "", IF(D75="", "",D75-D60))</f>
        <v>63534.560635999995</v>
      </c>
      <c r="I75" s="20">
        <f>IF(D75="", "", IF(E75="", "",E75-E60))</f>
        <v>-48445.392019999999</v>
      </c>
    </row>
    <row r="76" spans="1:9" s="2" customFormat="1" x14ac:dyDescent="0.25">
      <c r="A76" s="21"/>
      <c r="B76" s="21" t="s">
        <v>19</v>
      </c>
      <c r="C76" s="22">
        <f>SUM(C64:C75)</f>
        <v>1867526.7399900006</v>
      </c>
      <c r="D76" s="23">
        <f>SUM(D64:D75)</f>
        <v>1915972.1320100001</v>
      </c>
      <c r="E76" s="14"/>
      <c r="F76" s="21"/>
      <c r="G76" s="21"/>
      <c r="H76" s="14">
        <f>SUMIF(C64:C75,"&gt;=0",H64:H75)</f>
        <v>241543.32821399998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155627.22833250006</v>
      </c>
      <c r="D77" s="23">
        <f>AVERAGE(D64:D75)</f>
        <v>159664.34433416667</v>
      </c>
      <c r="E77" s="24">
        <f>C77/D77-1</f>
        <v>-2.5285019134999809E-2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93433.284422999743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93433.284422999743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93433.284422999743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93433.284422999743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93433.284422999743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93433.284422999743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93433.284422999743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93433.284422999743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93433.284422999743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93433.284422999743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93433.284422999743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93433.284422999743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93433.284422999743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B14-23FF-4E68-80A5-8587026A7FBB}">
  <sheetPr codeName="Sheet18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215024.223237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90752.189998999995</v>
      </c>
      <c r="D4" s="13">
        <v>28469.432191</v>
      </c>
      <c r="E4" s="14">
        <f>E3+C4-D4</f>
        <v>277306.98104500002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52810.239996999997</v>
      </c>
      <c r="D5" s="13">
        <v>44894.274652</v>
      </c>
      <c r="E5" s="14">
        <f>E4+C5-D5</f>
        <v>285222.94639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58465.73</v>
      </c>
      <c r="D6" s="13">
        <v>58963.376425000002</v>
      </c>
      <c r="E6" s="14">
        <f>E5+C6-D6</f>
        <v>284725.29996499995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20243.730794999999</v>
      </c>
      <c r="D7" s="13">
        <v>32108.948014000001</v>
      </c>
      <c r="E7" s="14">
        <f>E6+C7-D7</f>
        <v>272860.08274599991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89311.419995999997</v>
      </c>
      <c r="D8" s="13">
        <v>57281.370778999997</v>
      </c>
      <c r="E8" s="14">
        <f>E7+C8-D8</f>
        <v>304890.13196299993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35766.769999999997</v>
      </c>
      <c r="D9" s="13">
        <v>29395.893505</v>
      </c>
      <c r="E9" s="14">
        <f>E8+C9-D9</f>
        <v>311261.00845799997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110645.379998</v>
      </c>
      <c r="D10" s="13">
        <v>69998.942639000001</v>
      </c>
      <c r="E10" s="14">
        <f>E9+C10-D10</f>
        <v>351907.44581699994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4852.6400000000003</v>
      </c>
      <c r="D11" s="13">
        <v>62899.716487999998</v>
      </c>
      <c r="E11" s="14">
        <f>E10+C11-D11</f>
        <v>293860.36932899995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50821.13</v>
      </c>
      <c r="D12" s="13">
        <v>68108.733844000002</v>
      </c>
      <c r="E12" s="14">
        <f>E11+C12-D12</f>
        <v>276572.76548499998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48040.85</v>
      </c>
      <c r="D13" s="13">
        <v>70355.753360000002</v>
      </c>
      <c r="E13" s="14">
        <f>E12+C13-D13</f>
        <v>254257.86212499996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104870.97999599999</v>
      </c>
      <c r="D14" s="13">
        <v>93245.035996000006</v>
      </c>
      <c r="E14" s="14">
        <f>E13+C14-D14</f>
        <v>265883.80612499994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1142.5899999999999</v>
      </c>
      <c r="D15" s="18">
        <v>21484.957741999999</v>
      </c>
      <c r="E15" s="19">
        <f>E14+C15-D15</f>
        <v>245541.43838299997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667723.65078099992</v>
      </c>
      <c r="D16" s="23">
        <f>SUM(D4:D15)</f>
        <v>637206.435635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55643.637565083329</v>
      </c>
      <c r="D17" s="23">
        <f>AVERAGE(D4:D15)</f>
        <v>53100.536302916669</v>
      </c>
      <c r="E17" s="24">
        <f>C17/D17-1</f>
        <v>4.7892195432063245E-2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245541.43838299997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917.2</v>
      </c>
      <c r="D19" s="27">
        <v>29693.893753</v>
      </c>
      <c r="E19" s="28">
        <f>E18+C19-D19</f>
        <v>216764.74462999997</v>
      </c>
      <c r="F19" s="25"/>
      <c r="G19" s="25" t="s">
        <v>7</v>
      </c>
      <c r="H19" s="29">
        <f>IF(C19="", "", IF(D19="", "",D19-D4))</f>
        <v>1224.4615620000004</v>
      </c>
      <c r="I19" s="29">
        <f>IF(D19="", "", IF(E19="", "",E19-E4))</f>
        <v>-60542.23641500005</v>
      </c>
    </row>
    <row r="20" spans="1:9" x14ac:dyDescent="0.25">
      <c r="A20" s="25"/>
      <c r="B20" s="25" t="s">
        <v>8</v>
      </c>
      <c r="C20" s="26">
        <v>53637.77</v>
      </c>
      <c r="D20" s="27">
        <v>56282.108435000002</v>
      </c>
      <c r="E20" s="28">
        <f>E19+C20-D20</f>
        <v>214120.40619499999</v>
      </c>
      <c r="F20" s="25"/>
      <c r="G20" s="25" t="s">
        <v>8</v>
      </c>
      <c r="H20" s="29">
        <f>IF(C20="", "", IF(D20="", "",D20-D5))</f>
        <v>11387.833783000002</v>
      </c>
      <c r="I20" s="29">
        <f>IF(D20="", "", IF(E20="", "",E20-E5))</f>
        <v>-71102.540195000009</v>
      </c>
    </row>
    <row r="21" spans="1:9" x14ac:dyDescent="0.25">
      <c r="A21" s="25"/>
      <c r="B21" s="25" t="s">
        <v>9</v>
      </c>
      <c r="C21" s="26">
        <v>116417.779995</v>
      </c>
      <c r="D21" s="27">
        <v>48136.482529000001</v>
      </c>
      <c r="E21" s="28">
        <f>E20+C21-D21</f>
        <v>282401.70366100001</v>
      </c>
      <c r="F21" s="25"/>
      <c r="G21" s="25" t="s">
        <v>9</v>
      </c>
      <c r="H21" s="29">
        <f>IF(C21="", "", IF(D21="", "",D21-D6))</f>
        <v>-10826.893896000001</v>
      </c>
      <c r="I21" s="29">
        <f>IF(D21="", "", IF(E21="", "",E21-E6))</f>
        <v>-2323.5963039999478</v>
      </c>
    </row>
    <row r="22" spans="1:9" x14ac:dyDescent="0.25">
      <c r="A22" s="25"/>
      <c r="B22" s="25" t="s">
        <v>10</v>
      </c>
      <c r="C22" s="26">
        <v>6863.76</v>
      </c>
      <c r="D22" s="27">
        <v>57026.201228999998</v>
      </c>
      <c r="E22" s="28">
        <f>E21+C22-D22</f>
        <v>232239.26243200002</v>
      </c>
      <c r="F22" s="25"/>
      <c r="G22" s="25" t="s">
        <v>10</v>
      </c>
      <c r="H22" s="29">
        <f>IF(C22="", "", IF(D22="", "",D22-D7))</f>
        <v>24917.253214999997</v>
      </c>
      <c r="I22" s="29">
        <f>IF(D22="", "", IF(E22="", "",E22-E7))</f>
        <v>-40620.820313999895</v>
      </c>
    </row>
    <row r="23" spans="1:9" x14ac:dyDescent="0.25">
      <c r="A23" s="25"/>
      <c r="B23" s="25" t="s">
        <v>11</v>
      </c>
      <c r="C23" s="26">
        <v>36071.229999000003</v>
      </c>
      <c r="D23" s="27">
        <v>45639.662770000003</v>
      </c>
      <c r="E23" s="28">
        <f>E22+C23-D23</f>
        <v>222670.829661</v>
      </c>
      <c r="F23" s="25"/>
      <c r="G23" s="25" t="s">
        <v>11</v>
      </c>
      <c r="H23" s="29">
        <f>IF(C23="", "", IF(D23="", "",D23-D8))</f>
        <v>-11641.708008999994</v>
      </c>
      <c r="I23" s="29">
        <f>IF(D23="", "", IF(E23="", "",E23-E8))</f>
        <v>-82219.302301999938</v>
      </c>
    </row>
    <row r="24" spans="1:9" x14ac:dyDescent="0.25">
      <c r="A24" s="25"/>
      <c r="B24" s="25" t="s">
        <v>12</v>
      </c>
      <c r="C24" s="26">
        <v>25571.96</v>
      </c>
      <c r="D24" s="27">
        <v>51740.038905000001</v>
      </c>
      <c r="E24" s="28">
        <f>E23+C24-D24</f>
        <v>196502.75075599999</v>
      </c>
      <c r="F24" s="25"/>
      <c r="G24" s="25" t="s">
        <v>12</v>
      </c>
      <c r="H24" s="29">
        <f>IF(C24="", "", IF(D24="", "",D24-D9))</f>
        <v>22344.145400000001</v>
      </c>
      <c r="I24" s="29">
        <f>IF(D24="", "", IF(E24="", "",E24-E9))</f>
        <v>-114758.25770199997</v>
      </c>
    </row>
    <row r="25" spans="1:9" x14ac:dyDescent="0.25">
      <c r="A25" s="25"/>
      <c r="B25" s="25" t="s">
        <v>13</v>
      </c>
      <c r="C25" s="26">
        <v>1041.27</v>
      </c>
      <c r="D25" s="27">
        <v>50388.515665999999</v>
      </c>
      <c r="E25" s="28">
        <f>E24+C25-D25</f>
        <v>147155.50508999999</v>
      </c>
      <c r="F25" s="25"/>
      <c r="G25" s="25" t="s">
        <v>13</v>
      </c>
      <c r="H25" s="29">
        <f>IF(C25="", "", IF(D25="", "",D25-D10))</f>
        <v>-19610.426973000001</v>
      </c>
      <c r="I25" s="29">
        <f>IF(D25="", "", IF(E25="", "",E25-E10))</f>
        <v>-204751.94072699995</v>
      </c>
    </row>
    <row r="26" spans="1:9" x14ac:dyDescent="0.25">
      <c r="A26" s="25"/>
      <c r="B26" s="25" t="s">
        <v>14</v>
      </c>
      <c r="C26" s="26">
        <v>68920.929999</v>
      </c>
      <c r="D26" s="27">
        <v>35773.036907000002</v>
      </c>
      <c r="E26" s="28">
        <f>E25+C26-D26</f>
        <v>180303.39818199998</v>
      </c>
      <c r="F26" s="25"/>
      <c r="G26" s="25" t="s">
        <v>14</v>
      </c>
      <c r="H26" s="29">
        <f>IF(C26="", "", IF(D26="", "",D26-D11))</f>
        <v>-27126.679580999997</v>
      </c>
      <c r="I26" s="29">
        <f>IF(D26="", "", IF(E26="", "",E26-E11))</f>
        <v>-113556.97114699997</v>
      </c>
    </row>
    <row r="27" spans="1:9" x14ac:dyDescent="0.25">
      <c r="A27" s="25"/>
      <c r="B27" s="25" t="s">
        <v>15</v>
      </c>
      <c r="C27" s="26">
        <v>41872.32</v>
      </c>
      <c r="D27" s="27">
        <v>60616.244706999998</v>
      </c>
      <c r="E27" s="28">
        <f>E26+C27-D27</f>
        <v>161559.47347499998</v>
      </c>
      <c r="F27" s="25"/>
      <c r="G27" s="25" t="s">
        <v>15</v>
      </c>
      <c r="H27" s="29">
        <f>IF(C27="", "", IF(D27="", "",D27-D12))</f>
        <v>-7492.4891370000041</v>
      </c>
      <c r="I27" s="29">
        <f>IF(D27="", "", IF(E27="", "",E27-E12))</f>
        <v>-115013.29201</v>
      </c>
    </row>
    <row r="28" spans="1:9" x14ac:dyDescent="0.25">
      <c r="A28" s="25"/>
      <c r="B28" s="25" t="s">
        <v>16</v>
      </c>
      <c r="C28" s="26">
        <v>193725.06999700001</v>
      </c>
      <c r="D28" s="27">
        <v>87437.953953000004</v>
      </c>
      <c r="E28" s="28">
        <f>E27+C28-D28</f>
        <v>267846.58951899997</v>
      </c>
      <c r="F28" s="25"/>
      <c r="G28" s="25" t="s">
        <v>16</v>
      </c>
      <c r="H28" s="29">
        <f>IF(C28="", "", IF(D28="", "",D28-D13))</f>
        <v>17082.200593000001</v>
      </c>
      <c r="I28" s="29">
        <f>IF(D28="", "", IF(E28="", "",E28-E13))</f>
        <v>13588.727394000016</v>
      </c>
    </row>
    <row r="29" spans="1:9" x14ac:dyDescent="0.25">
      <c r="A29" s="25"/>
      <c r="B29" s="25" t="s">
        <v>17</v>
      </c>
      <c r="C29" s="26">
        <v>52206.23</v>
      </c>
      <c r="D29" s="27">
        <v>150352.017738</v>
      </c>
      <c r="E29" s="28">
        <f>E28+C29-D29</f>
        <v>169700.80178099996</v>
      </c>
      <c r="F29" s="25"/>
      <c r="G29" s="25" t="s">
        <v>17</v>
      </c>
      <c r="H29" s="29">
        <f>IF(C29="", "", IF(D29="", "",D29-D14))</f>
        <v>57106.981741999989</v>
      </c>
      <c r="I29" s="29">
        <f>IF(D29="", "", IF(E29="", "",E29-E14))</f>
        <v>-96183.004343999986</v>
      </c>
    </row>
    <row r="30" spans="1:9" x14ac:dyDescent="0.25">
      <c r="A30" s="30"/>
      <c r="B30" s="30" t="s">
        <v>18</v>
      </c>
      <c r="C30" s="31">
        <v>546.23</v>
      </c>
      <c r="D30" s="32">
        <v>27351.523670999999</v>
      </c>
      <c r="E30" s="33">
        <f>E29+C30-D30</f>
        <v>142895.50810999997</v>
      </c>
      <c r="F30" s="30"/>
      <c r="G30" s="30" t="s">
        <v>18</v>
      </c>
      <c r="H30" s="34">
        <f>IF(C30="", "", IF(D30="", "",D30-D15))</f>
        <v>5866.5659290000003</v>
      </c>
      <c r="I30" s="34">
        <f>IF(D30="", "", IF(E30="", "",E30-E15))</f>
        <v>-102645.93027300001</v>
      </c>
    </row>
    <row r="31" spans="1:9" s="2" customFormat="1" x14ac:dyDescent="0.25">
      <c r="A31" s="35"/>
      <c r="B31" s="35" t="s">
        <v>19</v>
      </c>
      <c r="C31" s="36">
        <f>SUM(C19:C30)</f>
        <v>597791.74998999992</v>
      </c>
      <c r="D31" s="37">
        <f>SUM(D19:D30)</f>
        <v>700437.68026300007</v>
      </c>
      <c r="E31" s="28"/>
      <c r="F31" s="35"/>
      <c r="G31" s="35"/>
      <c r="H31" s="28">
        <f>SUMIF(C19:C30,"&gt;=0",H19:H30)</f>
        <v>63231.244627999986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49815.979165833327</v>
      </c>
      <c r="D32" s="37">
        <f>AVERAGE(D19:D30)</f>
        <v>58369.80668858334</v>
      </c>
      <c r="E32" s="38">
        <f>C32/D32-1</f>
        <v>-0.14654541462483672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142895.50810999997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48610.089999000003</v>
      </c>
      <c r="D34" s="13">
        <v>27824.682531999999</v>
      </c>
      <c r="E34" s="14">
        <f>E33+C34-D34</f>
        <v>163680.91557699995</v>
      </c>
      <c r="F34" s="11"/>
      <c r="G34" s="11" t="s">
        <v>7</v>
      </c>
      <c r="H34" s="15">
        <f>IF(C34="", "", IF(D34="", "",D34-D19))</f>
        <v>-1869.2112210000014</v>
      </c>
      <c r="I34" s="15">
        <f>IF(D34="", "", IF(E34="", "",E34-E19))</f>
        <v>-53083.829053000023</v>
      </c>
    </row>
    <row r="35" spans="1:9" x14ac:dyDescent="0.25">
      <c r="A35" s="11"/>
      <c r="B35" s="11" t="s">
        <v>8</v>
      </c>
      <c r="C35" s="12">
        <v>50844.839999000003</v>
      </c>
      <c r="D35" s="13">
        <v>69995.370993999997</v>
      </c>
      <c r="E35" s="14">
        <f>E34+C35-D35</f>
        <v>144530.38458199997</v>
      </c>
      <c r="F35" s="11"/>
      <c r="G35" s="11" t="s">
        <v>8</v>
      </c>
      <c r="H35" s="15">
        <f>IF(C35="", "", IF(D35="", "",D35-D20))</f>
        <v>13713.262558999995</v>
      </c>
      <c r="I35" s="15">
        <f>IF(D35="", "", IF(E35="", "",E35-E20))</f>
        <v>-69590.021613000019</v>
      </c>
    </row>
    <row r="36" spans="1:9" x14ac:dyDescent="0.25">
      <c r="A36" s="11"/>
      <c r="B36" s="11" t="s">
        <v>9</v>
      </c>
      <c r="C36" s="12">
        <v>79066.749997999999</v>
      </c>
      <c r="D36" s="13">
        <v>77260.012549000006</v>
      </c>
      <c r="E36" s="14">
        <f>E35+C36-D36</f>
        <v>146337.12203099995</v>
      </c>
      <c r="F36" s="11"/>
      <c r="G36" s="11" t="s">
        <v>9</v>
      </c>
      <c r="H36" s="15">
        <f>IF(C36="", "", IF(D36="", "",D36-D21))</f>
        <v>29123.530020000006</v>
      </c>
      <c r="I36" s="15">
        <f>IF(D36="", "", IF(E36="", "",E36-E21))</f>
        <v>-136064.58163000006</v>
      </c>
    </row>
    <row r="37" spans="1:9" x14ac:dyDescent="0.25">
      <c r="A37" s="11"/>
      <c r="B37" s="11" t="s">
        <v>10</v>
      </c>
      <c r="C37" s="12">
        <v>0</v>
      </c>
      <c r="D37" s="13">
        <v>51573.869270000003</v>
      </c>
      <c r="E37" s="14">
        <f>E36+C37-D37</f>
        <v>94763.252760999952</v>
      </c>
      <c r="F37" s="11"/>
      <c r="G37" s="11" t="s">
        <v>10</v>
      </c>
      <c r="H37" s="15">
        <f>IF(C37="", "", IF(D37="", "",D37-D22))</f>
        <v>-5452.3319589999955</v>
      </c>
      <c r="I37" s="15">
        <f>IF(D37="", "", IF(E37="", "",E37-E22))</f>
        <v>-137476.00967100007</v>
      </c>
    </row>
    <row r="38" spans="1:9" x14ac:dyDescent="0.25">
      <c r="A38" s="11"/>
      <c r="B38" s="11" t="s">
        <v>11</v>
      </c>
      <c r="C38" s="12">
        <v>110208.999998</v>
      </c>
      <c r="D38" s="13">
        <v>78740.356778000001</v>
      </c>
      <c r="E38" s="14">
        <f>E37+C38-D38</f>
        <v>126231.89598099994</v>
      </c>
      <c r="F38" s="11"/>
      <c r="G38" s="11" t="s">
        <v>11</v>
      </c>
      <c r="H38" s="15">
        <f>IF(C38="", "", IF(D38="", "",D38-D23))</f>
        <v>33100.694007999999</v>
      </c>
      <c r="I38" s="15">
        <f>IF(D38="", "", IF(E38="", "",E38-E23))</f>
        <v>-96438.93368000006</v>
      </c>
    </row>
    <row r="39" spans="1:9" x14ac:dyDescent="0.25">
      <c r="A39" s="11"/>
      <c r="B39" s="11" t="s">
        <v>12</v>
      </c>
      <c r="C39" s="12">
        <v>74296.039999999994</v>
      </c>
      <c r="D39" s="13">
        <v>78541.750665</v>
      </c>
      <c r="E39" s="14">
        <f>E38+C39-D39</f>
        <v>121986.18531599993</v>
      </c>
      <c r="F39" s="11"/>
      <c r="G39" s="11" t="s">
        <v>12</v>
      </c>
      <c r="H39" s="15">
        <f>IF(C39="", "", IF(D39="", "",D39-D24))</f>
        <v>26801.711759999998</v>
      </c>
      <c r="I39" s="15">
        <f>IF(D39="", "", IF(E39="", "",E39-E24))</f>
        <v>-74516.565440000064</v>
      </c>
    </row>
    <row r="40" spans="1:9" x14ac:dyDescent="0.25">
      <c r="A40" s="11"/>
      <c r="B40" s="11" t="s">
        <v>13</v>
      </c>
      <c r="C40" s="12">
        <v>93129.091998000004</v>
      </c>
      <c r="D40" s="13">
        <v>30274.095157</v>
      </c>
      <c r="E40" s="14">
        <f>E39+C40-D40</f>
        <v>184841.18215699994</v>
      </c>
      <c r="F40" s="11"/>
      <c r="G40" s="11" t="s">
        <v>13</v>
      </c>
      <c r="H40" s="15">
        <f>IF(C40="", "", IF(D40="", "",D40-D25))</f>
        <v>-20114.420509</v>
      </c>
      <c r="I40" s="15">
        <f>IF(D40="", "", IF(E40="", "",E40-E25))</f>
        <v>37685.677066999953</v>
      </c>
    </row>
    <row r="41" spans="1:9" x14ac:dyDescent="0.25">
      <c r="A41" s="11"/>
      <c r="B41" s="11" t="s">
        <v>14</v>
      </c>
      <c r="C41" s="12">
        <v>37237.89</v>
      </c>
      <c r="D41" s="13">
        <v>71651.188989000002</v>
      </c>
      <c r="E41" s="14">
        <f>E40+C41-D41</f>
        <v>150427.88316799997</v>
      </c>
      <c r="F41" s="11"/>
      <c r="G41" s="11" t="s">
        <v>14</v>
      </c>
      <c r="H41" s="15">
        <f>IF(C41="", "", IF(D41="", "",D41-D26))</f>
        <v>35878.152082000001</v>
      </c>
      <c r="I41" s="15">
        <f>IF(D41="", "", IF(E41="", "",E41-E26))</f>
        <v>-29875.515014000004</v>
      </c>
    </row>
    <row r="42" spans="1:9" x14ac:dyDescent="0.25">
      <c r="A42" s="11"/>
      <c r="B42" s="11" t="s">
        <v>15</v>
      </c>
      <c r="C42" s="12">
        <v>34227.01</v>
      </c>
      <c r="D42" s="13">
        <v>45089.965048999999</v>
      </c>
      <c r="E42" s="14">
        <f>E41+C42-D42</f>
        <v>139564.92811899999</v>
      </c>
      <c r="F42" s="11"/>
      <c r="G42" s="11" t="s">
        <v>15</v>
      </c>
      <c r="H42" s="15">
        <f>IF(C42="", "", IF(D42="", "",D42-D27))</f>
        <v>-15526.279657999999</v>
      </c>
      <c r="I42" s="15">
        <f>IF(D42="", "", IF(E42="", "",E42-E27))</f>
        <v>-21994.545355999988</v>
      </c>
    </row>
    <row r="43" spans="1:9" x14ac:dyDescent="0.25">
      <c r="A43" s="11"/>
      <c r="B43" s="11" t="s">
        <v>16</v>
      </c>
      <c r="C43" s="12">
        <v>120914.609998</v>
      </c>
      <c r="D43" s="13">
        <v>50255.301880999999</v>
      </c>
      <c r="E43" s="14">
        <f>E42+C43-D43</f>
        <v>210224.236236</v>
      </c>
      <c r="F43" s="11"/>
      <c r="G43" s="11" t="s">
        <v>16</v>
      </c>
      <c r="H43" s="15">
        <f>IF(C43="", "", IF(D43="", "",D43-D28))</f>
        <v>-37182.652072000004</v>
      </c>
      <c r="I43" s="15">
        <f>IF(D43="", "", IF(E43="", "",E43-E28))</f>
        <v>-57622.353282999975</v>
      </c>
    </row>
    <row r="44" spans="1:9" x14ac:dyDescent="0.25">
      <c r="A44" s="11"/>
      <c r="B44" s="11" t="s">
        <v>17</v>
      </c>
      <c r="C44" s="12">
        <v>52627.41</v>
      </c>
      <c r="D44" s="13">
        <v>33916.544113999997</v>
      </c>
      <c r="E44" s="14">
        <f>E43+C44-D44</f>
        <v>228935.10212200001</v>
      </c>
      <c r="F44" s="11"/>
      <c r="G44" s="11" t="s">
        <v>17</v>
      </c>
      <c r="H44" s="15">
        <f>IF(C44="", "", IF(D44="", "",D44-D29))</f>
        <v>-116435.47362400001</v>
      </c>
      <c r="I44" s="15">
        <f>IF(D44="", "", IF(E44="", "",E44-E29))</f>
        <v>59234.300341000053</v>
      </c>
    </row>
    <row r="45" spans="1:9" x14ac:dyDescent="0.25">
      <c r="A45" s="16"/>
      <c r="B45" s="16" t="s">
        <v>18</v>
      </c>
      <c r="C45" s="17">
        <v>39418.909999000003</v>
      </c>
      <c r="D45" s="18">
        <v>51959.695117000003</v>
      </c>
      <c r="E45" s="19">
        <f>E44+C45-D45</f>
        <v>216394.31700400004</v>
      </c>
      <c r="F45" s="16"/>
      <c r="G45" s="16" t="s">
        <v>18</v>
      </c>
      <c r="H45" s="20">
        <f>IF(C45="", "", IF(D45="", "",D45-D30))</f>
        <v>24608.171446000004</v>
      </c>
      <c r="I45" s="20">
        <f>IF(D45="", "", IF(E45="", "",E45-E30))</f>
        <v>73498.808894000074</v>
      </c>
    </row>
    <row r="46" spans="1:9" s="2" customFormat="1" x14ac:dyDescent="0.25">
      <c r="A46" s="21"/>
      <c r="B46" s="21" t="s">
        <v>19</v>
      </c>
      <c r="C46" s="22">
        <f>SUM(C34:C45)</f>
        <v>740581.64198900003</v>
      </c>
      <c r="D46" s="23">
        <f>SUM(D34:D45)</f>
        <v>667082.83309500013</v>
      </c>
      <c r="E46" s="14"/>
      <c r="F46" s="21"/>
      <c r="G46" s="21"/>
      <c r="H46" s="14">
        <f>SUMIF(C34:C45,"&gt;=0",H34:H45)</f>
        <v>-33354.847168000022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61715.136832416669</v>
      </c>
      <c r="D47" s="23">
        <f>AVERAGE(D34:D45)</f>
        <v>55590.236091250008</v>
      </c>
      <c r="E47" s="24">
        <f>C47/D47-1</f>
        <v>0.11017943386879647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216394.31700400004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38900.649999000001</v>
      </c>
      <c r="D49" s="27">
        <v>53575.823897000002</v>
      </c>
      <c r="E49" s="28">
        <f>E48+C49-D49</f>
        <v>201719.14310600003</v>
      </c>
      <c r="F49" s="25"/>
      <c r="G49" s="25" t="s">
        <v>7</v>
      </c>
      <c r="H49" s="29">
        <f>IF(C49="", "", IF(D49="", "",D49-D34))</f>
        <v>25751.141365000003</v>
      </c>
      <c r="I49" s="29">
        <f>IF(D49="", "", IF(E49="", "",E49-E34))</f>
        <v>38038.227529000083</v>
      </c>
    </row>
    <row r="50" spans="1:9" x14ac:dyDescent="0.25">
      <c r="A50" s="25"/>
      <c r="B50" s="25" t="s">
        <v>8</v>
      </c>
      <c r="C50" s="26">
        <v>1290.3599999999999</v>
      </c>
      <c r="D50" s="27">
        <v>57262.778228000003</v>
      </c>
      <c r="E50" s="28">
        <f>E49+C50-D50</f>
        <v>145746.72487800001</v>
      </c>
      <c r="F50" s="25"/>
      <c r="G50" s="25" t="s">
        <v>8</v>
      </c>
      <c r="H50" s="29">
        <f>IF(C50="", "", IF(D50="", "",D50-D35))</f>
        <v>-12732.592765999994</v>
      </c>
      <c r="I50" s="29">
        <f>IF(D50="", "", IF(E50="", "",E50-E35))</f>
        <v>1216.3402960000385</v>
      </c>
    </row>
    <row r="51" spans="1:9" x14ac:dyDescent="0.25">
      <c r="A51" s="25"/>
      <c r="B51" s="25" t="s">
        <v>9</v>
      </c>
      <c r="C51" s="26">
        <v>100562.49999700001</v>
      </c>
      <c r="D51" s="27">
        <v>54727.185975</v>
      </c>
      <c r="E51" s="28">
        <f>E50+C51-D51</f>
        <v>191582.03890000001</v>
      </c>
      <c r="F51" s="25"/>
      <c r="G51" s="25" t="s">
        <v>9</v>
      </c>
      <c r="H51" s="29">
        <f>IF(C51="", "", IF(D51="", "",D51-D36))</f>
        <v>-22532.826574000006</v>
      </c>
      <c r="I51" s="29">
        <f>IF(D51="", "", IF(E51="", "",E51-E36))</f>
        <v>45244.916869000066</v>
      </c>
    </row>
    <row r="52" spans="1:9" x14ac:dyDescent="0.25">
      <c r="A52" s="25"/>
      <c r="B52" s="25" t="s">
        <v>10</v>
      </c>
      <c r="C52" s="26">
        <v>95212.829998999994</v>
      </c>
      <c r="D52" s="27">
        <v>78929.456369000007</v>
      </c>
      <c r="E52" s="28">
        <f>E51+C52-D52</f>
        <v>207865.41252999997</v>
      </c>
      <c r="F52" s="25"/>
      <c r="G52" s="25" t="s">
        <v>10</v>
      </c>
      <c r="H52" s="29">
        <f>IF(C52="", "", IF(D52="", "",D52-D37))</f>
        <v>27355.587099000004</v>
      </c>
      <c r="I52" s="29">
        <f>IF(D52="", "", IF(E52="", "",E52-E37))</f>
        <v>113102.15976900002</v>
      </c>
    </row>
    <row r="53" spans="1:9" x14ac:dyDescent="0.25">
      <c r="A53" s="25"/>
      <c r="B53" s="25" t="s">
        <v>11</v>
      </c>
      <c r="C53" s="26">
        <v>1138.96</v>
      </c>
      <c r="D53" s="27">
        <v>27563.548734</v>
      </c>
      <c r="E53" s="28">
        <f>E52+C53-D53</f>
        <v>181440.82379599995</v>
      </c>
      <c r="F53" s="25"/>
      <c r="G53" s="25" t="s">
        <v>11</v>
      </c>
      <c r="H53" s="29">
        <f>IF(C53="", "", IF(D53="", "",D53-D38))</f>
        <v>-51176.808044000005</v>
      </c>
      <c r="I53" s="29">
        <f>IF(D53="", "", IF(E53="", "",E53-E38))</f>
        <v>55208.927815000017</v>
      </c>
    </row>
    <row r="54" spans="1:9" x14ac:dyDescent="0.25">
      <c r="A54" s="25"/>
      <c r="B54" s="25" t="s">
        <v>12</v>
      </c>
      <c r="C54" s="26">
        <v>242891.509999</v>
      </c>
      <c r="D54" s="27">
        <v>51524.898135000003</v>
      </c>
      <c r="E54" s="28">
        <f>E53+C54-D54</f>
        <v>372807.43565999996</v>
      </c>
      <c r="F54" s="25"/>
      <c r="G54" s="25" t="s">
        <v>12</v>
      </c>
      <c r="H54" s="29">
        <f>IF(C54="", "", IF(D54="", "",D54-D39))</f>
        <v>-27016.852529999996</v>
      </c>
      <c r="I54" s="29">
        <f>IF(D54="", "", IF(E54="", "",E54-E39))</f>
        <v>250821.25034400003</v>
      </c>
    </row>
    <row r="55" spans="1:9" x14ac:dyDescent="0.25">
      <c r="A55" s="25"/>
      <c r="B55" s="25" t="s">
        <v>13</v>
      </c>
      <c r="C55" s="26">
        <v>20123.310000000001</v>
      </c>
      <c r="D55" s="27">
        <v>65662.671583999996</v>
      </c>
      <c r="E55" s="28">
        <f>E54+C55-D55</f>
        <v>327268.07407599996</v>
      </c>
      <c r="F55" s="25"/>
      <c r="G55" s="25" t="s">
        <v>13</v>
      </c>
      <c r="H55" s="29">
        <f>IF(C55="", "", IF(D55="", "",D55-D40))</f>
        <v>35388.576426999993</v>
      </c>
      <c r="I55" s="29">
        <f>IF(D55="", "", IF(E55="", "",E55-E40))</f>
        <v>142426.89191900002</v>
      </c>
    </row>
    <row r="56" spans="1:9" x14ac:dyDescent="0.25">
      <c r="A56" s="25"/>
      <c r="B56" s="25" t="s">
        <v>14</v>
      </c>
      <c r="C56" s="26">
        <v>17962.7</v>
      </c>
      <c r="D56" s="27">
        <v>42762.445326000001</v>
      </c>
      <c r="E56" s="28">
        <f>E55+C56-D56</f>
        <v>302468.32874999999</v>
      </c>
      <c r="F56" s="25"/>
      <c r="G56" s="25" t="s">
        <v>14</v>
      </c>
      <c r="H56" s="29">
        <f>IF(C56="", "", IF(D56="", "",D56-D41))</f>
        <v>-28888.743663000001</v>
      </c>
      <c r="I56" s="29">
        <f>IF(D56="", "", IF(E56="", "",E56-E41))</f>
        <v>152040.44558200001</v>
      </c>
    </row>
    <row r="57" spans="1:9" x14ac:dyDescent="0.25">
      <c r="A57" s="25"/>
      <c r="B57" s="25" t="s">
        <v>15</v>
      </c>
      <c r="C57" s="26">
        <v>29090.67</v>
      </c>
      <c r="D57" s="27">
        <v>66183.245876000001</v>
      </c>
      <c r="E57" s="28">
        <f>E56+C57-D57</f>
        <v>265375.752874</v>
      </c>
      <c r="F57" s="25"/>
      <c r="G57" s="25" t="s">
        <v>15</v>
      </c>
      <c r="H57" s="29">
        <f>IF(C57="", "", IF(D57="", "",D57-D42))</f>
        <v>21093.280827000002</v>
      </c>
      <c r="I57" s="29">
        <f>IF(D57="", "", IF(E57="", "",E57-E42))</f>
        <v>125810.82475500001</v>
      </c>
    </row>
    <row r="58" spans="1:9" x14ac:dyDescent="0.25">
      <c r="A58" s="25"/>
      <c r="B58" s="25" t="s">
        <v>16</v>
      </c>
      <c r="C58" s="26">
        <v>4870.34</v>
      </c>
      <c r="D58" s="27">
        <v>42582.796569999999</v>
      </c>
      <c r="E58" s="28">
        <f>E57+C58-D58</f>
        <v>227663.29630400002</v>
      </c>
      <c r="F58" s="25"/>
      <c r="G58" s="25" t="s">
        <v>16</v>
      </c>
      <c r="H58" s="29">
        <f>IF(C58="", "", IF(D58="", "",D58-D43))</f>
        <v>-7672.5053110000008</v>
      </c>
      <c r="I58" s="29">
        <f>IF(D58="", "", IF(E58="", "",E58-E43))</f>
        <v>17439.060068000021</v>
      </c>
    </row>
    <row r="59" spans="1:9" x14ac:dyDescent="0.25">
      <c r="A59" s="25"/>
      <c r="B59" s="25" t="s">
        <v>17</v>
      </c>
      <c r="C59" s="26">
        <v>54001.809998999997</v>
      </c>
      <c r="D59" s="27">
        <v>60343.814128999999</v>
      </c>
      <c r="E59" s="28">
        <f>E58+C59-D59</f>
        <v>221321.292174</v>
      </c>
      <c r="F59" s="25"/>
      <c r="G59" s="25" t="s">
        <v>17</v>
      </c>
      <c r="H59" s="29">
        <f>IF(C59="", "", IF(D59="", "",D59-D44))</f>
        <v>26427.270015000002</v>
      </c>
      <c r="I59" s="29">
        <f>IF(D59="", "", IF(E59="", "",E59-E44))</f>
        <v>-7613.8099480000092</v>
      </c>
    </row>
    <row r="60" spans="1:9" x14ac:dyDescent="0.25">
      <c r="A60" s="30"/>
      <c r="B60" s="30" t="s">
        <v>18</v>
      </c>
      <c r="C60" s="31">
        <v>0</v>
      </c>
      <c r="D60" s="32">
        <v>22520.745704000001</v>
      </c>
      <c r="E60" s="33">
        <f>E59+C60-D60</f>
        <v>198800.54647</v>
      </c>
      <c r="F60" s="30"/>
      <c r="G60" s="30" t="s">
        <v>18</v>
      </c>
      <c r="H60" s="34">
        <f>IF(C60="", "", IF(D60="", "",D60-D45))</f>
        <v>-29438.949413000002</v>
      </c>
      <c r="I60" s="34">
        <f>IF(D60="", "", IF(E60="", "",E60-E45))</f>
        <v>-17593.770534000039</v>
      </c>
    </row>
    <row r="61" spans="1:9" s="2" customFormat="1" x14ac:dyDescent="0.25">
      <c r="A61" s="35"/>
      <c r="B61" s="35" t="s">
        <v>19</v>
      </c>
      <c r="C61" s="36">
        <f>SUM(C49:C60)</f>
        <v>606045.63999300008</v>
      </c>
      <c r="D61" s="37">
        <f>SUM(D49:D60)</f>
        <v>623639.41052699997</v>
      </c>
      <c r="E61" s="28"/>
      <c r="F61" s="35"/>
      <c r="G61" s="35"/>
      <c r="H61" s="28">
        <f>SUMIF(C49:C60,"&gt;=0",H49:H60)</f>
        <v>-43443.422568000002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50503.803332750009</v>
      </c>
      <c r="D62" s="37">
        <f>AVERAGE(D49:D60)</f>
        <v>51969.950877249998</v>
      </c>
      <c r="E62" s="38">
        <f>C62/D62-1</f>
        <v>-2.821144757213534E-2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198800.54647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16957.989814</v>
      </c>
      <c r="E64" s="14">
        <f>E63+C64-D64</f>
        <v>181842.556656</v>
      </c>
      <c r="F64" s="11"/>
      <c r="G64" s="11" t="s">
        <v>7</v>
      </c>
      <c r="H64" s="15">
        <f>IF(C64="", "", IF(D64="", "",D64-D49))</f>
        <v>-36617.834083000002</v>
      </c>
      <c r="I64" s="15">
        <f>IF(D64="", "", IF(E64="", "",E64-E49))</f>
        <v>-19876.586450000032</v>
      </c>
    </row>
    <row r="65" spans="1:9" x14ac:dyDescent="0.25">
      <c r="A65" s="11"/>
      <c r="B65" s="11" t="s">
        <v>8</v>
      </c>
      <c r="C65" s="12">
        <v>44701.339999000003</v>
      </c>
      <c r="D65" s="13">
        <v>31400.882343000001</v>
      </c>
      <c r="E65" s="14">
        <f>E64+C65-D65</f>
        <v>195143.01431199998</v>
      </c>
      <c r="F65" s="11"/>
      <c r="G65" s="11" t="s">
        <v>8</v>
      </c>
      <c r="H65" s="15">
        <f>IF(C65="", "", IF(D65="", "",D65-D50))</f>
        <v>-25861.895885000002</v>
      </c>
      <c r="I65" s="15">
        <f>IF(D65="", "", IF(E65="", "",E65-E50))</f>
        <v>49396.289433999977</v>
      </c>
    </row>
    <row r="66" spans="1:9" x14ac:dyDescent="0.25">
      <c r="A66" s="11"/>
      <c r="B66" s="11" t="s">
        <v>9</v>
      </c>
      <c r="C66" s="12">
        <v>64826.849998999998</v>
      </c>
      <c r="D66" s="13">
        <v>56170.283295000001</v>
      </c>
      <c r="E66" s="14">
        <f>E65+C66-D66</f>
        <v>203799.58101599998</v>
      </c>
      <c r="F66" s="11"/>
      <c r="G66" s="11" t="s">
        <v>9</v>
      </c>
      <c r="H66" s="15">
        <f>IF(C66="", "", IF(D66="", "",D66-D51))</f>
        <v>1443.0973200000008</v>
      </c>
      <c r="I66" s="15">
        <f>IF(D66="", "", IF(E66="", "",E66-E51))</f>
        <v>12217.542115999968</v>
      </c>
    </row>
    <row r="67" spans="1:9" x14ac:dyDescent="0.25">
      <c r="A67" s="11"/>
      <c r="B67" s="11" t="s">
        <v>10</v>
      </c>
      <c r="C67" s="12">
        <v>61526.659998000003</v>
      </c>
      <c r="D67" s="13">
        <v>75602.924830999997</v>
      </c>
      <c r="E67" s="14">
        <f>E66+C67-D67</f>
        <v>189723.31618299999</v>
      </c>
      <c r="F67" s="11"/>
      <c r="G67" s="11" t="s">
        <v>10</v>
      </c>
      <c r="H67" s="15">
        <f>IF(C67="", "", IF(D67="", "",D67-D52))</f>
        <v>-3326.5315380000102</v>
      </c>
      <c r="I67" s="15">
        <f>IF(D67="", "", IF(E67="", "",E67-E52))</f>
        <v>-18142.096346999984</v>
      </c>
    </row>
    <row r="68" spans="1:9" x14ac:dyDescent="0.25">
      <c r="A68" s="11"/>
      <c r="B68" s="11" t="s">
        <v>11</v>
      </c>
      <c r="C68" s="12">
        <v>116856.60999899999</v>
      </c>
      <c r="D68" s="13">
        <v>148042.19450499999</v>
      </c>
      <c r="E68" s="14">
        <f>E67+C68-D68</f>
        <v>158537.73167699997</v>
      </c>
      <c r="F68" s="11"/>
      <c r="G68" s="11" t="s">
        <v>11</v>
      </c>
      <c r="H68" s="15">
        <f>IF(C68="", "", IF(D68="", "",D68-D53))</f>
        <v>120478.645771</v>
      </c>
      <c r="I68" s="15">
        <f>IF(D68="", "", IF(E68="", "",E68-E53))</f>
        <v>-22903.092118999979</v>
      </c>
    </row>
    <row r="69" spans="1:9" x14ac:dyDescent="0.25">
      <c r="A69" s="11"/>
      <c r="B69" s="11" t="s">
        <v>12</v>
      </c>
      <c r="C69" s="12">
        <v>43784.76</v>
      </c>
      <c r="D69" s="13">
        <v>43841.144257</v>
      </c>
      <c r="E69" s="14">
        <f>E68+C69-D69</f>
        <v>158481.34741999998</v>
      </c>
      <c r="F69" s="11"/>
      <c r="G69" s="11" t="s">
        <v>12</v>
      </c>
      <c r="H69" s="15">
        <f>IF(C69="", "", IF(D69="", "",D69-D54))</f>
        <v>-7683.7538780000032</v>
      </c>
      <c r="I69" s="15">
        <f>IF(D69="", "", IF(E69="", "",E69-E54))</f>
        <v>-214326.08823999998</v>
      </c>
    </row>
    <row r="70" spans="1:9" x14ac:dyDescent="0.25">
      <c r="A70" s="11"/>
      <c r="B70" s="11" t="s">
        <v>13</v>
      </c>
      <c r="C70" s="12">
        <v>65584.78</v>
      </c>
      <c r="D70" s="13">
        <v>34562.577178</v>
      </c>
      <c r="E70" s="14">
        <f>E69+C70-D70</f>
        <v>189503.55024199997</v>
      </c>
      <c r="F70" s="11"/>
      <c r="G70" s="11" t="s">
        <v>13</v>
      </c>
      <c r="H70" s="15">
        <f>IF(C70="", "", IF(D70="", "",D70-D55))</f>
        <v>-31100.094405999997</v>
      </c>
      <c r="I70" s="15">
        <f>IF(D70="", "", IF(E70="", "",E70-E55))</f>
        <v>-137764.52383399999</v>
      </c>
    </row>
    <row r="71" spans="1:9" x14ac:dyDescent="0.25">
      <c r="A71" s="11"/>
      <c r="B71" s="11" t="s">
        <v>14</v>
      </c>
      <c r="C71" s="12">
        <v>9247.26</v>
      </c>
      <c r="D71" s="13">
        <v>47485.008543999997</v>
      </c>
      <c r="E71" s="14">
        <f>E70+C71-D71</f>
        <v>151265.801698</v>
      </c>
      <c r="F71" s="11"/>
      <c r="G71" s="11" t="s">
        <v>14</v>
      </c>
      <c r="H71" s="15">
        <f>IF(C71="", "", IF(D71="", "",D71-D56))</f>
        <v>4722.5632179999957</v>
      </c>
      <c r="I71" s="15">
        <f>IF(D71="", "", IF(E71="", "",E71-E56))</f>
        <v>-151202.52705199999</v>
      </c>
    </row>
    <row r="72" spans="1:9" x14ac:dyDescent="0.25">
      <c r="A72" s="11"/>
      <c r="B72" s="11" t="s">
        <v>15</v>
      </c>
      <c r="C72" s="12">
        <v>8355.67</v>
      </c>
      <c r="D72" s="13">
        <v>26795.890518</v>
      </c>
      <c r="E72" s="14">
        <f>E71+C72-D72</f>
        <v>132825.58118000001</v>
      </c>
      <c r="F72" s="11"/>
      <c r="G72" s="11" t="s">
        <v>15</v>
      </c>
      <c r="H72" s="15">
        <f>IF(C72="", "", IF(D72="", "",D72-D57))</f>
        <v>-39387.355358000001</v>
      </c>
      <c r="I72" s="15">
        <f>IF(D72="", "", IF(E72="", "",E72-E57))</f>
        <v>-132550.17169399999</v>
      </c>
    </row>
    <row r="73" spans="1:9" x14ac:dyDescent="0.25">
      <c r="A73" s="11"/>
      <c r="B73" s="11" t="s">
        <v>16</v>
      </c>
      <c r="C73" s="12">
        <v>85121.379998000004</v>
      </c>
      <c r="D73" s="13">
        <v>51405.279283999997</v>
      </c>
      <c r="E73" s="14">
        <f>E72+C73-D73</f>
        <v>166541.68189400004</v>
      </c>
      <c r="F73" s="11"/>
      <c r="G73" s="11" t="s">
        <v>16</v>
      </c>
      <c r="H73" s="15">
        <f>IF(C73="", "", IF(D73="", "",D73-D58))</f>
        <v>8822.4827139999979</v>
      </c>
      <c r="I73" s="15">
        <f>IF(D73="", "", IF(E73="", "",E73-E58))</f>
        <v>-61121.61440999998</v>
      </c>
    </row>
    <row r="74" spans="1:9" x14ac:dyDescent="0.25">
      <c r="A74" s="11"/>
      <c r="B74" s="11" t="s">
        <v>17</v>
      </c>
      <c r="C74" s="12">
        <v>0</v>
      </c>
      <c r="D74" s="13">
        <v>19730.825052</v>
      </c>
      <c r="E74" s="14">
        <f>E73+C74-D74</f>
        <v>146810.85684200004</v>
      </c>
      <c r="F74" s="11"/>
      <c r="G74" s="11" t="s">
        <v>17</v>
      </c>
      <c r="H74" s="15">
        <f>IF(C74="", "", IF(D74="", "",D74-D59))</f>
        <v>-40612.989076999998</v>
      </c>
      <c r="I74" s="15">
        <f>IF(D74="", "", IF(E74="", "",E74-E59))</f>
        <v>-74510.435331999965</v>
      </c>
    </row>
    <row r="75" spans="1:9" x14ac:dyDescent="0.25">
      <c r="A75" s="16"/>
      <c r="B75" s="16" t="s">
        <v>18</v>
      </c>
      <c r="C75" s="17">
        <v>0</v>
      </c>
      <c r="D75" s="18">
        <v>19811.316803000002</v>
      </c>
      <c r="E75" s="19">
        <f>E74+C75-D75</f>
        <v>126999.54003900004</v>
      </c>
      <c r="F75" s="16"/>
      <c r="G75" s="16" t="s">
        <v>18</v>
      </c>
      <c r="H75" s="20">
        <f>IF(C75="", "", IF(D75="", "",D75-D60))</f>
        <v>-2709.4289009999993</v>
      </c>
      <c r="I75" s="20">
        <f>IF(D75="", "", IF(E75="", "",E75-E60))</f>
        <v>-71801.006430999958</v>
      </c>
    </row>
    <row r="76" spans="1:9" s="2" customFormat="1" x14ac:dyDescent="0.25">
      <c r="A76" s="21"/>
      <c r="B76" s="21" t="s">
        <v>19</v>
      </c>
      <c r="C76" s="22">
        <f>SUM(C64:C75)</f>
        <v>500005.30999299994</v>
      </c>
      <c r="D76" s="23">
        <f>SUM(D64:D75)</f>
        <v>571806.31642400008</v>
      </c>
      <c r="E76" s="14"/>
      <c r="F76" s="21"/>
      <c r="G76" s="21"/>
      <c r="H76" s="14">
        <f>SUMIF(C64:C75,"&gt;=0",H64:H75)</f>
        <v>-51833.094103000018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41667.109166083326</v>
      </c>
      <c r="D77" s="23">
        <f>AVERAGE(D64:D75)</f>
        <v>47650.526368666673</v>
      </c>
      <c r="E77" s="24">
        <f>C77/D77-1</f>
        <v>-0.12556875355983121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126999.54003900004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126999.54003900004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126999.54003900004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126999.54003900004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126999.54003900004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126999.54003900004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126999.54003900004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126999.54003900004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126999.54003900004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126999.54003900004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126999.54003900004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126999.54003900004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126999.54003900004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1378A-3CBB-48CA-A217-5827C08917DA}">
  <sheetPr codeName="Sheet19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148085.608366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22110.37</v>
      </c>
      <c r="D4" s="13">
        <v>20914.912264999999</v>
      </c>
      <c r="E4" s="14">
        <f>E3+C4-D4</f>
        <v>149281.066101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37310.490400000002</v>
      </c>
      <c r="D5" s="13">
        <v>34543.719706999997</v>
      </c>
      <c r="E5" s="14">
        <f>E4+C5-D5</f>
        <v>152047.836794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104814.89</v>
      </c>
      <c r="D6" s="13">
        <v>74476.908202999999</v>
      </c>
      <c r="E6" s="14">
        <f>E5+C6-D6</f>
        <v>182385.81859100002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73904.039999999994</v>
      </c>
      <c r="D7" s="13">
        <v>92843.006030999997</v>
      </c>
      <c r="E7" s="14">
        <f>E6+C7-D7</f>
        <v>163446.85256000003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75125.289999999994</v>
      </c>
      <c r="D8" s="13">
        <v>68665.651847000001</v>
      </c>
      <c r="E8" s="14">
        <f>E7+C8-D8</f>
        <v>169906.49071300001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49667.63</v>
      </c>
      <c r="D9" s="13">
        <v>49624.269967</v>
      </c>
      <c r="E9" s="14">
        <f>E8+C9-D9</f>
        <v>169949.85074600001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64066.43</v>
      </c>
      <c r="D10" s="13">
        <v>74820.665298000007</v>
      </c>
      <c r="E10" s="14">
        <f>E9+C10-D10</f>
        <v>159195.615448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44908.52</v>
      </c>
      <c r="D11" s="13">
        <v>53047.411209999998</v>
      </c>
      <c r="E11" s="14">
        <f>E10+C11-D11</f>
        <v>151056.724238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94992.46</v>
      </c>
      <c r="D12" s="13">
        <v>76885.344752000005</v>
      </c>
      <c r="E12" s="14">
        <f>E11+C12-D12</f>
        <v>169163.83948600001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19216.11</v>
      </c>
      <c r="D13" s="13">
        <v>41475.354722999997</v>
      </c>
      <c r="E13" s="14">
        <f>E12+C13-D13</f>
        <v>146904.594763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61510.92</v>
      </c>
      <c r="D14" s="13">
        <v>54342.040374999997</v>
      </c>
      <c r="E14" s="14">
        <f>E13+C14-D14</f>
        <v>154073.47438800003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112442.62</v>
      </c>
      <c r="D15" s="18">
        <v>99412.911116000003</v>
      </c>
      <c r="E15" s="19">
        <f>E14+C15-D15</f>
        <v>167103.18327200002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760069.77040000004</v>
      </c>
      <c r="D16" s="23">
        <f>SUM(D4:D15)</f>
        <v>741052.19549399999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63339.147533333336</v>
      </c>
      <c r="D17" s="23">
        <f>AVERAGE(D4:D15)</f>
        <v>61754.349624499999</v>
      </c>
      <c r="E17" s="24">
        <f>C17/D17-1</f>
        <v>2.5662935784600993E-2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167103.18327200002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114941.66</v>
      </c>
      <c r="D19" s="27">
        <v>120116.90923200001</v>
      </c>
      <c r="E19" s="28">
        <f>E18+C19-D19</f>
        <v>161927.93404000002</v>
      </c>
      <c r="F19" s="25"/>
      <c r="G19" s="25" t="s">
        <v>7</v>
      </c>
      <c r="H19" s="29">
        <f>IF(C19="", "", IF(D19="", "",D19-D4))</f>
        <v>99201.996967000014</v>
      </c>
      <c r="I19" s="29">
        <f>IF(D19="", "", IF(E19="", "",E19-E4))</f>
        <v>12646.867939000018</v>
      </c>
    </row>
    <row r="20" spans="1:9" x14ac:dyDescent="0.25">
      <c r="A20" s="25"/>
      <c r="B20" s="25" t="s">
        <v>8</v>
      </c>
      <c r="C20" s="26">
        <v>113154.79</v>
      </c>
      <c r="D20" s="27">
        <v>76285.605037999994</v>
      </c>
      <c r="E20" s="28">
        <f>E19+C20-D20</f>
        <v>198797.11900200002</v>
      </c>
      <c r="F20" s="25"/>
      <c r="G20" s="25" t="s">
        <v>8</v>
      </c>
      <c r="H20" s="29">
        <f>IF(C20="", "", IF(D20="", "",D20-D5))</f>
        <v>41741.885330999998</v>
      </c>
      <c r="I20" s="29">
        <f>IF(D20="", "", IF(E20="", "",E20-E5))</f>
        <v>46749.282208000019</v>
      </c>
    </row>
    <row r="21" spans="1:9" x14ac:dyDescent="0.25">
      <c r="A21" s="25"/>
      <c r="B21" s="25" t="s">
        <v>9</v>
      </c>
      <c r="C21" s="26">
        <v>38979.300000000003</v>
      </c>
      <c r="D21" s="27">
        <v>58097.032243000001</v>
      </c>
      <c r="E21" s="28">
        <f>E20+C21-D21</f>
        <v>179679.38675900002</v>
      </c>
      <c r="F21" s="25"/>
      <c r="G21" s="25" t="s">
        <v>9</v>
      </c>
      <c r="H21" s="29">
        <f>IF(C21="", "", IF(D21="", "",D21-D6))</f>
        <v>-16379.875959999998</v>
      </c>
      <c r="I21" s="29">
        <f>IF(D21="", "", IF(E21="", "",E21-E6))</f>
        <v>-2706.431832000002</v>
      </c>
    </row>
    <row r="22" spans="1:9" x14ac:dyDescent="0.25">
      <c r="A22" s="25"/>
      <c r="B22" s="25" t="s">
        <v>10</v>
      </c>
      <c r="C22" s="26">
        <v>49769.79</v>
      </c>
      <c r="D22" s="27">
        <v>58921.493901000002</v>
      </c>
      <c r="E22" s="28">
        <f>E21+C22-D22</f>
        <v>170527.68285800001</v>
      </c>
      <c r="F22" s="25"/>
      <c r="G22" s="25" t="s">
        <v>10</v>
      </c>
      <c r="H22" s="29">
        <f>IF(C22="", "", IF(D22="", "",D22-D7))</f>
        <v>-33921.512129999996</v>
      </c>
      <c r="I22" s="29">
        <f>IF(D22="", "", IF(E22="", "",E22-E7))</f>
        <v>7080.8302979999862</v>
      </c>
    </row>
    <row r="23" spans="1:9" x14ac:dyDescent="0.25">
      <c r="A23" s="25"/>
      <c r="B23" s="25" t="s">
        <v>11</v>
      </c>
      <c r="C23" s="26">
        <v>21292.33</v>
      </c>
      <c r="D23" s="27">
        <v>51319.360829999998</v>
      </c>
      <c r="E23" s="28">
        <f>E22+C23-D23</f>
        <v>140500.65202800001</v>
      </c>
      <c r="F23" s="25"/>
      <c r="G23" s="25" t="s">
        <v>11</v>
      </c>
      <c r="H23" s="29">
        <f>IF(C23="", "", IF(D23="", "",D23-D8))</f>
        <v>-17346.291017000003</v>
      </c>
      <c r="I23" s="29">
        <f>IF(D23="", "", IF(E23="", "",E23-E8))</f>
        <v>-29405.838684999995</v>
      </c>
    </row>
    <row r="24" spans="1:9" x14ac:dyDescent="0.25">
      <c r="A24" s="25"/>
      <c r="B24" s="25" t="s">
        <v>12</v>
      </c>
      <c r="C24" s="26">
        <v>59269.65</v>
      </c>
      <c r="D24" s="27">
        <v>58933.32561</v>
      </c>
      <c r="E24" s="28">
        <f>E23+C24-D24</f>
        <v>140836.97641800001</v>
      </c>
      <c r="F24" s="25"/>
      <c r="G24" s="25" t="s">
        <v>12</v>
      </c>
      <c r="H24" s="29">
        <f>IF(C24="", "", IF(D24="", "",D24-D9))</f>
        <v>9309.0556429999997</v>
      </c>
      <c r="I24" s="29">
        <f>IF(D24="", "", IF(E24="", "",E24-E9))</f>
        <v>-29112.874328000005</v>
      </c>
    </row>
    <row r="25" spans="1:9" x14ac:dyDescent="0.25">
      <c r="A25" s="25"/>
      <c r="B25" s="25" t="s">
        <v>13</v>
      </c>
      <c r="C25" s="26">
        <v>100501.08</v>
      </c>
      <c r="D25" s="27">
        <v>78647.838596000001</v>
      </c>
      <c r="E25" s="28">
        <f>E24+C25-D25</f>
        <v>162690.21782200004</v>
      </c>
      <c r="F25" s="25"/>
      <c r="G25" s="25" t="s">
        <v>13</v>
      </c>
      <c r="H25" s="29">
        <f>IF(C25="", "", IF(D25="", "",D25-D10))</f>
        <v>3827.1732979999942</v>
      </c>
      <c r="I25" s="29">
        <f>IF(D25="", "", IF(E25="", "",E25-E10))</f>
        <v>3494.6023740000383</v>
      </c>
    </row>
    <row r="26" spans="1:9" x14ac:dyDescent="0.25">
      <c r="A26" s="25"/>
      <c r="B26" s="25" t="s">
        <v>14</v>
      </c>
      <c r="C26" s="26">
        <v>167798.93973400001</v>
      </c>
      <c r="D26" s="27">
        <v>87116.970784000005</v>
      </c>
      <c r="E26" s="28">
        <f>E25+C26-D26</f>
        <v>243372.18677200004</v>
      </c>
      <c r="F26" s="25"/>
      <c r="G26" s="25" t="s">
        <v>14</v>
      </c>
      <c r="H26" s="29">
        <f>IF(C26="", "", IF(D26="", "",D26-D11))</f>
        <v>34069.559574000006</v>
      </c>
      <c r="I26" s="29">
        <f>IF(D26="", "", IF(E26="", "",E26-E11))</f>
        <v>92315.462534000049</v>
      </c>
    </row>
    <row r="27" spans="1:9" x14ac:dyDescent="0.25">
      <c r="A27" s="25"/>
      <c r="B27" s="25" t="s">
        <v>15</v>
      </c>
      <c r="C27" s="26">
        <v>96731.65</v>
      </c>
      <c r="D27" s="27">
        <v>93875.419882999995</v>
      </c>
      <c r="E27" s="28">
        <f>E26+C27-D27</f>
        <v>246228.41688900007</v>
      </c>
      <c r="F27" s="25"/>
      <c r="G27" s="25" t="s">
        <v>15</v>
      </c>
      <c r="H27" s="29">
        <f>IF(C27="", "", IF(D27="", "",D27-D12))</f>
        <v>16990.075130999991</v>
      </c>
      <c r="I27" s="29">
        <f>IF(D27="", "", IF(E27="", "",E27-E12))</f>
        <v>77064.577403000061</v>
      </c>
    </row>
    <row r="28" spans="1:9" x14ac:dyDescent="0.25">
      <c r="A28" s="25"/>
      <c r="B28" s="25" t="s">
        <v>16</v>
      </c>
      <c r="C28" s="26">
        <v>114686.84</v>
      </c>
      <c r="D28" s="27">
        <v>118898.343666</v>
      </c>
      <c r="E28" s="28">
        <f>E27+C28-D28</f>
        <v>242016.91322300007</v>
      </c>
      <c r="F28" s="25"/>
      <c r="G28" s="25" t="s">
        <v>16</v>
      </c>
      <c r="H28" s="29">
        <f>IF(C28="", "", IF(D28="", "",D28-D13))</f>
        <v>77422.988943000004</v>
      </c>
      <c r="I28" s="29">
        <f>IF(D28="", "", IF(E28="", "",E28-E13))</f>
        <v>95112.318460000068</v>
      </c>
    </row>
    <row r="29" spans="1:9" x14ac:dyDescent="0.25">
      <c r="A29" s="25"/>
      <c r="B29" s="25" t="s">
        <v>17</v>
      </c>
      <c r="C29" s="26">
        <v>122311.38</v>
      </c>
      <c r="D29" s="27">
        <v>76181.997491999995</v>
      </c>
      <c r="E29" s="28">
        <f>E28+C29-D29</f>
        <v>288146.29573100008</v>
      </c>
      <c r="F29" s="25"/>
      <c r="G29" s="25" t="s">
        <v>17</v>
      </c>
      <c r="H29" s="29">
        <f>IF(C29="", "", IF(D29="", "",D29-D14))</f>
        <v>21839.957116999998</v>
      </c>
      <c r="I29" s="29">
        <f>IF(D29="", "", IF(E29="", "",E29-E14))</f>
        <v>134072.82134300005</v>
      </c>
    </row>
    <row r="30" spans="1:9" x14ac:dyDescent="0.25">
      <c r="A30" s="30"/>
      <c r="B30" s="30" t="s">
        <v>18</v>
      </c>
      <c r="C30" s="31">
        <v>50698.5</v>
      </c>
      <c r="D30" s="32">
        <v>130709.827949</v>
      </c>
      <c r="E30" s="33">
        <f>E29+C30-D30</f>
        <v>208134.96778200008</v>
      </c>
      <c r="F30" s="30"/>
      <c r="G30" s="30" t="s">
        <v>18</v>
      </c>
      <c r="H30" s="34">
        <f>IF(C30="", "", IF(D30="", "",D30-D15))</f>
        <v>31296.916832999996</v>
      </c>
      <c r="I30" s="34">
        <f>IF(D30="", "", IF(E30="", "",E30-E15))</f>
        <v>41031.784510000056</v>
      </c>
    </row>
    <row r="31" spans="1:9" s="2" customFormat="1" x14ac:dyDescent="0.25">
      <c r="A31" s="35"/>
      <c r="B31" s="35" t="s">
        <v>19</v>
      </c>
      <c r="C31" s="36">
        <f>SUM(C19:C30)</f>
        <v>1050135.909734</v>
      </c>
      <c r="D31" s="37">
        <f>SUM(D19:D30)</f>
        <v>1009104.1252240001</v>
      </c>
      <c r="E31" s="28"/>
      <c r="F31" s="35"/>
      <c r="G31" s="35"/>
      <c r="H31" s="28">
        <f>SUMIF(C19:C30,"&gt;=0",H19:H30)</f>
        <v>268051.92972999997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87511.325811166666</v>
      </c>
      <c r="D32" s="37">
        <f>AVERAGE(D19:D30)</f>
        <v>84092.010435333345</v>
      </c>
      <c r="E32" s="38">
        <f>C32/D32-1</f>
        <v>4.0661596245968878E-2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208134.96778200008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48448.09</v>
      </c>
      <c r="D34" s="13">
        <v>76213.217556999996</v>
      </c>
      <c r="E34" s="14">
        <f>E33+C34-D34</f>
        <v>180369.84022500008</v>
      </c>
      <c r="F34" s="11"/>
      <c r="G34" s="11" t="s">
        <v>7</v>
      </c>
      <c r="H34" s="15">
        <f>IF(C34="", "", IF(D34="", "",D34-D19))</f>
        <v>-43903.691675000009</v>
      </c>
      <c r="I34" s="15">
        <f>IF(D34="", "", IF(E34="", "",E34-E19))</f>
        <v>18441.906185000058</v>
      </c>
    </row>
    <row r="35" spans="1:9" x14ac:dyDescent="0.25">
      <c r="A35" s="11"/>
      <c r="B35" s="11" t="s">
        <v>8</v>
      </c>
      <c r="C35" s="12">
        <v>215071.7</v>
      </c>
      <c r="D35" s="13">
        <v>202840.72331</v>
      </c>
      <c r="E35" s="14">
        <f>E34+C35-D35</f>
        <v>192600.81691500012</v>
      </c>
      <c r="F35" s="11"/>
      <c r="G35" s="11" t="s">
        <v>8</v>
      </c>
      <c r="H35" s="15">
        <f>IF(C35="", "", IF(D35="", "",D35-D20))</f>
        <v>126555.11827200001</v>
      </c>
      <c r="I35" s="15">
        <f>IF(D35="", "", IF(E35="", "",E35-E20))</f>
        <v>-6196.3020869999018</v>
      </c>
    </row>
    <row r="36" spans="1:9" x14ac:dyDescent="0.25">
      <c r="A36" s="11"/>
      <c r="B36" s="11" t="s">
        <v>9</v>
      </c>
      <c r="C36" s="12">
        <v>146869.44</v>
      </c>
      <c r="D36" s="13">
        <v>116083.267276</v>
      </c>
      <c r="E36" s="14">
        <f>E35+C36-D36</f>
        <v>223386.98963900015</v>
      </c>
      <c r="F36" s="11"/>
      <c r="G36" s="11" t="s">
        <v>9</v>
      </c>
      <c r="H36" s="15">
        <f>IF(C36="", "", IF(D36="", "",D36-D21))</f>
        <v>57986.235032999997</v>
      </c>
      <c r="I36" s="15">
        <f>IF(D36="", "", IF(E36="", "",E36-E21))</f>
        <v>43707.602880000137</v>
      </c>
    </row>
    <row r="37" spans="1:9" x14ac:dyDescent="0.25">
      <c r="A37" s="11"/>
      <c r="B37" s="11" t="s">
        <v>10</v>
      </c>
      <c r="C37" s="12">
        <v>54731.38</v>
      </c>
      <c r="D37" s="13">
        <v>76237.305710000001</v>
      </c>
      <c r="E37" s="14">
        <f>E36+C37-D37</f>
        <v>201881.06392900017</v>
      </c>
      <c r="F37" s="11"/>
      <c r="G37" s="11" t="s">
        <v>10</v>
      </c>
      <c r="H37" s="15">
        <f>IF(C37="", "", IF(D37="", "",D37-D22))</f>
        <v>17315.811808999999</v>
      </c>
      <c r="I37" s="15">
        <f>IF(D37="", "", IF(E37="", "",E37-E22))</f>
        <v>31353.381071000156</v>
      </c>
    </row>
    <row r="38" spans="1:9" x14ac:dyDescent="0.25">
      <c r="A38" s="11"/>
      <c r="B38" s="11" t="s">
        <v>11</v>
      </c>
      <c r="C38" s="12">
        <v>84829.2</v>
      </c>
      <c r="D38" s="13">
        <v>115683.486057</v>
      </c>
      <c r="E38" s="14">
        <f>E37+C38-D38</f>
        <v>171026.77787200018</v>
      </c>
      <c r="F38" s="11"/>
      <c r="G38" s="11" t="s">
        <v>11</v>
      </c>
      <c r="H38" s="15">
        <f>IF(C38="", "", IF(D38="", "",D38-D23))</f>
        <v>64364.125227000004</v>
      </c>
      <c r="I38" s="15">
        <f>IF(D38="", "", IF(E38="", "",E38-E23))</f>
        <v>30526.125844000169</v>
      </c>
    </row>
    <row r="39" spans="1:9" x14ac:dyDescent="0.25">
      <c r="A39" s="11"/>
      <c r="B39" s="11" t="s">
        <v>12</v>
      </c>
      <c r="C39" s="12">
        <v>114358.115475</v>
      </c>
      <c r="D39" s="13">
        <v>82651.575247999994</v>
      </c>
      <c r="E39" s="14">
        <f>E38+C39-D39</f>
        <v>202733.3180990002</v>
      </c>
      <c r="F39" s="11"/>
      <c r="G39" s="11" t="s">
        <v>12</v>
      </c>
      <c r="H39" s="15">
        <f>IF(C39="", "", IF(D39="", "",D39-D24))</f>
        <v>23718.249637999994</v>
      </c>
      <c r="I39" s="15">
        <f>IF(D39="", "", IF(E39="", "",E39-E24))</f>
        <v>61896.341681000195</v>
      </c>
    </row>
    <row r="40" spans="1:9" x14ac:dyDescent="0.25">
      <c r="A40" s="11"/>
      <c r="B40" s="11" t="s">
        <v>13</v>
      </c>
      <c r="C40" s="12">
        <v>61316.6</v>
      </c>
      <c r="D40" s="13">
        <v>77028.158223000006</v>
      </c>
      <c r="E40" s="14">
        <f>E39+C40-D40</f>
        <v>187021.75987600017</v>
      </c>
      <c r="F40" s="11"/>
      <c r="G40" s="11" t="s">
        <v>13</v>
      </c>
      <c r="H40" s="15">
        <f>IF(C40="", "", IF(D40="", "",D40-D25))</f>
        <v>-1619.6803729999956</v>
      </c>
      <c r="I40" s="15">
        <f>IF(D40="", "", IF(E40="", "",E40-E25))</f>
        <v>24331.542054000136</v>
      </c>
    </row>
    <row r="41" spans="1:9" x14ac:dyDescent="0.25">
      <c r="A41" s="11"/>
      <c r="B41" s="11" t="s">
        <v>14</v>
      </c>
      <c r="C41" s="12">
        <v>97450.46</v>
      </c>
      <c r="D41" s="13">
        <v>92799.303096999996</v>
      </c>
      <c r="E41" s="14">
        <f>E40+C41-D41</f>
        <v>191672.9167790002</v>
      </c>
      <c r="F41" s="11"/>
      <c r="G41" s="11" t="s">
        <v>14</v>
      </c>
      <c r="H41" s="15">
        <f>IF(C41="", "", IF(D41="", "",D41-D26))</f>
        <v>5682.3323129999917</v>
      </c>
      <c r="I41" s="15">
        <f>IF(D41="", "", IF(E41="", "",E41-E26))</f>
        <v>-51699.269992999849</v>
      </c>
    </row>
    <row r="42" spans="1:9" x14ac:dyDescent="0.25">
      <c r="A42" s="11"/>
      <c r="B42" s="11" t="s">
        <v>15</v>
      </c>
      <c r="C42" s="12">
        <v>70271.44</v>
      </c>
      <c r="D42" s="13">
        <v>112098.307122</v>
      </c>
      <c r="E42" s="14">
        <f>E41+C42-D42</f>
        <v>149846.0496570002</v>
      </c>
      <c r="F42" s="11"/>
      <c r="G42" s="11" t="s">
        <v>15</v>
      </c>
      <c r="H42" s="15">
        <f>IF(C42="", "", IF(D42="", "",D42-D27))</f>
        <v>18222.887239000003</v>
      </c>
      <c r="I42" s="15">
        <f>IF(D42="", "", IF(E42="", "",E42-E27))</f>
        <v>-96382.367231999873</v>
      </c>
    </row>
    <row r="43" spans="1:9" x14ac:dyDescent="0.25">
      <c r="A43" s="11"/>
      <c r="B43" s="11" t="s">
        <v>16</v>
      </c>
      <c r="C43" s="12">
        <v>518714.44</v>
      </c>
      <c r="D43" s="13">
        <v>401619.29891299998</v>
      </c>
      <c r="E43" s="14">
        <f>E42+C43-D43</f>
        <v>266941.1907440002</v>
      </c>
      <c r="F43" s="11"/>
      <c r="G43" s="11" t="s">
        <v>16</v>
      </c>
      <c r="H43" s="15">
        <f>IF(C43="", "", IF(D43="", "",D43-D28))</f>
        <v>282720.95524699998</v>
      </c>
      <c r="I43" s="15">
        <f>IF(D43="", "", IF(E43="", "",E43-E28))</f>
        <v>24924.277521000127</v>
      </c>
    </row>
    <row r="44" spans="1:9" x14ac:dyDescent="0.25">
      <c r="A44" s="11"/>
      <c r="B44" s="11" t="s">
        <v>17</v>
      </c>
      <c r="C44" s="12">
        <v>71412.2</v>
      </c>
      <c r="D44" s="13">
        <v>131741.89546500001</v>
      </c>
      <c r="E44" s="14">
        <f>E43+C44-D44</f>
        <v>206611.4952790002</v>
      </c>
      <c r="F44" s="11"/>
      <c r="G44" s="11" t="s">
        <v>17</v>
      </c>
      <c r="H44" s="15">
        <f>IF(C44="", "", IF(D44="", "",D44-D29))</f>
        <v>55559.897973000014</v>
      </c>
      <c r="I44" s="15">
        <f>IF(D44="", "", IF(E44="", "",E44-E29))</f>
        <v>-81534.800451999879</v>
      </c>
    </row>
    <row r="45" spans="1:9" x14ac:dyDescent="0.25">
      <c r="A45" s="16"/>
      <c r="B45" s="16" t="s">
        <v>18</v>
      </c>
      <c r="C45" s="17">
        <v>128641.27</v>
      </c>
      <c r="D45" s="18">
        <v>164610.244572</v>
      </c>
      <c r="E45" s="19">
        <f>E44+C45-D45</f>
        <v>170642.52070700022</v>
      </c>
      <c r="F45" s="16"/>
      <c r="G45" s="16" t="s">
        <v>18</v>
      </c>
      <c r="H45" s="20">
        <f>IF(C45="", "", IF(D45="", "",D45-D30))</f>
        <v>33900.416622999997</v>
      </c>
      <c r="I45" s="20">
        <f>IF(D45="", "", IF(E45="", "",E45-E30))</f>
        <v>-37492.447074999858</v>
      </c>
    </row>
    <row r="46" spans="1:9" s="2" customFormat="1" x14ac:dyDescent="0.25">
      <c r="A46" s="21"/>
      <c r="B46" s="21" t="s">
        <v>19</v>
      </c>
      <c r="C46" s="22">
        <f>SUM(C34:C45)</f>
        <v>1612114.3354749999</v>
      </c>
      <c r="D46" s="23">
        <f>SUM(D34:D45)</f>
        <v>1649606.7825500001</v>
      </c>
      <c r="E46" s="14"/>
      <c r="F46" s="21"/>
      <c r="G46" s="21"/>
      <c r="H46" s="14">
        <f>SUMIF(C34:C45,"&gt;=0",H34:H45)</f>
        <v>640502.65732600004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134342.86128958332</v>
      </c>
      <c r="D47" s="23">
        <f>AVERAGE(D34:D45)</f>
        <v>137467.23187916668</v>
      </c>
      <c r="E47" s="24">
        <f>C47/D47-1</f>
        <v>-2.2728111615207824E-2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170642.52070700022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71059.899999999994</v>
      </c>
      <c r="D49" s="27">
        <v>50439.237388000001</v>
      </c>
      <c r="E49" s="28">
        <f>E48+C49-D49</f>
        <v>191263.18331900021</v>
      </c>
      <c r="F49" s="25"/>
      <c r="G49" s="25" t="s">
        <v>7</v>
      </c>
      <c r="H49" s="29">
        <f>IF(C49="", "", IF(D49="", "",D49-D34))</f>
        <v>-25773.980168999995</v>
      </c>
      <c r="I49" s="29">
        <f>IF(D49="", "", IF(E49="", "",E49-E34))</f>
        <v>10893.343094000127</v>
      </c>
    </row>
    <row r="50" spans="1:9" x14ac:dyDescent="0.25">
      <c r="A50" s="25"/>
      <c r="B50" s="25" t="s">
        <v>8</v>
      </c>
      <c r="C50" s="26">
        <v>97658</v>
      </c>
      <c r="D50" s="27">
        <v>91676.277142000006</v>
      </c>
      <c r="E50" s="28">
        <f>E49+C50-D50</f>
        <v>197244.90617700017</v>
      </c>
      <c r="F50" s="25"/>
      <c r="G50" s="25" t="s">
        <v>8</v>
      </c>
      <c r="H50" s="29">
        <f>IF(C50="", "", IF(D50="", "",D50-D35))</f>
        <v>-111164.44616799999</v>
      </c>
      <c r="I50" s="29">
        <f>IF(D50="", "", IF(E50="", "",E50-E35))</f>
        <v>4644.0892620000523</v>
      </c>
    </row>
    <row r="51" spans="1:9" x14ac:dyDescent="0.25">
      <c r="A51" s="25"/>
      <c r="B51" s="25" t="s">
        <v>9</v>
      </c>
      <c r="C51" s="26">
        <v>178406.46</v>
      </c>
      <c r="D51" s="27">
        <v>88310.195875999998</v>
      </c>
      <c r="E51" s="28">
        <f>E50+C51-D51</f>
        <v>287341.17030100018</v>
      </c>
      <c r="F51" s="25"/>
      <c r="G51" s="25" t="s">
        <v>9</v>
      </c>
      <c r="H51" s="29">
        <f>IF(C51="", "", IF(D51="", "",D51-D36))</f>
        <v>-27773.071400000001</v>
      </c>
      <c r="I51" s="29">
        <f>IF(D51="", "", IF(E51="", "",E51-E36))</f>
        <v>63954.180662000028</v>
      </c>
    </row>
    <row r="52" spans="1:9" x14ac:dyDescent="0.25">
      <c r="A52" s="25"/>
      <c r="B52" s="25" t="s">
        <v>10</v>
      </c>
      <c r="C52" s="26">
        <v>198283.73</v>
      </c>
      <c r="D52" s="27">
        <v>161671.341354</v>
      </c>
      <c r="E52" s="28">
        <f>E51+C52-D52</f>
        <v>323953.55894700019</v>
      </c>
      <c r="F52" s="25"/>
      <c r="G52" s="25" t="s">
        <v>10</v>
      </c>
      <c r="H52" s="29">
        <f>IF(C52="", "", IF(D52="", "",D52-D37))</f>
        <v>85434.035644000003</v>
      </c>
      <c r="I52" s="29">
        <f>IF(D52="", "", IF(E52="", "",E52-E37))</f>
        <v>122072.49501800002</v>
      </c>
    </row>
    <row r="53" spans="1:9" x14ac:dyDescent="0.25">
      <c r="A53" s="25"/>
      <c r="B53" s="25" t="s">
        <v>11</v>
      </c>
      <c r="C53" s="26">
        <v>94112.21</v>
      </c>
      <c r="D53" s="27">
        <v>103195.610965</v>
      </c>
      <c r="E53" s="28">
        <f>E52+C53-D53</f>
        <v>314870.15798200021</v>
      </c>
      <c r="F53" s="25"/>
      <c r="G53" s="25" t="s">
        <v>11</v>
      </c>
      <c r="H53" s="29">
        <f>IF(C53="", "", IF(D53="", "",D53-D38))</f>
        <v>-12487.875092000002</v>
      </c>
      <c r="I53" s="29">
        <f>IF(D53="", "", IF(E53="", "",E53-E38))</f>
        <v>143843.38011000003</v>
      </c>
    </row>
    <row r="54" spans="1:9" x14ac:dyDescent="0.25">
      <c r="A54" s="25"/>
      <c r="B54" s="25" t="s">
        <v>12</v>
      </c>
      <c r="C54" s="26">
        <v>108591.61</v>
      </c>
      <c r="D54" s="27">
        <v>103737.47233800001</v>
      </c>
      <c r="E54" s="28">
        <f>E53+C54-D54</f>
        <v>319724.29564400017</v>
      </c>
      <c r="F54" s="25"/>
      <c r="G54" s="25" t="s">
        <v>12</v>
      </c>
      <c r="H54" s="29">
        <f>IF(C54="", "", IF(D54="", "",D54-D39))</f>
        <v>21085.897090000013</v>
      </c>
      <c r="I54" s="29">
        <f>IF(D54="", "", IF(E54="", "",E54-E39))</f>
        <v>116990.97754499997</v>
      </c>
    </row>
    <row r="55" spans="1:9" x14ac:dyDescent="0.25">
      <c r="A55" s="25"/>
      <c r="B55" s="25" t="s">
        <v>13</v>
      </c>
      <c r="C55" s="26">
        <v>152162.82</v>
      </c>
      <c r="D55" s="27">
        <v>134373.752094</v>
      </c>
      <c r="E55" s="28">
        <f>E54+C55-D55</f>
        <v>337513.36355000018</v>
      </c>
      <c r="F55" s="25"/>
      <c r="G55" s="25" t="s">
        <v>13</v>
      </c>
      <c r="H55" s="29">
        <f>IF(C55="", "", IF(D55="", "",D55-D40))</f>
        <v>57345.59387099999</v>
      </c>
      <c r="I55" s="29">
        <f>IF(D55="", "", IF(E55="", "",E55-E40))</f>
        <v>150491.60367400001</v>
      </c>
    </row>
    <row r="56" spans="1:9" x14ac:dyDescent="0.25">
      <c r="A56" s="25"/>
      <c r="B56" s="25" t="s">
        <v>14</v>
      </c>
      <c r="C56" s="26">
        <v>146554.82999999999</v>
      </c>
      <c r="D56" s="27">
        <v>106064.040731</v>
      </c>
      <c r="E56" s="28">
        <f>E55+C56-D56</f>
        <v>378004.15281900018</v>
      </c>
      <c r="F56" s="25"/>
      <c r="G56" s="25" t="s">
        <v>14</v>
      </c>
      <c r="H56" s="29">
        <f>IF(C56="", "", IF(D56="", "",D56-D41))</f>
        <v>13264.737634000005</v>
      </c>
      <c r="I56" s="29">
        <f>IF(D56="", "", IF(E56="", "",E56-E41))</f>
        <v>186331.23603999999</v>
      </c>
    </row>
    <row r="57" spans="1:9" x14ac:dyDescent="0.25">
      <c r="A57" s="25"/>
      <c r="B57" s="25" t="s">
        <v>15</v>
      </c>
      <c r="C57" s="26">
        <v>490357.94</v>
      </c>
      <c r="D57" s="27">
        <v>622219.68200599996</v>
      </c>
      <c r="E57" s="28">
        <f>E56+C57-D57</f>
        <v>246142.41081300017</v>
      </c>
      <c r="F57" s="25"/>
      <c r="G57" s="25" t="s">
        <v>15</v>
      </c>
      <c r="H57" s="29">
        <f>IF(C57="", "", IF(D57="", "",D57-D42))</f>
        <v>510121.37488399993</v>
      </c>
      <c r="I57" s="29">
        <f>IF(D57="", "", IF(E57="", "",E57-E42))</f>
        <v>96296.36115599997</v>
      </c>
    </row>
    <row r="58" spans="1:9" x14ac:dyDescent="0.25">
      <c r="A58" s="25"/>
      <c r="B58" s="25" t="s">
        <v>16</v>
      </c>
      <c r="C58" s="26">
        <v>109007.56</v>
      </c>
      <c r="D58" s="27">
        <v>87314.736254999996</v>
      </c>
      <c r="E58" s="28">
        <f>E57+C58-D58</f>
        <v>267835.23455800017</v>
      </c>
      <c r="F58" s="25"/>
      <c r="G58" s="25" t="s">
        <v>16</v>
      </c>
      <c r="H58" s="29">
        <f>IF(C58="", "", IF(D58="", "",D58-D43))</f>
        <v>-314304.56265799998</v>
      </c>
      <c r="I58" s="29">
        <f>IF(D58="", "", IF(E58="", "",E58-E43))</f>
        <v>894.0438139999751</v>
      </c>
    </row>
    <row r="59" spans="1:9" x14ac:dyDescent="0.25">
      <c r="A59" s="25"/>
      <c r="B59" s="25" t="s">
        <v>17</v>
      </c>
      <c r="C59" s="26">
        <v>183857.96</v>
      </c>
      <c r="D59" s="27">
        <v>145971.026656</v>
      </c>
      <c r="E59" s="28">
        <f>E58+C59-D59</f>
        <v>305722.16790200019</v>
      </c>
      <c r="F59" s="25"/>
      <c r="G59" s="25" t="s">
        <v>17</v>
      </c>
      <c r="H59" s="29">
        <f>IF(C59="", "", IF(D59="", "",D59-D44))</f>
        <v>14229.131190999993</v>
      </c>
      <c r="I59" s="29">
        <f>IF(D59="", "", IF(E59="", "",E59-E44))</f>
        <v>99110.672622999991</v>
      </c>
    </row>
    <row r="60" spans="1:9" x14ac:dyDescent="0.25">
      <c r="A60" s="30"/>
      <c r="B60" s="30" t="s">
        <v>18</v>
      </c>
      <c r="C60" s="31">
        <v>62192.71</v>
      </c>
      <c r="D60" s="32">
        <v>132708.37621700001</v>
      </c>
      <c r="E60" s="33">
        <f>E59+C60-D60</f>
        <v>235206.5016850002</v>
      </c>
      <c r="F60" s="30"/>
      <c r="G60" s="30" t="s">
        <v>18</v>
      </c>
      <c r="H60" s="34">
        <f>IF(C60="", "", IF(D60="", "",D60-D45))</f>
        <v>-31901.868354999984</v>
      </c>
      <c r="I60" s="34">
        <f>IF(D60="", "", IF(E60="", "",E60-E45))</f>
        <v>64563.980977999978</v>
      </c>
    </row>
    <row r="61" spans="1:9" s="2" customFormat="1" x14ac:dyDescent="0.25">
      <c r="A61" s="35"/>
      <c r="B61" s="35" t="s">
        <v>19</v>
      </c>
      <c r="C61" s="36">
        <f>SUM(C49:C60)</f>
        <v>1892245.73</v>
      </c>
      <c r="D61" s="37">
        <f>SUM(D49:D60)</f>
        <v>1827681.7490219998</v>
      </c>
      <c r="E61" s="28"/>
      <c r="F61" s="35"/>
      <c r="G61" s="35"/>
      <c r="H61" s="28">
        <f>SUMIF(C49:C60,"&gt;=0",H49:H60)</f>
        <v>178074.966472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157687.14416666667</v>
      </c>
      <c r="D62" s="37">
        <f>AVERAGE(D49:D60)</f>
        <v>152306.81241849999</v>
      </c>
      <c r="E62" s="38">
        <f>C62/D62-1</f>
        <v>3.5325614545611339E-2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235206.5016850002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65029.279999999999</v>
      </c>
      <c r="D64" s="13">
        <v>39425.187997000001</v>
      </c>
      <c r="E64" s="14">
        <f>E63+C64-D64</f>
        <v>260810.59368800017</v>
      </c>
      <c r="F64" s="11"/>
      <c r="G64" s="11" t="s">
        <v>7</v>
      </c>
      <c r="H64" s="15">
        <f>IF(C64="", "", IF(D64="", "",D64-D49))</f>
        <v>-11014.049391</v>
      </c>
      <c r="I64" s="15">
        <f>IF(D64="", "", IF(E64="", "",E64-E49))</f>
        <v>69547.410368999961</v>
      </c>
    </row>
    <row r="65" spans="1:9" x14ac:dyDescent="0.25">
      <c r="A65" s="11"/>
      <c r="B65" s="11" t="s">
        <v>8</v>
      </c>
      <c r="C65" s="12">
        <v>141641.72</v>
      </c>
      <c r="D65" s="13">
        <v>77729.206183999995</v>
      </c>
      <c r="E65" s="14">
        <f>E64+C65-D65</f>
        <v>324723.10750400019</v>
      </c>
      <c r="F65" s="11"/>
      <c r="G65" s="11" t="s">
        <v>8</v>
      </c>
      <c r="H65" s="15">
        <f>IF(C65="", "", IF(D65="", "",D65-D50))</f>
        <v>-13947.070958000011</v>
      </c>
      <c r="I65" s="15">
        <f>IF(D65="", "", IF(E65="", "",E65-E50))</f>
        <v>127478.20132700002</v>
      </c>
    </row>
    <row r="66" spans="1:9" x14ac:dyDescent="0.25">
      <c r="A66" s="11"/>
      <c r="B66" s="11" t="s">
        <v>9</v>
      </c>
      <c r="C66" s="12">
        <v>1090400.1499999999</v>
      </c>
      <c r="D66" s="13">
        <v>1048658.099197</v>
      </c>
      <c r="E66" s="14">
        <f>E65+C66-D66</f>
        <v>366465.15830700006</v>
      </c>
      <c r="F66" s="11"/>
      <c r="G66" s="11" t="s">
        <v>9</v>
      </c>
      <c r="H66" s="15">
        <f>IF(C66="", "", IF(D66="", "",D66-D51))</f>
        <v>960347.90332100005</v>
      </c>
      <c r="I66" s="15">
        <f>IF(D66="", "", IF(E66="", "",E66-E51))</f>
        <v>79123.988005999883</v>
      </c>
    </row>
    <row r="67" spans="1:9" x14ac:dyDescent="0.25">
      <c r="A67" s="11"/>
      <c r="B67" s="11" t="s">
        <v>10</v>
      </c>
      <c r="C67" s="12">
        <v>170838.32</v>
      </c>
      <c r="D67" s="13">
        <v>238015.36752699999</v>
      </c>
      <c r="E67" s="14">
        <f>E66+C67-D67</f>
        <v>299288.1107800001</v>
      </c>
      <c r="F67" s="11"/>
      <c r="G67" s="11" t="s">
        <v>10</v>
      </c>
      <c r="H67" s="15">
        <f>IF(C67="", "", IF(D67="", "",D67-D52))</f>
        <v>76344.026172999991</v>
      </c>
      <c r="I67" s="15">
        <f>IF(D67="", "", IF(E67="", "",E67-E52))</f>
        <v>-24665.448167000082</v>
      </c>
    </row>
    <row r="68" spans="1:9" x14ac:dyDescent="0.25">
      <c r="A68" s="11"/>
      <c r="B68" s="11" t="s">
        <v>11</v>
      </c>
      <c r="C68" s="12">
        <v>65756.376250000001</v>
      </c>
      <c r="D68" s="13">
        <v>106490.15532200001</v>
      </c>
      <c r="E68" s="14">
        <f>E67+C68-D68</f>
        <v>258554.33170800007</v>
      </c>
      <c r="F68" s="11"/>
      <c r="G68" s="11" t="s">
        <v>11</v>
      </c>
      <c r="H68" s="15">
        <f>IF(C68="", "", IF(D68="", "",D68-D53))</f>
        <v>3294.5443570000061</v>
      </c>
      <c r="I68" s="15">
        <f>IF(D68="", "", IF(E68="", "",E68-E53))</f>
        <v>-56315.826274000137</v>
      </c>
    </row>
    <row r="69" spans="1:9" x14ac:dyDescent="0.25">
      <c r="A69" s="11"/>
      <c r="B69" s="11" t="s">
        <v>12</v>
      </c>
      <c r="C69" s="12">
        <v>292953.44</v>
      </c>
      <c r="D69" s="13">
        <v>270316.87721399998</v>
      </c>
      <c r="E69" s="14">
        <f>E68+C69-D69</f>
        <v>281190.89449400012</v>
      </c>
      <c r="F69" s="11"/>
      <c r="G69" s="11" t="s">
        <v>12</v>
      </c>
      <c r="H69" s="15">
        <f>IF(C69="", "", IF(D69="", "",D69-D54))</f>
        <v>166579.40487599996</v>
      </c>
      <c r="I69" s="15">
        <f>IF(D69="", "", IF(E69="", "",E69-E54))</f>
        <v>-38533.401150000049</v>
      </c>
    </row>
    <row r="70" spans="1:9" x14ac:dyDescent="0.25">
      <c r="A70" s="11"/>
      <c r="B70" s="11" t="s">
        <v>13</v>
      </c>
      <c r="C70" s="12">
        <v>227518.8</v>
      </c>
      <c r="D70" s="13">
        <v>161296.36718599999</v>
      </c>
      <c r="E70" s="14">
        <f>E69+C70-D70</f>
        <v>347413.32730800012</v>
      </c>
      <c r="F70" s="11"/>
      <c r="G70" s="11" t="s">
        <v>13</v>
      </c>
      <c r="H70" s="15">
        <f>IF(C70="", "", IF(D70="", "",D70-D55))</f>
        <v>26922.615091999993</v>
      </c>
      <c r="I70" s="15">
        <f>IF(D70="", "", IF(E70="", "",E70-E55))</f>
        <v>9899.9637579999398</v>
      </c>
    </row>
    <row r="71" spans="1:9" x14ac:dyDescent="0.25">
      <c r="A71" s="11"/>
      <c r="B71" s="11" t="s">
        <v>14</v>
      </c>
      <c r="C71" s="12">
        <v>79751.350000000006</v>
      </c>
      <c r="D71" s="13">
        <v>101943.82479899999</v>
      </c>
      <c r="E71" s="14">
        <f>E70+C71-D71</f>
        <v>325220.85250900016</v>
      </c>
      <c r="F71" s="11"/>
      <c r="G71" s="11" t="s">
        <v>14</v>
      </c>
      <c r="H71" s="15">
        <f>IF(C71="", "", IF(D71="", "",D71-D56))</f>
        <v>-4120.2159320000064</v>
      </c>
      <c r="I71" s="15">
        <f>IF(D71="", "", IF(E71="", "",E71-E56))</f>
        <v>-52783.300310000021</v>
      </c>
    </row>
    <row r="72" spans="1:9" x14ac:dyDescent="0.25">
      <c r="A72" s="11"/>
      <c r="B72" s="11" t="s">
        <v>15</v>
      </c>
      <c r="C72" s="12">
        <v>216335.85</v>
      </c>
      <c r="D72" s="13">
        <v>82388.347124000007</v>
      </c>
      <c r="E72" s="14">
        <f>E71+C72-D72</f>
        <v>459168.35538500018</v>
      </c>
      <c r="F72" s="11"/>
      <c r="G72" s="11" t="s">
        <v>15</v>
      </c>
      <c r="H72" s="15">
        <f>IF(C72="", "", IF(D72="", "",D72-D57))</f>
        <v>-539831.334882</v>
      </c>
      <c r="I72" s="15">
        <f>IF(D72="", "", IF(E72="", "",E72-E57))</f>
        <v>213025.94457200001</v>
      </c>
    </row>
    <row r="73" spans="1:9" x14ac:dyDescent="0.25">
      <c r="A73" s="11"/>
      <c r="B73" s="11" t="s">
        <v>16</v>
      </c>
      <c r="C73" s="12">
        <v>137775.26</v>
      </c>
      <c r="D73" s="13">
        <v>198104.513748</v>
      </c>
      <c r="E73" s="14">
        <f>E72+C73-D73</f>
        <v>398839.1016370001</v>
      </c>
      <c r="F73" s="11"/>
      <c r="G73" s="11" t="s">
        <v>16</v>
      </c>
      <c r="H73" s="15">
        <f>IF(C73="", "", IF(D73="", "",D73-D58))</f>
        <v>110789.777493</v>
      </c>
      <c r="I73" s="15">
        <f>IF(D73="", "", IF(E73="", "",E73-E58))</f>
        <v>131003.86707899993</v>
      </c>
    </row>
    <row r="74" spans="1:9" x14ac:dyDescent="0.25">
      <c r="A74" s="11"/>
      <c r="B74" s="11" t="s">
        <v>17</v>
      </c>
      <c r="C74" s="12">
        <v>46385.14</v>
      </c>
      <c r="D74" s="13">
        <v>94383.087339999998</v>
      </c>
      <c r="E74" s="14">
        <f>E73+C74-D74</f>
        <v>350841.15429700015</v>
      </c>
      <c r="F74" s="11"/>
      <c r="G74" s="11" t="s">
        <v>17</v>
      </c>
      <c r="H74" s="15">
        <f>IF(C74="", "", IF(D74="", "",D74-D59))</f>
        <v>-51587.939316000004</v>
      </c>
      <c r="I74" s="15">
        <f>IF(D74="", "", IF(E74="", "",E74-E59))</f>
        <v>45118.986394999956</v>
      </c>
    </row>
    <row r="75" spans="1:9" x14ac:dyDescent="0.25">
      <c r="A75" s="16"/>
      <c r="B75" s="16" t="s">
        <v>18</v>
      </c>
      <c r="C75" s="17">
        <v>121038.81</v>
      </c>
      <c r="D75" s="18">
        <v>112932.570334</v>
      </c>
      <c r="E75" s="19">
        <f>E74+C75-D75</f>
        <v>358947.39396300016</v>
      </c>
      <c r="F75" s="16"/>
      <c r="G75" s="16" t="s">
        <v>18</v>
      </c>
      <c r="H75" s="20">
        <f>IF(C75="", "", IF(D75="", "",D75-D60))</f>
        <v>-19775.805883000008</v>
      </c>
      <c r="I75" s="20">
        <f>IF(D75="", "", IF(E75="", "",E75-E60))</f>
        <v>123740.89227799996</v>
      </c>
    </row>
    <row r="76" spans="1:9" s="2" customFormat="1" x14ac:dyDescent="0.25">
      <c r="A76" s="21"/>
      <c r="B76" s="21" t="s">
        <v>19</v>
      </c>
      <c r="C76" s="22">
        <f>SUM(C64:C75)</f>
        <v>2655424.4962499999</v>
      </c>
      <c r="D76" s="23">
        <f>SUM(D64:D75)</f>
        <v>2531683.6039720001</v>
      </c>
      <c r="E76" s="14"/>
      <c r="F76" s="21"/>
      <c r="G76" s="21"/>
      <c r="H76" s="14">
        <f>SUMIF(C64:C75,"&gt;=0",H64:H75)</f>
        <v>704001.85495000007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221285.37468749998</v>
      </c>
      <c r="D77" s="23">
        <f>AVERAGE(D64:D75)</f>
        <v>210973.63366433335</v>
      </c>
      <c r="E77" s="24">
        <f>C77/D77-1</f>
        <v>4.8876918144060477E-2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358947.39396300016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358947.39396300016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358947.39396300016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358947.39396300016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358947.39396300016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358947.39396300016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358947.39396300016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358947.39396300016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358947.39396300016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358947.39396300016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358947.39396300016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358947.39396300016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358947.39396300016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4081-D569-459A-ADD6-530E1F8CDA72}">
  <sheetPr codeName="Sheet20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81683.753001000005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59413.13</v>
      </c>
      <c r="D4" s="13">
        <v>49378.126947999997</v>
      </c>
      <c r="E4" s="14">
        <f>E3+C4-D4</f>
        <v>91718.756053000019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87692.47</v>
      </c>
      <c r="D5" s="13">
        <v>79482.108191000007</v>
      </c>
      <c r="E5" s="14">
        <f>E4+C5-D5</f>
        <v>99929.117862000014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107497.37</v>
      </c>
      <c r="D6" s="13">
        <v>107891.44551799999</v>
      </c>
      <c r="E6" s="14">
        <f>E5+C6-D6</f>
        <v>99535.042344000016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93838.238333000001</v>
      </c>
      <c r="D7" s="13">
        <v>94454.304984000002</v>
      </c>
      <c r="E7" s="14">
        <f>E6+C7-D7</f>
        <v>98918.975693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86672.36</v>
      </c>
      <c r="D8" s="13">
        <v>92431.179145000002</v>
      </c>
      <c r="E8" s="14">
        <f>E7+C8-D8</f>
        <v>93160.156547999999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98760.172000000006</v>
      </c>
      <c r="D9" s="13">
        <v>69465.746490000005</v>
      </c>
      <c r="E9" s="14">
        <f>E8+C9-D9</f>
        <v>122454.58205800001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162999.20199999999</v>
      </c>
      <c r="D10" s="13">
        <v>149898.986126</v>
      </c>
      <c r="E10" s="14">
        <f>E9+C10-D10</f>
        <v>135554.79793200002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90013.144</v>
      </c>
      <c r="D11" s="13">
        <v>125146.974277</v>
      </c>
      <c r="E11" s="14">
        <f>E10+C11-D11</f>
        <v>100420.96765500001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117856.308588</v>
      </c>
      <c r="D12" s="13">
        <v>108060.86717100001</v>
      </c>
      <c r="E12" s="14">
        <f>E11+C12-D12</f>
        <v>110216.40907199999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128283.61</v>
      </c>
      <c r="D13" s="13">
        <v>128736.513187</v>
      </c>
      <c r="E13" s="14">
        <f>E12+C13-D13</f>
        <v>109763.50588499999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101558.93</v>
      </c>
      <c r="D14" s="13">
        <v>118506.08092399999</v>
      </c>
      <c r="E14" s="14">
        <f>E13+C14-D14</f>
        <v>92816.35496099999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59902.17</v>
      </c>
      <c r="D15" s="18">
        <v>70096.841442999998</v>
      </c>
      <c r="E15" s="19">
        <f>E14+C15-D15</f>
        <v>82621.683517999991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1194487.1049209998</v>
      </c>
      <c r="D16" s="23">
        <f>SUM(D4:D15)</f>
        <v>1193549.1744039997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99540.592076749992</v>
      </c>
      <c r="D17" s="23">
        <f>AVERAGE(D4:D15)</f>
        <v>99462.431200333303</v>
      </c>
      <c r="E17" s="24">
        <f>C17/D17-1</f>
        <v>7.8583315804192644E-4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82621.683517999991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86807.84</v>
      </c>
      <c r="D19" s="27">
        <v>67532.023281999995</v>
      </c>
      <c r="E19" s="28">
        <f>E18+C19-D19</f>
        <v>101897.50023599998</v>
      </c>
      <c r="F19" s="25"/>
      <c r="G19" s="25" t="s">
        <v>7</v>
      </c>
      <c r="H19" s="29">
        <f>IF(C19="", "", IF(D19="", "",D19-D4))</f>
        <v>18153.896333999997</v>
      </c>
      <c r="I19" s="29">
        <f>IF(D19="", "", IF(E19="", "",E19-E4))</f>
        <v>10178.744182999959</v>
      </c>
    </row>
    <row r="20" spans="1:9" x14ac:dyDescent="0.25">
      <c r="A20" s="25"/>
      <c r="B20" s="25" t="s">
        <v>8</v>
      </c>
      <c r="C20" s="26">
        <v>120188.89013299999</v>
      </c>
      <c r="D20" s="27">
        <v>105220.27962299999</v>
      </c>
      <c r="E20" s="28">
        <f>E19+C20-D20</f>
        <v>116866.11074599998</v>
      </c>
      <c r="F20" s="25"/>
      <c r="G20" s="25" t="s">
        <v>8</v>
      </c>
      <c r="H20" s="29">
        <f>IF(C20="", "", IF(D20="", "",D20-D5))</f>
        <v>25738.171431999988</v>
      </c>
      <c r="I20" s="29">
        <f>IF(D20="", "", IF(E20="", "",E20-E5))</f>
        <v>16936.992883999963</v>
      </c>
    </row>
    <row r="21" spans="1:9" x14ac:dyDescent="0.25">
      <c r="A21" s="25"/>
      <c r="B21" s="25" t="s">
        <v>9</v>
      </c>
      <c r="C21" s="26">
        <v>166871.631999</v>
      </c>
      <c r="D21" s="27">
        <v>143567.14777000001</v>
      </c>
      <c r="E21" s="28">
        <f>E20+C21-D21</f>
        <v>140170.59497499999</v>
      </c>
      <c r="F21" s="25"/>
      <c r="G21" s="25" t="s">
        <v>9</v>
      </c>
      <c r="H21" s="29">
        <f>IF(C21="", "", IF(D21="", "",D21-D6))</f>
        <v>35675.702252000017</v>
      </c>
      <c r="I21" s="29">
        <f>IF(D21="", "", IF(E21="", "",E21-E6))</f>
        <v>40635.55263099997</v>
      </c>
    </row>
    <row r="22" spans="1:9" x14ac:dyDescent="0.25">
      <c r="A22" s="25"/>
      <c r="B22" s="25" t="s">
        <v>10</v>
      </c>
      <c r="C22" s="26">
        <v>22801.84</v>
      </c>
      <c r="D22" s="27">
        <v>65143.248716000002</v>
      </c>
      <c r="E22" s="28">
        <f>E21+C22-D22</f>
        <v>97829.18625899998</v>
      </c>
      <c r="F22" s="25"/>
      <c r="G22" s="25" t="s">
        <v>10</v>
      </c>
      <c r="H22" s="29">
        <f>IF(C22="", "", IF(D22="", "",D22-D7))</f>
        <v>-29311.056268</v>
      </c>
      <c r="I22" s="29">
        <f>IF(D22="", "", IF(E22="", "",E22-E7))</f>
        <v>-1089.7894340000203</v>
      </c>
    </row>
    <row r="23" spans="1:9" x14ac:dyDescent="0.25">
      <c r="A23" s="25"/>
      <c r="B23" s="25" t="s">
        <v>11</v>
      </c>
      <c r="C23" s="26">
        <v>103924.05</v>
      </c>
      <c r="D23" s="27">
        <v>89677.544739999998</v>
      </c>
      <c r="E23" s="28">
        <f>E22+C23-D23</f>
        <v>112075.69151899997</v>
      </c>
      <c r="F23" s="25"/>
      <c r="G23" s="25" t="s">
        <v>11</v>
      </c>
      <c r="H23" s="29">
        <f>IF(C23="", "", IF(D23="", "",D23-D8))</f>
        <v>-2753.6344050000043</v>
      </c>
      <c r="I23" s="29">
        <f>IF(D23="", "", IF(E23="", "",E23-E8))</f>
        <v>18915.534970999972</v>
      </c>
    </row>
    <row r="24" spans="1:9" x14ac:dyDescent="0.25">
      <c r="A24" s="25"/>
      <c r="B24" s="25" t="s">
        <v>12</v>
      </c>
      <c r="C24" s="26">
        <v>100024.84</v>
      </c>
      <c r="D24" s="27">
        <v>92357.142160000003</v>
      </c>
      <c r="E24" s="28">
        <f>E23+C24-D24</f>
        <v>119743.38935899995</v>
      </c>
      <c r="F24" s="25"/>
      <c r="G24" s="25" t="s">
        <v>12</v>
      </c>
      <c r="H24" s="29">
        <f>IF(C24="", "", IF(D24="", "",D24-D9))</f>
        <v>22891.395669999998</v>
      </c>
      <c r="I24" s="29">
        <f>IF(D24="", "", IF(E24="", "",E24-E9))</f>
        <v>-2711.1926990000647</v>
      </c>
    </row>
    <row r="25" spans="1:9" x14ac:dyDescent="0.25">
      <c r="A25" s="25"/>
      <c r="B25" s="25" t="s">
        <v>13</v>
      </c>
      <c r="C25" s="26">
        <v>134431.28210000001</v>
      </c>
      <c r="D25" s="27">
        <v>150904.59702700001</v>
      </c>
      <c r="E25" s="28">
        <f>E24+C25-D25</f>
        <v>103270.07443199996</v>
      </c>
      <c r="F25" s="25"/>
      <c r="G25" s="25" t="s">
        <v>13</v>
      </c>
      <c r="H25" s="29">
        <f>IF(C25="", "", IF(D25="", "",D25-D10))</f>
        <v>1005.6109010000073</v>
      </c>
      <c r="I25" s="29">
        <f>IF(D25="", "", IF(E25="", "",E25-E10))</f>
        <v>-32284.723500000051</v>
      </c>
    </row>
    <row r="26" spans="1:9" x14ac:dyDescent="0.25">
      <c r="A26" s="25"/>
      <c r="B26" s="25" t="s">
        <v>14</v>
      </c>
      <c r="C26" s="26">
        <v>118172.79</v>
      </c>
      <c r="D26" s="27">
        <v>120726.57430399999</v>
      </c>
      <c r="E26" s="28">
        <f>E25+C26-D26</f>
        <v>100716.29012799998</v>
      </c>
      <c r="F26" s="25"/>
      <c r="G26" s="25" t="s">
        <v>14</v>
      </c>
      <c r="H26" s="29">
        <f>IF(C26="", "", IF(D26="", "",D26-D11))</f>
        <v>-4420.3999730000069</v>
      </c>
      <c r="I26" s="29">
        <f>IF(D26="", "", IF(E26="", "",E26-E11))</f>
        <v>295.32247299996379</v>
      </c>
    </row>
    <row r="27" spans="1:9" x14ac:dyDescent="0.25">
      <c r="A27" s="25"/>
      <c r="B27" s="25" t="s">
        <v>15</v>
      </c>
      <c r="C27" s="26">
        <v>141830.81</v>
      </c>
      <c r="D27" s="27">
        <v>116378.972247</v>
      </c>
      <c r="E27" s="28">
        <f>E26+C27-D27</f>
        <v>126168.12788099996</v>
      </c>
      <c r="F27" s="25"/>
      <c r="G27" s="25" t="s">
        <v>15</v>
      </c>
      <c r="H27" s="29">
        <f>IF(C27="", "", IF(D27="", "",D27-D12))</f>
        <v>8318.1050759999926</v>
      </c>
      <c r="I27" s="29">
        <f>IF(D27="", "", IF(E27="", "",E27-E12))</f>
        <v>15951.718808999969</v>
      </c>
    </row>
    <row r="28" spans="1:9" x14ac:dyDescent="0.25">
      <c r="A28" s="25"/>
      <c r="B28" s="25" t="s">
        <v>16</v>
      </c>
      <c r="C28" s="26">
        <v>121177.85</v>
      </c>
      <c r="D28" s="27">
        <v>125299.343379</v>
      </c>
      <c r="E28" s="28">
        <f>E27+C28-D28</f>
        <v>122046.63450199997</v>
      </c>
      <c r="F28" s="25"/>
      <c r="G28" s="25" t="s">
        <v>16</v>
      </c>
      <c r="H28" s="29">
        <f>IF(C28="", "", IF(D28="", "",D28-D13))</f>
        <v>-3437.169808000006</v>
      </c>
      <c r="I28" s="29">
        <f>IF(D28="", "", IF(E28="", "",E28-E13))</f>
        <v>12283.12861699998</v>
      </c>
    </row>
    <row r="29" spans="1:9" x14ac:dyDescent="0.25">
      <c r="A29" s="25"/>
      <c r="B29" s="25" t="s">
        <v>17</v>
      </c>
      <c r="C29" s="26">
        <v>79158.645699999994</v>
      </c>
      <c r="D29" s="27">
        <v>84155.646294999999</v>
      </c>
      <c r="E29" s="28">
        <f>E28+C29-D29</f>
        <v>117049.63390699997</v>
      </c>
      <c r="F29" s="25"/>
      <c r="G29" s="25" t="s">
        <v>17</v>
      </c>
      <c r="H29" s="29">
        <f>IF(C29="", "", IF(D29="", "",D29-D14))</f>
        <v>-34350.434628999996</v>
      </c>
      <c r="I29" s="29">
        <f>IF(D29="", "", IF(E29="", "",E29-E14))</f>
        <v>24233.278945999977</v>
      </c>
    </row>
    <row r="30" spans="1:9" x14ac:dyDescent="0.25">
      <c r="A30" s="30"/>
      <c r="B30" s="30" t="s">
        <v>18</v>
      </c>
      <c r="C30" s="31">
        <v>46535.19</v>
      </c>
      <c r="D30" s="32">
        <v>77703.670496999999</v>
      </c>
      <c r="E30" s="33">
        <f>E29+C30-D30</f>
        <v>85881.153409999955</v>
      </c>
      <c r="F30" s="30"/>
      <c r="G30" s="30" t="s">
        <v>18</v>
      </c>
      <c r="H30" s="34">
        <f>IF(C30="", "", IF(D30="", "",D30-D15))</f>
        <v>7606.8290540000016</v>
      </c>
      <c r="I30" s="34">
        <f>IF(D30="", "", IF(E30="", "",E30-E15))</f>
        <v>3259.4698919999646</v>
      </c>
    </row>
    <row r="31" spans="1:9" s="2" customFormat="1" x14ac:dyDescent="0.25">
      <c r="A31" s="35"/>
      <c r="B31" s="35" t="s">
        <v>19</v>
      </c>
      <c r="C31" s="36">
        <f>SUM(C19:C30)</f>
        <v>1241925.6599320001</v>
      </c>
      <c r="D31" s="37">
        <f>SUM(D19:D30)</f>
        <v>1238666.19004</v>
      </c>
      <c r="E31" s="28"/>
      <c r="F31" s="35"/>
      <c r="G31" s="35"/>
      <c r="H31" s="28">
        <f>SUMIF(C19:C30,"&gt;=0",H19:H30)</f>
        <v>45117.015635999996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103493.80499433335</v>
      </c>
      <c r="D32" s="37">
        <f>AVERAGE(D19:D30)</f>
        <v>103222.18250333333</v>
      </c>
      <c r="E32" s="38">
        <f>C32/D32-1</f>
        <v>2.6314352633576288E-3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85881.153409999955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113793.84666700001</v>
      </c>
      <c r="D34" s="13">
        <v>92245.814027</v>
      </c>
      <c r="E34" s="14">
        <f>E33+C34-D34</f>
        <v>107429.18604999995</v>
      </c>
      <c r="F34" s="11"/>
      <c r="G34" s="11" t="s">
        <v>7</v>
      </c>
      <c r="H34" s="15">
        <f>IF(C34="", "", IF(D34="", "",D34-D19))</f>
        <v>24713.790745000006</v>
      </c>
      <c r="I34" s="15">
        <f>IF(D34="", "", IF(E34="", "",E34-E19))</f>
        <v>5531.6858139999676</v>
      </c>
    </row>
    <row r="35" spans="1:9" x14ac:dyDescent="0.25">
      <c r="A35" s="11"/>
      <c r="B35" s="11" t="s">
        <v>8</v>
      </c>
      <c r="C35" s="12">
        <v>133960.13</v>
      </c>
      <c r="D35" s="13">
        <v>117019.016257</v>
      </c>
      <c r="E35" s="14">
        <f>E34+C35-D35</f>
        <v>124370.29979299997</v>
      </c>
      <c r="F35" s="11"/>
      <c r="G35" s="11" t="s">
        <v>8</v>
      </c>
      <c r="H35" s="15">
        <f>IF(C35="", "", IF(D35="", "",D35-D20))</f>
        <v>11798.736634000001</v>
      </c>
      <c r="I35" s="15">
        <f>IF(D35="", "", IF(E35="", "",E35-E20))</f>
        <v>7504.1890469999926</v>
      </c>
    </row>
    <row r="36" spans="1:9" x14ac:dyDescent="0.25">
      <c r="A36" s="11"/>
      <c r="B36" s="11" t="s">
        <v>9</v>
      </c>
      <c r="C36" s="12">
        <v>140427.54</v>
      </c>
      <c r="D36" s="13">
        <v>108072.813226</v>
      </c>
      <c r="E36" s="14">
        <f>E35+C36-D36</f>
        <v>156725.02656699996</v>
      </c>
      <c r="F36" s="11"/>
      <c r="G36" s="11" t="s">
        <v>9</v>
      </c>
      <c r="H36" s="15">
        <f>IF(C36="", "", IF(D36="", "",D36-D21))</f>
        <v>-35494.334544000012</v>
      </c>
      <c r="I36" s="15">
        <f>IF(D36="", "", IF(E36="", "",E36-E21))</f>
        <v>16554.431591999979</v>
      </c>
    </row>
    <row r="37" spans="1:9" x14ac:dyDescent="0.25">
      <c r="A37" s="11"/>
      <c r="B37" s="11" t="s">
        <v>10</v>
      </c>
      <c r="C37" s="12">
        <v>74714.36</v>
      </c>
      <c r="D37" s="13">
        <v>104456.89279100001</v>
      </c>
      <c r="E37" s="14">
        <f>E36+C37-D37</f>
        <v>126982.49377599994</v>
      </c>
      <c r="F37" s="11"/>
      <c r="G37" s="11" t="s">
        <v>10</v>
      </c>
      <c r="H37" s="15">
        <f>IF(C37="", "", IF(D37="", "",D37-D22))</f>
        <v>39313.644075000004</v>
      </c>
      <c r="I37" s="15">
        <f>IF(D37="", "", IF(E37="", "",E37-E22))</f>
        <v>29153.307516999965</v>
      </c>
    </row>
    <row r="38" spans="1:9" x14ac:dyDescent="0.25">
      <c r="A38" s="11"/>
      <c r="B38" s="11" t="s">
        <v>11</v>
      </c>
      <c r="C38" s="12">
        <v>116899.45</v>
      </c>
      <c r="D38" s="13">
        <v>126613.444581</v>
      </c>
      <c r="E38" s="14">
        <f>E37+C38-D38</f>
        <v>117268.49919499994</v>
      </c>
      <c r="F38" s="11"/>
      <c r="G38" s="11" t="s">
        <v>11</v>
      </c>
      <c r="H38" s="15">
        <f>IF(C38="", "", IF(D38="", "",D38-D23))</f>
        <v>36935.899841000006</v>
      </c>
      <c r="I38" s="15">
        <f>IF(D38="", "", IF(E38="", "",E38-E23))</f>
        <v>5192.8076759999676</v>
      </c>
    </row>
    <row r="39" spans="1:9" x14ac:dyDescent="0.25">
      <c r="A39" s="11"/>
      <c r="B39" s="11" t="s">
        <v>12</v>
      </c>
      <c r="C39" s="12">
        <v>187313.97</v>
      </c>
      <c r="D39" s="13">
        <v>150394.05359900001</v>
      </c>
      <c r="E39" s="14">
        <f>E38+C39-D39</f>
        <v>154188.41559599995</v>
      </c>
      <c r="F39" s="11"/>
      <c r="G39" s="11" t="s">
        <v>12</v>
      </c>
      <c r="H39" s="15">
        <f>IF(C39="", "", IF(D39="", "",D39-D24))</f>
        <v>58036.911439000003</v>
      </c>
      <c r="I39" s="15">
        <f>IF(D39="", "", IF(E39="", "",E39-E24))</f>
        <v>34445.026236999998</v>
      </c>
    </row>
    <row r="40" spans="1:9" x14ac:dyDescent="0.25">
      <c r="A40" s="11"/>
      <c r="B40" s="11" t="s">
        <v>13</v>
      </c>
      <c r="C40" s="12">
        <v>159412.14000000001</v>
      </c>
      <c r="D40" s="13">
        <v>150929.931931</v>
      </c>
      <c r="E40" s="14">
        <f>E39+C40-D40</f>
        <v>162670.62366499993</v>
      </c>
      <c r="F40" s="11"/>
      <c r="G40" s="11" t="s">
        <v>13</v>
      </c>
      <c r="H40" s="15">
        <f>IF(C40="", "", IF(D40="", "",D40-D25))</f>
        <v>25.334903999988455</v>
      </c>
      <c r="I40" s="15">
        <f>IF(D40="", "", IF(E40="", "",E40-E25))</f>
        <v>59400.549232999969</v>
      </c>
    </row>
    <row r="41" spans="1:9" x14ac:dyDescent="0.25">
      <c r="A41" s="11"/>
      <c r="B41" s="11" t="s">
        <v>14</v>
      </c>
      <c r="C41" s="12">
        <v>175864.45</v>
      </c>
      <c r="D41" s="13">
        <v>180452.879418</v>
      </c>
      <c r="E41" s="14">
        <f>E40+C41-D41</f>
        <v>158082.19424699992</v>
      </c>
      <c r="F41" s="11"/>
      <c r="G41" s="11" t="s">
        <v>14</v>
      </c>
      <c r="H41" s="15">
        <f>IF(C41="", "", IF(D41="", "",D41-D26))</f>
        <v>59726.305114000003</v>
      </c>
      <c r="I41" s="15">
        <f>IF(D41="", "", IF(E41="", "",E41-E26))</f>
        <v>57365.904118999941</v>
      </c>
    </row>
    <row r="42" spans="1:9" x14ac:dyDescent="0.25">
      <c r="A42" s="11"/>
      <c r="B42" s="11" t="s">
        <v>15</v>
      </c>
      <c r="C42" s="12">
        <v>148667.46</v>
      </c>
      <c r="D42" s="13">
        <v>130578.138317</v>
      </c>
      <c r="E42" s="14">
        <f>E41+C42-D42</f>
        <v>176171.51592999988</v>
      </c>
      <c r="F42" s="11"/>
      <c r="G42" s="11" t="s">
        <v>15</v>
      </c>
      <c r="H42" s="15">
        <f>IF(C42="", "", IF(D42="", "",D42-D27))</f>
        <v>14199.166070000007</v>
      </c>
      <c r="I42" s="15">
        <f>IF(D42="", "", IF(E42="", "",E42-E27))</f>
        <v>50003.388048999914</v>
      </c>
    </row>
    <row r="43" spans="1:9" x14ac:dyDescent="0.25">
      <c r="A43" s="11"/>
      <c r="B43" s="11" t="s">
        <v>16</v>
      </c>
      <c r="C43" s="12">
        <v>170400.0338</v>
      </c>
      <c r="D43" s="13">
        <v>170765.05751000001</v>
      </c>
      <c r="E43" s="14">
        <f>E42+C43-D43</f>
        <v>175806.49221999984</v>
      </c>
      <c r="F43" s="11"/>
      <c r="G43" s="11" t="s">
        <v>16</v>
      </c>
      <c r="H43" s="15">
        <f>IF(C43="", "", IF(D43="", "",D43-D28))</f>
        <v>45465.714131000015</v>
      </c>
      <c r="I43" s="15">
        <f>IF(D43="", "", IF(E43="", "",E43-E28))</f>
        <v>53759.857717999868</v>
      </c>
    </row>
    <row r="44" spans="1:9" x14ac:dyDescent="0.25">
      <c r="A44" s="11"/>
      <c r="B44" s="11" t="s">
        <v>17</v>
      </c>
      <c r="C44" s="12">
        <v>127647.966522</v>
      </c>
      <c r="D44" s="13">
        <v>144190.231883</v>
      </c>
      <c r="E44" s="14">
        <f>E43+C44-D44</f>
        <v>159264.22685899981</v>
      </c>
      <c r="F44" s="11"/>
      <c r="G44" s="11" t="s">
        <v>17</v>
      </c>
      <c r="H44" s="15">
        <f>IF(C44="", "", IF(D44="", "",D44-D29))</f>
        <v>60034.585588000002</v>
      </c>
      <c r="I44" s="15">
        <f>IF(D44="", "", IF(E44="", "",E44-E29))</f>
        <v>42214.592951999846</v>
      </c>
    </row>
    <row r="45" spans="1:9" x14ac:dyDescent="0.25">
      <c r="A45" s="16"/>
      <c r="B45" s="16" t="s">
        <v>18</v>
      </c>
      <c r="C45" s="17">
        <v>61857.559998999997</v>
      </c>
      <c r="D45" s="18">
        <v>96463.665580000001</v>
      </c>
      <c r="E45" s="19">
        <f>E44+C45-D45</f>
        <v>124658.1212779998</v>
      </c>
      <c r="F45" s="16"/>
      <c r="G45" s="16" t="s">
        <v>18</v>
      </c>
      <c r="H45" s="20">
        <f>IF(C45="", "", IF(D45="", "",D45-D30))</f>
        <v>18759.995083000002</v>
      </c>
      <c r="I45" s="20">
        <f>IF(D45="", "", IF(E45="", "",E45-E30))</f>
        <v>38776.967867999847</v>
      </c>
    </row>
    <row r="46" spans="1:9" s="2" customFormat="1" x14ac:dyDescent="0.25">
      <c r="A46" s="21"/>
      <c r="B46" s="21" t="s">
        <v>19</v>
      </c>
      <c r="C46" s="22">
        <f>SUM(C34:C45)</f>
        <v>1610958.906988</v>
      </c>
      <c r="D46" s="23">
        <f>SUM(D34:D45)</f>
        <v>1572181.93912</v>
      </c>
      <c r="E46" s="14"/>
      <c r="F46" s="21"/>
      <c r="G46" s="21"/>
      <c r="H46" s="14">
        <f>SUMIF(C34:C45,"&gt;=0",H34:H45)</f>
        <v>333515.74908000004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134246.57558233335</v>
      </c>
      <c r="D47" s="23">
        <f>AVERAGE(D34:D45)</f>
        <v>131015.16159333334</v>
      </c>
      <c r="E47" s="24">
        <f>C47/D47-1</f>
        <v>2.466442776317912E-2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124658.1212779998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125576.33</v>
      </c>
      <c r="D49" s="27">
        <v>105106.68531299999</v>
      </c>
      <c r="E49" s="28">
        <f>E48+C49-D49</f>
        <v>145127.76596499979</v>
      </c>
      <c r="F49" s="25"/>
      <c r="G49" s="25" t="s">
        <v>7</v>
      </c>
      <c r="H49" s="29">
        <f>IF(C49="", "", IF(D49="", "",D49-D34))</f>
        <v>12860.871285999994</v>
      </c>
      <c r="I49" s="29">
        <f>IF(D49="", "", IF(E49="", "",E49-E34))</f>
        <v>37698.579914999849</v>
      </c>
    </row>
    <row r="50" spans="1:9" x14ac:dyDescent="0.25">
      <c r="A50" s="25"/>
      <c r="B50" s="25" t="s">
        <v>8</v>
      </c>
      <c r="C50" s="26">
        <v>184943.11999899999</v>
      </c>
      <c r="D50" s="27">
        <v>169328.04515399999</v>
      </c>
      <c r="E50" s="28">
        <f>E49+C50-D50</f>
        <v>160742.84080999979</v>
      </c>
      <c r="F50" s="25"/>
      <c r="G50" s="25" t="s">
        <v>8</v>
      </c>
      <c r="H50" s="29">
        <f>IF(C50="", "", IF(D50="", "",D50-D35))</f>
        <v>52309.028896999997</v>
      </c>
      <c r="I50" s="29">
        <f>IF(D50="", "", IF(E50="", "",E50-E35))</f>
        <v>36372.541016999821</v>
      </c>
    </row>
    <row r="51" spans="1:9" x14ac:dyDescent="0.25">
      <c r="A51" s="25"/>
      <c r="B51" s="25" t="s">
        <v>9</v>
      </c>
      <c r="C51" s="26">
        <v>203037.74999899999</v>
      </c>
      <c r="D51" s="27">
        <v>186841.242983</v>
      </c>
      <c r="E51" s="28">
        <f>E50+C51-D51</f>
        <v>176939.34782599978</v>
      </c>
      <c r="F51" s="25"/>
      <c r="G51" s="25" t="s">
        <v>9</v>
      </c>
      <c r="H51" s="29">
        <f>IF(C51="", "", IF(D51="", "",D51-D36))</f>
        <v>78768.429757000005</v>
      </c>
      <c r="I51" s="29">
        <f>IF(D51="", "", IF(E51="", "",E51-E36))</f>
        <v>20214.321258999815</v>
      </c>
    </row>
    <row r="52" spans="1:9" x14ac:dyDescent="0.25">
      <c r="A52" s="25"/>
      <c r="B52" s="25" t="s">
        <v>10</v>
      </c>
      <c r="C52" s="26">
        <v>124746.17</v>
      </c>
      <c r="D52" s="27">
        <v>161866.80156299999</v>
      </c>
      <c r="E52" s="28">
        <f>E51+C52-D52</f>
        <v>139818.71626299978</v>
      </c>
      <c r="F52" s="25"/>
      <c r="G52" s="25" t="s">
        <v>10</v>
      </c>
      <c r="H52" s="29">
        <f>IF(C52="", "", IF(D52="", "",D52-D37))</f>
        <v>57409.908771999981</v>
      </c>
      <c r="I52" s="29">
        <f>IF(D52="", "", IF(E52="", "",E52-E37))</f>
        <v>12836.222486999832</v>
      </c>
    </row>
    <row r="53" spans="1:9" x14ac:dyDescent="0.25">
      <c r="A53" s="25"/>
      <c r="B53" s="25" t="s">
        <v>11</v>
      </c>
      <c r="C53" s="26">
        <v>184198.753</v>
      </c>
      <c r="D53" s="27">
        <v>154461.85566299999</v>
      </c>
      <c r="E53" s="28">
        <f>E52+C53-D53</f>
        <v>169555.61359999978</v>
      </c>
      <c r="F53" s="25"/>
      <c r="G53" s="25" t="s">
        <v>11</v>
      </c>
      <c r="H53" s="29">
        <f>IF(C53="", "", IF(D53="", "",D53-D38))</f>
        <v>27848.411081999991</v>
      </c>
      <c r="I53" s="29">
        <f>IF(D53="", "", IF(E53="", "",E53-E38))</f>
        <v>52287.11440499984</v>
      </c>
    </row>
    <row r="54" spans="1:9" x14ac:dyDescent="0.25">
      <c r="A54" s="25"/>
      <c r="B54" s="25" t="s">
        <v>12</v>
      </c>
      <c r="C54" s="26">
        <v>163348.29359399999</v>
      </c>
      <c r="D54" s="27">
        <v>157397.15953100001</v>
      </c>
      <c r="E54" s="28">
        <f>E53+C54-D54</f>
        <v>175506.74766299973</v>
      </c>
      <c r="F54" s="25"/>
      <c r="G54" s="25" t="s">
        <v>12</v>
      </c>
      <c r="H54" s="29">
        <f>IF(C54="", "", IF(D54="", "",D54-D39))</f>
        <v>7003.1059320000059</v>
      </c>
      <c r="I54" s="29">
        <f>IF(D54="", "", IF(E54="", "",E54-E39))</f>
        <v>21318.332066999777</v>
      </c>
    </row>
    <row r="55" spans="1:9" x14ac:dyDescent="0.25">
      <c r="A55" s="25"/>
      <c r="B55" s="25" t="s">
        <v>13</v>
      </c>
      <c r="C55" s="26">
        <v>169260.35999900001</v>
      </c>
      <c r="D55" s="27">
        <v>182364.466331</v>
      </c>
      <c r="E55" s="28">
        <f>E54+C55-D55</f>
        <v>162402.64133099976</v>
      </c>
      <c r="F55" s="25"/>
      <c r="G55" s="25" t="s">
        <v>13</v>
      </c>
      <c r="H55" s="29">
        <f>IF(C55="", "", IF(D55="", "",D55-D40))</f>
        <v>31434.534400000004</v>
      </c>
      <c r="I55" s="29">
        <f>IF(D55="", "", IF(E55="", "",E55-E40))</f>
        <v>-267.98233400017489</v>
      </c>
    </row>
    <row r="56" spans="1:9" x14ac:dyDescent="0.25">
      <c r="A56" s="25"/>
      <c r="B56" s="25" t="s">
        <v>14</v>
      </c>
      <c r="C56" s="26">
        <v>131219.47</v>
      </c>
      <c r="D56" s="27">
        <v>116149.11051499999</v>
      </c>
      <c r="E56" s="28">
        <f>E55+C56-D56</f>
        <v>177473.00081599975</v>
      </c>
      <c r="F56" s="25"/>
      <c r="G56" s="25" t="s">
        <v>14</v>
      </c>
      <c r="H56" s="29">
        <f>IF(C56="", "", IF(D56="", "",D56-D41))</f>
        <v>-64303.768903000004</v>
      </c>
      <c r="I56" s="29">
        <f>IF(D56="", "", IF(E56="", "",E56-E41))</f>
        <v>19390.806568999833</v>
      </c>
    </row>
    <row r="57" spans="1:9" x14ac:dyDescent="0.25">
      <c r="A57" s="25"/>
      <c r="B57" s="25" t="s">
        <v>15</v>
      </c>
      <c r="C57" s="26">
        <v>111165.96</v>
      </c>
      <c r="D57" s="27">
        <v>104173.182699</v>
      </c>
      <c r="E57" s="28">
        <f>E56+C57-D57</f>
        <v>184465.77811699978</v>
      </c>
      <c r="F57" s="25"/>
      <c r="G57" s="25" t="s">
        <v>15</v>
      </c>
      <c r="H57" s="29">
        <f>IF(C57="", "", IF(D57="", "",D57-D42))</f>
        <v>-26404.955618000007</v>
      </c>
      <c r="I57" s="29">
        <f>IF(D57="", "", IF(E57="", "",E57-E42))</f>
        <v>8294.2621869998984</v>
      </c>
    </row>
    <row r="58" spans="1:9" x14ac:dyDescent="0.25">
      <c r="A58" s="25"/>
      <c r="B58" s="25" t="s">
        <v>16</v>
      </c>
      <c r="C58" s="26">
        <v>133299.74</v>
      </c>
      <c r="D58" s="27">
        <v>157264.390915</v>
      </c>
      <c r="E58" s="28">
        <f>E57+C58-D58</f>
        <v>160501.12720199977</v>
      </c>
      <c r="F58" s="25"/>
      <c r="G58" s="25" t="s">
        <v>16</v>
      </c>
      <c r="H58" s="29">
        <f>IF(C58="", "", IF(D58="", "",D58-D43))</f>
        <v>-13500.666595000017</v>
      </c>
      <c r="I58" s="29">
        <f>IF(D58="", "", IF(E58="", "",E58-E43))</f>
        <v>-15305.36501800007</v>
      </c>
    </row>
    <row r="59" spans="1:9" x14ac:dyDescent="0.25">
      <c r="A59" s="25"/>
      <c r="B59" s="25" t="s">
        <v>17</v>
      </c>
      <c r="C59" s="26">
        <v>209425.47000500001</v>
      </c>
      <c r="D59" s="27">
        <v>225548.071933</v>
      </c>
      <c r="E59" s="28">
        <f>E58+C59-D59</f>
        <v>144378.52527399978</v>
      </c>
      <c r="F59" s="25"/>
      <c r="G59" s="25" t="s">
        <v>17</v>
      </c>
      <c r="H59" s="29">
        <f>IF(C59="", "", IF(D59="", "",D59-D44))</f>
        <v>81357.840049999999</v>
      </c>
      <c r="I59" s="29">
        <f>IF(D59="", "", IF(E59="", "",E59-E44))</f>
        <v>-14885.701585000032</v>
      </c>
    </row>
    <row r="60" spans="1:9" x14ac:dyDescent="0.25">
      <c r="A60" s="30"/>
      <c r="B60" s="30" t="s">
        <v>18</v>
      </c>
      <c r="C60" s="31">
        <v>148260.62999799999</v>
      </c>
      <c r="D60" s="32">
        <v>169340.56827300001</v>
      </c>
      <c r="E60" s="33">
        <f>E59+C60-D60</f>
        <v>123298.58699899976</v>
      </c>
      <c r="F60" s="30"/>
      <c r="G60" s="30" t="s">
        <v>18</v>
      </c>
      <c r="H60" s="34">
        <f>IF(C60="", "", IF(D60="", "",D60-D45))</f>
        <v>72876.902693000011</v>
      </c>
      <c r="I60" s="34">
        <f>IF(D60="", "", IF(E60="", "",E60-E45))</f>
        <v>-1359.5342790000432</v>
      </c>
    </row>
    <row r="61" spans="1:9" s="2" customFormat="1" x14ac:dyDescent="0.25">
      <c r="A61" s="35"/>
      <c r="B61" s="35" t="s">
        <v>19</v>
      </c>
      <c r="C61" s="36">
        <f>SUM(C49:C60)</f>
        <v>1888482.046594</v>
      </c>
      <c r="D61" s="37">
        <f>SUM(D49:D60)</f>
        <v>1889841.580873</v>
      </c>
      <c r="E61" s="28"/>
      <c r="F61" s="35"/>
      <c r="G61" s="35"/>
      <c r="H61" s="28">
        <f>SUMIF(C49:C60,"&gt;=0",H49:H60)</f>
        <v>317659.64175299997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157373.50388283332</v>
      </c>
      <c r="D62" s="37">
        <f>AVERAGE(D49:D60)</f>
        <v>157486.79840608334</v>
      </c>
      <c r="E62" s="38">
        <f>C62/D62-1</f>
        <v>-7.1939060541370559E-4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123298.58699899976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120658.71</v>
      </c>
      <c r="D64" s="13">
        <v>75363.641698000007</v>
      </c>
      <c r="E64" s="14">
        <f>E63+C64-D64</f>
        <v>168593.65530099976</v>
      </c>
      <c r="F64" s="11"/>
      <c r="G64" s="11" t="s">
        <v>7</v>
      </c>
      <c r="H64" s="15">
        <f>IF(C64="", "", IF(D64="", "",D64-D49))</f>
        <v>-29743.043614999988</v>
      </c>
      <c r="I64" s="15">
        <f>IF(D64="", "", IF(E64="", "",E64-E49))</f>
        <v>23465.889335999964</v>
      </c>
    </row>
    <row r="65" spans="1:9" x14ac:dyDescent="0.25">
      <c r="A65" s="11"/>
      <c r="B65" s="11" t="s">
        <v>8</v>
      </c>
      <c r="C65" s="12">
        <v>160190.35999999999</v>
      </c>
      <c r="D65" s="13">
        <v>130499.6008</v>
      </c>
      <c r="E65" s="14">
        <f>E64+C65-D65</f>
        <v>198284.41450099973</v>
      </c>
      <c r="F65" s="11"/>
      <c r="G65" s="11" t="s">
        <v>8</v>
      </c>
      <c r="H65" s="15">
        <f>IF(C65="", "", IF(D65="", "",D65-D50))</f>
        <v>-38828.444353999992</v>
      </c>
      <c r="I65" s="15">
        <f>IF(D65="", "", IF(E65="", "",E65-E50))</f>
        <v>37541.57369099994</v>
      </c>
    </row>
    <row r="66" spans="1:9" x14ac:dyDescent="0.25">
      <c r="A66" s="11"/>
      <c r="B66" s="11" t="s">
        <v>9</v>
      </c>
      <c r="C66" s="12">
        <v>160915.45000000001</v>
      </c>
      <c r="D66" s="13">
        <v>178710.21129199999</v>
      </c>
      <c r="E66" s="14">
        <f>E65+C66-D66</f>
        <v>180489.65320899975</v>
      </c>
      <c r="F66" s="11"/>
      <c r="G66" s="11" t="s">
        <v>9</v>
      </c>
      <c r="H66" s="15">
        <f>IF(C66="", "", IF(D66="", "",D66-D51))</f>
        <v>-8131.0316910000111</v>
      </c>
      <c r="I66" s="15">
        <f>IF(D66="", "", IF(E66="", "",E66-E51))</f>
        <v>3550.3053829999699</v>
      </c>
    </row>
    <row r="67" spans="1:9" x14ac:dyDescent="0.25">
      <c r="A67" s="11"/>
      <c r="B67" s="11" t="s">
        <v>10</v>
      </c>
      <c r="C67" s="12">
        <v>95262.720000000001</v>
      </c>
      <c r="D67" s="13">
        <v>105994.27796599999</v>
      </c>
      <c r="E67" s="14">
        <f>E66+C67-D67</f>
        <v>169758.09524299976</v>
      </c>
      <c r="F67" s="11"/>
      <c r="G67" s="11" t="s">
        <v>10</v>
      </c>
      <c r="H67" s="15">
        <f>IF(C67="", "", IF(D67="", "",D67-D52))</f>
        <v>-55872.523596999992</v>
      </c>
      <c r="I67" s="15">
        <f>IF(D67="", "", IF(E67="", "",E67-E52))</f>
        <v>29939.378979999979</v>
      </c>
    </row>
    <row r="68" spans="1:9" x14ac:dyDescent="0.25">
      <c r="A68" s="11"/>
      <c r="B68" s="11" t="s">
        <v>11</v>
      </c>
      <c r="C68" s="12">
        <v>191384.38</v>
      </c>
      <c r="D68" s="13">
        <v>180305.244339</v>
      </c>
      <c r="E68" s="14">
        <f>E67+C68-D68</f>
        <v>180837.23090399973</v>
      </c>
      <c r="F68" s="11"/>
      <c r="G68" s="11" t="s">
        <v>11</v>
      </c>
      <c r="H68" s="15">
        <f>IF(C68="", "", IF(D68="", "",D68-D53))</f>
        <v>25843.388676000002</v>
      </c>
      <c r="I68" s="15">
        <f>IF(D68="", "", IF(E68="", "",E68-E53))</f>
        <v>11281.617303999956</v>
      </c>
    </row>
    <row r="69" spans="1:9" x14ac:dyDescent="0.25">
      <c r="A69" s="11"/>
      <c r="B69" s="11" t="s">
        <v>12</v>
      </c>
      <c r="C69" s="12">
        <v>169830.91</v>
      </c>
      <c r="D69" s="13">
        <v>122049.97483200001</v>
      </c>
      <c r="E69" s="14">
        <f>E68+C69-D69</f>
        <v>228618.16607199973</v>
      </c>
      <c r="F69" s="11"/>
      <c r="G69" s="11" t="s">
        <v>12</v>
      </c>
      <c r="H69" s="15">
        <f>IF(C69="", "", IF(D69="", "",D69-D54))</f>
        <v>-35347.184699000005</v>
      </c>
      <c r="I69" s="15">
        <f>IF(D69="", "", IF(E69="", "",E69-E54))</f>
        <v>53111.418409000005</v>
      </c>
    </row>
    <row r="70" spans="1:9" x14ac:dyDescent="0.25">
      <c r="A70" s="11"/>
      <c r="B70" s="11" t="s">
        <v>13</v>
      </c>
      <c r="C70" s="12">
        <v>76288.27</v>
      </c>
      <c r="D70" s="13">
        <v>110870.891712</v>
      </c>
      <c r="E70" s="14">
        <f>E69+C70-D70</f>
        <v>194035.54435999971</v>
      </c>
      <c r="F70" s="11"/>
      <c r="G70" s="11" t="s">
        <v>13</v>
      </c>
      <c r="H70" s="15">
        <f>IF(C70="", "", IF(D70="", "",D70-D55))</f>
        <v>-71493.574619000006</v>
      </c>
      <c r="I70" s="15">
        <f>IF(D70="", "", IF(E70="", "",E70-E55))</f>
        <v>31632.90302899995</v>
      </c>
    </row>
    <row r="71" spans="1:9" x14ac:dyDescent="0.25">
      <c r="A71" s="11"/>
      <c r="B71" s="11" t="s">
        <v>14</v>
      </c>
      <c r="C71" s="12">
        <v>179273.599999</v>
      </c>
      <c r="D71" s="13">
        <v>164668.27729900001</v>
      </c>
      <c r="E71" s="14">
        <f>E70+C71-D71</f>
        <v>208640.86705999967</v>
      </c>
      <c r="F71" s="11"/>
      <c r="G71" s="11" t="s">
        <v>14</v>
      </c>
      <c r="H71" s="15">
        <f>IF(C71="", "", IF(D71="", "",D71-D56))</f>
        <v>48519.166784000015</v>
      </c>
      <c r="I71" s="15">
        <f>IF(D71="", "", IF(E71="", "",E71-E56))</f>
        <v>31167.866243999917</v>
      </c>
    </row>
    <row r="72" spans="1:9" x14ac:dyDescent="0.25">
      <c r="A72" s="11"/>
      <c r="B72" s="11" t="s">
        <v>15</v>
      </c>
      <c r="C72" s="12">
        <v>196506.5</v>
      </c>
      <c r="D72" s="13">
        <v>183120.95744100001</v>
      </c>
      <c r="E72" s="14">
        <f>E71+C72-D72</f>
        <v>222026.40961899966</v>
      </c>
      <c r="F72" s="11"/>
      <c r="G72" s="11" t="s">
        <v>15</v>
      </c>
      <c r="H72" s="15">
        <f>IF(C72="", "", IF(D72="", "",D72-D57))</f>
        <v>78947.774742000009</v>
      </c>
      <c r="I72" s="15">
        <f>IF(D72="", "", IF(E72="", "",E72-E57))</f>
        <v>37560.631501999887</v>
      </c>
    </row>
    <row r="73" spans="1:9" x14ac:dyDescent="0.25">
      <c r="A73" s="11"/>
      <c r="B73" s="11" t="s">
        <v>16</v>
      </c>
      <c r="C73" s="12">
        <v>199086.99</v>
      </c>
      <c r="D73" s="13">
        <v>200924.12177100001</v>
      </c>
      <c r="E73" s="14">
        <f>E72+C73-D73</f>
        <v>220189.27784799968</v>
      </c>
      <c r="F73" s="11"/>
      <c r="G73" s="11" t="s">
        <v>16</v>
      </c>
      <c r="H73" s="15">
        <f>IF(C73="", "", IF(D73="", "",D73-D58))</f>
        <v>43659.730856000009</v>
      </c>
      <c r="I73" s="15">
        <f>IF(D73="", "", IF(E73="", "",E73-E58))</f>
        <v>59688.150645999907</v>
      </c>
    </row>
    <row r="74" spans="1:9" x14ac:dyDescent="0.25">
      <c r="A74" s="11"/>
      <c r="B74" s="11" t="s">
        <v>17</v>
      </c>
      <c r="C74" s="12">
        <v>119746.94</v>
      </c>
      <c r="D74" s="13">
        <v>123691.299053</v>
      </c>
      <c r="E74" s="14">
        <f>E73+C74-D74</f>
        <v>216244.91879499966</v>
      </c>
      <c r="F74" s="11"/>
      <c r="G74" s="11" t="s">
        <v>17</v>
      </c>
      <c r="H74" s="15">
        <f>IF(C74="", "", IF(D74="", "",D74-D59))</f>
        <v>-101856.77288</v>
      </c>
      <c r="I74" s="15">
        <f>IF(D74="", "", IF(E74="", "",E74-E59))</f>
        <v>71866.393520999874</v>
      </c>
    </row>
    <row r="75" spans="1:9" x14ac:dyDescent="0.25">
      <c r="A75" s="16"/>
      <c r="B75" s="16" t="s">
        <v>18</v>
      </c>
      <c r="C75" s="17">
        <v>94889.45</v>
      </c>
      <c r="D75" s="18">
        <v>87980.695024999994</v>
      </c>
      <c r="E75" s="19">
        <f>E74+C75-D75</f>
        <v>223153.67376999967</v>
      </c>
      <c r="F75" s="16"/>
      <c r="G75" s="16" t="s">
        <v>18</v>
      </c>
      <c r="H75" s="20">
        <f>IF(C75="", "", IF(D75="", "",D75-D60))</f>
        <v>-81359.873248000018</v>
      </c>
      <c r="I75" s="20">
        <f>IF(D75="", "", IF(E75="", "",E75-E60))</f>
        <v>99855.086770999915</v>
      </c>
    </row>
    <row r="76" spans="1:9" s="2" customFormat="1" x14ac:dyDescent="0.25">
      <c r="A76" s="21"/>
      <c r="B76" s="21" t="s">
        <v>19</v>
      </c>
      <c r="C76" s="22">
        <f>SUM(C64:C75)</f>
        <v>1764034.279999</v>
      </c>
      <c r="D76" s="23">
        <f>SUM(D64:D75)</f>
        <v>1664179.1932280001</v>
      </c>
      <c r="E76" s="14"/>
      <c r="F76" s="21"/>
      <c r="G76" s="21"/>
      <c r="H76" s="14">
        <f>SUMIF(C64:C75,"&gt;=0",H64:H75)</f>
        <v>-225662.38764499998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147002.85666658334</v>
      </c>
      <c r="D77" s="23">
        <f>AVERAGE(D64:D75)</f>
        <v>138681.59943566666</v>
      </c>
      <c r="E77" s="24">
        <f>C77/D77-1</f>
        <v>6.0002604994304543E-2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223153.67376999967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223153.67376999967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223153.67376999967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223153.67376999967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223153.67376999967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223153.67376999967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223153.67376999967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223153.67376999967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223153.67376999967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223153.67376999967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223153.67376999967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223153.67376999967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223153.67376999967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AE99-8FF5-4ACF-BCE3-6730676908BB}">
  <sheetPr codeName="Sheet21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35380.752950000002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61606.476007999998</v>
      </c>
      <c r="D4" s="13">
        <v>56432.518329999999</v>
      </c>
      <c r="E4" s="14">
        <f>E3+C4-D4</f>
        <v>40554.710627999993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118049.965</v>
      </c>
      <c r="D5" s="13">
        <v>52427.369191999998</v>
      </c>
      <c r="E5" s="14">
        <f>E4+C5-D5</f>
        <v>106177.306436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86959.710017000005</v>
      </c>
      <c r="D6" s="13">
        <v>105466.45843499999</v>
      </c>
      <c r="E6" s="14">
        <f>E5+C6-D6</f>
        <v>87670.558018000025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109114.9075</v>
      </c>
      <c r="D7" s="13">
        <v>137055.77268600001</v>
      </c>
      <c r="E7" s="14">
        <f>E6+C7-D7</f>
        <v>59729.692832000001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72056.350000000006</v>
      </c>
      <c r="D8" s="13">
        <v>64676.878936000001</v>
      </c>
      <c r="E8" s="14">
        <f>E7+C8-D8</f>
        <v>67109.163896000013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48956.88</v>
      </c>
      <c r="D9" s="13">
        <v>48424.059647000002</v>
      </c>
      <c r="E9" s="14">
        <f>E8+C9-D9</f>
        <v>67641.984249000016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54031.95</v>
      </c>
      <c r="D10" s="13">
        <v>53303.621914000003</v>
      </c>
      <c r="E10" s="14">
        <f>E9+C10-D10</f>
        <v>68370.31233500001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90089.85</v>
      </c>
      <c r="D11" s="13">
        <v>91075.958874000004</v>
      </c>
      <c r="E11" s="14">
        <f>E10+C11-D11</f>
        <v>67384.203460999997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58269.07</v>
      </c>
      <c r="D12" s="13">
        <v>74670.383822000003</v>
      </c>
      <c r="E12" s="14">
        <f>E11+C12-D12</f>
        <v>50982.889639000001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217725.25</v>
      </c>
      <c r="D13" s="13">
        <v>170132.71316000001</v>
      </c>
      <c r="E13" s="14">
        <f>E12+C13-D13</f>
        <v>98575.426478999987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59061.1</v>
      </c>
      <c r="D14" s="13">
        <v>78505.338533999995</v>
      </c>
      <c r="E14" s="14">
        <f>E13+C14-D14</f>
        <v>79131.187944999998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46424.52</v>
      </c>
      <c r="D15" s="18">
        <v>77322.404622000002</v>
      </c>
      <c r="E15" s="19">
        <f>E14+C15-D15</f>
        <v>48233.303323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1022346.0285249999</v>
      </c>
      <c r="D16" s="23">
        <f>SUM(D4:D15)</f>
        <v>1009493.4781520001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85195.502377083321</v>
      </c>
      <c r="D17" s="23">
        <f>AVERAGE(D4:D15)</f>
        <v>84124.456512666671</v>
      </c>
      <c r="E17" s="24">
        <f>C17/D17-1</f>
        <v>1.2731682424068635E-2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48233.303323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31140.73</v>
      </c>
      <c r="D19" s="27">
        <v>28565.778140999999</v>
      </c>
      <c r="E19" s="28">
        <f>E18+C19-D19</f>
        <v>50808.255181999994</v>
      </c>
      <c r="F19" s="25"/>
      <c r="G19" s="25" t="s">
        <v>7</v>
      </c>
      <c r="H19" s="29">
        <f>IF(C19="", "", IF(D19="", "",D19-D4))</f>
        <v>-27866.740189</v>
      </c>
      <c r="I19" s="29">
        <f>IF(D19="", "", IF(E19="", "",E19-E4))</f>
        <v>10253.544554</v>
      </c>
    </row>
    <row r="20" spans="1:9" x14ac:dyDescent="0.25">
      <c r="A20" s="25"/>
      <c r="B20" s="25" t="s">
        <v>8</v>
      </c>
      <c r="C20" s="26">
        <v>131027.82</v>
      </c>
      <c r="D20" s="27">
        <v>96833.769400999998</v>
      </c>
      <c r="E20" s="28">
        <f>E19+C20-D20</f>
        <v>85002.305781000003</v>
      </c>
      <c r="F20" s="25"/>
      <c r="G20" s="25" t="s">
        <v>8</v>
      </c>
      <c r="H20" s="29">
        <f>IF(C20="", "", IF(D20="", "",D20-D5))</f>
        <v>44406.400208999999</v>
      </c>
      <c r="I20" s="29">
        <f>IF(D20="", "", IF(E20="", "",E20-E5))</f>
        <v>-21175.000654999996</v>
      </c>
    </row>
    <row r="21" spans="1:9" x14ac:dyDescent="0.25">
      <c r="A21" s="25"/>
      <c r="B21" s="25" t="s">
        <v>9</v>
      </c>
      <c r="C21" s="26">
        <v>118648.1</v>
      </c>
      <c r="D21" s="27">
        <v>81447.586116999999</v>
      </c>
      <c r="E21" s="28">
        <f>E20+C21-D21</f>
        <v>122202.81966400001</v>
      </c>
      <c r="F21" s="25"/>
      <c r="G21" s="25" t="s">
        <v>9</v>
      </c>
      <c r="H21" s="29">
        <f>IF(C21="", "", IF(D21="", "",D21-D6))</f>
        <v>-24018.872317999994</v>
      </c>
      <c r="I21" s="29">
        <f>IF(D21="", "", IF(E21="", "",E21-E6))</f>
        <v>34532.261645999984</v>
      </c>
    </row>
    <row r="22" spans="1:9" x14ac:dyDescent="0.25">
      <c r="A22" s="25"/>
      <c r="B22" s="25" t="s">
        <v>10</v>
      </c>
      <c r="C22" s="26">
        <v>154325.17000000001</v>
      </c>
      <c r="D22" s="27">
        <v>199370.99887400001</v>
      </c>
      <c r="E22" s="28">
        <f>E21+C22-D22</f>
        <v>77156.990789999982</v>
      </c>
      <c r="F22" s="25"/>
      <c r="G22" s="25" t="s">
        <v>10</v>
      </c>
      <c r="H22" s="29">
        <f>IF(C22="", "", IF(D22="", "",D22-D7))</f>
        <v>62315.226188000001</v>
      </c>
      <c r="I22" s="29">
        <f>IF(D22="", "", IF(E22="", "",E22-E7))</f>
        <v>17427.297957999981</v>
      </c>
    </row>
    <row r="23" spans="1:9" x14ac:dyDescent="0.25">
      <c r="A23" s="25"/>
      <c r="B23" s="25" t="s">
        <v>11</v>
      </c>
      <c r="C23" s="26">
        <v>71278.880000000005</v>
      </c>
      <c r="D23" s="27">
        <v>93674.999865999998</v>
      </c>
      <c r="E23" s="28">
        <f>E22+C23-D23</f>
        <v>54760.870923999988</v>
      </c>
      <c r="F23" s="25"/>
      <c r="G23" s="25" t="s">
        <v>11</v>
      </c>
      <c r="H23" s="29">
        <f>IF(C23="", "", IF(D23="", "",D23-D8))</f>
        <v>28998.120929999997</v>
      </c>
      <c r="I23" s="29">
        <f>IF(D23="", "", IF(E23="", "",E23-E8))</f>
        <v>-12348.292972000025</v>
      </c>
    </row>
    <row r="24" spans="1:9" x14ac:dyDescent="0.25">
      <c r="A24" s="25"/>
      <c r="B24" s="25" t="s">
        <v>12</v>
      </c>
      <c r="C24" s="26">
        <v>103402.55</v>
      </c>
      <c r="D24" s="27">
        <v>91693.012478999997</v>
      </c>
      <c r="E24" s="28">
        <f>E23+C24-D24</f>
        <v>66470.408444999979</v>
      </c>
      <c r="F24" s="25"/>
      <c r="G24" s="25" t="s">
        <v>12</v>
      </c>
      <c r="H24" s="29">
        <f>IF(C24="", "", IF(D24="", "",D24-D9))</f>
        <v>43268.952831999995</v>
      </c>
      <c r="I24" s="29">
        <f>IF(D24="", "", IF(E24="", "",E24-E9))</f>
        <v>-1171.5758040000364</v>
      </c>
    </row>
    <row r="25" spans="1:9" x14ac:dyDescent="0.25">
      <c r="A25" s="25"/>
      <c r="B25" s="25" t="s">
        <v>13</v>
      </c>
      <c r="C25" s="26">
        <v>120100.1</v>
      </c>
      <c r="D25" s="27">
        <v>98789.344383000003</v>
      </c>
      <c r="E25" s="28">
        <f>E24+C25-D25</f>
        <v>87781.164061999982</v>
      </c>
      <c r="F25" s="25"/>
      <c r="G25" s="25" t="s">
        <v>13</v>
      </c>
      <c r="H25" s="29">
        <f>IF(C25="", "", IF(D25="", "",D25-D10))</f>
        <v>45485.722469</v>
      </c>
      <c r="I25" s="29">
        <f>IF(D25="", "", IF(E25="", "",E25-E10))</f>
        <v>19410.851726999972</v>
      </c>
    </row>
    <row r="26" spans="1:9" x14ac:dyDescent="0.25">
      <c r="A26" s="25"/>
      <c r="B26" s="25" t="s">
        <v>14</v>
      </c>
      <c r="C26" s="26">
        <v>179724.34</v>
      </c>
      <c r="D26" s="27">
        <v>200933.615639</v>
      </c>
      <c r="E26" s="28">
        <f>E25+C26-D26</f>
        <v>66571.888422999968</v>
      </c>
      <c r="F26" s="25"/>
      <c r="G26" s="25" t="s">
        <v>14</v>
      </c>
      <c r="H26" s="29">
        <f>IF(C26="", "", IF(D26="", "",D26-D11))</f>
        <v>109857.65676499999</v>
      </c>
      <c r="I26" s="29">
        <f>IF(D26="", "", IF(E26="", "",E26-E11))</f>
        <v>-812.31503800002974</v>
      </c>
    </row>
    <row r="27" spans="1:9" x14ac:dyDescent="0.25">
      <c r="A27" s="25"/>
      <c r="B27" s="25" t="s">
        <v>15</v>
      </c>
      <c r="C27" s="26">
        <v>211945.68</v>
      </c>
      <c r="D27" s="27">
        <v>202561.76866500001</v>
      </c>
      <c r="E27" s="28">
        <f>E26+C27-D27</f>
        <v>75955.799757999921</v>
      </c>
      <c r="F27" s="25"/>
      <c r="G27" s="25" t="s">
        <v>15</v>
      </c>
      <c r="H27" s="29">
        <f>IF(C27="", "", IF(D27="", "",D27-D12))</f>
        <v>127891.38484300001</v>
      </c>
      <c r="I27" s="29">
        <f>IF(D27="", "", IF(E27="", "",E27-E12))</f>
        <v>24972.91011899992</v>
      </c>
    </row>
    <row r="28" spans="1:9" x14ac:dyDescent="0.25">
      <c r="A28" s="25"/>
      <c r="B28" s="25" t="s">
        <v>16</v>
      </c>
      <c r="C28" s="26">
        <v>92155.27</v>
      </c>
      <c r="D28" s="27">
        <v>90528.679514999996</v>
      </c>
      <c r="E28" s="28">
        <f>E27+C28-D28</f>
        <v>77582.390242999914</v>
      </c>
      <c r="F28" s="25"/>
      <c r="G28" s="25" t="s">
        <v>16</v>
      </c>
      <c r="H28" s="29">
        <f>IF(C28="", "", IF(D28="", "",D28-D13))</f>
        <v>-79604.033645000018</v>
      </c>
      <c r="I28" s="29">
        <f>IF(D28="", "", IF(E28="", "",E28-E13))</f>
        <v>-20993.036236000073</v>
      </c>
    </row>
    <row r="29" spans="1:9" x14ac:dyDescent="0.25">
      <c r="A29" s="25"/>
      <c r="B29" s="25" t="s">
        <v>17</v>
      </c>
      <c r="C29" s="26">
        <v>148016.44</v>
      </c>
      <c r="D29" s="27">
        <v>153557.33360799999</v>
      </c>
      <c r="E29" s="28">
        <f>E28+C29-D29</f>
        <v>72041.49663499993</v>
      </c>
      <c r="F29" s="25"/>
      <c r="G29" s="25" t="s">
        <v>17</v>
      </c>
      <c r="H29" s="29">
        <f>IF(C29="", "", IF(D29="", "",D29-D14))</f>
        <v>75051.995073999991</v>
      </c>
      <c r="I29" s="29">
        <f>IF(D29="", "", IF(E29="", "",E29-E14))</f>
        <v>-7089.6913100000675</v>
      </c>
    </row>
    <row r="30" spans="1:9" x14ac:dyDescent="0.25">
      <c r="A30" s="30"/>
      <c r="B30" s="30" t="s">
        <v>18</v>
      </c>
      <c r="C30" s="31">
        <v>98838.59</v>
      </c>
      <c r="D30" s="32">
        <v>114212.08994599999</v>
      </c>
      <c r="E30" s="33">
        <f>E29+C30-D30</f>
        <v>56667.996688999934</v>
      </c>
      <c r="F30" s="30"/>
      <c r="G30" s="30" t="s">
        <v>18</v>
      </c>
      <c r="H30" s="34">
        <f>IF(C30="", "", IF(D30="", "",D30-D15))</f>
        <v>36889.685323999991</v>
      </c>
      <c r="I30" s="34">
        <f>IF(D30="", "", IF(E30="", "",E30-E15))</f>
        <v>8434.693365999934</v>
      </c>
    </row>
    <row r="31" spans="1:9" s="2" customFormat="1" x14ac:dyDescent="0.25">
      <c r="A31" s="35"/>
      <c r="B31" s="35" t="s">
        <v>19</v>
      </c>
      <c r="C31" s="36">
        <f>SUM(C19:C30)</f>
        <v>1460603.6700000002</v>
      </c>
      <c r="D31" s="37">
        <f>SUM(D19:D30)</f>
        <v>1452168.976634</v>
      </c>
      <c r="E31" s="28"/>
      <c r="F31" s="35"/>
      <c r="G31" s="35"/>
      <c r="H31" s="28">
        <f>SUMIF(C19:C30,"&gt;=0",H19:H30)</f>
        <v>442675.49848199997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121716.97250000002</v>
      </c>
      <c r="D32" s="37">
        <f>AVERAGE(D19:D30)</f>
        <v>121014.08138616667</v>
      </c>
      <c r="E32" s="38">
        <f>C32/D32-1</f>
        <v>5.8083415234162494E-3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56667.996688999934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59647.66</v>
      </c>
      <c r="D34" s="13">
        <v>39831.1368</v>
      </c>
      <c r="E34" s="14">
        <f>E33+C34-D34</f>
        <v>76484.51988899993</v>
      </c>
      <c r="F34" s="11"/>
      <c r="G34" s="11" t="s">
        <v>7</v>
      </c>
      <c r="H34" s="15">
        <f>IF(C34="", "", IF(D34="", "",D34-D19))</f>
        <v>11265.358659000001</v>
      </c>
      <c r="I34" s="15">
        <f>IF(D34="", "", IF(E34="", "",E34-E19))</f>
        <v>25676.264706999937</v>
      </c>
    </row>
    <row r="35" spans="1:9" x14ac:dyDescent="0.25">
      <c r="A35" s="11"/>
      <c r="B35" s="11" t="s">
        <v>8</v>
      </c>
      <c r="C35" s="12">
        <v>88435.17</v>
      </c>
      <c r="D35" s="13">
        <v>89738.909299999999</v>
      </c>
      <c r="E35" s="14">
        <f>E34+C35-D35</f>
        <v>75180.780588999914</v>
      </c>
      <c r="F35" s="11"/>
      <c r="G35" s="11" t="s">
        <v>8</v>
      </c>
      <c r="H35" s="15">
        <f>IF(C35="", "", IF(D35="", "",D35-D20))</f>
        <v>-7094.8601009999984</v>
      </c>
      <c r="I35" s="15">
        <f>IF(D35="", "", IF(E35="", "",E35-E20))</f>
        <v>-9821.5251920000883</v>
      </c>
    </row>
    <row r="36" spans="1:9" x14ac:dyDescent="0.25">
      <c r="A36" s="11"/>
      <c r="B36" s="11" t="s">
        <v>9</v>
      </c>
      <c r="C36" s="12">
        <v>166424.57</v>
      </c>
      <c r="D36" s="13">
        <v>138139.69080000001</v>
      </c>
      <c r="E36" s="14">
        <f>E35+C36-D36</f>
        <v>103465.65978899991</v>
      </c>
      <c r="F36" s="11"/>
      <c r="G36" s="11" t="s">
        <v>9</v>
      </c>
      <c r="H36" s="15">
        <f>IF(C36="", "", IF(D36="", "",D36-D21))</f>
        <v>56692.104683000012</v>
      </c>
      <c r="I36" s="15">
        <f>IF(D36="", "", IF(E36="", "",E36-E21))</f>
        <v>-18737.159875000099</v>
      </c>
    </row>
    <row r="37" spans="1:9" x14ac:dyDescent="0.25">
      <c r="A37" s="11"/>
      <c r="B37" s="11" t="s">
        <v>10</v>
      </c>
      <c r="C37" s="12">
        <v>91627.46</v>
      </c>
      <c r="D37" s="13">
        <v>97840.774000000005</v>
      </c>
      <c r="E37" s="14">
        <f>E36+C37-D37</f>
        <v>97252.345788999897</v>
      </c>
      <c r="F37" s="11"/>
      <c r="G37" s="11" t="s">
        <v>10</v>
      </c>
      <c r="H37" s="15">
        <f>IF(C37="", "", IF(D37="", "",D37-D22))</f>
        <v>-101530.22487400001</v>
      </c>
      <c r="I37" s="15">
        <f>IF(D37="", "", IF(E37="", "",E37-E22))</f>
        <v>20095.354998999916</v>
      </c>
    </row>
    <row r="38" spans="1:9" x14ac:dyDescent="0.25">
      <c r="A38" s="11"/>
      <c r="B38" s="11" t="s">
        <v>11</v>
      </c>
      <c r="C38" s="12">
        <v>69516.44</v>
      </c>
      <c r="D38" s="13">
        <v>71092.498000000007</v>
      </c>
      <c r="E38" s="14">
        <f>E37+C38-D38</f>
        <v>95676.287788999893</v>
      </c>
      <c r="F38" s="11"/>
      <c r="G38" s="11" t="s">
        <v>11</v>
      </c>
      <c r="H38" s="15">
        <f>IF(C38="", "", IF(D38="", "",D38-D23))</f>
        <v>-22582.501865999991</v>
      </c>
      <c r="I38" s="15">
        <f>IF(D38="", "", IF(E38="", "",E38-E23))</f>
        <v>40915.416864999905</v>
      </c>
    </row>
    <row r="39" spans="1:9" x14ac:dyDescent="0.25">
      <c r="A39" s="11"/>
      <c r="B39" s="11" t="s">
        <v>12</v>
      </c>
      <c r="C39" s="12">
        <v>145600.60999999999</v>
      </c>
      <c r="D39" s="13">
        <v>159689.49100000001</v>
      </c>
      <c r="E39" s="14">
        <f>E38+C39-D39</f>
        <v>81587.406788999884</v>
      </c>
      <c r="F39" s="11"/>
      <c r="G39" s="11" t="s">
        <v>12</v>
      </c>
      <c r="H39" s="15">
        <f>IF(C39="", "", IF(D39="", "",D39-D24))</f>
        <v>67996.478521000012</v>
      </c>
      <c r="I39" s="15">
        <f>IF(D39="", "", IF(E39="", "",E39-E24))</f>
        <v>15116.998343999905</v>
      </c>
    </row>
    <row r="40" spans="1:9" x14ac:dyDescent="0.25">
      <c r="A40" s="11"/>
      <c r="B40" s="11" t="s">
        <v>13</v>
      </c>
      <c r="C40" s="12">
        <v>100224.44</v>
      </c>
      <c r="D40" s="13">
        <v>103326.031</v>
      </c>
      <c r="E40" s="14">
        <f>E39+C40-D40</f>
        <v>78485.815788999884</v>
      </c>
      <c r="F40" s="11"/>
      <c r="G40" s="11" t="s">
        <v>13</v>
      </c>
      <c r="H40" s="15">
        <f>IF(C40="", "", IF(D40="", "",D40-D25))</f>
        <v>4536.6866169999994</v>
      </c>
      <c r="I40" s="15">
        <f>IF(D40="", "", IF(E40="", "",E40-E25))</f>
        <v>-9295.3482730000978</v>
      </c>
    </row>
    <row r="41" spans="1:9" x14ac:dyDescent="0.25">
      <c r="A41" s="11"/>
      <c r="B41" s="11" t="s">
        <v>14</v>
      </c>
      <c r="C41" s="12">
        <v>248908.7</v>
      </c>
      <c r="D41" s="13">
        <v>192872.21133300001</v>
      </c>
      <c r="E41" s="14">
        <f>E40+C41-D41</f>
        <v>134522.3044559999</v>
      </c>
      <c r="F41" s="11"/>
      <c r="G41" s="11" t="s">
        <v>14</v>
      </c>
      <c r="H41" s="15">
        <f>IF(C41="", "", IF(D41="", "",D41-D26))</f>
        <v>-8061.4043059999822</v>
      </c>
      <c r="I41" s="15">
        <f>IF(D41="", "", IF(E41="", "",E41-E26))</f>
        <v>67950.416032999929</v>
      </c>
    </row>
    <row r="42" spans="1:9" x14ac:dyDescent="0.25">
      <c r="A42" s="11"/>
      <c r="B42" s="11" t="s">
        <v>15</v>
      </c>
      <c r="C42" s="12">
        <v>89593.07</v>
      </c>
      <c r="D42" s="13">
        <v>126746.272</v>
      </c>
      <c r="E42" s="14">
        <f>E41+C42-D42</f>
        <v>97369.102455999906</v>
      </c>
      <c r="F42" s="11"/>
      <c r="G42" s="11" t="s">
        <v>15</v>
      </c>
      <c r="H42" s="15">
        <f>IF(C42="", "", IF(D42="", "",D42-D27))</f>
        <v>-75815.496665000013</v>
      </c>
      <c r="I42" s="15">
        <f>IF(D42="", "", IF(E42="", "",E42-E27))</f>
        <v>21413.302697999985</v>
      </c>
    </row>
    <row r="43" spans="1:9" x14ac:dyDescent="0.25">
      <c r="A43" s="11"/>
      <c r="B43" s="11" t="s">
        <v>16</v>
      </c>
      <c r="C43" s="12">
        <v>189729.52</v>
      </c>
      <c r="D43" s="13">
        <v>175130.82398300001</v>
      </c>
      <c r="E43" s="14">
        <f>E42+C43-D43</f>
        <v>111967.79847299989</v>
      </c>
      <c r="F43" s="11"/>
      <c r="G43" s="11" t="s">
        <v>16</v>
      </c>
      <c r="H43" s="15">
        <f>IF(C43="", "", IF(D43="", "",D43-D28))</f>
        <v>84602.144468000013</v>
      </c>
      <c r="I43" s="15">
        <f>IF(D43="", "", IF(E43="", "",E43-E28))</f>
        <v>34385.408229999972</v>
      </c>
    </row>
    <row r="44" spans="1:9" x14ac:dyDescent="0.25">
      <c r="A44" s="11"/>
      <c r="B44" s="11" t="s">
        <v>17</v>
      </c>
      <c r="C44" s="12">
        <v>226484.97</v>
      </c>
      <c r="D44" s="13">
        <v>255172.76478200001</v>
      </c>
      <c r="E44" s="14">
        <f>E43+C44-D44</f>
        <v>83280.003690999903</v>
      </c>
      <c r="F44" s="11"/>
      <c r="G44" s="11" t="s">
        <v>17</v>
      </c>
      <c r="H44" s="15">
        <f>IF(C44="", "", IF(D44="", "",D44-D29))</f>
        <v>101615.43117400003</v>
      </c>
      <c r="I44" s="15">
        <f>IF(D44="", "", IF(E44="", "",E44-E29))</f>
        <v>11238.507055999973</v>
      </c>
    </row>
    <row r="45" spans="1:9" x14ac:dyDescent="0.25">
      <c r="A45" s="16"/>
      <c r="B45" s="16" t="s">
        <v>18</v>
      </c>
      <c r="C45" s="17">
        <v>137993.98800000001</v>
      </c>
      <c r="D45" s="18">
        <v>131806.001781</v>
      </c>
      <c r="E45" s="19">
        <f>E44+C45-D45</f>
        <v>89467.989909999917</v>
      </c>
      <c r="F45" s="16"/>
      <c r="G45" s="16" t="s">
        <v>18</v>
      </c>
      <c r="H45" s="20">
        <f>IF(C45="", "", IF(D45="", "",D45-D30))</f>
        <v>17593.911835000006</v>
      </c>
      <c r="I45" s="20">
        <f>IF(D45="", "", IF(E45="", "",E45-E30))</f>
        <v>32799.993220999982</v>
      </c>
    </row>
    <row r="46" spans="1:9" s="2" customFormat="1" x14ac:dyDescent="0.25">
      <c r="A46" s="21"/>
      <c r="B46" s="21" t="s">
        <v>19</v>
      </c>
      <c r="C46" s="22">
        <f>SUM(C34:C45)</f>
        <v>1614186.5980000002</v>
      </c>
      <c r="D46" s="23">
        <f>SUM(D34:D45)</f>
        <v>1581386.6047790002</v>
      </c>
      <c r="E46" s="14"/>
      <c r="F46" s="21"/>
      <c r="G46" s="21"/>
      <c r="H46" s="14">
        <f>SUMIF(C34:C45,"&gt;=0",H34:H45)</f>
        <v>129217.62814500008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134515.54983333335</v>
      </c>
      <c r="D47" s="23">
        <f>AVERAGE(D34:D45)</f>
        <v>131782.21706491668</v>
      </c>
      <c r="E47" s="24">
        <f>C47/D47-1</f>
        <v>2.0741286869306652E-2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89467.989909999917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186221.62</v>
      </c>
      <c r="D49" s="27">
        <v>97616.764999999999</v>
      </c>
      <c r="E49" s="28">
        <f>E48+C49-D49</f>
        <v>178072.84490999987</v>
      </c>
      <c r="F49" s="25"/>
      <c r="G49" s="25" t="s">
        <v>7</v>
      </c>
      <c r="H49" s="29">
        <f>IF(C49="", "", IF(D49="", "",D49-D34))</f>
        <v>57785.628199999999</v>
      </c>
      <c r="I49" s="29">
        <f>IF(D49="", "", IF(E49="", "",E49-E34))</f>
        <v>101588.32502099994</v>
      </c>
    </row>
    <row r="50" spans="1:9" x14ac:dyDescent="0.25">
      <c r="A50" s="25"/>
      <c r="B50" s="25" t="s">
        <v>8</v>
      </c>
      <c r="C50" s="26">
        <v>41314.269999999997</v>
      </c>
      <c r="D50" s="27">
        <v>83313.415200000003</v>
      </c>
      <c r="E50" s="28">
        <f>E49+C50-D50</f>
        <v>136073.69970999984</v>
      </c>
      <c r="F50" s="25"/>
      <c r="G50" s="25" t="s">
        <v>8</v>
      </c>
      <c r="H50" s="29">
        <f>IF(C50="", "", IF(D50="", "",D50-D35))</f>
        <v>-6425.4940999999963</v>
      </c>
      <c r="I50" s="29">
        <f>IF(D50="", "", IF(E50="", "",E50-E35))</f>
        <v>60892.919120999926</v>
      </c>
    </row>
    <row r="51" spans="1:9" x14ac:dyDescent="0.25">
      <c r="A51" s="25"/>
      <c r="B51" s="25" t="s">
        <v>9</v>
      </c>
      <c r="C51" s="26">
        <v>72563.91</v>
      </c>
      <c r="D51" s="27">
        <v>101072.0956</v>
      </c>
      <c r="E51" s="28">
        <f>E50+C51-D51</f>
        <v>107565.51410999984</v>
      </c>
      <c r="F51" s="25"/>
      <c r="G51" s="25" t="s">
        <v>9</v>
      </c>
      <c r="H51" s="29">
        <f>IF(C51="", "", IF(D51="", "",D51-D36))</f>
        <v>-37067.595200000011</v>
      </c>
      <c r="I51" s="29">
        <f>IF(D51="", "", IF(E51="", "",E51-E36))</f>
        <v>4099.8543209999334</v>
      </c>
    </row>
    <row r="52" spans="1:9" x14ac:dyDescent="0.25">
      <c r="A52" s="25"/>
      <c r="B52" s="25" t="s">
        <v>10</v>
      </c>
      <c r="C52" s="26">
        <v>148910.96</v>
      </c>
      <c r="D52" s="27">
        <v>100729.788846</v>
      </c>
      <c r="E52" s="28">
        <f>E51+C52-D52</f>
        <v>155746.68526399985</v>
      </c>
      <c r="F52" s="25"/>
      <c r="G52" s="25" t="s">
        <v>10</v>
      </c>
      <c r="H52" s="29">
        <f>IF(C52="", "", IF(D52="", "",D52-D37))</f>
        <v>2889.0148459999909</v>
      </c>
      <c r="I52" s="29">
        <f>IF(D52="", "", IF(E52="", "",E52-E37))</f>
        <v>58494.339474999957</v>
      </c>
    </row>
    <row r="53" spans="1:9" x14ac:dyDescent="0.25">
      <c r="A53" s="25"/>
      <c r="B53" s="25" t="s">
        <v>11</v>
      </c>
      <c r="C53" s="26">
        <v>58288.41</v>
      </c>
      <c r="D53" s="27">
        <v>83497.305128000007</v>
      </c>
      <c r="E53" s="28">
        <f>E52+C53-D53</f>
        <v>130537.79013599985</v>
      </c>
      <c r="F53" s="25"/>
      <c r="G53" s="25" t="s">
        <v>11</v>
      </c>
      <c r="H53" s="29">
        <f>IF(C53="", "", IF(D53="", "",D53-D38))</f>
        <v>12404.807128</v>
      </c>
      <c r="I53" s="29">
        <f>IF(D53="", "", IF(E53="", "",E53-E38))</f>
        <v>34861.502346999958</v>
      </c>
    </row>
    <row r="54" spans="1:9" x14ac:dyDescent="0.25">
      <c r="A54" s="25"/>
      <c r="B54" s="25" t="s">
        <v>12</v>
      </c>
      <c r="C54" s="26">
        <v>34329</v>
      </c>
      <c r="D54" s="27">
        <v>55974.722952999997</v>
      </c>
      <c r="E54" s="28">
        <f>E53+C54-D54</f>
        <v>108892.06718299986</v>
      </c>
      <c r="F54" s="25"/>
      <c r="G54" s="25" t="s">
        <v>12</v>
      </c>
      <c r="H54" s="29">
        <f>IF(C54="", "", IF(D54="", "",D54-D39))</f>
        <v>-103714.76804700002</v>
      </c>
      <c r="I54" s="29">
        <f>IF(D54="", "", IF(E54="", "",E54-E39))</f>
        <v>27304.660393999977</v>
      </c>
    </row>
    <row r="55" spans="1:9" x14ac:dyDescent="0.25">
      <c r="A55" s="25"/>
      <c r="B55" s="25" t="s">
        <v>13</v>
      </c>
      <c r="C55" s="26">
        <v>81453.039999999994</v>
      </c>
      <c r="D55" s="27">
        <v>96119.724847000005</v>
      </c>
      <c r="E55" s="28">
        <f>E54+C55-D55</f>
        <v>94225.382335999835</v>
      </c>
      <c r="F55" s="25"/>
      <c r="G55" s="25" t="s">
        <v>13</v>
      </c>
      <c r="H55" s="29">
        <f>IF(C55="", "", IF(D55="", "",D55-D40))</f>
        <v>-7206.3061529999977</v>
      </c>
      <c r="I55" s="29">
        <f>IF(D55="", "", IF(E55="", "",E55-E40))</f>
        <v>15739.566546999951</v>
      </c>
    </row>
    <row r="56" spans="1:9" x14ac:dyDescent="0.25">
      <c r="A56" s="25"/>
      <c r="B56" s="25" t="s">
        <v>14</v>
      </c>
      <c r="C56" s="26">
        <v>86029.09</v>
      </c>
      <c r="D56" s="27">
        <v>102723.41890999999</v>
      </c>
      <c r="E56" s="28">
        <f>E55+C56-D56</f>
        <v>77531.053425999839</v>
      </c>
      <c r="F56" s="25"/>
      <c r="G56" s="25" t="s">
        <v>14</v>
      </c>
      <c r="H56" s="29">
        <f>IF(C56="", "", IF(D56="", "",D56-D41))</f>
        <v>-90148.792423000021</v>
      </c>
      <c r="I56" s="29">
        <f>IF(D56="", "", IF(E56="", "",E56-E41))</f>
        <v>-56991.251030000058</v>
      </c>
    </row>
    <row r="57" spans="1:9" x14ac:dyDescent="0.25">
      <c r="A57" s="25"/>
      <c r="B57" s="25" t="s">
        <v>15</v>
      </c>
      <c r="C57" s="26">
        <v>85923.25</v>
      </c>
      <c r="D57" s="27">
        <v>83036.010974999997</v>
      </c>
      <c r="E57" s="28">
        <f>E56+C57-D57</f>
        <v>80418.292450999827</v>
      </c>
      <c r="F57" s="25"/>
      <c r="G57" s="25" t="s">
        <v>15</v>
      </c>
      <c r="H57" s="29">
        <f>IF(C57="", "", IF(D57="", "",D57-D42))</f>
        <v>-43710.261025</v>
      </c>
      <c r="I57" s="29">
        <f>IF(D57="", "", IF(E57="", "",E57-E42))</f>
        <v>-16950.810005000079</v>
      </c>
    </row>
    <row r="58" spans="1:9" x14ac:dyDescent="0.25">
      <c r="A58" s="25"/>
      <c r="B58" s="25" t="s">
        <v>16</v>
      </c>
      <c r="C58" s="26">
        <v>95336.12</v>
      </c>
      <c r="D58" s="27">
        <v>96559.880499999999</v>
      </c>
      <c r="E58" s="28">
        <f>E57+C58-D58</f>
        <v>79194.531950999837</v>
      </c>
      <c r="F58" s="25"/>
      <c r="G58" s="25" t="s">
        <v>16</v>
      </c>
      <c r="H58" s="29">
        <f>IF(C58="", "", IF(D58="", "",D58-D43))</f>
        <v>-78570.94348300001</v>
      </c>
      <c r="I58" s="29">
        <f>IF(D58="", "", IF(E58="", "",E58-E43))</f>
        <v>-32773.266522000049</v>
      </c>
    </row>
    <row r="59" spans="1:9" x14ac:dyDescent="0.25">
      <c r="A59" s="25"/>
      <c r="B59" s="25" t="s">
        <v>17</v>
      </c>
      <c r="C59" s="26">
        <v>157254.07</v>
      </c>
      <c r="D59" s="27">
        <v>117762.1752</v>
      </c>
      <c r="E59" s="28">
        <f>E58+C59-D59</f>
        <v>118686.42675099985</v>
      </c>
      <c r="F59" s="25"/>
      <c r="G59" s="25" t="s">
        <v>17</v>
      </c>
      <c r="H59" s="29">
        <f>IF(C59="", "", IF(D59="", "",D59-D44))</f>
        <v>-137410.58958200002</v>
      </c>
      <c r="I59" s="29">
        <f>IF(D59="", "", IF(E59="", "",E59-E44))</f>
        <v>35406.423059999943</v>
      </c>
    </row>
    <row r="60" spans="1:9" x14ac:dyDescent="0.25">
      <c r="A60" s="30"/>
      <c r="B60" s="30" t="s">
        <v>18</v>
      </c>
      <c r="C60" s="31">
        <v>29686.89</v>
      </c>
      <c r="D60" s="32">
        <v>92698.168799999999</v>
      </c>
      <c r="E60" s="33">
        <f>E59+C60-D60</f>
        <v>55675.147950999832</v>
      </c>
      <c r="F60" s="30"/>
      <c r="G60" s="30" t="s">
        <v>18</v>
      </c>
      <c r="H60" s="34">
        <f>IF(C60="", "", IF(D60="", "",D60-D45))</f>
        <v>-39107.832981</v>
      </c>
      <c r="I60" s="34">
        <f>IF(D60="", "", IF(E60="", "",E60-E45))</f>
        <v>-33792.841959000085</v>
      </c>
    </row>
    <row r="61" spans="1:9" s="2" customFormat="1" x14ac:dyDescent="0.25">
      <c r="A61" s="35"/>
      <c r="B61" s="35" t="s">
        <v>19</v>
      </c>
      <c r="C61" s="36">
        <f>SUM(C49:C60)</f>
        <v>1077310.6299999999</v>
      </c>
      <c r="D61" s="37">
        <f>SUM(D49:D60)</f>
        <v>1111103.471959</v>
      </c>
      <c r="E61" s="28"/>
      <c r="F61" s="35"/>
      <c r="G61" s="35"/>
      <c r="H61" s="28">
        <f>SUMIF(C49:C60,"&gt;=0",H49:H60)</f>
        <v>-470283.13282000012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89775.885833333319</v>
      </c>
      <c r="D62" s="37">
        <f>AVERAGE(D49:D60)</f>
        <v>92591.955996583332</v>
      </c>
      <c r="E62" s="38">
        <f>C62/D62-1</f>
        <v>-3.0413766864952341E-2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55675.147950999832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47427.63</v>
      </c>
      <c r="D64" s="13">
        <v>34855.405484000003</v>
      </c>
      <c r="E64" s="14">
        <f>E63+C64-D64</f>
        <v>68247.372466999819</v>
      </c>
      <c r="F64" s="11"/>
      <c r="G64" s="11" t="s">
        <v>7</v>
      </c>
      <c r="H64" s="15">
        <f>IF(C64="", "", IF(D64="", "",D64-D49))</f>
        <v>-62761.359515999997</v>
      </c>
      <c r="I64" s="15">
        <f>IF(D64="", "", IF(E64="", "",E64-E49))</f>
        <v>-109825.47244300005</v>
      </c>
    </row>
    <row r="65" spans="1:9" x14ac:dyDescent="0.25">
      <c r="A65" s="11"/>
      <c r="B65" s="11" t="s">
        <v>8</v>
      </c>
      <c r="C65" s="12">
        <v>71462.259999999995</v>
      </c>
      <c r="D65" s="13">
        <v>82307.519159000003</v>
      </c>
      <c r="E65" s="14">
        <f>E64+C65-D65</f>
        <v>57402.113307999811</v>
      </c>
      <c r="F65" s="11"/>
      <c r="G65" s="11" t="s">
        <v>8</v>
      </c>
      <c r="H65" s="15">
        <f>IF(C65="", "", IF(D65="", "",D65-D50))</f>
        <v>-1005.896041</v>
      </c>
      <c r="I65" s="15">
        <f>IF(D65="", "", IF(E65="", "",E65-E50))</f>
        <v>-78671.58640200003</v>
      </c>
    </row>
    <row r="66" spans="1:9" x14ac:dyDescent="0.25">
      <c r="A66" s="11"/>
      <c r="B66" s="11" t="s">
        <v>9</v>
      </c>
      <c r="C66" s="12">
        <v>87706.67</v>
      </c>
      <c r="D66" s="13">
        <v>91574.555338000006</v>
      </c>
      <c r="E66" s="14">
        <f>E65+C66-D66</f>
        <v>53534.227969999803</v>
      </c>
      <c r="F66" s="11"/>
      <c r="G66" s="11" t="s">
        <v>9</v>
      </c>
      <c r="H66" s="15">
        <f>IF(C66="", "", IF(D66="", "",D66-D51))</f>
        <v>-9497.540261999995</v>
      </c>
      <c r="I66" s="15">
        <f>IF(D66="", "", IF(E66="", "",E66-E51))</f>
        <v>-54031.28614000004</v>
      </c>
    </row>
    <row r="67" spans="1:9" x14ac:dyDescent="0.25">
      <c r="A67" s="11"/>
      <c r="B67" s="11" t="s">
        <v>10</v>
      </c>
      <c r="C67" s="12">
        <v>30713.9</v>
      </c>
      <c r="D67" s="13">
        <v>30150.358585999998</v>
      </c>
      <c r="E67" s="14">
        <f>E66+C67-D67</f>
        <v>54097.769383999796</v>
      </c>
      <c r="F67" s="11"/>
      <c r="G67" s="11" t="s">
        <v>10</v>
      </c>
      <c r="H67" s="15">
        <f>IF(C67="", "", IF(D67="", "",D67-D52))</f>
        <v>-70579.430259999994</v>
      </c>
      <c r="I67" s="15">
        <f>IF(D67="", "", IF(E67="", "",E67-E52))</f>
        <v>-101648.91588000006</v>
      </c>
    </row>
    <row r="68" spans="1:9" x14ac:dyDescent="0.25">
      <c r="A68" s="11"/>
      <c r="B68" s="11" t="s">
        <v>11</v>
      </c>
      <c r="C68" s="12">
        <v>76027.48</v>
      </c>
      <c r="D68" s="13">
        <v>90490.205455999996</v>
      </c>
      <c r="E68" s="14">
        <f>E67+C68-D68</f>
        <v>39635.043927999795</v>
      </c>
      <c r="F68" s="11"/>
      <c r="G68" s="11" t="s">
        <v>11</v>
      </c>
      <c r="H68" s="15">
        <f>IF(C68="", "", IF(D68="", "",D68-D53))</f>
        <v>6992.9003279999888</v>
      </c>
      <c r="I68" s="15">
        <f>IF(D68="", "", IF(E68="", "",E68-E53))</f>
        <v>-90902.746208000055</v>
      </c>
    </row>
    <row r="69" spans="1:9" x14ac:dyDescent="0.25">
      <c r="A69" s="11"/>
      <c r="B69" s="11" t="s">
        <v>12</v>
      </c>
      <c r="C69" s="12">
        <v>24157.23</v>
      </c>
      <c r="D69" s="13">
        <v>36938.320500000002</v>
      </c>
      <c r="E69" s="14">
        <f>E68+C69-D69</f>
        <v>26853.95342799979</v>
      </c>
      <c r="F69" s="11"/>
      <c r="G69" s="11" t="s">
        <v>12</v>
      </c>
      <c r="H69" s="15">
        <f>IF(C69="", "", IF(D69="", "",D69-D54))</f>
        <v>-19036.402452999995</v>
      </c>
      <c r="I69" s="15">
        <f>IF(D69="", "", IF(E69="", "",E69-E54))</f>
        <v>-82038.113755000071</v>
      </c>
    </row>
    <row r="70" spans="1:9" x14ac:dyDescent="0.25">
      <c r="A70" s="11"/>
      <c r="B70" s="11" t="s">
        <v>13</v>
      </c>
      <c r="C70" s="12">
        <v>13923.793333</v>
      </c>
      <c r="D70" s="13">
        <v>18381.803266999999</v>
      </c>
      <c r="E70" s="14">
        <f>E69+C70-D70</f>
        <v>22395.943493999792</v>
      </c>
      <c r="F70" s="11"/>
      <c r="G70" s="11" t="s">
        <v>13</v>
      </c>
      <c r="H70" s="15">
        <f>IF(C70="", "", IF(D70="", "",D70-D55))</f>
        <v>-77737.921580000009</v>
      </c>
      <c r="I70" s="15">
        <f>IF(D70="", "", IF(E70="", "",E70-E55))</f>
        <v>-71829.438842000047</v>
      </c>
    </row>
    <row r="71" spans="1:9" x14ac:dyDescent="0.25">
      <c r="A71" s="11"/>
      <c r="B71" s="11" t="s">
        <v>14</v>
      </c>
      <c r="C71" s="12">
        <v>14864.53</v>
      </c>
      <c r="D71" s="13">
        <v>6900.1854000000003</v>
      </c>
      <c r="E71" s="14">
        <f>E70+C71-D71</f>
        <v>30360.288093999792</v>
      </c>
      <c r="F71" s="11"/>
      <c r="G71" s="11" t="s">
        <v>14</v>
      </c>
      <c r="H71" s="15">
        <f>IF(C71="", "", IF(D71="", "",D71-D56))</f>
        <v>-95823.233509999991</v>
      </c>
      <c r="I71" s="15">
        <f>IF(D71="", "", IF(E71="", "",E71-E56))</f>
        <v>-47170.765332000046</v>
      </c>
    </row>
    <row r="72" spans="1:9" x14ac:dyDescent="0.25">
      <c r="A72" s="11"/>
      <c r="B72" s="11" t="s">
        <v>15</v>
      </c>
      <c r="C72" s="12">
        <v>107924.35</v>
      </c>
      <c r="D72" s="13">
        <v>101370.96</v>
      </c>
      <c r="E72" s="14">
        <f>E71+C72-D72</f>
        <v>36913.678093999784</v>
      </c>
      <c r="F72" s="11"/>
      <c r="G72" s="11" t="s">
        <v>15</v>
      </c>
      <c r="H72" s="15">
        <f>IF(C72="", "", IF(D72="", "",D72-D57))</f>
        <v>18334.949025000009</v>
      </c>
      <c r="I72" s="15">
        <f>IF(D72="", "", IF(E72="", "",E72-E57))</f>
        <v>-43504.614357000042</v>
      </c>
    </row>
    <row r="73" spans="1:9" x14ac:dyDescent="0.25">
      <c r="A73" s="11"/>
      <c r="B73" s="11" t="s">
        <v>16</v>
      </c>
      <c r="C73" s="12">
        <v>29673.65</v>
      </c>
      <c r="D73" s="13">
        <v>29318.498500000002</v>
      </c>
      <c r="E73" s="14">
        <f>E72+C73-D73</f>
        <v>37268.829593999792</v>
      </c>
      <c r="F73" s="11"/>
      <c r="G73" s="11" t="s">
        <v>16</v>
      </c>
      <c r="H73" s="15">
        <f>IF(C73="", "", IF(D73="", "",D73-D58))</f>
        <v>-67241.381999999998</v>
      </c>
      <c r="I73" s="15">
        <f>IF(D73="", "", IF(E73="", "",E73-E58))</f>
        <v>-41925.702357000046</v>
      </c>
    </row>
    <row r="74" spans="1:9" x14ac:dyDescent="0.25">
      <c r="A74" s="11"/>
      <c r="B74" s="11" t="s">
        <v>17</v>
      </c>
      <c r="C74" s="12">
        <v>18968.18</v>
      </c>
      <c r="D74" s="13">
        <v>35867.543100000003</v>
      </c>
      <c r="E74" s="14">
        <f>E73+C74-D74</f>
        <v>20369.466493999789</v>
      </c>
      <c r="F74" s="11"/>
      <c r="G74" s="11" t="s">
        <v>17</v>
      </c>
      <c r="H74" s="15">
        <f>IF(C74="", "", IF(D74="", "",D74-D59))</f>
        <v>-81894.632099999988</v>
      </c>
      <c r="I74" s="15">
        <f>IF(D74="", "", IF(E74="", "",E74-E59))</f>
        <v>-98316.960257000057</v>
      </c>
    </row>
    <row r="75" spans="1:9" x14ac:dyDescent="0.25">
      <c r="A75" s="16"/>
      <c r="B75" s="16" t="s">
        <v>18</v>
      </c>
      <c r="C75" s="17">
        <v>22942.3</v>
      </c>
      <c r="D75" s="18">
        <v>24202.02</v>
      </c>
      <c r="E75" s="19">
        <f>E74+C75-D75</f>
        <v>19109.746493999792</v>
      </c>
      <c r="F75" s="16"/>
      <c r="G75" s="16" t="s">
        <v>18</v>
      </c>
      <c r="H75" s="20">
        <f>IF(C75="", "", IF(D75="", "",D75-D60))</f>
        <v>-68496.148799999995</v>
      </c>
      <c r="I75" s="20">
        <f>IF(D75="", "", IF(E75="", "",E75-E60))</f>
        <v>-36565.401457000044</v>
      </c>
    </row>
    <row r="76" spans="1:9" s="2" customFormat="1" x14ac:dyDescent="0.25">
      <c r="A76" s="21"/>
      <c r="B76" s="21" t="s">
        <v>19</v>
      </c>
      <c r="C76" s="22">
        <f>SUM(C64:C75)</f>
        <v>545791.97333299997</v>
      </c>
      <c r="D76" s="23">
        <f>SUM(D64:D75)</f>
        <v>582357.37479000003</v>
      </c>
      <c r="E76" s="14"/>
      <c r="F76" s="21"/>
      <c r="G76" s="21"/>
      <c r="H76" s="14">
        <f>SUMIF(C64:C75,"&gt;=0",H64:H75)</f>
        <v>-528746.09716899996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45482.664444416667</v>
      </c>
      <c r="D77" s="23">
        <f>AVERAGE(D64:D75)</f>
        <v>48529.781232500005</v>
      </c>
      <c r="E77" s="24">
        <f>C77/D77-1</f>
        <v>-6.2788595182100448E-2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19109.746493999792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19109.746493999792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19109.746493999792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19109.746493999792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19109.746493999792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19109.746493999792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19109.746493999792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19109.746493999792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19109.746493999792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19109.746493999792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19109.746493999792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19109.746493999792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19109.746493999792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CBA09-A47D-41BC-A69C-29102DEB4C0E}">
  <sheetPr codeName="Sheet22"/>
  <dimension ref="A2:N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  <col min="11" max="11" width="21.5703125" customWidth="1"/>
    <col min="12" max="12" width="4" customWidth="1"/>
    <col min="13" max="13" width="18.7109375" customWidth="1"/>
    <col min="14" max="14" width="3.85546875" customWidth="1"/>
  </cols>
  <sheetData>
    <row r="2" spans="1:14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14" x14ac:dyDescent="0.25">
      <c r="A3" s="11"/>
      <c r="B3" s="11"/>
      <c r="C3" s="12"/>
      <c r="D3" s="13"/>
      <c r="E3" s="14">
        <v>58599.616179999997</v>
      </c>
      <c r="F3" s="11"/>
      <c r="G3" s="11"/>
      <c r="H3" s="15"/>
      <c r="I3" s="15"/>
      <c r="L3" s="40" t="b">
        <v>0</v>
      </c>
      <c r="N3" s="40" t="b">
        <v>0</v>
      </c>
    </row>
    <row r="4" spans="1:14" x14ac:dyDescent="0.25">
      <c r="A4" s="11">
        <v>2019</v>
      </c>
      <c r="B4" s="11" t="s">
        <v>7</v>
      </c>
      <c r="C4" s="12">
        <v>32231.35</v>
      </c>
      <c r="D4" s="13">
        <v>26781.030233000001</v>
      </c>
      <c r="E4" s="14">
        <f>E3+C4-D4</f>
        <v>64049.935946999991</v>
      </c>
      <c r="F4" s="11"/>
      <c r="G4" s="11" t="s">
        <v>7</v>
      </c>
      <c r="H4" s="15"/>
      <c r="I4" s="15"/>
      <c r="L4" s="40" t="b">
        <v>0</v>
      </c>
      <c r="N4" s="40" t="b">
        <v>0</v>
      </c>
    </row>
    <row r="5" spans="1:14" x14ac:dyDescent="0.25">
      <c r="A5" s="11"/>
      <c r="B5" s="11" t="s">
        <v>8</v>
      </c>
      <c r="C5" s="12">
        <v>26189.7</v>
      </c>
      <c r="D5" s="13">
        <v>24046.29925</v>
      </c>
      <c r="E5" s="14">
        <f>E4+C5-D5</f>
        <v>66193.336696999992</v>
      </c>
      <c r="F5" s="11"/>
      <c r="G5" s="11" t="s">
        <v>8</v>
      </c>
      <c r="H5" s="15"/>
      <c r="I5" s="15"/>
      <c r="L5" s="40" t="b">
        <v>0</v>
      </c>
      <c r="N5" s="40" t="b">
        <v>0</v>
      </c>
    </row>
    <row r="6" spans="1:14" x14ac:dyDescent="0.25">
      <c r="A6" s="11"/>
      <c r="B6" s="11" t="s">
        <v>9</v>
      </c>
      <c r="C6" s="12">
        <v>87513.37</v>
      </c>
      <c r="D6" s="13">
        <v>30628.347632000001</v>
      </c>
      <c r="E6" s="14">
        <f>E5+C6-D6</f>
        <v>123078.35906499998</v>
      </c>
      <c r="F6" s="11"/>
      <c r="G6" s="11" t="s">
        <v>9</v>
      </c>
      <c r="H6" s="15"/>
      <c r="I6" s="15"/>
      <c r="L6" s="40" t="b">
        <v>0</v>
      </c>
      <c r="N6" s="40" t="b">
        <v>0</v>
      </c>
    </row>
    <row r="7" spans="1:14" x14ac:dyDescent="0.25">
      <c r="A7" s="11"/>
      <c r="B7" s="11" t="s">
        <v>10</v>
      </c>
      <c r="C7" s="12">
        <v>40128.639999999999</v>
      </c>
      <c r="D7" s="13">
        <v>33088.545413</v>
      </c>
      <c r="E7" s="14">
        <f>E6+C7-D7</f>
        <v>130118.45365199998</v>
      </c>
      <c r="F7" s="11"/>
      <c r="G7" s="11" t="s">
        <v>10</v>
      </c>
      <c r="H7" s="15"/>
      <c r="I7" s="15"/>
    </row>
    <row r="8" spans="1:14" x14ac:dyDescent="0.25">
      <c r="A8" s="11"/>
      <c r="B8" s="11" t="s">
        <v>11</v>
      </c>
      <c r="C8" s="12">
        <v>53862.33</v>
      </c>
      <c r="D8" s="13">
        <v>61469.728743</v>
      </c>
      <c r="E8" s="14">
        <f>E7+C8-D8</f>
        <v>122511.05490899998</v>
      </c>
      <c r="F8" s="11"/>
      <c r="G8" s="11" t="s">
        <v>11</v>
      </c>
      <c r="H8" s="15"/>
      <c r="I8" s="15"/>
    </row>
    <row r="9" spans="1:14" x14ac:dyDescent="0.25">
      <c r="A9" s="11"/>
      <c r="B9" s="11" t="s">
        <v>12</v>
      </c>
      <c r="C9" s="12">
        <v>20890.13</v>
      </c>
      <c r="D9" s="13">
        <v>25979.843324000001</v>
      </c>
      <c r="E9" s="14">
        <f>E8+C9-D9</f>
        <v>117421.34158499997</v>
      </c>
      <c r="F9" s="11"/>
      <c r="G9" s="11" t="s">
        <v>12</v>
      </c>
      <c r="H9" s="15"/>
      <c r="I9" s="15"/>
    </row>
    <row r="10" spans="1:14" x14ac:dyDescent="0.25">
      <c r="A10" s="11"/>
      <c r="B10" s="11" t="s">
        <v>13</v>
      </c>
      <c r="C10" s="12">
        <v>24142.19</v>
      </c>
      <c r="D10" s="13">
        <v>23406.369951000001</v>
      </c>
      <c r="E10" s="14">
        <f>E9+C10-D10</f>
        <v>118157.16163399996</v>
      </c>
      <c r="F10" s="11"/>
      <c r="G10" s="11" t="s">
        <v>13</v>
      </c>
      <c r="H10" s="15"/>
      <c r="I10" s="15"/>
    </row>
    <row r="11" spans="1:14" x14ac:dyDescent="0.25">
      <c r="A11" s="11"/>
      <c r="B11" s="11" t="s">
        <v>14</v>
      </c>
      <c r="C11" s="12">
        <v>12325.698</v>
      </c>
      <c r="D11" s="13">
        <v>24542.213145999998</v>
      </c>
      <c r="E11" s="14">
        <f>E10+C11-D11</f>
        <v>105940.64648799997</v>
      </c>
      <c r="F11" s="11"/>
      <c r="G11" s="11" t="s">
        <v>14</v>
      </c>
      <c r="H11" s="15"/>
      <c r="I11" s="15"/>
    </row>
    <row r="12" spans="1:14" x14ac:dyDescent="0.25">
      <c r="A12" s="11"/>
      <c r="B12" s="11" t="s">
        <v>15</v>
      </c>
      <c r="C12" s="12">
        <v>11322.04</v>
      </c>
      <c r="D12" s="13">
        <v>21630.967397</v>
      </c>
      <c r="E12" s="14">
        <f>E11+C12-D12</f>
        <v>95631.719090999977</v>
      </c>
      <c r="F12" s="11"/>
      <c r="G12" s="11" t="s">
        <v>15</v>
      </c>
      <c r="H12" s="15"/>
      <c r="I12" s="15"/>
    </row>
    <row r="13" spans="1:14" x14ac:dyDescent="0.25">
      <c r="A13" s="11"/>
      <c r="B13" s="11" t="s">
        <v>16</v>
      </c>
      <c r="C13" s="12">
        <v>27209.32</v>
      </c>
      <c r="D13" s="13">
        <v>33219.289965999997</v>
      </c>
      <c r="E13" s="14">
        <f>E12+C13-D13</f>
        <v>89621.749124999988</v>
      </c>
      <c r="F13" s="11"/>
      <c r="G13" s="11" t="s">
        <v>16</v>
      </c>
      <c r="H13" s="15"/>
      <c r="I13" s="15"/>
    </row>
    <row r="14" spans="1:14" x14ac:dyDescent="0.25">
      <c r="A14" s="11"/>
      <c r="B14" s="11" t="s">
        <v>17</v>
      </c>
      <c r="C14" s="12">
        <v>3627.4469140000001</v>
      </c>
      <c r="D14" s="13">
        <v>31399.241859000002</v>
      </c>
      <c r="E14" s="14">
        <f>E13+C14-D14</f>
        <v>61849.954179999986</v>
      </c>
      <c r="F14" s="11"/>
      <c r="G14" s="11" t="s">
        <v>17</v>
      </c>
      <c r="H14" s="15"/>
      <c r="I14" s="15"/>
    </row>
    <row r="15" spans="1:14" x14ac:dyDescent="0.25">
      <c r="A15" s="16"/>
      <c r="B15" s="16" t="s">
        <v>18</v>
      </c>
      <c r="C15" s="17">
        <v>23143.844799999999</v>
      </c>
      <c r="D15" s="18">
        <v>32126.832020999998</v>
      </c>
      <c r="E15" s="19">
        <f>E14+C15-D15</f>
        <v>52866.966958999998</v>
      </c>
      <c r="F15" s="16"/>
      <c r="G15" s="16" t="s">
        <v>18</v>
      </c>
      <c r="H15" s="20"/>
      <c r="I15" s="20"/>
    </row>
    <row r="16" spans="1:14" s="2" customFormat="1" x14ac:dyDescent="0.25">
      <c r="A16" s="21"/>
      <c r="B16" s="21" t="s">
        <v>19</v>
      </c>
      <c r="C16" s="22">
        <f>SUM(C4:C15)</f>
        <v>362586.05971400003</v>
      </c>
      <c r="D16" s="23">
        <f>SUM(D4:D15)</f>
        <v>368318.70893499994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30215.504976166671</v>
      </c>
      <c r="D17" s="23">
        <f>AVERAGE(D4:D15)</f>
        <v>30693.225744583327</v>
      </c>
      <c r="E17" s="24">
        <f>C17/D17-1</f>
        <v>-1.5564371512856168E-2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52866.966958999998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15590.1</v>
      </c>
      <c r="D19" s="27">
        <v>13182.660918</v>
      </c>
      <c r="E19" s="28">
        <f>E18+C19-D19</f>
        <v>55274.406041000002</v>
      </c>
      <c r="F19" s="25"/>
      <c r="G19" s="25" t="s">
        <v>7</v>
      </c>
      <c r="H19" s="29">
        <f>IF(C19="", "", IF(D19="", "",D19-D4))</f>
        <v>-13598.369315000002</v>
      </c>
      <c r="I19" s="29">
        <f>IF(D19="", "", IF(E19="", "",E19-E4))</f>
        <v>-8775.5299059999888</v>
      </c>
    </row>
    <row r="20" spans="1:9" x14ac:dyDescent="0.25">
      <c r="A20" s="25"/>
      <c r="B20" s="25" t="s">
        <v>8</v>
      </c>
      <c r="C20" s="26">
        <v>31992.31</v>
      </c>
      <c r="D20" s="27">
        <v>35571.156556000002</v>
      </c>
      <c r="E20" s="28">
        <f>E19+C20-D20</f>
        <v>51695.559485000005</v>
      </c>
      <c r="F20" s="25"/>
      <c r="G20" s="25" t="s">
        <v>8</v>
      </c>
      <c r="H20" s="29">
        <f>IF(C20="", "", IF(D20="", "",D20-D5))</f>
        <v>11524.857306000002</v>
      </c>
      <c r="I20" s="29">
        <f>IF(D20="", "", IF(E20="", "",E20-E5))</f>
        <v>-14497.777211999986</v>
      </c>
    </row>
    <row r="21" spans="1:9" x14ac:dyDescent="0.25">
      <c r="A21" s="25"/>
      <c r="B21" s="25" t="s">
        <v>9</v>
      </c>
      <c r="C21" s="26">
        <v>26321.99</v>
      </c>
      <c r="D21" s="27">
        <v>25835.463845999999</v>
      </c>
      <c r="E21" s="28">
        <f>E20+C21-D21</f>
        <v>52182.085639000012</v>
      </c>
      <c r="F21" s="25"/>
      <c r="G21" s="25" t="s">
        <v>9</v>
      </c>
      <c r="H21" s="29">
        <f>IF(C21="", "", IF(D21="", "",D21-D6))</f>
        <v>-4792.8837860000021</v>
      </c>
      <c r="I21" s="29">
        <f>IF(D21="", "", IF(E21="", "",E21-E6))</f>
        <v>-70896.273425999971</v>
      </c>
    </row>
    <row r="22" spans="1:9" x14ac:dyDescent="0.25">
      <c r="A22" s="25"/>
      <c r="B22" s="25" t="s">
        <v>10</v>
      </c>
      <c r="C22" s="26">
        <v>7061.83</v>
      </c>
      <c r="D22" s="27">
        <v>14510.101911</v>
      </c>
      <c r="E22" s="28">
        <f>E21+C22-D22</f>
        <v>44733.813728000016</v>
      </c>
      <c r="F22" s="25"/>
      <c r="G22" s="25" t="s">
        <v>10</v>
      </c>
      <c r="H22" s="29">
        <f>IF(C22="", "", IF(D22="", "",D22-D7))</f>
        <v>-18578.443502000002</v>
      </c>
      <c r="I22" s="29">
        <f>IF(D22="", "", IF(E22="", "",E22-E7))</f>
        <v>-85384.639923999959</v>
      </c>
    </row>
    <row r="23" spans="1:9" x14ac:dyDescent="0.25">
      <c r="A23" s="25"/>
      <c r="B23" s="25" t="s">
        <v>11</v>
      </c>
      <c r="C23" s="26">
        <v>34048.120000000003</v>
      </c>
      <c r="D23" s="27">
        <v>21640.103977999999</v>
      </c>
      <c r="E23" s="28">
        <f>E22+C23-D23</f>
        <v>57141.829750000019</v>
      </c>
      <c r="F23" s="25"/>
      <c r="G23" s="25" t="s">
        <v>11</v>
      </c>
      <c r="H23" s="29">
        <f>IF(C23="", "", IF(D23="", "",D23-D8))</f>
        <v>-39829.624765</v>
      </c>
      <c r="I23" s="29">
        <f>IF(D23="", "", IF(E23="", "",E23-E8))</f>
        <v>-65369.225158999965</v>
      </c>
    </row>
    <row r="24" spans="1:9" x14ac:dyDescent="0.25">
      <c r="A24" s="25"/>
      <c r="B24" s="25" t="s">
        <v>12</v>
      </c>
      <c r="C24" s="26">
        <v>32415.919999999998</v>
      </c>
      <c r="D24" s="27">
        <v>29729.388158999998</v>
      </c>
      <c r="E24" s="28">
        <f>E23+C24-D24</f>
        <v>59828.361591000023</v>
      </c>
      <c r="F24" s="25"/>
      <c r="G24" s="25" t="s">
        <v>12</v>
      </c>
      <c r="H24" s="29">
        <f>IF(C24="", "", IF(D24="", "",D24-D9))</f>
        <v>3749.544834999997</v>
      </c>
      <c r="I24" s="29">
        <f>IF(D24="", "", IF(E24="", "",E24-E9))</f>
        <v>-57592.97999399995</v>
      </c>
    </row>
    <row r="25" spans="1:9" x14ac:dyDescent="0.25">
      <c r="A25" s="25"/>
      <c r="B25" s="25" t="s">
        <v>13</v>
      </c>
      <c r="C25" s="26">
        <v>89572.84</v>
      </c>
      <c r="D25" s="27">
        <v>86128.436425000007</v>
      </c>
      <c r="E25" s="28">
        <f>E24+C25-D25</f>
        <v>63272.765166000012</v>
      </c>
      <c r="F25" s="25"/>
      <c r="G25" s="25" t="s">
        <v>13</v>
      </c>
      <c r="H25" s="29">
        <f>IF(C25="", "", IF(D25="", "",D25-D10))</f>
        <v>62722.066474000007</v>
      </c>
      <c r="I25" s="29">
        <f>IF(D25="", "", IF(E25="", "",E25-E10))</f>
        <v>-54884.396467999948</v>
      </c>
    </row>
    <row r="26" spans="1:9" x14ac:dyDescent="0.25">
      <c r="A26" s="25"/>
      <c r="B26" s="25" t="s">
        <v>14</v>
      </c>
      <c r="C26" s="26">
        <v>143104.10999999999</v>
      </c>
      <c r="D26" s="27">
        <v>40031.716149</v>
      </c>
      <c r="E26" s="28">
        <f>E25+C26-D26</f>
        <v>166345.159017</v>
      </c>
      <c r="F26" s="25"/>
      <c r="G26" s="25" t="s">
        <v>14</v>
      </c>
      <c r="H26" s="29">
        <f>IF(C26="", "", IF(D26="", "",D26-D11))</f>
        <v>15489.503003000002</v>
      </c>
      <c r="I26" s="29">
        <f>IF(D26="", "", IF(E26="", "",E26-E11))</f>
        <v>60404.512529000029</v>
      </c>
    </row>
    <row r="27" spans="1:9" x14ac:dyDescent="0.25">
      <c r="A27" s="25"/>
      <c r="B27" s="25" t="s">
        <v>15</v>
      </c>
      <c r="C27" s="26">
        <v>71957.919999999998</v>
      </c>
      <c r="D27" s="27">
        <v>71184.371734999993</v>
      </c>
      <c r="E27" s="28">
        <f>E26+C27-D27</f>
        <v>167118.70728199999</v>
      </c>
      <c r="F27" s="25"/>
      <c r="G27" s="25" t="s">
        <v>15</v>
      </c>
      <c r="H27" s="29">
        <f>IF(C27="", "", IF(D27="", "",D27-D12))</f>
        <v>49553.404337999993</v>
      </c>
      <c r="I27" s="29">
        <f>IF(D27="", "", IF(E27="", "",E27-E12))</f>
        <v>71486.988191000011</v>
      </c>
    </row>
    <row r="28" spans="1:9" x14ac:dyDescent="0.25">
      <c r="A28" s="25"/>
      <c r="B28" s="25" t="s">
        <v>16</v>
      </c>
      <c r="C28" s="26">
        <v>55314.61</v>
      </c>
      <c r="D28" s="27">
        <v>53675.538566000003</v>
      </c>
      <c r="E28" s="28">
        <f>E27+C28-D28</f>
        <v>168757.77871599997</v>
      </c>
      <c r="F28" s="25"/>
      <c r="G28" s="25" t="s">
        <v>16</v>
      </c>
      <c r="H28" s="29">
        <f>IF(C28="", "", IF(D28="", "",D28-D13))</f>
        <v>20456.248600000006</v>
      </c>
      <c r="I28" s="29">
        <f>IF(D28="", "", IF(E28="", "",E28-E13))</f>
        <v>79136.029590999984</v>
      </c>
    </row>
    <row r="29" spans="1:9" x14ac:dyDescent="0.25">
      <c r="A29" s="25"/>
      <c r="B29" s="25" t="s">
        <v>17</v>
      </c>
      <c r="C29" s="26">
        <v>48340.6</v>
      </c>
      <c r="D29" s="27">
        <v>62105.592593000001</v>
      </c>
      <c r="E29" s="28">
        <f>E28+C29-D29</f>
        <v>154992.78612299997</v>
      </c>
      <c r="F29" s="25"/>
      <c r="G29" s="25" t="s">
        <v>17</v>
      </c>
      <c r="H29" s="29">
        <f>IF(C29="", "", IF(D29="", "",D29-D14))</f>
        <v>30706.350734</v>
      </c>
      <c r="I29" s="29">
        <f>IF(D29="", "", IF(E29="", "",E29-E14))</f>
        <v>93142.831942999983</v>
      </c>
    </row>
    <row r="30" spans="1:9" x14ac:dyDescent="0.25">
      <c r="A30" s="30"/>
      <c r="B30" s="30" t="s">
        <v>18</v>
      </c>
      <c r="C30" s="31">
        <v>-14918.184556</v>
      </c>
      <c r="D30" s="32">
        <v>19840.735175999998</v>
      </c>
      <c r="E30" s="33">
        <f>E29+C30-D30</f>
        <v>120233.86639099997</v>
      </c>
      <c r="F30" s="30"/>
      <c r="G30" s="30" t="s">
        <v>18</v>
      </c>
      <c r="H30" s="34">
        <f>IF(C30="", "", IF(D30="", "",D30-D15))</f>
        <v>-12286.096845</v>
      </c>
      <c r="I30" s="34">
        <f>IF(D30="", "", IF(E30="", "",E30-E15))</f>
        <v>67366.899431999977</v>
      </c>
    </row>
    <row r="31" spans="1:9" s="2" customFormat="1" x14ac:dyDescent="0.25">
      <c r="A31" s="35"/>
      <c r="B31" s="35" t="s">
        <v>19</v>
      </c>
      <c r="C31" s="36">
        <f>SUM(C19:C30)</f>
        <v>540802.16544399993</v>
      </c>
      <c r="D31" s="37">
        <f>SUM(D19:D30)</f>
        <v>473435.26601199998</v>
      </c>
      <c r="E31" s="28"/>
      <c r="F31" s="35"/>
      <c r="G31" s="35"/>
      <c r="H31" s="28">
        <f>SUMIF(C19:C30,"&gt;=0",H19:H30)</f>
        <v>117402.653922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45066.847120333325</v>
      </c>
      <c r="D32" s="37">
        <f>AVERAGE(D19:D30)</f>
        <v>39452.938834333334</v>
      </c>
      <c r="E32" s="38">
        <f>C32/D32-1</f>
        <v>0.14229379234772166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120233.86639099997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16982.52</v>
      </c>
      <c r="D34" s="13">
        <v>23229.605932999999</v>
      </c>
      <c r="E34" s="14">
        <f>E33+C34-D34</f>
        <v>113986.78045799998</v>
      </c>
      <c r="F34" s="11"/>
      <c r="G34" s="11" t="s">
        <v>7</v>
      </c>
      <c r="H34" s="15">
        <f>IF(C34="", "", IF(D34="", "",D34-D19))</f>
        <v>10046.945014999999</v>
      </c>
      <c r="I34" s="15">
        <f>IF(D34="", "", IF(E34="", "",E34-E19))</f>
        <v>58712.374416999977</v>
      </c>
    </row>
    <row r="35" spans="1:9" x14ac:dyDescent="0.25">
      <c r="A35" s="11"/>
      <c r="B35" s="11" t="s">
        <v>8</v>
      </c>
      <c r="C35" s="12">
        <v>26015.29</v>
      </c>
      <c r="D35" s="13">
        <v>30342.801645</v>
      </c>
      <c r="E35" s="14">
        <f>E34+C35-D35</f>
        <v>109659.26881299997</v>
      </c>
      <c r="F35" s="11"/>
      <c r="G35" s="11" t="s">
        <v>8</v>
      </c>
      <c r="H35" s="15">
        <f>IF(C35="", "", IF(D35="", "",D35-D20))</f>
        <v>-5228.3549110000022</v>
      </c>
      <c r="I35" s="15">
        <f>IF(D35="", "", IF(E35="", "",E35-E20))</f>
        <v>57963.709327999968</v>
      </c>
    </row>
    <row r="36" spans="1:9" x14ac:dyDescent="0.25">
      <c r="A36" s="11"/>
      <c r="B36" s="11" t="s">
        <v>9</v>
      </c>
      <c r="C36" s="12">
        <v>56514.555</v>
      </c>
      <c r="D36" s="13">
        <v>64427.820183000003</v>
      </c>
      <c r="E36" s="14">
        <f>E35+C36-D36</f>
        <v>101746.00362999996</v>
      </c>
      <c r="F36" s="11"/>
      <c r="G36" s="11" t="s">
        <v>9</v>
      </c>
      <c r="H36" s="15">
        <f>IF(C36="", "", IF(D36="", "",D36-D21))</f>
        <v>38592.356337000005</v>
      </c>
      <c r="I36" s="15">
        <f>IF(D36="", "", IF(E36="", "",E36-E21))</f>
        <v>49563.917990999951</v>
      </c>
    </row>
    <row r="37" spans="1:9" x14ac:dyDescent="0.25">
      <c r="A37" s="11"/>
      <c r="B37" s="11" t="s">
        <v>10</v>
      </c>
      <c r="C37" s="12">
        <v>76905.820000000007</v>
      </c>
      <c r="D37" s="13">
        <v>69697.087765999997</v>
      </c>
      <c r="E37" s="14">
        <f>E36+C37-D37</f>
        <v>108954.73586399997</v>
      </c>
      <c r="F37" s="11"/>
      <c r="G37" s="11" t="s">
        <v>10</v>
      </c>
      <c r="H37" s="15">
        <f>IF(C37="", "", IF(D37="", "",D37-D22))</f>
        <v>55186.985854999999</v>
      </c>
      <c r="I37" s="15">
        <f>IF(D37="", "", IF(E37="", "",E37-E22))</f>
        <v>64220.922135999957</v>
      </c>
    </row>
    <row r="38" spans="1:9" x14ac:dyDescent="0.25">
      <c r="A38" s="11"/>
      <c r="B38" s="11" t="s">
        <v>11</v>
      </c>
      <c r="C38" s="12">
        <v>30185.55</v>
      </c>
      <c r="D38" s="13">
        <v>39547.069733999997</v>
      </c>
      <c r="E38" s="14">
        <f>E37+C38-D38</f>
        <v>99593.216129999986</v>
      </c>
      <c r="F38" s="11"/>
      <c r="G38" s="11" t="s">
        <v>11</v>
      </c>
      <c r="H38" s="15">
        <f>IF(C38="", "", IF(D38="", "",D38-D23))</f>
        <v>17906.965755999998</v>
      </c>
      <c r="I38" s="15">
        <f>IF(D38="", "", IF(E38="", "",E38-E23))</f>
        <v>42451.386379999967</v>
      </c>
    </row>
    <row r="39" spans="1:9" x14ac:dyDescent="0.25">
      <c r="A39" s="11"/>
      <c r="B39" s="11" t="s">
        <v>12</v>
      </c>
      <c r="C39" s="12">
        <v>93993.687000000005</v>
      </c>
      <c r="D39" s="13">
        <v>73655.033070999998</v>
      </c>
      <c r="E39" s="14">
        <f>E38+C39-D39</f>
        <v>119931.87005899999</v>
      </c>
      <c r="F39" s="11"/>
      <c r="G39" s="11" t="s">
        <v>12</v>
      </c>
      <c r="H39" s="15">
        <f>IF(C39="", "", IF(D39="", "",D39-D24))</f>
        <v>43925.644912000003</v>
      </c>
      <c r="I39" s="15">
        <f>IF(D39="", "", IF(E39="", "",E39-E24))</f>
        <v>60103.508467999971</v>
      </c>
    </row>
    <row r="40" spans="1:9" x14ac:dyDescent="0.25">
      <c r="A40" s="11"/>
      <c r="B40" s="11" t="s">
        <v>13</v>
      </c>
      <c r="C40" s="12">
        <v>41915.96</v>
      </c>
      <c r="D40" s="13">
        <v>42748.001456999998</v>
      </c>
      <c r="E40" s="14">
        <f>E39+C40-D40</f>
        <v>119099.82860199999</v>
      </c>
      <c r="F40" s="11"/>
      <c r="G40" s="11" t="s">
        <v>13</v>
      </c>
      <c r="H40" s="15">
        <f>IF(C40="", "", IF(D40="", "",D40-D25))</f>
        <v>-43380.434968000009</v>
      </c>
      <c r="I40" s="15">
        <f>IF(D40="", "", IF(E40="", "",E40-E25))</f>
        <v>55827.063435999982</v>
      </c>
    </row>
    <row r="41" spans="1:9" x14ac:dyDescent="0.25">
      <c r="A41" s="11"/>
      <c r="B41" s="11" t="s">
        <v>14</v>
      </c>
      <c r="C41" s="12">
        <v>92362.240000000005</v>
      </c>
      <c r="D41" s="13">
        <v>103752.489777</v>
      </c>
      <c r="E41" s="14">
        <f>E40+C41-D41</f>
        <v>107709.57882500002</v>
      </c>
      <c r="F41" s="11"/>
      <c r="G41" s="11" t="s">
        <v>14</v>
      </c>
      <c r="H41" s="15">
        <f>IF(C41="", "", IF(D41="", "",D41-D26))</f>
        <v>63720.773627999995</v>
      </c>
      <c r="I41" s="15">
        <f>IF(D41="", "", IF(E41="", "",E41-E26))</f>
        <v>-58635.580191999979</v>
      </c>
    </row>
    <row r="42" spans="1:9" x14ac:dyDescent="0.25">
      <c r="A42" s="11"/>
      <c r="B42" s="11" t="s">
        <v>15</v>
      </c>
      <c r="C42" s="12">
        <v>105965.485354</v>
      </c>
      <c r="D42" s="13">
        <v>80317.861883000005</v>
      </c>
      <c r="E42" s="14">
        <f>E41+C42-D42</f>
        <v>133357.20229600003</v>
      </c>
      <c r="F42" s="11"/>
      <c r="G42" s="11" t="s">
        <v>15</v>
      </c>
      <c r="H42" s="15">
        <f>IF(C42="", "", IF(D42="", "",D42-D27))</f>
        <v>9133.4901480000117</v>
      </c>
      <c r="I42" s="15">
        <f>IF(D42="", "", IF(E42="", "",E42-E27))</f>
        <v>-33761.504985999956</v>
      </c>
    </row>
    <row r="43" spans="1:9" x14ac:dyDescent="0.25">
      <c r="A43" s="11"/>
      <c r="B43" s="11" t="s">
        <v>16</v>
      </c>
      <c r="C43" s="12">
        <v>72752.66</v>
      </c>
      <c r="D43" s="13">
        <v>54065.532934000003</v>
      </c>
      <c r="E43" s="14">
        <f>E42+C43-D43</f>
        <v>152044.32936200005</v>
      </c>
      <c r="F43" s="11"/>
      <c r="G43" s="11" t="s">
        <v>16</v>
      </c>
      <c r="H43" s="15">
        <f>IF(C43="", "", IF(D43="", "",D43-D28))</f>
        <v>389.99436799999967</v>
      </c>
      <c r="I43" s="15">
        <f>IF(D43="", "", IF(E43="", "",E43-E28))</f>
        <v>-16713.449353999924</v>
      </c>
    </row>
    <row r="44" spans="1:9" x14ac:dyDescent="0.25">
      <c r="A44" s="11"/>
      <c r="B44" s="11" t="s">
        <v>17</v>
      </c>
      <c r="C44" s="12">
        <v>45836.88</v>
      </c>
      <c r="D44" s="13">
        <v>66852.501340000003</v>
      </c>
      <c r="E44" s="14">
        <f>E43+C44-D44</f>
        <v>131028.70802200005</v>
      </c>
      <c r="F44" s="11"/>
      <c r="G44" s="11" t="s">
        <v>17</v>
      </c>
      <c r="H44" s="15">
        <f>IF(C44="", "", IF(D44="", "",D44-D29))</f>
        <v>4746.9087470000013</v>
      </c>
      <c r="I44" s="15">
        <f>IF(D44="", "", IF(E44="", "",E44-E29))</f>
        <v>-23964.078100999919</v>
      </c>
    </row>
    <row r="45" spans="1:9" x14ac:dyDescent="0.25">
      <c r="A45" s="16"/>
      <c r="B45" s="16" t="s">
        <v>18</v>
      </c>
      <c r="C45" s="17">
        <v>74237.289999999994</v>
      </c>
      <c r="D45" s="18">
        <v>89706.163</v>
      </c>
      <c r="E45" s="19">
        <f>E44+C45-D45</f>
        <v>115559.83502200004</v>
      </c>
      <c r="F45" s="16"/>
      <c r="G45" s="16" t="s">
        <v>18</v>
      </c>
      <c r="H45" s="20">
        <f>IF(C45="", "", IF(D45="", "",D45-D30))</f>
        <v>69865.427823999999</v>
      </c>
      <c r="I45" s="20">
        <f>IF(D45="", "", IF(E45="", "",E45-E30))</f>
        <v>-4674.0313689999311</v>
      </c>
    </row>
    <row r="46" spans="1:9" s="2" customFormat="1" x14ac:dyDescent="0.25">
      <c r="A46" s="21"/>
      <c r="B46" s="21" t="s">
        <v>19</v>
      </c>
      <c r="C46" s="22">
        <f>SUM(C34:C45)</f>
        <v>733667.93735400005</v>
      </c>
      <c r="D46" s="23">
        <f>SUM(D34:D45)</f>
        <v>738341.96872299979</v>
      </c>
      <c r="E46" s="14"/>
      <c r="F46" s="21"/>
      <c r="G46" s="21"/>
      <c r="H46" s="14">
        <f>SUMIF(C34:C45,"&gt;=0",H34:H45)</f>
        <v>264906.70271099999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61138.994779500004</v>
      </c>
      <c r="D47" s="23">
        <f>AVERAGE(D34:D45)</f>
        <v>61528.497393583319</v>
      </c>
      <c r="E47" s="24">
        <f>C47/D47-1</f>
        <v>-6.3304424873528164E-3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115559.83502200004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37570.94</v>
      </c>
      <c r="D49" s="27">
        <v>38135.057337999999</v>
      </c>
      <c r="E49" s="28">
        <f>E48+C49-D49</f>
        <v>114995.71768400005</v>
      </c>
      <c r="F49" s="25"/>
      <c r="G49" s="25" t="s">
        <v>7</v>
      </c>
      <c r="H49" s="29">
        <f>IF(C49="", "", IF(D49="", "",D49-D34))</f>
        <v>14905.451405</v>
      </c>
      <c r="I49" s="29">
        <f>IF(D49="", "", IF(E49="", "",E49-E34))</f>
        <v>1008.9372260000673</v>
      </c>
    </row>
    <row r="50" spans="1:9" x14ac:dyDescent="0.25">
      <c r="A50" s="25"/>
      <c r="B50" s="25" t="s">
        <v>8</v>
      </c>
      <c r="C50" s="26">
        <v>62944.56</v>
      </c>
      <c r="D50" s="27">
        <v>33673.152147000001</v>
      </c>
      <c r="E50" s="28">
        <f>E49+C50-D50</f>
        <v>144267.12553700001</v>
      </c>
      <c r="F50" s="25"/>
      <c r="G50" s="25" t="s">
        <v>8</v>
      </c>
      <c r="H50" s="29">
        <f>IF(C50="", "", IF(D50="", "",D50-D35))</f>
        <v>3330.3505020000011</v>
      </c>
      <c r="I50" s="29">
        <f>IF(D50="", "", IF(E50="", "",E50-E35))</f>
        <v>34607.856724000041</v>
      </c>
    </row>
    <row r="51" spans="1:9" x14ac:dyDescent="0.25">
      <c r="A51" s="25"/>
      <c r="B51" s="25" t="s">
        <v>9</v>
      </c>
      <c r="C51" s="26">
        <v>65550.2</v>
      </c>
      <c r="D51" s="27">
        <v>86993.312439000001</v>
      </c>
      <c r="E51" s="28">
        <f>E50+C51-D51</f>
        <v>122824.01309800002</v>
      </c>
      <c r="F51" s="25"/>
      <c r="G51" s="25" t="s">
        <v>9</v>
      </c>
      <c r="H51" s="29">
        <f>IF(C51="", "", IF(D51="", "",D51-D36))</f>
        <v>22565.492255999998</v>
      </c>
      <c r="I51" s="29">
        <f>IF(D51="", "", IF(E51="", "",E51-E36))</f>
        <v>21078.009468000062</v>
      </c>
    </row>
    <row r="52" spans="1:9" x14ac:dyDescent="0.25">
      <c r="A52" s="25"/>
      <c r="B52" s="25" t="s">
        <v>10</v>
      </c>
      <c r="C52" s="26">
        <v>36318.42</v>
      </c>
      <c r="D52" s="27">
        <v>47285.452062999997</v>
      </c>
      <c r="E52" s="28">
        <f>E51+C52-D52</f>
        <v>111856.981035</v>
      </c>
      <c r="F52" s="25"/>
      <c r="G52" s="25" t="s">
        <v>10</v>
      </c>
      <c r="H52" s="29">
        <f>IF(C52="", "", IF(D52="", "",D52-D37))</f>
        <v>-22411.635703</v>
      </c>
      <c r="I52" s="29">
        <f>IF(D52="", "", IF(E52="", "",E52-E37))</f>
        <v>2902.2451710000314</v>
      </c>
    </row>
    <row r="53" spans="1:9" x14ac:dyDescent="0.25">
      <c r="A53" s="25"/>
      <c r="B53" s="25" t="s">
        <v>11</v>
      </c>
      <c r="C53" s="26">
        <v>47993.4</v>
      </c>
      <c r="D53" s="27">
        <v>42106.150494000001</v>
      </c>
      <c r="E53" s="28">
        <f>E52+C53-D53</f>
        <v>117744.230541</v>
      </c>
      <c r="F53" s="25"/>
      <c r="G53" s="25" t="s">
        <v>11</v>
      </c>
      <c r="H53" s="29">
        <f>IF(C53="", "", IF(D53="", "",D53-D38))</f>
        <v>2559.0807600000044</v>
      </c>
      <c r="I53" s="29">
        <f>IF(D53="", "", IF(E53="", "",E53-E38))</f>
        <v>18151.014411000011</v>
      </c>
    </row>
    <row r="54" spans="1:9" x14ac:dyDescent="0.25">
      <c r="A54" s="25"/>
      <c r="B54" s="25" t="s">
        <v>12</v>
      </c>
      <c r="C54" s="26">
        <v>35871.599999999999</v>
      </c>
      <c r="D54" s="27">
        <v>41157.338483</v>
      </c>
      <c r="E54" s="28">
        <f>E53+C54-D54</f>
        <v>112458.492058</v>
      </c>
      <c r="F54" s="25"/>
      <c r="G54" s="25" t="s">
        <v>12</v>
      </c>
      <c r="H54" s="29">
        <f>IF(C54="", "", IF(D54="", "",D54-D39))</f>
        <v>-32497.694587999998</v>
      </c>
      <c r="I54" s="29">
        <f>IF(D54="", "", IF(E54="", "",E54-E39))</f>
        <v>-7473.37800099999</v>
      </c>
    </row>
    <row r="55" spans="1:9" x14ac:dyDescent="0.25">
      <c r="A55" s="25"/>
      <c r="B55" s="25" t="s">
        <v>13</v>
      </c>
      <c r="C55" s="26">
        <v>46951.56</v>
      </c>
      <c r="D55" s="27">
        <v>42854.856418000003</v>
      </c>
      <c r="E55" s="28">
        <f>E54+C55-D55</f>
        <v>116555.19563999999</v>
      </c>
      <c r="F55" s="25"/>
      <c r="G55" s="25" t="s">
        <v>13</v>
      </c>
      <c r="H55" s="29">
        <f>IF(C55="", "", IF(D55="", "",D55-D40))</f>
        <v>106.85496100000455</v>
      </c>
      <c r="I55" s="29">
        <f>IF(D55="", "", IF(E55="", "",E55-E40))</f>
        <v>-2544.6329620000033</v>
      </c>
    </row>
    <row r="56" spans="1:9" x14ac:dyDescent="0.25">
      <c r="A56" s="25"/>
      <c r="B56" s="25" t="s">
        <v>14</v>
      </c>
      <c r="C56" s="26">
        <v>41651.51</v>
      </c>
      <c r="D56" s="27">
        <v>34330.115259999999</v>
      </c>
      <c r="E56" s="28">
        <f>E55+C56-D56</f>
        <v>123876.59038000001</v>
      </c>
      <c r="F56" s="25"/>
      <c r="G56" s="25" t="s">
        <v>14</v>
      </c>
      <c r="H56" s="29">
        <f>IF(C56="", "", IF(D56="", "",D56-D41))</f>
        <v>-69422.374516999989</v>
      </c>
      <c r="I56" s="29">
        <f>IF(D56="", "", IF(E56="", "",E56-E41))</f>
        <v>16167.01155499999</v>
      </c>
    </row>
    <row r="57" spans="1:9" x14ac:dyDescent="0.25">
      <c r="A57" s="25"/>
      <c r="B57" s="25" t="s">
        <v>15</v>
      </c>
      <c r="C57" s="26">
        <v>49714.89</v>
      </c>
      <c r="D57" s="27">
        <v>63795.831060999997</v>
      </c>
      <c r="E57" s="28">
        <f>E56+C57-D57</f>
        <v>109795.64931900002</v>
      </c>
      <c r="F57" s="25"/>
      <c r="G57" s="25" t="s">
        <v>15</v>
      </c>
      <c r="H57" s="29">
        <f>IF(C57="", "", IF(D57="", "",D57-D42))</f>
        <v>-16522.030822000008</v>
      </c>
      <c r="I57" s="29">
        <f>IF(D57="", "", IF(E57="", "",E57-E42))</f>
        <v>-23561.552977000014</v>
      </c>
    </row>
    <row r="58" spans="1:9" x14ac:dyDescent="0.25">
      <c r="A58" s="25"/>
      <c r="B58" s="25" t="s">
        <v>16</v>
      </c>
      <c r="C58" s="26">
        <v>36223.4</v>
      </c>
      <c r="D58" s="27">
        <v>38283.532300999999</v>
      </c>
      <c r="E58" s="28">
        <f>E57+C58-D58</f>
        <v>107735.51701800001</v>
      </c>
      <c r="F58" s="25"/>
      <c r="G58" s="25" t="s">
        <v>16</v>
      </c>
      <c r="H58" s="29">
        <f>IF(C58="", "", IF(D58="", "",D58-D43))</f>
        <v>-15782.000633000003</v>
      </c>
      <c r="I58" s="29">
        <f>IF(D58="", "", IF(E58="", "",E58-E43))</f>
        <v>-44308.812344000034</v>
      </c>
    </row>
    <row r="59" spans="1:9" x14ac:dyDescent="0.25">
      <c r="A59" s="25"/>
      <c r="B59" s="25" t="s">
        <v>17</v>
      </c>
      <c r="C59" s="26">
        <v>95837.98</v>
      </c>
      <c r="D59" s="27">
        <v>91253.011144999997</v>
      </c>
      <c r="E59" s="28">
        <f>E58+C59-D59</f>
        <v>112320.485873</v>
      </c>
      <c r="F59" s="25"/>
      <c r="G59" s="25" t="s">
        <v>17</v>
      </c>
      <c r="H59" s="29">
        <f>IF(C59="", "", IF(D59="", "",D59-D44))</f>
        <v>24400.509804999994</v>
      </c>
      <c r="I59" s="29">
        <f>IF(D59="", "", IF(E59="", "",E59-E44))</f>
        <v>-18708.222149000052</v>
      </c>
    </row>
    <row r="60" spans="1:9" x14ac:dyDescent="0.25">
      <c r="A60" s="30"/>
      <c r="B60" s="30" t="s">
        <v>18</v>
      </c>
      <c r="C60" s="31">
        <v>20443.803333</v>
      </c>
      <c r="D60" s="32">
        <v>48855.259015000003</v>
      </c>
      <c r="E60" s="33">
        <f>E59+C60-D60</f>
        <v>83909.030190999983</v>
      </c>
      <c r="F60" s="30"/>
      <c r="G60" s="30" t="s">
        <v>18</v>
      </c>
      <c r="H60" s="34">
        <f>IF(C60="", "", IF(D60="", "",D60-D45))</f>
        <v>-40850.903984999997</v>
      </c>
      <c r="I60" s="34">
        <f>IF(D60="", "", IF(E60="", "",E60-E45))</f>
        <v>-31650.804831000059</v>
      </c>
    </row>
    <row r="61" spans="1:9" s="2" customFormat="1" x14ac:dyDescent="0.25">
      <c r="A61" s="35"/>
      <c r="B61" s="35" t="s">
        <v>19</v>
      </c>
      <c r="C61" s="36">
        <f>SUM(C49:C60)</f>
        <v>577072.26333300013</v>
      </c>
      <c r="D61" s="37">
        <f>SUM(D49:D60)</f>
        <v>608723.06816399994</v>
      </c>
      <c r="E61" s="28"/>
      <c r="F61" s="35"/>
      <c r="G61" s="35"/>
      <c r="H61" s="28">
        <f>SUMIF(C49:C60,"&gt;=0",H49:H60)</f>
        <v>-129618.90055899999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48089.355277750008</v>
      </c>
      <c r="D62" s="37">
        <f>AVERAGE(D49:D60)</f>
        <v>50726.922346999992</v>
      </c>
      <c r="E62" s="38">
        <f>C62/D62-1</f>
        <v>-5.1995408891704065E-2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83909.030190999983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51045.47</v>
      </c>
      <c r="D64" s="13">
        <v>22064.036425999999</v>
      </c>
      <c r="E64" s="14">
        <f>E63+C64-D64</f>
        <v>112890.46376499999</v>
      </c>
      <c r="F64" s="11"/>
      <c r="G64" s="11" t="s">
        <v>7</v>
      </c>
      <c r="H64" s="15">
        <f>IF(C64="", "", IF(D64="", "",D64-D49))</f>
        <v>-16071.020912</v>
      </c>
      <c r="I64" s="15">
        <f>IF(D64="", "", IF(E64="", "",E64-E49))</f>
        <v>-2105.2539190000534</v>
      </c>
    </row>
    <row r="65" spans="1:9" x14ac:dyDescent="0.25">
      <c r="A65" s="11"/>
      <c r="B65" s="11" t="s">
        <v>8</v>
      </c>
      <c r="C65" s="12">
        <v>102382.42</v>
      </c>
      <c r="D65" s="13">
        <v>61576.544910999997</v>
      </c>
      <c r="E65" s="14">
        <f>E64+C65-D65</f>
        <v>153696.33885399997</v>
      </c>
      <c r="F65" s="11"/>
      <c r="G65" s="11" t="s">
        <v>8</v>
      </c>
      <c r="H65" s="15">
        <f>IF(C65="", "", IF(D65="", "",D65-D50))</f>
        <v>27903.392763999997</v>
      </c>
      <c r="I65" s="15">
        <f>IF(D65="", "", IF(E65="", "",E65-E50))</f>
        <v>9429.2133169999579</v>
      </c>
    </row>
    <row r="66" spans="1:9" x14ac:dyDescent="0.25">
      <c r="A66" s="11"/>
      <c r="B66" s="11" t="s">
        <v>9</v>
      </c>
      <c r="C66" s="12">
        <v>62563.199999999997</v>
      </c>
      <c r="D66" s="13">
        <v>100133.907496</v>
      </c>
      <c r="E66" s="14">
        <f>E65+C66-D66</f>
        <v>116125.63135799998</v>
      </c>
      <c r="F66" s="11"/>
      <c r="G66" s="11" t="s">
        <v>9</v>
      </c>
      <c r="H66" s="15">
        <f>IF(C66="", "", IF(D66="", "",D66-D51))</f>
        <v>13140.595056999999</v>
      </c>
      <c r="I66" s="15">
        <f>IF(D66="", "", IF(E66="", "",E66-E51))</f>
        <v>-6698.3817400000407</v>
      </c>
    </row>
    <row r="67" spans="1:9" x14ac:dyDescent="0.25">
      <c r="A67" s="11"/>
      <c r="B67" s="11" t="s">
        <v>10</v>
      </c>
      <c r="C67" s="12">
        <v>44614</v>
      </c>
      <c r="D67" s="13">
        <v>45661.3992</v>
      </c>
      <c r="E67" s="14">
        <f>E66+C67-D67</f>
        <v>115078.23215799998</v>
      </c>
      <c r="F67" s="11"/>
      <c r="G67" s="11" t="s">
        <v>10</v>
      </c>
      <c r="H67" s="15">
        <f>IF(C67="", "", IF(D67="", "",D67-D52))</f>
        <v>-1624.0528629999972</v>
      </c>
      <c r="I67" s="15">
        <f>IF(D67="", "", IF(E67="", "",E67-E52))</f>
        <v>3221.25112299998</v>
      </c>
    </row>
    <row r="68" spans="1:9" x14ac:dyDescent="0.25">
      <c r="A68" s="11"/>
      <c r="B68" s="11" t="s">
        <v>11</v>
      </c>
      <c r="C68" s="12">
        <v>76620.61</v>
      </c>
      <c r="D68" s="13">
        <v>72651.417671999996</v>
      </c>
      <c r="E68" s="14">
        <f>E67+C68-D68</f>
        <v>119047.42448599999</v>
      </c>
      <c r="F68" s="11"/>
      <c r="G68" s="11" t="s">
        <v>11</v>
      </c>
      <c r="H68" s="15">
        <f>IF(C68="", "", IF(D68="", "",D68-D53))</f>
        <v>30545.267177999995</v>
      </c>
      <c r="I68" s="15">
        <f>IF(D68="", "", IF(E68="", "",E68-E53))</f>
        <v>1303.1939449999918</v>
      </c>
    </row>
    <row r="69" spans="1:9" x14ac:dyDescent="0.25">
      <c r="A69" s="11"/>
      <c r="B69" s="11" t="s">
        <v>12</v>
      </c>
      <c r="C69" s="12">
        <v>87591.74</v>
      </c>
      <c r="D69" s="13">
        <v>52125.435733999999</v>
      </c>
      <c r="E69" s="14">
        <f>E68+C69-D69</f>
        <v>154513.728752</v>
      </c>
      <c r="F69" s="11"/>
      <c r="G69" s="11" t="s">
        <v>12</v>
      </c>
      <c r="H69" s="15">
        <f>IF(C69="", "", IF(D69="", "",D69-D54))</f>
        <v>10968.097250999999</v>
      </c>
      <c r="I69" s="15">
        <f>IF(D69="", "", IF(E69="", "",E69-E54))</f>
        <v>42055.236693999992</v>
      </c>
    </row>
    <row r="70" spans="1:9" x14ac:dyDescent="0.25">
      <c r="A70" s="11"/>
      <c r="B70" s="11" t="s">
        <v>13</v>
      </c>
      <c r="C70" s="12">
        <v>117658.28</v>
      </c>
      <c r="D70" s="13">
        <v>65539.784283999994</v>
      </c>
      <c r="E70" s="14">
        <f>E69+C70-D70</f>
        <v>206632.224468</v>
      </c>
      <c r="F70" s="11"/>
      <c r="G70" s="11" t="s">
        <v>13</v>
      </c>
      <c r="H70" s="15">
        <f>IF(C70="", "", IF(D70="", "",D70-D55))</f>
        <v>22684.927865999991</v>
      </c>
      <c r="I70" s="15">
        <f>IF(D70="", "", IF(E70="", "",E70-E55))</f>
        <v>90077.02882800001</v>
      </c>
    </row>
    <row r="71" spans="1:9" x14ac:dyDescent="0.25">
      <c r="A71" s="11"/>
      <c r="B71" s="11" t="s">
        <v>14</v>
      </c>
      <c r="C71" s="12">
        <v>119748.9</v>
      </c>
      <c r="D71" s="13">
        <v>189796.46566799999</v>
      </c>
      <c r="E71" s="14">
        <f>E70+C71-D71</f>
        <v>136584.65880000003</v>
      </c>
      <c r="F71" s="11"/>
      <c r="G71" s="11" t="s">
        <v>14</v>
      </c>
      <c r="H71" s="15">
        <f>IF(C71="", "", IF(D71="", "",D71-D56))</f>
        <v>155466.350408</v>
      </c>
      <c r="I71" s="15">
        <f>IF(D71="", "", IF(E71="", "",E71-E56))</f>
        <v>12708.068420000025</v>
      </c>
    </row>
    <row r="72" spans="1:9" x14ac:dyDescent="0.25">
      <c r="A72" s="11"/>
      <c r="B72" s="11" t="s">
        <v>15</v>
      </c>
      <c r="C72" s="12">
        <v>86409</v>
      </c>
      <c r="D72" s="13">
        <v>92030.324594999998</v>
      </c>
      <c r="E72" s="14">
        <f>E71+C72-D72</f>
        <v>130963.33420500004</v>
      </c>
      <c r="F72" s="11"/>
      <c r="G72" s="11" t="s">
        <v>15</v>
      </c>
      <c r="H72" s="15">
        <f>IF(C72="", "", IF(D72="", "",D72-D57))</f>
        <v>28234.493534000001</v>
      </c>
      <c r="I72" s="15">
        <f>IF(D72="", "", IF(E72="", "",E72-E57))</f>
        <v>21167.684886000017</v>
      </c>
    </row>
    <row r="73" spans="1:9" x14ac:dyDescent="0.25">
      <c r="A73" s="11"/>
      <c r="B73" s="11" t="s">
        <v>16</v>
      </c>
      <c r="C73" s="12">
        <v>176921.56</v>
      </c>
      <c r="D73" s="13">
        <v>169463.35533699999</v>
      </c>
      <c r="E73" s="14">
        <f>E72+C73-D73</f>
        <v>138421.53886800003</v>
      </c>
      <c r="F73" s="11"/>
      <c r="G73" s="11" t="s">
        <v>16</v>
      </c>
      <c r="H73" s="15">
        <f>IF(C73="", "", IF(D73="", "",D73-D58))</f>
        <v>131179.82303599999</v>
      </c>
      <c r="I73" s="15">
        <f>IF(D73="", "", IF(E73="", "",E73-E58))</f>
        <v>30686.021850000019</v>
      </c>
    </row>
    <row r="74" spans="1:9" x14ac:dyDescent="0.25">
      <c r="A74" s="11"/>
      <c r="B74" s="11" t="s">
        <v>17</v>
      </c>
      <c r="C74" s="12">
        <v>138331.51</v>
      </c>
      <c r="D74" s="13">
        <v>97653.880516999998</v>
      </c>
      <c r="E74" s="14">
        <f>E73+C74-D74</f>
        <v>179099.16835100006</v>
      </c>
      <c r="F74" s="11"/>
      <c r="G74" s="11" t="s">
        <v>17</v>
      </c>
      <c r="H74" s="15">
        <f>IF(C74="", "", IF(D74="", "",D74-D59))</f>
        <v>6400.869372000001</v>
      </c>
      <c r="I74" s="15">
        <f>IF(D74="", "", IF(E74="", "",E74-E59))</f>
        <v>66778.682478000061</v>
      </c>
    </row>
    <row r="75" spans="1:9" x14ac:dyDescent="0.25">
      <c r="A75" s="16"/>
      <c r="B75" s="16" t="s">
        <v>18</v>
      </c>
      <c r="C75" s="17">
        <v>87577.57</v>
      </c>
      <c r="D75" s="18">
        <v>134169.268171</v>
      </c>
      <c r="E75" s="19">
        <f>E74+C75-D75</f>
        <v>132507.47018000006</v>
      </c>
      <c r="F75" s="16"/>
      <c r="G75" s="16" t="s">
        <v>18</v>
      </c>
      <c r="H75" s="20">
        <f>IF(C75="", "", IF(D75="", "",D75-D60))</f>
        <v>85314.009156</v>
      </c>
      <c r="I75" s="20">
        <f>IF(D75="", "", IF(E75="", "",E75-E60))</f>
        <v>48598.439989000079</v>
      </c>
    </row>
    <row r="76" spans="1:9" s="2" customFormat="1" x14ac:dyDescent="0.25">
      <c r="A76" s="21"/>
      <c r="B76" s="21" t="s">
        <v>19</v>
      </c>
      <c r="C76" s="22">
        <f>SUM(C64:C75)</f>
        <v>1151464.26</v>
      </c>
      <c r="D76" s="23">
        <f>SUM(D64:D75)</f>
        <v>1102865.8200109999</v>
      </c>
      <c r="E76" s="14"/>
      <c r="F76" s="21"/>
      <c r="G76" s="21"/>
      <c r="H76" s="14">
        <f>SUMIF(C64:C75,"&gt;=0",H64:H75)</f>
        <v>494142.75184699998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95955.354999999996</v>
      </c>
      <c r="D77" s="23">
        <f>AVERAGE(D64:D75)</f>
        <v>91905.485000916655</v>
      </c>
      <c r="E77" s="24">
        <f>C77/D77-1</f>
        <v>4.4065596292135911E-2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132507.47018000006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132507.47018000006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132507.47018000006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132507.47018000006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132507.47018000006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132507.47018000006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132507.47018000006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132507.47018000006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132507.47018000006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132507.47018000006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132507.47018000006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132507.47018000006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132507.47018000006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heck Box 1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1</xdr:row>
                    <xdr:rowOff>371475</xdr:rowOff>
                  </from>
                  <to>
                    <xdr:col>10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Check Box 2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2</xdr:row>
                    <xdr:rowOff>180975</xdr:rowOff>
                  </from>
                  <to>
                    <xdr:col>10</xdr:col>
                    <xdr:colOff>1143000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Check Box 3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3</xdr:row>
                    <xdr:rowOff>161925</xdr:rowOff>
                  </from>
                  <to>
                    <xdr:col>10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 macro="[0]!CheckBox16_Click">
                <anchor moveWithCells="1">
                  <from>
                    <xdr:col>10</xdr:col>
                    <xdr:colOff>47625</xdr:colOff>
                    <xdr:row>4</xdr:row>
                    <xdr:rowOff>152400</xdr:rowOff>
                  </from>
                  <to>
                    <xdr:col>10</xdr:col>
                    <xdr:colOff>1143000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1</xdr:row>
                    <xdr:rowOff>342900</xdr:rowOff>
                  </from>
                  <to>
                    <xdr:col>12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2</xdr:row>
                    <xdr:rowOff>161925</xdr:rowOff>
                  </from>
                  <to>
                    <xdr:col>12</xdr:col>
                    <xdr:colOff>1162050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3</xdr:row>
                    <xdr:rowOff>161925</xdr:rowOff>
                  </from>
                  <to>
                    <xdr:col>12</xdr:col>
                    <xdr:colOff>1162050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 macro="[0]!CheckBox16_Click">
                <anchor moveWithCells="1">
                  <from>
                    <xdr:col>12</xdr:col>
                    <xdr:colOff>66675</xdr:colOff>
                    <xdr:row>4</xdr:row>
                    <xdr:rowOff>161925</xdr:rowOff>
                  </from>
                  <to>
                    <xdr:col>12</xdr:col>
                    <xdr:colOff>1162050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332C4-B52C-455F-B807-D8069AC92F32}">
  <sheetPr codeName="Sheet25"/>
  <dimension ref="A2:I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/>
      <c r="D37" s="13"/>
      <c r="E37" s="14">
        <f>E36+C37-D37</f>
        <v>0</v>
      </c>
      <c r="F37" s="11"/>
      <c r="G37" s="11" t="s">
        <v>10</v>
      </c>
      <c r="H37" s="15" t="str">
        <f>IF(C37="", "", IF(D37="", "",D37-D22))</f>
        <v/>
      </c>
      <c r="I37" s="15" t="str">
        <f>IF(D37="", "", IF(E37="", "",E37-E22))</f>
        <v/>
      </c>
    </row>
    <row r="38" spans="1:9" x14ac:dyDescent="0.25">
      <c r="A38" s="11"/>
      <c r="B38" s="11" t="s">
        <v>11</v>
      </c>
      <c r="C38" s="12"/>
      <c r="D38" s="13"/>
      <c r="E38" s="14">
        <f>E37+C38-D38</f>
        <v>0</v>
      </c>
      <c r="F38" s="11"/>
      <c r="G38" s="11" t="s">
        <v>11</v>
      </c>
      <c r="H38" s="15" t="str">
        <f>IF(C38="", "", IF(D38="", "",D38-D23))</f>
        <v/>
      </c>
      <c r="I38" s="15" t="str">
        <f>IF(D38="", "", IF(E38="", "",E38-E23))</f>
        <v/>
      </c>
    </row>
    <row r="39" spans="1:9" x14ac:dyDescent="0.25">
      <c r="A39" s="11"/>
      <c r="B39" s="11" t="s">
        <v>12</v>
      </c>
      <c r="C39" s="12"/>
      <c r="D39" s="13"/>
      <c r="E39" s="14">
        <f>E38+C39-D39</f>
        <v>0</v>
      </c>
      <c r="F39" s="11"/>
      <c r="G39" s="11" t="s">
        <v>12</v>
      </c>
      <c r="H39" s="15" t="str">
        <f>IF(C39="", "", IF(D39="", "",D39-D24))</f>
        <v/>
      </c>
      <c r="I39" s="15" t="str">
        <f>IF(D39="", "", IF(E39="", "",E39-E24))</f>
        <v/>
      </c>
    </row>
    <row r="40" spans="1:9" x14ac:dyDescent="0.25">
      <c r="A40" s="11"/>
      <c r="B40" s="11" t="s">
        <v>13</v>
      </c>
      <c r="C40" s="12"/>
      <c r="D40" s="13"/>
      <c r="E40" s="14">
        <f>E39+C40-D40</f>
        <v>0</v>
      </c>
      <c r="F40" s="11"/>
      <c r="G40" s="11" t="s">
        <v>13</v>
      </c>
      <c r="H40" s="15" t="str">
        <f>IF(C40="", "", IF(D40="", "",D40-D25))</f>
        <v/>
      </c>
      <c r="I40" s="15" t="str">
        <f>IF(D40="", "", IF(E40="", "",E40-E25))</f>
        <v/>
      </c>
    </row>
    <row r="41" spans="1:9" x14ac:dyDescent="0.25">
      <c r="A41" s="11"/>
      <c r="B41" s="11" t="s">
        <v>14</v>
      </c>
      <c r="C41" s="12"/>
      <c r="D41" s="13"/>
      <c r="E41" s="14">
        <f>E40+C41-D41</f>
        <v>0</v>
      </c>
      <c r="F41" s="11"/>
      <c r="G41" s="11" t="s">
        <v>14</v>
      </c>
      <c r="H41" s="15" t="str">
        <f>IF(C41="", "", IF(D41="", "",D41-D26))</f>
        <v/>
      </c>
      <c r="I41" s="15" t="str">
        <f>IF(D41="", "", IF(E41="", "",E41-E26))</f>
        <v/>
      </c>
    </row>
    <row r="42" spans="1:9" x14ac:dyDescent="0.25">
      <c r="A42" s="11"/>
      <c r="B42" s="11" t="s">
        <v>15</v>
      </c>
      <c r="C42" s="12"/>
      <c r="D42" s="13"/>
      <c r="E42" s="14">
        <f>E41+C42-D42</f>
        <v>0</v>
      </c>
      <c r="F42" s="11"/>
      <c r="G42" s="11" t="s">
        <v>15</v>
      </c>
      <c r="H42" s="15" t="str">
        <f>IF(C42="", "", IF(D42="", "",D42-D27))</f>
        <v/>
      </c>
      <c r="I42" s="15" t="str">
        <f>IF(D42="", "", IF(E42="", "",E42-E27))</f>
        <v/>
      </c>
    </row>
    <row r="43" spans="1:9" x14ac:dyDescent="0.25">
      <c r="A43" s="11"/>
      <c r="B43" s="11" t="s">
        <v>16</v>
      </c>
      <c r="C43" s="12"/>
      <c r="D43" s="13"/>
      <c r="E43" s="14">
        <f>E42+C43-D43</f>
        <v>0</v>
      </c>
      <c r="F43" s="11"/>
      <c r="G43" s="11" t="s">
        <v>16</v>
      </c>
      <c r="H43" s="15" t="str">
        <f>IF(C43="", "", IF(D43="", "",D43-D28))</f>
        <v/>
      </c>
      <c r="I43" s="15" t="str">
        <f>IF(D43="", "", IF(E43="", "",E43-E28))</f>
        <v/>
      </c>
    </row>
    <row r="44" spans="1:9" x14ac:dyDescent="0.25">
      <c r="A44" s="11"/>
      <c r="B44" s="11" t="s">
        <v>17</v>
      </c>
      <c r="C44" s="12"/>
      <c r="D44" s="13"/>
      <c r="E44" s="14">
        <f>E43+C44-D44</f>
        <v>0</v>
      </c>
      <c r="F44" s="11"/>
      <c r="G44" s="11" t="s">
        <v>17</v>
      </c>
      <c r="H44" s="15" t="str">
        <f>IF(C44="", "", IF(D44="", "",D44-D29))</f>
        <v/>
      </c>
      <c r="I44" s="15" t="str">
        <f>IF(D44="", "", IF(E44="", "",E44-E29))</f>
        <v/>
      </c>
    </row>
    <row r="45" spans="1:9" x14ac:dyDescent="0.25">
      <c r="A45" s="16"/>
      <c r="B45" s="16" t="s">
        <v>18</v>
      </c>
      <c r="C45" s="17"/>
      <c r="D45" s="18"/>
      <c r="E45" s="19">
        <f>E44+C45-D45</f>
        <v>0</v>
      </c>
      <c r="F45" s="16"/>
      <c r="G45" s="16" t="s">
        <v>18</v>
      </c>
      <c r="H45" s="20" t="str">
        <f>IF(C45="", "", IF(D45="", "",D45-D30))</f>
        <v/>
      </c>
      <c r="I45" s="20" t="str">
        <f>IF(D45="", "", IF(E45="", "",E45-E30))</f>
        <v/>
      </c>
    </row>
    <row r="46" spans="1:9" s="2" customFormat="1" x14ac:dyDescent="0.25">
      <c r="A46" s="21"/>
      <c r="B46" s="21" t="s">
        <v>19</v>
      </c>
      <c r="C46" s="22">
        <f>SUM(C34:C45)</f>
        <v>0</v>
      </c>
      <c r="D46" s="23">
        <f>SUM(D34:D45)</f>
        <v>0</v>
      </c>
      <c r="E46" s="14"/>
      <c r="F46" s="21"/>
      <c r="G46" s="21"/>
      <c r="H46" s="14">
        <f>SUMIF(C34:C45,"&gt;=0",H34:H45)</f>
        <v>0</v>
      </c>
      <c r="I46" s="14"/>
    </row>
    <row r="47" spans="1:9" s="2" customFormat="1" x14ac:dyDescent="0.25">
      <c r="A47" s="21"/>
      <c r="B47" s="21" t="s">
        <v>20</v>
      </c>
      <c r="C47" s="22" t="e">
        <f>AVERAGE(C34:C45)</f>
        <v>#DIV/0!</v>
      </c>
      <c r="D47" s="23" t="e">
        <f>AVERAGE(D34:D45)</f>
        <v>#DIV/0!</v>
      </c>
      <c r="E47" s="24" t="e">
        <f>C47/D47-1</f>
        <v>#DIV/0!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0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/>
      <c r="D49" s="27"/>
      <c r="E49" s="28">
        <f>E48+C49-D49</f>
        <v>0</v>
      </c>
      <c r="F49" s="25"/>
      <c r="G49" s="25" t="s">
        <v>7</v>
      </c>
      <c r="H49" s="29" t="str">
        <f>IF(C49="", "", IF(D49="", "",D49-D34))</f>
        <v/>
      </c>
      <c r="I49" s="29" t="str">
        <f>IF(D49="", "", IF(E49="", "",E49-E34))</f>
        <v/>
      </c>
    </row>
    <row r="50" spans="1:9" x14ac:dyDescent="0.25">
      <c r="A50" s="25"/>
      <c r="B50" s="25" t="s">
        <v>8</v>
      </c>
      <c r="C50" s="26"/>
      <c r="D50" s="27"/>
      <c r="E50" s="28">
        <f>E49+C50-D50</f>
        <v>0</v>
      </c>
      <c r="F50" s="25"/>
      <c r="G50" s="25" t="s">
        <v>8</v>
      </c>
      <c r="H50" s="29" t="str">
        <f>IF(C50="", "", IF(D50="", "",D50-D35))</f>
        <v/>
      </c>
      <c r="I50" s="29" t="str">
        <f>IF(D50="", "", IF(E50="", "",E50-E35))</f>
        <v/>
      </c>
    </row>
    <row r="51" spans="1:9" x14ac:dyDescent="0.25">
      <c r="A51" s="25"/>
      <c r="B51" s="25" t="s">
        <v>9</v>
      </c>
      <c r="C51" s="26"/>
      <c r="D51" s="27"/>
      <c r="E51" s="28">
        <f>E50+C51-D51</f>
        <v>0</v>
      </c>
      <c r="F51" s="25"/>
      <c r="G51" s="25" t="s">
        <v>9</v>
      </c>
      <c r="H51" s="29" t="str">
        <f>IF(C51="", "", IF(D51="", "",D51-D36))</f>
        <v/>
      </c>
      <c r="I51" s="29" t="str">
        <f>IF(D51="", "", IF(E51="", "",E51-E36))</f>
        <v/>
      </c>
    </row>
    <row r="52" spans="1:9" x14ac:dyDescent="0.25">
      <c r="A52" s="25"/>
      <c r="B52" s="25" t="s">
        <v>10</v>
      </c>
      <c r="C52" s="26"/>
      <c r="D52" s="27"/>
      <c r="E52" s="28">
        <f>E51+C52-D52</f>
        <v>0</v>
      </c>
      <c r="F52" s="25"/>
      <c r="G52" s="25" t="s">
        <v>10</v>
      </c>
      <c r="H52" s="29" t="str">
        <f>IF(C52="", "", IF(D52="", "",D52-D37))</f>
        <v/>
      </c>
      <c r="I52" s="29" t="str">
        <f>IF(D52="", "", IF(E52="", "",E52-E37))</f>
        <v/>
      </c>
    </row>
    <row r="53" spans="1:9" x14ac:dyDescent="0.25">
      <c r="A53" s="25"/>
      <c r="B53" s="25" t="s">
        <v>11</v>
      </c>
      <c r="C53" s="26"/>
      <c r="D53" s="27"/>
      <c r="E53" s="28">
        <f>E52+C53-D53</f>
        <v>0</v>
      </c>
      <c r="F53" s="25"/>
      <c r="G53" s="25" t="s">
        <v>11</v>
      </c>
      <c r="H53" s="29" t="str">
        <f>IF(C53="", "", IF(D53="", "",D53-D38))</f>
        <v/>
      </c>
      <c r="I53" s="29" t="str">
        <f>IF(D53="", "", IF(E53="", "",E53-E38))</f>
        <v/>
      </c>
    </row>
    <row r="54" spans="1:9" x14ac:dyDescent="0.25">
      <c r="A54" s="25"/>
      <c r="B54" s="25" t="s">
        <v>12</v>
      </c>
      <c r="C54" s="26"/>
      <c r="D54" s="27"/>
      <c r="E54" s="28">
        <f>E53+C54-D54</f>
        <v>0</v>
      </c>
      <c r="F54" s="25"/>
      <c r="G54" s="25" t="s">
        <v>12</v>
      </c>
      <c r="H54" s="29" t="str">
        <f>IF(C54="", "", IF(D54="", "",D54-D39))</f>
        <v/>
      </c>
      <c r="I54" s="29" t="str">
        <f>IF(D54="", "", IF(E54="", "",E54-E39))</f>
        <v/>
      </c>
    </row>
    <row r="55" spans="1:9" x14ac:dyDescent="0.25">
      <c r="A55" s="25"/>
      <c r="B55" s="25" t="s">
        <v>13</v>
      </c>
      <c r="C55" s="26">
        <v>514074</v>
      </c>
      <c r="D55" s="27">
        <v>514074</v>
      </c>
      <c r="E55" s="28">
        <f>E54+C55-D55</f>
        <v>0</v>
      </c>
      <c r="F55" s="25"/>
      <c r="G55" s="25" t="s">
        <v>13</v>
      </c>
      <c r="H55" s="29">
        <f>IF(C55="", "", IF(D55="", "",D55-D40))</f>
        <v>514074</v>
      </c>
      <c r="I55" s="29">
        <f>IF(D55="", "", IF(E55="", "",E55-E40))</f>
        <v>0</v>
      </c>
    </row>
    <row r="56" spans="1:9" x14ac:dyDescent="0.25">
      <c r="A56" s="25"/>
      <c r="B56" s="25" t="s">
        <v>14</v>
      </c>
      <c r="C56" s="26">
        <v>438269.45</v>
      </c>
      <c r="D56" s="27">
        <v>88981.979240999994</v>
      </c>
      <c r="E56" s="28">
        <f>E55+C56-D56</f>
        <v>349287.47075900005</v>
      </c>
      <c r="F56" s="25"/>
      <c r="G56" s="25" t="s">
        <v>14</v>
      </c>
      <c r="H56" s="29">
        <f>IF(C56="", "", IF(D56="", "",D56-D41))</f>
        <v>88981.979240999994</v>
      </c>
      <c r="I56" s="29">
        <f>IF(D56="", "", IF(E56="", "",E56-E41))</f>
        <v>349287.47075900005</v>
      </c>
    </row>
    <row r="57" spans="1:9" x14ac:dyDescent="0.25">
      <c r="A57" s="25"/>
      <c r="B57" s="25" t="s">
        <v>15</v>
      </c>
      <c r="C57" s="26">
        <v>448488.42</v>
      </c>
      <c r="D57" s="27">
        <v>371094.29699599999</v>
      </c>
      <c r="E57" s="28">
        <f>E56+C57-D57</f>
        <v>426681.5937630001</v>
      </c>
      <c r="F57" s="25"/>
      <c r="G57" s="25" t="s">
        <v>15</v>
      </c>
      <c r="H57" s="29">
        <f>IF(C57="", "", IF(D57="", "",D57-D42))</f>
        <v>371094.29699599999</v>
      </c>
      <c r="I57" s="29">
        <f>IF(D57="", "", IF(E57="", "",E57-E42))</f>
        <v>426681.5937630001</v>
      </c>
    </row>
    <row r="58" spans="1:9" x14ac:dyDescent="0.25">
      <c r="A58" s="25"/>
      <c r="B58" s="25" t="s">
        <v>16</v>
      </c>
      <c r="C58" s="26">
        <v>442490.92</v>
      </c>
      <c r="D58" s="27">
        <v>435493.59945500002</v>
      </c>
      <c r="E58" s="28">
        <f>E57+C58-D58</f>
        <v>433678.91430800001</v>
      </c>
      <c r="F58" s="25"/>
      <c r="G58" s="25" t="s">
        <v>16</v>
      </c>
      <c r="H58" s="29">
        <f>IF(C58="", "", IF(D58="", "",D58-D43))</f>
        <v>435493.59945500002</v>
      </c>
      <c r="I58" s="29">
        <f>IF(D58="", "", IF(E58="", "",E58-E43))</f>
        <v>433678.91430800001</v>
      </c>
    </row>
    <row r="59" spans="1:9" x14ac:dyDescent="0.25">
      <c r="A59" s="25"/>
      <c r="B59" s="25" t="s">
        <v>17</v>
      </c>
      <c r="C59" s="26">
        <v>449274.63</v>
      </c>
      <c r="D59" s="27">
        <v>459417.68524199998</v>
      </c>
      <c r="E59" s="28">
        <f>E58+C59-D59</f>
        <v>423535.85906600003</v>
      </c>
      <c r="F59" s="25"/>
      <c r="G59" s="25" t="s">
        <v>17</v>
      </c>
      <c r="H59" s="29">
        <f>IF(C59="", "", IF(D59="", "",D59-D44))</f>
        <v>459417.68524199998</v>
      </c>
      <c r="I59" s="29">
        <f>IF(D59="", "", IF(E59="", "",E59-E44))</f>
        <v>423535.85906600003</v>
      </c>
    </row>
    <row r="60" spans="1:9" x14ac:dyDescent="0.25">
      <c r="A60" s="30"/>
      <c r="B60" s="30" t="s">
        <v>18</v>
      </c>
      <c r="C60" s="31">
        <v>576972</v>
      </c>
      <c r="D60" s="32">
        <v>109728.41075700001</v>
      </c>
      <c r="E60" s="33">
        <f>E59+C60-D60</f>
        <v>890779.448309</v>
      </c>
      <c r="F60" s="30"/>
      <c r="G60" s="30" t="s">
        <v>18</v>
      </c>
      <c r="H60" s="34">
        <f>IF(C60="", "", IF(D60="", "",D60-D45))</f>
        <v>109728.41075700001</v>
      </c>
      <c r="I60" s="34">
        <f>IF(D60="", "", IF(E60="", "",E60-E45))</f>
        <v>890779.448309</v>
      </c>
    </row>
    <row r="61" spans="1:9" s="2" customFormat="1" x14ac:dyDescent="0.25">
      <c r="A61" s="35"/>
      <c r="B61" s="35" t="s">
        <v>19</v>
      </c>
      <c r="C61" s="36">
        <f>SUM(C49:C60)</f>
        <v>2869569.42</v>
      </c>
      <c r="D61" s="37">
        <f>SUM(D49:D60)</f>
        <v>1978789.9716910003</v>
      </c>
      <c r="E61" s="28"/>
      <c r="F61" s="35"/>
      <c r="G61" s="35"/>
      <c r="H61" s="28">
        <f>SUMIF(C49:C60,"&gt;=0",H49:H60)</f>
        <v>1978789.9716910003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478261.57</v>
      </c>
      <c r="D62" s="37">
        <f>AVERAGE(D49:D60)</f>
        <v>329798.32861516671</v>
      </c>
      <c r="E62" s="38">
        <f>C62/D62-1</f>
        <v>0.4501637167423953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890779.448309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93413.651329999993</v>
      </c>
      <c r="E64" s="14">
        <f>E63+C64-D64</f>
        <v>797365.79697899998</v>
      </c>
      <c r="F64" s="11"/>
      <c r="G64" s="11" t="s">
        <v>7</v>
      </c>
      <c r="H64" s="15">
        <f>IF(C64="", "", IF(D64="", "",D64-D49))</f>
        <v>93413.651329999993</v>
      </c>
      <c r="I64" s="15">
        <f>IF(D64="", "", IF(E64="", "",E64-E49))</f>
        <v>797365.79697899998</v>
      </c>
    </row>
    <row r="65" spans="1:9" x14ac:dyDescent="0.25">
      <c r="A65" s="11"/>
      <c r="B65" s="11" t="s">
        <v>8</v>
      </c>
      <c r="C65" s="12">
        <v>820405.08</v>
      </c>
      <c r="D65" s="13">
        <v>432963.09649899998</v>
      </c>
      <c r="E65" s="14">
        <f>E64+C65-D65</f>
        <v>1184807.78048</v>
      </c>
      <c r="F65" s="11"/>
      <c r="G65" s="11" t="s">
        <v>8</v>
      </c>
      <c r="H65" s="15">
        <f>IF(C65="", "", IF(D65="", "",D65-D50))</f>
        <v>432963.09649899998</v>
      </c>
      <c r="I65" s="15">
        <f>IF(D65="", "", IF(E65="", "",E65-E50))</f>
        <v>1184807.78048</v>
      </c>
    </row>
    <row r="66" spans="1:9" x14ac:dyDescent="0.25">
      <c r="A66" s="11"/>
      <c r="B66" s="11" t="s">
        <v>9</v>
      </c>
      <c r="C66" s="12">
        <v>0</v>
      </c>
      <c r="D66" s="13">
        <v>428659.03757300001</v>
      </c>
      <c r="E66" s="14">
        <f>E65+C66-D66</f>
        <v>756148.74290700001</v>
      </c>
      <c r="F66" s="11"/>
      <c r="G66" s="11" t="s">
        <v>9</v>
      </c>
      <c r="H66" s="15">
        <f>IF(C66="", "", IF(D66="", "",D66-D51))</f>
        <v>428659.03757300001</v>
      </c>
      <c r="I66" s="15">
        <f>IF(D66="", "", IF(E66="", "",E66-E51))</f>
        <v>756148.74290700001</v>
      </c>
    </row>
    <row r="67" spans="1:9" x14ac:dyDescent="0.25">
      <c r="A67" s="11"/>
      <c r="B67" s="11" t="s">
        <v>10</v>
      </c>
      <c r="C67" s="12">
        <v>807921.42</v>
      </c>
      <c r="D67" s="13">
        <v>142805.241373</v>
      </c>
      <c r="E67" s="14">
        <f>E66+C67-D67</f>
        <v>1421264.9215340002</v>
      </c>
      <c r="F67" s="11"/>
      <c r="G67" s="11" t="s">
        <v>10</v>
      </c>
      <c r="H67" s="15">
        <f>IF(C67="", "", IF(D67="", "",D67-D52))</f>
        <v>142805.241373</v>
      </c>
      <c r="I67" s="15">
        <f>IF(D67="", "", IF(E67="", "",E67-E52))</f>
        <v>1421264.9215340002</v>
      </c>
    </row>
    <row r="68" spans="1:9" x14ac:dyDescent="0.25">
      <c r="A68" s="11"/>
      <c r="B68" s="11" t="s">
        <v>11</v>
      </c>
      <c r="C68" s="12">
        <v>0</v>
      </c>
      <c r="D68" s="13">
        <v>116652.56714100001</v>
      </c>
      <c r="E68" s="14">
        <f>E67+C68-D68</f>
        <v>1304612.3543930002</v>
      </c>
      <c r="F68" s="11"/>
      <c r="G68" s="11" t="s">
        <v>11</v>
      </c>
      <c r="H68" s="15">
        <f>IF(C68="", "", IF(D68="", "",D68-D53))</f>
        <v>116652.56714100001</v>
      </c>
      <c r="I68" s="15">
        <f>IF(D68="", "", IF(E68="", "",E68-E53))</f>
        <v>1304612.3543930002</v>
      </c>
    </row>
    <row r="69" spans="1:9" x14ac:dyDescent="0.25">
      <c r="A69" s="11"/>
      <c r="B69" s="11" t="s">
        <v>12</v>
      </c>
      <c r="C69" s="12">
        <v>0</v>
      </c>
      <c r="D69" s="13">
        <v>202654.141711</v>
      </c>
      <c r="E69" s="14">
        <f>E68+C69-D69</f>
        <v>1101958.2126820004</v>
      </c>
      <c r="F69" s="11"/>
      <c r="G69" s="11" t="s">
        <v>12</v>
      </c>
      <c r="H69" s="15">
        <f>IF(C69="", "", IF(D69="", "",D69-D54))</f>
        <v>202654.141711</v>
      </c>
      <c r="I69" s="15">
        <f>IF(D69="", "", IF(E69="", "",E69-E54))</f>
        <v>1101958.2126820004</v>
      </c>
    </row>
    <row r="70" spans="1:9" x14ac:dyDescent="0.25">
      <c r="A70" s="11"/>
      <c r="B70" s="11" t="s">
        <v>13</v>
      </c>
      <c r="C70" s="12">
        <v>0</v>
      </c>
      <c r="D70" s="13">
        <v>559466.14150100003</v>
      </c>
      <c r="E70" s="14">
        <f>E69+C70-D70</f>
        <v>542492.07118100033</v>
      </c>
      <c r="F70" s="11"/>
      <c r="G70" s="11" t="s">
        <v>13</v>
      </c>
      <c r="H70" s="15">
        <f>IF(C70="", "", IF(D70="", "",D70-D55))</f>
        <v>45392.141501000035</v>
      </c>
      <c r="I70" s="15">
        <f>IF(D70="", "", IF(E70="", "",E70-E55))</f>
        <v>542492.07118100033</v>
      </c>
    </row>
    <row r="71" spans="1:9" x14ac:dyDescent="0.25">
      <c r="A71" s="11"/>
      <c r="B71" s="11" t="s">
        <v>14</v>
      </c>
      <c r="C71" s="12">
        <v>288966.19</v>
      </c>
      <c r="D71" s="13">
        <v>208873.10386100001</v>
      </c>
      <c r="E71" s="14">
        <f>E70+C71-D71</f>
        <v>622585.15732000035</v>
      </c>
      <c r="F71" s="11"/>
      <c r="G71" s="11" t="s">
        <v>14</v>
      </c>
      <c r="H71" s="15">
        <f>IF(C71="", "", IF(D71="", "",D71-D56))</f>
        <v>119891.12462000002</v>
      </c>
      <c r="I71" s="15">
        <f>IF(D71="", "", IF(E71="", "",E71-E56))</f>
        <v>273297.6865610003</v>
      </c>
    </row>
    <row r="72" spans="1:9" x14ac:dyDescent="0.25">
      <c r="A72" s="11"/>
      <c r="B72" s="11" t="s">
        <v>15</v>
      </c>
      <c r="C72" s="12">
        <v>0</v>
      </c>
      <c r="D72" s="13">
        <v>448778.95894699998</v>
      </c>
      <c r="E72" s="14">
        <f>E71+C72-D72</f>
        <v>173806.19837300037</v>
      </c>
      <c r="F72" s="11"/>
      <c r="G72" s="11" t="s">
        <v>15</v>
      </c>
      <c r="H72" s="15">
        <f>IF(C72="", "", IF(D72="", "",D72-D57))</f>
        <v>77684.661950999987</v>
      </c>
      <c r="I72" s="15">
        <f>IF(D72="", "", IF(E72="", "",E72-E57))</f>
        <v>-252875.39538999973</v>
      </c>
    </row>
    <row r="73" spans="1:9" x14ac:dyDescent="0.25">
      <c r="A73" s="11"/>
      <c r="B73" s="11" t="s">
        <v>16</v>
      </c>
      <c r="C73" s="12">
        <v>277041.61</v>
      </c>
      <c r="D73" s="13">
        <v>22674.592520999999</v>
      </c>
      <c r="E73" s="14">
        <f>E72+C73-D73</f>
        <v>428173.21585200034</v>
      </c>
      <c r="F73" s="11"/>
      <c r="G73" s="11" t="s">
        <v>16</v>
      </c>
      <c r="H73" s="15">
        <f>IF(C73="", "", IF(D73="", "",D73-D58))</f>
        <v>-412819.006934</v>
      </c>
      <c r="I73" s="15">
        <f>IF(D73="", "", IF(E73="", "",E73-E58))</f>
        <v>-5505.6984559996636</v>
      </c>
    </row>
    <row r="74" spans="1:9" x14ac:dyDescent="0.25">
      <c r="A74" s="11"/>
      <c r="B74" s="11" t="s">
        <v>17</v>
      </c>
      <c r="C74" s="12">
        <v>0</v>
      </c>
      <c r="D74" s="13">
        <v>46785.192862999997</v>
      </c>
      <c r="E74" s="14">
        <f>E73+C74-D74</f>
        <v>381388.02298900037</v>
      </c>
      <c r="F74" s="11"/>
      <c r="G74" s="11" t="s">
        <v>17</v>
      </c>
      <c r="H74" s="15">
        <f>IF(C74="", "", IF(D74="", "",D74-D59))</f>
        <v>-412632.492379</v>
      </c>
      <c r="I74" s="15">
        <f>IF(D74="", "", IF(E74="", "",E74-E59))</f>
        <v>-42147.836076999665</v>
      </c>
    </row>
    <row r="75" spans="1:9" x14ac:dyDescent="0.25">
      <c r="A75" s="16"/>
      <c r="B75" s="16" t="s">
        <v>18</v>
      </c>
      <c r="C75" s="17">
        <v>259336.33</v>
      </c>
      <c r="D75" s="18">
        <v>257862.50420699999</v>
      </c>
      <c r="E75" s="19">
        <f>E74+C75-D75</f>
        <v>382861.84878200036</v>
      </c>
      <c r="F75" s="16"/>
      <c r="G75" s="16" t="s">
        <v>18</v>
      </c>
      <c r="H75" s="20">
        <f>IF(C75="", "", IF(D75="", "",D75-D60))</f>
        <v>148134.09344999999</v>
      </c>
      <c r="I75" s="20">
        <f>IF(D75="", "", IF(E75="", "",E75-E60))</f>
        <v>-507917.59952699963</v>
      </c>
    </row>
    <row r="76" spans="1:9" s="2" customFormat="1" x14ac:dyDescent="0.25">
      <c r="A76" s="21"/>
      <c r="B76" s="21" t="s">
        <v>19</v>
      </c>
      <c r="C76" s="22">
        <f>SUM(C64:C75)</f>
        <v>2453670.63</v>
      </c>
      <c r="D76" s="23">
        <f>SUM(D64:D75)</f>
        <v>2961588.2295270003</v>
      </c>
      <c r="E76" s="14"/>
      <c r="F76" s="21"/>
      <c r="G76" s="21"/>
      <c r="H76" s="14">
        <f>SUMIF(C64:C75,"&gt;=0",H64:H75)</f>
        <v>982798.25783599983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204472.55249999999</v>
      </c>
      <c r="D77" s="23">
        <f>AVERAGE(D64:D75)</f>
        <v>246799.01912725004</v>
      </c>
      <c r="E77" s="24">
        <f>C77/D77-1</f>
        <v>-0.17150176194754829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382861.84878200036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382861.84878200036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382861.84878200036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382861.84878200036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382861.84878200036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382861.84878200036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382861.84878200036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382861.84878200036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382861.84878200036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382861.84878200036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382861.84878200036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382861.84878200036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382861.84878200036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349A1-ED5D-4BC4-A456-1CAAF363D852}">
  <sheetPr codeName="Sheet28"/>
  <dimension ref="A2:I92"/>
  <sheetViews>
    <sheetView topLeftCell="A77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>
        <v>236790</v>
      </c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236790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236790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236790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236790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236790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236790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236790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236790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236790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236790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236790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236790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236790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236790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236790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236790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236790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236790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236790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236790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236790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236790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236790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236790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236790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236790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236790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236790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236790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/>
      <c r="D37" s="13"/>
      <c r="E37" s="14">
        <f>E36+C37-D37</f>
        <v>236790</v>
      </c>
      <c r="F37" s="11"/>
      <c r="G37" s="11" t="s">
        <v>10</v>
      </c>
      <c r="H37" s="15" t="str">
        <f>IF(C37="", "", IF(D37="", "",D37-D22))</f>
        <v/>
      </c>
      <c r="I37" s="15" t="str">
        <f>IF(D37="", "", IF(E37="", "",E37-E22))</f>
        <v/>
      </c>
    </row>
    <row r="38" spans="1:9" x14ac:dyDescent="0.25">
      <c r="A38" s="11"/>
      <c r="B38" s="11" t="s">
        <v>11</v>
      </c>
      <c r="C38" s="12"/>
      <c r="D38" s="13"/>
      <c r="E38" s="14">
        <f>E37+C38-D38</f>
        <v>236790</v>
      </c>
      <c r="F38" s="11"/>
      <c r="G38" s="11" t="s">
        <v>11</v>
      </c>
      <c r="H38" s="15" t="str">
        <f>IF(C38="", "", IF(D38="", "",D38-D23))</f>
        <v/>
      </c>
      <c r="I38" s="15" t="str">
        <f>IF(D38="", "", IF(E38="", "",E38-E23))</f>
        <v/>
      </c>
    </row>
    <row r="39" spans="1:9" x14ac:dyDescent="0.25">
      <c r="A39" s="11"/>
      <c r="B39" s="11" t="s">
        <v>12</v>
      </c>
      <c r="C39" s="12"/>
      <c r="D39" s="13"/>
      <c r="E39" s="14">
        <f>E38+C39-D39</f>
        <v>236790</v>
      </c>
      <c r="F39" s="11"/>
      <c r="G39" s="11" t="s">
        <v>12</v>
      </c>
      <c r="H39" s="15" t="str">
        <f>IF(C39="", "", IF(D39="", "",D39-D24))</f>
        <v/>
      </c>
      <c r="I39" s="15" t="str">
        <f>IF(D39="", "", IF(E39="", "",E39-E24))</f>
        <v/>
      </c>
    </row>
    <row r="40" spans="1:9" x14ac:dyDescent="0.25">
      <c r="A40" s="11"/>
      <c r="B40" s="11" t="s">
        <v>13</v>
      </c>
      <c r="C40" s="12"/>
      <c r="D40" s="13"/>
      <c r="E40" s="14">
        <f>E39+C40-D40</f>
        <v>236790</v>
      </c>
      <c r="F40" s="11"/>
      <c r="G40" s="11" t="s">
        <v>13</v>
      </c>
      <c r="H40" s="15" t="str">
        <f>IF(C40="", "", IF(D40="", "",D40-D25))</f>
        <v/>
      </c>
      <c r="I40" s="15" t="str">
        <f>IF(D40="", "", IF(E40="", "",E40-E25))</f>
        <v/>
      </c>
    </row>
    <row r="41" spans="1:9" x14ac:dyDescent="0.25">
      <c r="A41" s="11"/>
      <c r="B41" s="11" t="s">
        <v>14</v>
      </c>
      <c r="C41" s="12"/>
      <c r="D41" s="13"/>
      <c r="E41" s="14">
        <f>E40+C41-D41</f>
        <v>236790</v>
      </c>
      <c r="F41" s="11"/>
      <c r="G41" s="11" t="s">
        <v>14</v>
      </c>
      <c r="H41" s="15" t="str">
        <f>IF(C41="", "", IF(D41="", "",D41-D26))</f>
        <v/>
      </c>
      <c r="I41" s="15" t="str">
        <f>IF(D41="", "", IF(E41="", "",E41-E26))</f>
        <v/>
      </c>
    </row>
    <row r="42" spans="1:9" x14ac:dyDescent="0.25">
      <c r="A42" s="11"/>
      <c r="B42" s="11" t="s">
        <v>15</v>
      </c>
      <c r="C42" s="12"/>
      <c r="D42" s="13"/>
      <c r="E42" s="14">
        <f>E41+C42-D42</f>
        <v>236790</v>
      </c>
      <c r="F42" s="11"/>
      <c r="G42" s="11" t="s">
        <v>15</v>
      </c>
      <c r="H42" s="15" t="str">
        <f>IF(C42="", "", IF(D42="", "",D42-D27))</f>
        <v/>
      </c>
      <c r="I42" s="15" t="str">
        <f>IF(D42="", "", IF(E42="", "",E42-E27))</f>
        <v/>
      </c>
    </row>
    <row r="43" spans="1:9" x14ac:dyDescent="0.25">
      <c r="A43" s="11"/>
      <c r="B43" s="11" t="s">
        <v>16</v>
      </c>
      <c r="C43" s="12"/>
      <c r="D43" s="13"/>
      <c r="E43" s="14">
        <f>E42+C43-D43</f>
        <v>236790</v>
      </c>
      <c r="F43" s="11"/>
      <c r="G43" s="11" t="s">
        <v>16</v>
      </c>
      <c r="H43" s="15" t="str">
        <f>IF(C43="", "", IF(D43="", "",D43-D28))</f>
        <v/>
      </c>
      <c r="I43" s="15" t="str">
        <f>IF(D43="", "", IF(E43="", "",E43-E28))</f>
        <v/>
      </c>
    </row>
    <row r="44" spans="1:9" x14ac:dyDescent="0.25">
      <c r="A44" s="11"/>
      <c r="B44" s="11" t="s">
        <v>17</v>
      </c>
      <c r="C44" s="12"/>
      <c r="D44" s="13"/>
      <c r="E44" s="14">
        <f>E43+C44-D44</f>
        <v>236790</v>
      </c>
      <c r="F44" s="11"/>
      <c r="G44" s="11" t="s">
        <v>17</v>
      </c>
      <c r="H44" s="15" t="str">
        <f>IF(C44="", "", IF(D44="", "",D44-D29))</f>
        <v/>
      </c>
      <c r="I44" s="15" t="str">
        <f>IF(D44="", "", IF(E44="", "",E44-E29))</f>
        <v/>
      </c>
    </row>
    <row r="45" spans="1:9" x14ac:dyDescent="0.25">
      <c r="A45" s="16"/>
      <c r="B45" s="16" t="s">
        <v>18</v>
      </c>
      <c r="C45" s="17"/>
      <c r="D45" s="18"/>
      <c r="E45" s="19">
        <f>E44+C45-D45</f>
        <v>236790</v>
      </c>
      <c r="F45" s="16"/>
      <c r="G45" s="16" t="s">
        <v>18</v>
      </c>
      <c r="H45" s="20" t="str">
        <f>IF(C45="", "", IF(D45="", "",D45-D30))</f>
        <v/>
      </c>
      <c r="I45" s="20" t="str">
        <f>IF(D45="", "", IF(E45="", "",E45-E30))</f>
        <v/>
      </c>
    </row>
    <row r="46" spans="1:9" s="2" customFormat="1" x14ac:dyDescent="0.25">
      <c r="A46" s="21"/>
      <c r="B46" s="21" t="s">
        <v>19</v>
      </c>
      <c r="C46" s="22">
        <f>SUM(C34:C45)</f>
        <v>0</v>
      </c>
      <c r="D46" s="23">
        <f>SUM(D34:D45)</f>
        <v>0</v>
      </c>
      <c r="E46" s="14"/>
      <c r="F46" s="21"/>
      <c r="G46" s="21"/>
      <c r="H46" s="14">
        <f>SUMIF(C34:C45,"&gt;=0",H34:H45)</f>
        <v>0</v>
      </c>
      <c r="I46" s="14"/>
    </row>
    <row r="47" spans="1:9" s="2" customFormat="1" x14ac:dyDescent="0.25">
      <c r="A47" s="21"/>
      <c r="B47" s="21" t="s">
        <v>20</v>
      </c>
      <c r="C47" s="22" t="e">
        <f>AVERAGE(C34:C45)</f>
        <v>#DIV/0!</v>
      </c>
      <c r="D47" s="23" t="e">
        <f>AVERAGE(D34:D45)</f>
        <v>#DIV/0!</v>
      </c>
      <c r="E47" s="24" t="e">
        <f>C47/D47-1</f>
        <v>#DIV/0!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236790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130912.04</v>
      </c>
      <c r="D49" s="27">
        <v>29078.150944000001</v>
      </c>
      <c r="E49" s="28">
        <f>E48+C49-D49</f>
        <v>338623.88905599999</v>
      </c>
      <c r="F49" s="25"/>
      <c r="G49" s="25" t="s">
        <v>7</v>
      </c>
      <c r="H49" s="29">
        <f>IF(C49="", "", IF(D49="", "",D49-D34))</f>
        <v>29078.150944000001</v>
      </c>
      <c r="I49" s="29">
        <f>IF(D49="", "", IF(E49="", "",E49-E34))</f>
        <v>101833.88905599999</v>
      </c>
    </row>
    <row r="50" spans="1:9" x14ac:dyDescent="0.25">
      <c r="A50" s="25"/>
      <c r="B50" s="25" t="s">
        <v>8</v>
      </c>
      <c r="C50" s="26">
        <v>344665.81</v>
      </c>
      <c r="D50" s="27">
        <v>157525.665041</v>
      </c>
      <c r="E50" s="28">
        <f>E49+C50-D50</f>
        <v>525764.03401499998</v>
      </c>
      <c r="F50" s="25"/>
      <c r="G50" s="25" t="s">
        <v>8</v>
      </c>
      <c r="H50" s="29">
        <f>IF(C50="", "", IF(D50="", "",D50-D35))</f>
        <v>157525.665041</v>
      </c>
      <c r="I50" s="29">
        <f>IF(D50="", "", IF(E50="", "",E50-E35))</f>
        <v>288974.03401499998</v>
      </c>
    </row>
    <row r="51" spans="1:9" x14ac:dyDescent="0.25">
      <c r="A51" s="25"/>
      <c r="B51" s="25" t="s">
        <v>9</v>
      </c>
      <c r="C51" s="26">
        <v>164893.84</v>
      </c>
      <c r="D51" s="27">
        <v>127321.03460699999</v>
      </c>
      <c r="E51" s="28">
        <f>E50+C51-D51</f>
        <v>563336.839408</v>
      </c>
      <c r="F51" s="25"/>
      <c r="G51" s="25" t="s">
        <v>9</v>
      </c>
      <c r="H51" s="29">
        <f>IF(C51="", "", IF(D51="", "",D51-D36))</f>
        <v>127321.03460699999</v>
      </c>
      <c r="I51" s="29">
        <f>IF(D51="", "", IF(E51="", "",E51-E36))</f>
        <v>326546.839408</v>
      </c>
    </row>
    <row r="52" spans="1:9" x14ac:dyDescent="0.25">
      <c r="A52" s="25"/>
      <c r="B52" s="25" t="s">
        <v>10</v>
      </c>
      <c r="C52" s="26">
        <v>347729.86</v>
      </c>
      <c r="D52" s="27">
        <v>174151.636612</v>
      </c>
      <c r="E52" s="28">
        <f>E51+C52-D52</f>
        <v>736915.06279599993</v>
      </c>
      <c r="F52" s="25"/>
      <c r="G52" s="25" t="s">
        <v>10</v>
      </c>
      <c r="H52" s="29">
        <f>IF(C52="", "", IF(D52="", "",D52-D37))</f>
        <v>174151.636612</v>
      </c>
      <c r="I52" s="29">
        <f>IF(D52="", "", IF(E52="", "",E52-E37))</f>
        <v>500125.06279599993</v>
      </c>
    </row>
    <row r="53" spans="1:9" x14ac:dyDescent="0.25">
      <c r="A53" s="25"/>
      <c r="B53" s="25" t="s">
        <v>11</v>
      </c>
      <c r="C53" s="26">
        <v>166000.99</v>
      </c>
      <c r="D53" s="27">
        <v>244451.31247</v>
      </c>
      <c r="E53" s="28">
        <f>E52+C53-D53</f>
        <v>658464.74032599991</v>
      </c>
      <c r="F53" s="25"/>
      <c r="G53" s="25" t="s">
        <v>11</v>
      </c>
      <c r="H53" s="29">
        <f>IF(C53="", "", IF(D53="", "",D53-D38))</f>
        <v>244451.31247</v>
      </c>
      <c r="I53" s="29">
        <f>IF(D53="", "", IF(E53="", "",E53-E38))</f>
        <v>421674.74032599991</v>
      </c>
    </row>
    <row r="54" spans="1:9" x14ac:dyDescent="0.25">
      <c r="A54" s="25"/>
      <c r="B54" s="25" t="s">
        <v>12</v>
      </c>
      <c r="C54" s="26">
        <v>218238.33</v>
      </c>
      <c r="D54" s="27">
        <v>166593.68257199999</v>
      </c>
      <c r="E54" s="28">
        <f>E53+C54-D54</f>
        <v>710109.38775399991</v>
      </c>
      <c r="F54" s="25"/>
      <c r="G54" s="25" t="s">
        <v>12</v>
      </c>
      <c r="H54" s="29">
        <f>IF(C54="", "", IF(D54="", "",D54-D39))</f>
        <v>166593.68257199999</v>
      </c>
      <c r="I54" s="29">
        <f>IF(D54="", "", IF(E54="", "",E54-E39))</f>
        <v>473319.38775399991</v>
      </c>
    </row>
    <row r="55" spans="1:9" x14ac:dyDescent="0.25">
      <c r="A55" s="25"/>
      <c r="B55" s="25" t="s">
        <v>13</v>
      </c>
      <c r="C55" s="26">
        <v>215833.44</v>
      </c>
      <c r="D55" s="27">
        <v>262433.54361599998</v>
      </c>
      <c r="E55" s="28">
        <f>E54+C55-D55</f>
        <v>663509.28413799999</v>
      </c>
      <c r="F55" s="25"/>
      <c r="G55" s="25" t="s">
        <v>13</v>
      </c>
      <c r="H55" s="29">
        <f>IF(C55="", "", IF(D55="", "",D55-D40))</f>
        <v>262433.54361599998</v>
      </c>
      <c r="I55" s="29">
        <f>IF(D55="", "", IF(E55="", "",E55-E40))</f>
        <v>426719.28413799999</v>
      </c>
    </row>
    <row r="56" spans="1:9" x14ac:dyDescent="0.25">
      <c r="A56" s="25"/>
      <c r="B56" s="25" t="s">
        <v>14</v>
      </c>
      <c r="C56" s="26">
        <v>208338.49</v>
      </c>
      <c r="D56" s="27">
        <v>319673.051912</v>
      </c>
      <c r="E56" s="28">
        <f>E55+C56-D56</f>
        <v>552174.72222599993</v>
      </c>
      <c r="F56" s="25"/>
      <c r="G56" s="25" t="s">
        <v>14</v>
      </c>
      <c r="H56" s="29">
        <f>IF(C56="", "", IF(D56="", "",D56-D41))</f>
        <v>319673.051912</v>
      </c>
      <c r="I56" s="29">
        <f>IF(D56="", "", IF(E56="", "",E56-E41))</f>
        <v>315384.72222599993</v>
      </c>
    </row>
    <row r="57" spans="1:9" x14ac:dyDescent="0.25">
      <c r="A57" s="25"/>
      <c r="B57" s="25" t="s">
        <v>15</v>
      </c>
      <c r="C57" s="26">
        <v>214985.56</v>
      </c>
      <c r="D57" s="27">
        <v>307986.82527799997</v>
      </c>
      <c r="E57" s="28">
        <f>E56+C57-D57</f>
        <v>459173.45694800001</v>
      </c>
      <c r="F57" s="25"/>
      <c r="G57" s="25" t="s">
        <v>15</v>
      </c>
      <c r="H57" s="29">
        <f>IF(C57="", "", IF(D57="", "",D57-D42))</f>
        <v>307986.82527799997</v>
      </c>
      <c r="I57" s="29">
        <f>IF(D57="", "", IF(E57="", "",E57-E42))</f>
        <v>222383.45694800001</v>
      </c>
    </row>
    <row r="58" spans="1:9" x14ac:dyDescent="0.25">
      <c r="A58" s="25"/>
      <c r="B58" s="25" t="s">
        <v>16</v>
      </c>
      <c r="C58" s="26">
        <v>347184.61</v>
      </c>
      <c r="D58" s="27">
        <v>270403.53736199997</v>
      </c>
      <c r="E58" s="28">
        <f>E57+C58-D58</f>
        <v>535954.52958600002</v>
      </c>
      <c r="F58" s="25"/>
      <c r="G58" s="25" t="s">
        <v>16</v>
      </c>
      <c r="H58" s="29">
        <f>IF(C58="", "", IF(D58="", "",D58-D43))</f>
        <v>270403.53736199997</v>
      </c>
      <c r="I58" s="29">
        <f>IF(D58="", "", IF(E58="", "",E58-E43))</f>
        <v>299164.52958600002</v>
      </c>
    </row>
    <row r="59" spans="1:9" x14ac:dyDescent="0.25">
      <c r="A59" s="25"/>
      <c r="B59" s="25" t="s">
        <v>17</v>
      </c>
      <c r="C59" s="26">
        <v>380907.7</v>
      </c>
      <c r="D59" s="27">
        <v>278090.19790600002</v>
      </c>
      <c r="E59" s="28">
        <f>E58+C59-D59</f>
        <v>638772.03168000001</v>
      </c>
      <c r="F59" s="25"/>
      <c r="G59" s="25" t="s">
        <v>17</v>
      </c>
      <c r="H59" s="29">
        <f>IF(C59="", "", IF(D59="", "",D59-D44))</f>
        <v>278090.19790600002</v>
      </c>
      <c r="I59" s="29">
        <f>IF(D59="", "", IF(E59="", "",E59-E44))</f>
        <v>401982.03168000001</v>
      </c>
    </row>
    <row r="60" spans="1:9" x14ac:dyDescent="0.25">
      <c r="A60" s="30"/>
      <c r="B60" s="30" t="s">
        <v>18</v>
      </c>
      <c r="C60" s="31">
        <v>0</v>
      </c>
      <c r="D60" s="32">
        <v>218147.274836</v>
      </c>
      <c r="E60" s="33">
        <f>E59+C60-D60</f>
        <v>420624.75684400002</v>
      </c>
      <c r="F60" s="30"/>
      <c r="G60" s="30" t="s">
        <v>18</v>
      </c>
      <c r="H60" s="34">
        <f>IF(C60="", "", IF(D60="", "",D60-D45))</f>
        <v>218147.274836</v>
      </c>
      <c r="I60" s="34">
        <f>IF(D60="", "", IF(E60="", "",E60-E45))</f>
        <v>183834.75684400002</v>
      </c>
    </row>
    <row r="61" spans="1:9" s="2" customFormat="1" x14ac:dyDescent="0.25">
      <c r="A61" s="35"/>
      <c r="B61" s="35" t="s">
        <v>19</v>
      </c>
      <c r="C61" s="36">
        <f>SUM(C49:C60)</f>
        <v>2739690.6700000004</v>
      </c>
      <c r="D61" s="37">
        <f>SUM(D49:D60)</f>
        <v>2555855.913156</v>
      </c>
      <c r="E61" s="28"/>
      <c r="F61" s="35"/>
      <c r="G61" s="35"/>
      <c r="H61" s="28">
        <f>SUMIF(C49:C60,"&gt;=0",H49:H60)</f>
        <v>2555855.913156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228307.55583333338</v>
      </c>
      <c r="D62" s="37">
        <f>AVERAGE(D49:D60)</f>
        <v>212987.99276299999</v>
      </c>
      <c r="E62" s="38">
        <f>C62/D62-1</f>
        <v>7.1926885978873312E-2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420624.75684400002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157024.69</v>
      </c>
      <c r="D64" s="13">
        <v>109304.615745</v>
      </c>
      <c r="E64" s="14">
        <f>E63+C64-D64</f>
        <v>468344.831099</v>
      </c>
      <c r="F64" s="11"/>
      <c r="G64" s="11" t="s">
        <v>7</v>
      </c>
      <c r="H64" s="15">
        <f>IF(C64="", "", IF(D64="", "",D64-D49))</f>
        <v>80226.464800999995</v>
      </c>
      <c r="I64" s="15">
        <f>IF(D64="", "", IF(E64="", "",E64-E49))</f>
        <v>129720.94204300002</v>
      </c>
    </row>
    <row r="65" spans="1:9" x14ac:dyDescent="0.25">
      <c r="A65" s="11"/>
      <c r="B65" s="11" t="s">
        <v>8</v>
      </c>
      <c r="C65" s="12">
        <v>156065.32999999999</v>
      </c>
      <c r="D65" s="13">
        <v>192224.87976099999</v>
      </c>
      <c r="E65" s="14">
        <f>E64+C65-D65</f>
        <v>432185.28133800003</v>
      </c>
      <c r="F65" s="11"/>
      <c r="G65" s="11" t="s">
        <v>8</v>
      </c>
      <c r="H65" s="15">
        <f>IF(C65="", "", IF(D65="", "",D65-D50))</f>
        <v>34699.214719999989</v>
      </c>
      <c r="I65" s="15">
        <f>IF(D65="", "", IF(E65="", "",E65-E50))</f>
        <v>-93578.752676999953</v>
      </c>
    </row>
    <row r="66" spans="1:9" x14ac:dyDescent="0.25">
      <c r="A66" s="11"/>
      <c r="B66" s="11" t="s">
        <v>9</v>
      </c>
      <c r="C66" s="12">
        <v>299228.09000000003</v>
      </c>
      <c r="D66" s="13">
        <v>234840.201565</v>
      </c>
      <c r="E66" s="14">
        <f>E65+C66-D66</f>
        <v>496573.16977300006</v>
      </c>
      <c r="F66" s="11"/>
      <c r="G66" s="11" t="s">
        <v>9</v>
      </c>
      <c r="H66" s="15">
        <f>IF(C66="", "", IF(D66="", "",D66-D51))</f>
        <v>107519.166958</v>
      </c>
      <c r="I66" s="15">
        <f>IF(D66="", "", IF(E66="", "",E66-E51))</f>
        <v>-66763.66963499994</v>
      </c>
    </row>
    <row r="67" spans="1:9" x14ac:dyDescent="0.25">
      <c r="A67" s="11"/>
      <c r="B67" s="11" t="s">
        <v>10</v>
      </c>
      <c r="C67" s="12">
        <v>163075.51</v>
      </c>
      <c r="D67" s="13">
        <v>299599.44547400001</v>
      </c>
      <c r="E67" s="14">
        <f>E66+C67-D67</f>
        <v>360049.23429900006</v>
      </c>
      <c r="F67" s="11"/>
      <c r="G67" s="11" t="s">
        <v>10</v>
      </c>
      <c r="H67" s="15">
        <f>IF(C67="", "", IF(D67="", "",D67-D52))</f>
        <v>125447.80886200001</v>
      </c>
      <c r="I67" s="15">
        <f>IF(D67="", "", IF(E67="", "",E67-E52))</f>
        <v>-376865.82849699986</v>
      </c>
    </row>
    <row r="68" spans="1:9" x14ac:dyDescent="0.25">
      <c r="A68" s="11"/>
      <c r="B68" s="11" t="s">
        <v>11</v>
      </c>
      <c r="C68" s="12">
        <v>497849.86</v>
      </c>
      <c r="D68" s="13">
        <v>271874.98008000001</v>
      </c>
      <c r="E68" s="14">
        <f>E67+C68-D68</f>
        <v>586024.11421899998</v>
      </c>
      <c r="F68" s="11"/>
      <c r="G68" s="11" t="s">
        <v>11</v>
      </c>
      <c r="H68" s="15">
        <f>IF(C68="", "", IF(D68="", "",D68-D53))</f>
        <v>27423.667610000004</v>
      </c>
      <c r="I68" s="15">
        <f>IF(D68="", "", IF(E68="", "",E68-E53))</f>
        <v>-72440.626106999931</v>
      </c>
    </row>
    <row r="69" spans="1:9" x14ac:dyDescent="0.25">
      <c r="A69" s="11"/>
      <c r="B69" s="11" t="s">
        <v>12</v>
      </c>
      <c r="C69" s="12">
        <v>316648.42</v>
      </c>
      <c r="D69" s="13">
        <v>443501.512628</v>
      </c>
      <c r="E69" s="14">
        <f>E68+C69-D69</f>
        <v>459171.02159100003</v>
      </c>
      <c r="F69" s="11"/>
      <c r="G69" s="11" t="s">
        <v>12</v>
      </c>
      <c r="H69" s="15">
        <f>IF(C69="", "", IF(D69="", "",D69-D54))</f>
        <v>276907.83005600004</v>
      </c>
      <c r="I69" s="15">
        <f>IF(D69="", "", IF(E69="", "",E69-E54))</f>
        <v>-250938.36616299988</v>
      </c>
    </row>
    <row r="70" spans="1:9" x14ac:dyDescent="0.25">
      <c r="A70" s="11"/>
      <c r="B70" s="11" t="s">
        <v>13</v>
      </c>
      <c r="C70" s="12">
        <v>351640.36</v>
      </c>
      <c r="D70" s="13">
        <v>392520.11839800002</v>
      </c>
      <c r="E70" s="14">
        <f>E69+C70-D70</f>
        <v>418291.26319299999</v>
      </c>
      <c r="F70" s="11"/>
      <c r="G70" s="11" t="s">
        <v>13</v>
      </c>
      <c r="H70" s="15">
        <f>IF(C70="", "", IF(D70="", "",D70-D55))</f>
        <v>130086.57478200004</v>
      </c>
      <c r="I70" s="15">
        <f>IF(D70="", "", IF(E70="", "",E70-E55))</f>
        <v>-245218.020945</v>
      </c>
    </row>
    <row r="71" spans="1:9" x14ac:dyDescent="0.25">
      <c r="A71" s="11"/>
      <c r="B71" s="11" t="s">
        <v>14</v>
      </c>
      <c r="C71" s="12">
        <v>317928.88</v>
      </c>
      <c r="D71" s="13">
        <v>281169.07825199998</v>
      </c>
      <c r="E71" s="14">
        <f>E70+C71-D71</f>
        <v>455051.06494100002</v>
      </c>
      <c r="F71" s="11"/>
      <c r="G71" s="11" t="s">
        <v>14</v>
      </c>
      <c r="H71" s="15">
        <f>IF(C71="", "", IF(D71="", "",D71-D56))</f>
        <v>-38503.973660000018</v>
      </c>
      <c r="I71" s="15">
        <f>IF(D71="", "", IF(E71="", "",E71-E56))</f>
        <v>-97123.657284999907</v>
      </c>
    </row>
    <row r="72" spans="1:9" x14ac:dyDescent="0.25">
      <c r="A72" s="11"/>
      <c r="B72" s="11" t="s">
        <v>15</v>
      </c>
      <c r="C72" s="12">
        <v>886350.25</v>
      </c>
      <c r="D72" s="13">
        <v>857516.71496699995</v>
      </c>
      <c r="E72" s="14">
        <f>E71+C72-D72</f>
        <v>483884.59997400001</v>
      </c>
      <c r="F72" s="11"/>
      <c r="G72" s="11" t="s">
        <v>15</v>
      </c>
      <c r="H72" s="15">
        <f>IF(C72="", "", IF(D72="", "",D72-D57))</f>
        <v>549529.88968899997</v>
      </c>
      <c r="I72" s="15">
        <f>IF(D72="", "", IF(E72="", "",E72-E57))</f>
        <v>24711.143026000005</v>
      </c>
    </row>
    <row r="73" spans="1:9" x14ac:dyDescent="0.25">
      <c r="A73" s="11"/>
      <c r="B73" s="11" t="s">
        <v>16</v>
      </c>
      <c r="C73" s="12">
        <v>530622.19999999995</v>
      </c>
      <c r="D73" s="13">
        <v>590930.31525099999</v>
      </c>
      <c r="E73" s="14">
        <f>E72+C73-D73</f>
        <v>423576.48472299997</v>
      </c>
      <c r="F73" s="11"/>
      <c r="G73" s="11" t="s">
        <v>16</v>
      </c>
      <c r="H73" s="15">
        <f>IF(C73="", "", IF(D73="", "",D73-D58))</f>
        <v>320526.77788900002</v>
      </c>
      <c r="I73" s="15">
        <f>IF(D73="", "", IF(E73="", "",E73-E58))</f>
        <v>-112378.04486300005</v>
      </c>
    </row>
    <row r="74" spans="1:9" x14ac:dyDescent="0.25">
      <c r="A74" s="11"/>
      <c r="B74" s="11" t="s">
        <v>17</v>
      </c>
      <c r="C74" s="12">
        <v>500472.28</v>
      </c>
      <c r="D74" s="13">
        <v>304434.42344500002</v>
      </c>
      <c r="E74" s="14">
        <f>E73+C74-D74</f>
        <v>619614.34127800004</v>
      </c>
      <c r="F74" s="11"/>
      <c r="G74" s="11" t="s">
        <v>17</v>
      </c>
      <c r="H74" s="15">
        <f>IF(C74="", "", IF(D74="", "",D74-D59))</f>
        <v>26344.225539000006</v>
      </c>
      <c r="I74" s="15">
        <f>IF(D74="", "", IF(E74="", "",E74-E59))</f>
        <v>-19157.690401999978</v>
      </c>
    </row>
    <row r="75" spans="1:9" x14ac:dyDescent="0.25">
      <c r="A75" s="16"/>
      <c r="B75" s="16" t="s">
        <v>18</v>
      </c>
      <c r="C75" s="17">
        <v>176895.55</v>
      </c>
      <c r="D75" s="18">
        <v>191025.619687</v>
      </c>
      <c r="E75" s="19">
        <f>E74+C75-D75</f>
        <v>605484.27159100003</v>
      </c>
      <c r="F75" s="16"/>
      <c r="G75" s="16" t="s">
        <v>18</v>
      </c>
      <c r="H75" s="20">
        <f>IF(C75="", "", IF(D75="", "",D75-D60))</f>
        <v>-27121.655148999998</v>
      </c>
      <c r="I75" s="20">
        <f>IF(D75="", "", IF(E75="", "",E75-E60))</f>
        <v>184859.51474700001</v>
      </c>
    </row>
    <row r="76" spans="1:9" s="2" customFormat="1" x14ac:dyDescent="0.25">
      <c r="A76" s="21"/>
      <c r="B76" s="21" t="s">
        <v>19</v>
      </c>
      <c r="C76" s="22">
        <f>SUM(C64:C75)</f>
        <v>4353801.42</v>
      </c>
      <c r="D76" s="23">
        <f>SUM(D64:D75)</f>
        <v>4168941.9052529996</v>
      </c>
      <c r="E76" s="14"/>
      <c r="F76" s="21"/>
      <c r="G76" s="21"/>
      <c r="H76" s="14">
        <f>SUMIF(C64:C75,"&gt;=0",H64:H75)</f>
        <v>1613085.9920969999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362816.78499999997</v>
      </c>
      <c r="D77" s="23">
        <f>AVERAGE(D64:D75)</f>
        <v>347411.82543774997</v>
      </c>
      <c r="E77" s="24">
        <f>C77/D77-1</f>
        <v>4.4342070229875574E-2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605484.27159100003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605484.27159100003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605484.27159100003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605484.27159100003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605484.27159100003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605484.27159100003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605484.27159100003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605484.27159100003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605484.27159100003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605484.27159100003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605484.27159100003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605484.27159100003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605484.27159100003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Prod</vt:lpstr>
      <vt:lpstr>All</vt:lpstr>
      <vt:lpstr>Pivot</vt:lpstr>
      <vt:lpstr>ELMAX</vt:lpstr>
      <vt:lpstr>ICME</vt:lpstr>
      <vt:lpstr>GEWISS ROM</vt:lpstr>
      <vt:lpstr>SCHNEIDER </vt:lpstr>
      <vt:lpstr>EATON ELEC</vt:lpstr>
      <vt:lpstr>LEGRAND RO</vt:lpstr>
      <vt:lpstr>NOARK ELEC</vt:lpstr>
      <vt:lpstr>BTICINO SP</vt:lpstr>
      <vt:lpstr>SIGNIFY RO</vt:lpstr>
      <vt:lpstr>METALICO M</vt:lpstr>
      <vt:lpstr>DABLEROM S</vt:lpstr>
      <vt:lpstr>LEDVANCE D</vt:lpstr>
      <vt:lpstr>BETAK S.A.</vt:lpstr>
      <vt:lpstr>OBO BETTER</vt:lpstr>
      <vt:lpstr>KANLUX LIG</vt:lpstr>
      <vt:lpstr>WAGO KONTA</vt:lpstr>
      <vt:lpstr>ASSMANN EL</vt:lpstr>
      <vt:lpstr>ABB POWER </vt:lpstr>
      <vt:lpstr>COURBI ROM</vt:lpstr>
      <vt:lpstr>SPOT VISIO</vt:lpstr>
      <vt:lpstr>SCAME RO S</vt:lpstr>
      <vt:lpstr>LONGI (NET</vt:lpstr>
      <vt:lpstr>Cepas Galv</vt:lpstr>
      <vt:lpstr>DestRange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2021-11-20T17:30:30Z</dcterms:created>
  <dcterms:modified xsi:type="dcterms:W3CDTF">2024-01-18T14:56:18Z</dcterms:modified>
</cp:coreProperties>
</file>