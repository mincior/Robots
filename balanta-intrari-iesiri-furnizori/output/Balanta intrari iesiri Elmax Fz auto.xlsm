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04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nsolight_RPA\Robots\balanta-intrari-iesiri-furnizori\output\"/>
    </mc:Choice>
  </mc:AlternateContent>
  <xr:revisionPtr revIDLastSave="0" documentId="13_ncr:1_{968EE2E9-19E3-4F76-A8AF-5F613B5027C2}" xr6:coauthVersionLast="47" xr6:coauthVersionMax="47" xr10:uidLastSave="{00000000-0000-0000-0000-000000000000}"/>
  <bookViews>
    <workbookView xWindow="-28920" yWindow="-120" windowWidth="29040" windowHeight="15525" tabRatio="951" firstSheet="1" activeTab="1" xr2:uid="{F5C464D2-95F8-4F2F-A604-1AC12732C19B}"/>
  </bookViews>
  <sheets>
    <sheet name="Prod" sheetId="1" r:id="rId1"/>
    <sheet name="All" sheetId="26" r:id="rId2"/>
    <sheet name="Pivot" sheetId="25" r:id="rId3"/>
    <sheet name="METALICO M" sheetId="2" r:id="rId4"/>
    <sheet name="ZHEJIANG C" sheetId="3" r:id="rId5"/>
    <sheet name="GTV POLAND" sheetId="4" r:id="rId6"/>
    <sheet name="CONSOLIGHT" sheetId="5" r:id="rId7"/>
    <sheet name="EMOS SPOL " sheetId="6" r:id="rId8"/>
    <sheet name="NINGBO EXC" sheetId="7" r:id="rId9"/>
    <sheet name="Makel Elek" sheetId="8" r:id="rId10"/>
    <sheet name="BM SPA" sheetId="9" r:id="rId11"/>
    <sheet name="MONO Elekt" sheetId="10" r:id="rId12"/>
    <sheet name="WKK FIXATI" sheetId="11" r:id="rId13"/>
    <sheet name="Cepas Galv" sheetId="12" r:id="rId14"/>
    <sheet name="SHENZHEN S" sheetId="13" r:id="rId15"/>
    <sheet name="SUZHOU KIN" sheetId="14" r:id="rId16"/>
    <sheet name="DMY ELEKTR" sheetId="15" r:id="rId17"/>
    <sheet name="MUTLUSAN P" sheetId="16" r:id="rId18"/>
  </sheets>
  <definedNames>
    <definedName name="DestRange">All!$A$2:$G$1082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2" i="16" l="1"/>
  <c r="D92" i="16"/>
  <c r="C92" i="16"/>
  <c r="H91" i="16"/>
  <c r="D91" i="16"/>
  <c r="C91" i="16"/>
  <c r="I90" i="16"/>
  <c r="H90" i="16"/>
  <c r="I89" i="16"/>
  <c r="H89" i="16"/>
  <c r="I88" i="16"/>
  <c r="H88" i="16"/>
  <c r="I87" i="16"/>
  <c r="H87" i="16"/>
  <c r="I86" i="16"/>
  <c r="H86" i="16"/>
  <c r="I85" i="16"/>
  <c r="H85" i="16"/>
  <c r="I84" i="16"/>
  <c r="H84" i="16"/>
  <c r="I83" i="16"/>
  <c r="H83" i="16"/>
  <c r="I82" i="16"/>
  <c r="H82" i="16"/>
  <c r="I81" i="16"/>
  <c r="H81" i="16"/>
  <c r="I80" i="16"/>
  <c r="H80" i="16"/>
  <c r="I79" i="16"/>
  <c r="H79" i="16"/>
  <c r="D77" i="16"/>
  <c r="C77" i="16"/>
  <c r="D76" i="16"/>
  <c r="C76" i="16"/>
  <c r="H75" i="16"/>
  <c r="H74" i="16"/>
  <c r="H73" i="16"/>
  <c r="H72" i="16"/>
  <c r="E72" i="16"/>
  <c r="E73" i="16" s="1"/>
  <c r="E74" i="16" s="1"/>
  <c r="I71" i="16"/>
  <c r="H71" i="16"/>
  <c r="E71" i="16"/>
  <c r="I70" i="16"/>
  <c r="H70" i="16"/>
  <c r="E70" i="16"/>
  <c r="I69" i="16"/>
  <c r="H69" i="16"/>
  <c r="E69" i="16"/>
  <c r="I68" i="16"/>
  <c r="H68" i="16"/>
  <c r="E68" i="16"/>
  <c r="I67" i="16"/>
  <c r="H67" i="16"/>
  <c r="E67" i="16"/>
  <c r="I66" i="16"/>
  <c r="H66" i="16"/>
  <c r="E66" i="16"/>
  <c r="I65" i="16"/>
  <c r="H65" i="16"/>
  <c r="E65" i="16"/>
  <c r="I64" i="16"/>
  <c r="H64" i="16"/>
  <c r="E64" i="16"/>
  <c r="E63" i="16"/>
  <c r="E62" i="16"/>
  <c r="D62" i="16"/>
  <c r="C62" i="16"/>
  <c r="H61" i="16"/>
  <c r="D61" i="16"/>
  <c r="C61" i="16"/>
  <c r="I60" i="16"/>
  <c r="H60" i="16"/>
  <c r="E60" i="16"/>
  <c r="I59" i="16"/>
  <c r="H59" i="16"/>
  <c r="E59" i="16"/>
  <c r="I58" i="16"/>
  <c r="H58" i="16"/>
  <c r="E58" i="16"/>
  <c r="I57" i="16"/>
  <c r="H57" i="16"/>
  <c r="E57" i="16"/>
  <c r="I56" i="16"/>
  <c r="H56" i="16"/>
  <c r="E56" i="16"/>
  <c r="I55" i="16"/>
  <c r="H55" i="16"/>
  <c r="E55" i="16"/>
  <c r="I54" i="16"/>
  <c r="H54" i="16"/>
  <c r="E54" i="16"/>
  <c r="I53" i="16"/>
  <c r="H53" i="16"/>
  <c r="E53" i="16"/>
  <c r="I52" i="16"/>
  <c r="H52" i="16"/>
  <c r="E52" i="16"/>
  <c r="I51" i="16"/>
  <c r="H51" i="16"/>
  <c r="E51" i="16"/>
  <c r="I50" i="16"/>
  <c r="H50" i="16"/>
  <c r="E50" i="16"/>
  <c r="I49" i="16"/>
  <c r="H49" i="16"/>
  <c r="E49" i="16"/>
  <c r="E48" i="16"/>
  <c r="E47" i="16"/>
  <c r="D47" i="16"/>
  <c r="C47" i="16"/>
  <c r="H46" i="16"/>
  <c r="D46" i="16"/>
  <c r="C46" i="16"/>
  <c r="I45" i="16"/>
  <c r="H45" i="16"/>
  <c r="E45" i="16"/>
  <c r="I44" i="16"/>
  <c r="H44" i="16"/>
  <c r="E44" i="16"/>
  <c r="I43" i="16"/>
  <c r="H43" i="16"/>
  <c r="E43" i="16"/>
  <c r="I42" i="16"/>
  <c r="H42" i="16"/>
  <c r="E42" i="16"/>
  <c r="I41" i="16"/>
  <c r="H41" i="16"/>
  <c r="E41" i="16"/>
  <c r="I40" i="16"/>
  <c r="H40" i="16"/>
  <c r="E40" i="16"/>
  <c r="I39" i="16"/>
  <c r="H39" i="16"/>
  <c r="E39" i="16"/>
  <c r="I38" i="16"/>
  <c r="H38" i="16"/>
  <c r="E38" i="16"/>
  <c r="I37" i="16"/>
  <c r="H37" i="16"/>
  <c r="E37" i="16"/>
  <c r="I36" i="16"/>
  <c r="H36" i="16"/>
  <c r="E36" i="16"/>
  <c r="I35" i="16"/>
  <c r="H35" i="16"/>
  <c r="E35" i="16"/>
  <c r="I34" i="16"/>
  <c r="H34" i="16"/>
  <c r="E34" i="16"/>
  <c r="E33" i="16"/>
  <c r="E32" i="16"/>
  <c r="D32" i="16"/>
  <c r="C32" i="16"/>
  <c r="H31" i="16"/>
  <c r="D31" i="16"/>
  <c r="C31" i="16"/>
  <c r="I30" i="16"/>
  <c r="H30" i="16"/>
  <c r="E30" i="16"/>
  <c r="I29" i="16"/>
  <c r="H29" i="16"/>
  <c r="E29" i="16"/>
  <c r="I28" i="16"/>
  <c r="H28" i="16"/>
  <c r="E28" i="16"/>
  <c r="I27" i="16"/>
  <c r="H27" i="16"/>
  <c r="E27" i="16"/>
  <c r="I26" i="16"/>
  <c r="H26" i="16"/>
  <c r="E26" i="16"/>
  <c r="I25" i="16"/>
  <c r="H25" i="16"/>
  <c r="E25" i="16"/>
  <c r="I24" i="16"/>
  <c r="H24" i="16"/>
  <c r="E24" i="16"/>
  <c r="I23" i="16"/>
  <c r="H23" i="16"/>
  <c r="E23" i="16"/>
  <c r="I22" i="16"/>
  <c r="H22" i="16"/>
  <c r="E22" i="16"/>
  <c r="I21" i="16"/>
  <c r="H21" i="16"/>
  <c r="E21" i="16"/>
  <c r="I20" i="16"/>
  <c r="H20" i="16"/>
  <c r="E20" i="16"/>
  <c r="I19" i="16"/>
  <c r="H19" i="16"/>
  <c r="E19" i="16"/>
  <c r="E18" i="16"/>
  <c r="E17" i="16"/>
  <c r="D17" i="16"/>
  <c r="C17" i="16"/>
  <c r="D16" i="16"/>
  <c r="C16" i="16"/>
  <c r="E15" i="16"/>
  <c r="E14" i="16"/>
  <c r="E13" i="16"/>
  <c r="E12" i="16"/>
  <c r="E11" i="16"/>
  <c r="E10" i="16"/>
  <c r="E9" i="16"/>
  <c r="E8" i="16"/>
  <c r="E7" i="16"/>
  <c r="E6" i="16"/>
  <c r="E5" i="16"/>
  <c r="E4" i="16"/>
  <c r="E92" i="15"/>
  <c r="D92" i="15"/>
  <c r="C92" i="15"/>
  <c r="H91" i="15"/>
  <c r="D91" i="15"/>
  <c r="C91" i="15"/>
  <c r="I90" i="15"/>
  <c r="H90" i="15"/>
  <c r="I89" i="15"/>
  <c r="H89" i="15"/>
  <c r="I88" i="15"/>
  <c r="H88" i="15"/>
  <c r="I87" i="15"/>
  <c r="H87" i="15"/>
  <c r="I86" i="15"/>
  <c r="H86" i="15"/>
  <c r="I85" i="15"/>
  <c r="H85" i="15"/>
  <c r="I84" i="15"/>
  <c r="H84" i="15"/>
  <c r="I83" i="15"/>
  <c r="H83" i="15"/>
  <c r="I82" i="15"/>
  <c r="H82" i="15"/>
  <c r="I81" i="15"/>
  <c r="H81" i="15"/>
  <c r="I80" i="15"/>
  <c r="H80" i="15"/>
  <c r="I79" i="15"/>
  <c r="H79" i="15"/>
  <c r="D77" i="15"/>
  <c r="C77" i="15"/>
  <c r="D76" i="15"/>
  <c r="C76" i="15"/>
  <c r="H75" i="15"/>
  <c r="H74" i="15"/>
  <c r="H73" i="15"/>
  <c r="H72" i="15"/>
  <c r="E72" i="15"/>
  <c r="E73" i="15" s="1"/>
  <c r="E74" i="15" s="1"/>
  <c r="I71" i="15"/>
  <c r="H71" i="15"/>
  <c r="E71" i="15"/>
  <c r="I70" i="15"/>
  <c r="H70" i="15"/>
  <c r="E70" i="15"/>
  <c r="I69" i="15"/>
  <c r="H69" i="15"/>
  <c r="E69" i="15"/>
  <c r="I68" i="15"/>
  <c r="H68" i="15"/>
  <c r="E68" i="15"/>
  <c r="I67" i="15"/>
  <c r="H67" i="15"/>
  <c r="E67" i="15"/>
  <c r="I66" i="15"/>
  <c r="H66" i="15"/>
  <c r="E66" i="15"/>
  <c r="I65" i="15"/>
  <c r="H65" i="15"/>
  <c r="E65" i="15"/>
  <c r="I64" i="15"/>
  <c r="H64" i="15"/>
  <c r="E64" i="15"/>
  <c r="E63" i="15"/>
  <c r="E62" i="15"/>
  <c r="D62" i="15"/>
  <c r="C62" i="15"/>
  <c r="H61" i="15"/>
  <c r="D61" i="15"/>
  <c r="C61" i="15"/>
  <c r="I60" i="15"/>
  <c r="H60" i="15"/>
  <c r="E60" i="15"/>
  <c r="I59" i="15"/>
  <c r="H59" i="15"/>
  <c r="E59" i="15"/>
  <c r="I58" i="15"/>
  <c r="H58" i="15"/>
  <c r="E58" i="15"/>
  <c r="I57" i="15"/>
  <c r="H57" i="15"/>
  <c r="E57" i="15"/>
  <c r="I56" i="15"/>
  <c r="H56" i="15"/>
  <c r="E56" i="15"/>
  <c r="I55" i="15"/>
  <c r="H55" i="15"/>
  <c r="E55" i="15"/>
  <c r="I54" i="15"/>
  <c r="H54" i="15"/>
  <c r="E54" i="15"/>
  <c r="I53" i="15"/>
  <c r="H53" i="15"/>
  <c r="E53" i="15"/>
  <c r="I52" i="15"/>
  <c r="H52" i="15"/>
  <c r="E52" i="15"/>
  <c r="I51" i="15"/>
  <c r="H51" i="15"/>
  <c r="E51" i="15"/>
  <c r="I50" i="15"/>
  <c r="H50" i="15"/>
  <c r="E50" i="15"/>
  <c r="I49" i="15"/>
  <c r="H49" i="15"/>
  <c r="E49" i="15"/>
  <c r="E48" i="15"/>
  <c r="E47" i="15"/>
  <c r="D47" i="15"/>
  <c r="C47" i="15"/>
  <c r="H46" i="15"/>
  <c r="D46" i="15"/>
  <c r="C46" i="15"/>
  <c r="I45" i="15"/>
  <c r="H45" i="15"/>
  <c r="E45" i="15"/>
  <c r="I44" i="15"/>
  <c r="H44" i="15"/>
  <c r="E44" i="15"/>
  <c r="I43" i="15"/>
  <c r="H43" i="15"/>
  <c r="E43" i="15"/>
  <c r="I42" i="15"/>
  <c r="H42" i="15"/>
  <c r="E42" i="15"/>
  <c r="I41" i="15"/>
  <c r="H41" i="15"/>
  <c r="E41" i="15"/>
  <c r="I40" i="15"/>
  <c r="H40" i="15"/>
  <c r="E40" i="15"/>
  <c r="I39" i="15"/>
  <c r="H39" i="15"/>
  <c r="E39" i="15"/>
  <c r="I38" i="15"/>
  <c r="H38" i="15"/>
  <c r="E38" i="15"/>
  <c r="I37" i="15"/>
  <c r="H37" i="15"/>
  <c r="E37" i="15"/>
  <c r="I36" i="15"/>
  <c r="H36" i="15"/>
  <c r="E36" i="15"/>
  <c r="I35" i="15"/>
  <c r="H35" i="15"/>
  <c r="E35" i="15"/>
  <c r="I34" i="15"/>
  <c r="H34" i="15"/>
  <c r="E34" i="15"/>
  <c r="E33" i="15"/>
  <c r="E32" i="15"/>
  <c r="D32" i="15"/>
  <c r="C32" i="15"/>
  <c r="H31" i="15"/>
  <c r="D31" i="15"/>
  <c r="C31" i="15"/>
  <c r="I30" i="15"/>
  <c r="H30" i="15"/>
  <c r="E30" i="15"/>
  <c r="I29" i="15"/>
  <c r="H29" i="15"/>
  <c r="E29" i="15"/>
  <c r="I28" i="15"/>
  <c r="H28" i="15"/>
  <c r="E28" i="15"/>
  <c r="I27" i="15"/>
  <c r="H27" i="15"/>
  <c r="E27" i="15"/>
  <c r="I26" i="15"/>
  <c r="H26" i="15"/>
  <c r="E26" i="15"/>
  <c r="I25" i="15"/>
  <c r="H25" i="15"/>
  <c r="E25" i="15"/>
  <c r="I24" i="15"/>
  <c r="H24" i="15"/>
  <c r="E24" i="15"/>
  <c r="I23" i="15"/>
  <c r="H23" i="15"/>
  <c r="E23" i="15"/>
  <c r="I22" i="15"/>
  <c r="H22" i="15"/>
  <c r="E22" i="15"/>
  <c r="I21" i="15"/>
  <c r="H21" i="15"/>
  <c r="E21" i="15"/>
  <c r="I20" i="15"/>
  <c r="H20" i="15"/>
  <c r="E20" i="15"/>
  <c r="I19" i="15"/>
  <c r="H19" i="15"/>
  <c r="E19" i="15"/>
  <c r="E18" i="15"/>
  <c r="E17" i="15"/>
  <c r="D17" i="15"/>
  <c r="C17" i="15"/>
  <c r="D16" i="15"/>
  <c r="C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92" i="14"/>
  <c r="D92" i="14"/>
  <c r="C92" i="14"/>
  <c r="H91" i="14"/>
  <c r="D91" i="14"/>
  <c r="C91" i="14"/>
  <c r="I90" i="14"/>
  <c r="H90" i="14"/>
  <c r="I89" i="14"/>
  <c r="H89" i="14"/>
  <c r="I88" i="14"/>
  <c r="H88" i="14"/>
  <c r="I87" i="14"/>
  <c r="H87" i="14"/>
  <c r="I86" i="14"/>
  <c r="H86" i="14"/>
  <c r="I85" i="14"/>
  <c r="H85" i="14"/>
  <c r="I84" i="14"/>
  <c r="H84" i="14"/>
  <c r="I83" i="14"/>
  <c r="H83" i="14"/>
  <c r="I82" i="14"/>
  <c r="H82" i="14"/>
  <c r="I81" i="14"/>
  <c r="H81" i="14"/>
  <c r="I80" i="14"/>
  <c r="H80" i="14"/>
  <c r="I79" i="14"/>
  <c r="H79" i="14"/>
  <c r="D77" i="14"/>
  <c r="C77" i="14"/>
  <c r="D76" i="14"/>
  <c r="C76" i="14"/>
  <c r="H75" i="14"/>
  <c r="H74" i="14"/>
  <c r="H73" i="14"/>
  <c r="H72" i="14"/>
  <c r="E72" i="14"/>
  <c r="E73" i="14" s="1"/>
  <c r="E74" i="14" s="1"/>
  <c r="I71" i="14"/>
  <c r="H71" i="14"/>
  <c r="E71" i="14"/>
  <c r="I70" i="14"/>
  <c r="H70" i="14"/>
  <c r="E70" i="14"/>
  <c r="I69" i="14"/>
  <c r="H69" i="14"/>
  <c r="E69" i="14"/>
  <c r="I68" i="14"/>
  <c r="H68" i="14"/>
  <c r="E68" i="14"/>
  <c r="I67" i="14"/>
  <c r="H67" i="14"/>
  <c r="E67" i="14"/>
  <c r="I66" i="14"/>
  <c r="H66" i="14"/>
  <c r="E66" i="14"/>
  <c r="I65" i="14"/>
  <c r="H65" i="14"/>
  <c r="E65" i="14"/>
  <c r="I64" i="14"/>
  <c r="H64" i="14"/>
  <c r="E64" i="14"/>
  <c r="E63" i="14"/>
  <c r="E62" i="14"/>
  <c r="D62" i="14"/>
  <c r="C62" i="14"/>
  <c r="H61" i="14"/>
  <c r="D61" i="14"/>
  <c r="C61" i="14"/>
  <c r="I60" i="14"/>
  <c r="H60" i="14"/>
  <c r="E60" i="14"/>
  <c r="I59" i="14"/>
  <c r="H59" i="14"/>
  <c r="E59" i="14"/>
  <c r="I58" i="14"/>
  <c r="H58" i="14"/>
  <c r="E58" i="14"/>
  <c r="I57" i="14"/>
  <c r="H57" i="14"/>
  <c r="E57" i="14"/>
  <c r="I56" i="14"/>
  <c r="H56" i="14"/>
  <c r="E56" i="14"/>
  <c r="I55" i="14"/>
  <c r="H55" i="14"/>
  <c r="E55" i="14"/>
  <c r="I54" i="14"/>
  <c r="H54" i="14"/>
  <c r="E54" i="14"/>
  <c r="I53" i="14"/>
  <c r="H53" i="14"/>
  <c r="E53" i="14"/>
  <c r="I52" i="14"/>
  <c r="H52" i="14"/>
  <c r="E52" i="14"/>
  <c r="I51" i="14"/>
  <c r="H51" i="14"/>
  <c r="E51" i="14"/>
  <c r="I50" i="14"/>
  <c r="H50" i="14"/>
  <c r="E50" i="14"/>
  <c r="I49" i="14"/>
  <c r="H49" i="14"/>
  <c r="E49" i="14"/>
  <c r="E48" i="14"/>
  <c r="E47" i="14"/>
  <c r="D47" i="14"/>
  <c r="C47" i="14"/>
  <c r="H46" i="14"/>
  <c r="D46" i="14"/>
  <c r="C46" i="14"/>
  <c r="I45" i="14"/>
  <c r="H45" i="14"/>
  <c r="E45" i="14"/>
  <c r="I44" i="14"/>
  <c r="H44" i="14"/>
  <c r="E44" i="14"/>
  <c r="I43" i="14"/>
  <c r="H43" i="14"/>
  <c r="E43" i="14"/>
  <c r="I42" i="14"/>
  <c r="H42" i="14"/>
  <c r="E42" i="14"/>
  <c r="I41" i="14"/>
  <c r="H41" i="14"/>
  <c r="E41" i="14"/>
  <c r="I40" i="14"/>
  <c r="H40" i="14"/>
  <c r="E40" i="14"/>
  <c r="I39" i="14"/>
  <c r="H39" i="14"/>
  <c r="E39" i="14"/>
  <c r="I38" i="14"/>
  <c r="H38" i="14"/>
  <c r="E38" i="14"/>
  <c r="I37" i="14"/>
  <c r="H37" i="14"/>
  <c r="E37" i="14"/>
  <c r="I36" i="14"/>
  <c r="H36" i="14"/>
  <c r="E36" i="14"/>
  <c r="I35" i="14"/>
  <c r="H35" i="14"/>
  <c r="E35" i="14"/>
  <c r="I34" i="14"/>
  <c r="H34" i="14"/>
  <c r="E34" i="14"/>
  <c r="E33" i="14"/>
  <c r="E32" i="14"/>
  <c r="D32" i="14"/>
  <c r="C32" i="14"/>
  <c r="H31" i="14"/>
  <c r="D31" i="14"/>
  <c r="C31" i="14"/>
  <c r="I30" i="14"/>
  <c r="H30" i="14"/>
  <c r="E30" i="14"/>
  <c r="I29" i="14"/>
  <c r="H29" i="14"/>
  <c r="E29" i="14"/>
  <c r="I28" i="14"/>
  <c r="H28" i="14"/>
  <c r="E28" i="14"/>
  <c r="I27" i="14"/>
  <c r="H27" i="14"/>
  <c r="E27" i="14"/>
  <c r="I26" i="14"/>
  <c r="H26" i="14"/>
  <c r="E26" i="14"/>
  <c r="I25" i="14"/>
  <c r="H25" i="14"/>
  <c r="E25" i="14"/>
  <c r="I24" i="14"/>
  <c r="H24" i="14"/>
  <c r="E24" i="14"/>
  <c r="I23" i="14"/>
  <c r="H23" i="14"/>
  <c r="E23" i="14"/>
  <c r="I22" i="14"/>
  <c r="H22" i="14"/>
  <c r="E22" i="14"/>
  <c r="I21" i="14"/>
  <c r="H21" i="14"/>
  <c r="E21" i="14"/>
  <c r="I20" i="14"/>
  <c r="H20" i="14"/>
  <c r="E20" i="14"/>
  <c r="I19" i="14"/>
  <c r="H19" i="14"/>
  <c r="E19" i="14"/>
  <c r="E18" i="14"/>
  <c r="E17" i="14"/>
  <c r="D17" i="14"/>
  <c r="C17" i="14"/>
  <c r="D16" i="14"/>
  <c r="C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92" i="13"/>
  <c r="D92" i="13"/>
  <c r="C92" i="13"/>
  <c r="H91" i="13"/>
  <c r="D91" i="13"/>
  <c r="C91" i="13"/>
  <c r="I90" i="13"/>
  <c r="H90" i="13"/>
  <c r="I89" i="13"/>
  <c r="H89" i="13"/>
  <c r="I88" i="13"/>
  <c r="H88" i="13"/>
  <c r="I87" i="13"/>
  <c r="H87" i="13"/>
  <c r="I86" i="13"/>
  <c r="H86" i="13"/>
  <c r="I85" i="13"/>
  <c r="H85" i="13"/>
  <c r="I84" i="13"/>
  <c r="H84" i="13"/>
  <c r="I83" i="13"/>
  <c r="H83" i="13"/>
  <c r="I82" i="13"/>
  <c r="H82" i="13"/>
  <c r="I81" i="13"/>
  <c r="H81" i="13"/>
  <c r="I80" i="13"/>
  <c r="H80" i="13"/>
  <c r="I79" i="13"/>
  <c r="H79" i="13"/>
  <c r="D77" i="13"/>
  <c r="C77" i="13"/>
  <c r="D76" i="13"/>
  <c r="C76" i="13"/>
  <c r="H75" i="13"/>
  <c r="H74" i="13"/>
  <c r="H73" i="13"/>
  <c r="H72" i="13"/>
  <c r="E72" i="13"/>
  <c r="E73" i="13" s="1"/>
  <c r="E74" i="13" s="1"/>
  <c r="I71" i="13"/>
  <c r="H71" i="13"/>
  <c r="E71" i="13"/>
  <c r="I70" i="13"/>
  <c r="H70" i="13"/>
  <c r="E70" i="13"/>
  <c r="I69" i="13"/>
  <c r="H69" i="13"/>
  <c r="E69" i="13"/>
  <c r="I68" i="13"/>
  <c r="H68" i="13"/>
  <c r="E68" i="13"/>
  <c r="I67" i="13"/>
  <c r="H67" i="13"/>
  <c r="E67" i="13"/>
  <c r="I66" i="13"/>
  <c r="H66" i="13"/>
  <c r="E66" i="13"/>
  <c r="I65" i="13"/>
  <c r="H65" i="13"/>
  <c r="E65" i="13"/>
  <c r="I64" i="13"/>
  <c r="H64" i="13"/>
  <c r="E64" i="13"/>
  <c r="E63" i="13"/>
  <c r="E62" i="13"/>
  <c r="D62" i="13"/>
  <c r="C62" i="13"/>
  <c r="H61" i="13"/>
  <c r="D61" i="13"/>
  <c r="C61" i="13"/>
  <c r="I60" i="13"/>
  <c r="H60" i="13"/>
  <c r="E60" i="13"/>
  <c r="I59" i="13"/>
  <c r="H59" i="13"/>
  <c r="E59" i="13"/>
  <c r="I58" i="13"/>
  <c r="H58" i="13"/>
  <c r="E58" i="13"/>
  <c r="I57" i="13"/>
  <c r="H57" i="13"/>
  <c r="E57" i="13"/>
  <c r="I56" i="13"/>
  <c r="H56" i="13"/>
  <c r="E56" i="13"/>
  <c r="I55" i="13"/>
  <c r="H55" i="13"/>
  <c r="E55" i="13"/>
  <c r="I54" i="13"/>
  <c r="H54" i="13"/>
  <c r="E54" i="13"/>
  <c r="I53" i="13"/>
  <c r="H53" i="13"/>
  <c r="E53" i="13"/>
  <c r="I52" i="13"/>
  <c r="H52" i="13"/>
  <c r="E52" i="13"/>
  <c r="I51" i="13"/>
  <c r="H51" i="13"/>
  <c r="E51" i="13"/>
  <c r="I50" i="13"/>
  <c r="H50" i="13"/>
  <c r="E50" i="13"/>
  <c r="I49" i="13"/>
  <c r="H49" i="13"/>
  <c r="E49" i="13"/>
  <c r="E48" i="13"/>
  <c r="E47" i="13"/>
  <c r="D47" i="13"/>
  <c r="C47" i="13"/>
  <c r="H46" i="13"/>
  <c r="D46" i="13"/>
  <c r="C46" i="13"/>
  <c r="I45" i="13"/>
  <c r="H45" i="13"/>
  <c r="E45" i="13"/>
  <c r="I44" i="13"/>
  <c r="H44" i="13"/>
  <c r="E44" i="13"/>
  <c r="I43" i="13"/>
  <c r="H43" i="13"/>
  <c r="E43" i="13"/>
  <c r="I42" i="13"/>
  <c r="H42" i="13"/>
  <c r="E42" i="13"/>
  <c r="I41" i="13"/>
  <c r="H41" i="13"/>
  <c r="E41" i="13"/>
  <c r="I40" i="13"/>
  <c r="H40" i="13"/>
  <c r="E40" i="13"/>
  <c r="I39" i="13"/>
  <c r="H39" i="13"/>
  <c r="E39" i="13"/>
  <c r="I38" i="13"/>
  <c r="H38" i="13"/>
  <c r="E38" i="13"/>
  <c r="I37" i="13"/>
  <c r="H37" i="13"/>
  <c r="E37" i="13"/>
  <c r="I36" i="13"/>
  <c r="H36" i="13"/>
  <c r="E36" i="13"/>
  <c r="I35" i="13"/>
  <c r="H35" i="13"/>
  <c r="E35" i="13"/>
  <c r="I34" i="13"/>
  <c r="H34" i="13"/>
  <c r="E34" i="13"/>
  <c r="E33" i="13"/>
  <c r="E32" i="13"/>
  <c r="D32" i="13"/>
  <c r="C32" i="13"/>
  <c r="H31" i="13"/>
  <c r="D31" i="13"/>
  <c r="C31" i="13"/>
  <c r="I30" i="13"/>
  <c r="H30" i="13"/>
  <c r="E30" i="13"/>
  <c r="I29" i="13"/>
  <c r="H29" i="13"/>
  <c r="E29" i="13"/>
  <c r="I28" i="13"/>
  <c r="H28" i="13"/>
  <c r="E28" i="13"/>
  <c r="I27" i="13"/>
  <c r="H27" i="13"/>
  <c r="E27" i="13"/>
  <c r="I26" i="13"/>
  <c r="H26" i="13"/>
  <c r="E26" i="13"/>
  <c r="I25" i="13"/>
  <c r="H25" i="13"/>
  <c r="E25" i="13"/>
  <c r="I24" i="13"/>
  <c r="H24" i="13"/>
  <c r="E24" i="13"/>
  <c r="I23" i="13"/>
  <c r="H23" i="13"/>
  <c r="E23" i="13"/>
  <c r="I22" i="13"/>
  <c r="H22" i="13"/>
  <c r="E22" i="13"/>
  <c r="I21" i="13"/>
  <c r="H21" i="13"/>
  <c r="E21" i="13"/>
  <c r="I20" i="13"/>
  <c r="H20" i="13"/>
  <c r="E20" i="13"/>
  <c r="I19" i="13"/>
  <c r="H19" i="13"/>
  <c r="E19" i="13"/>
  <c r="E18" i="13"/>
  <c r="E17" i="13"/>
  <c r="D17" i="13"/>
  <c r="C17" i="13"/>
  <c r="D16" i="13"/>
  <c r="C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92" i="12"/>
  <c r="D92" i="12"/>
  <c r="C92" i="12"/>
  <c r="H91" i="12"/>
  <c r="D91" i="12"/>
  <c r="C91" i="12"/>
  <c r="I90" i="12"/>
  <c r="H90" i="12"/>
  <c r="I89" i="12"/>
  <c r="H89" i="12"/>
  <c r="I88" i="12"/>
  <c r="H88" i="12"/>
  <c r="I87" i="12"/>
  <c r="H87" i="12"/>
  <c r="I86" i="12"/>
  <c r="H86" i="12"/>
  <c r="I85" i="12"/>
  <c r="H85" i="12"/>
  <c r="I84" i="12"/>
  <c r="H84" i="12"/>
  <c r="I83" i="12"/>
  <c r="H83" i="12"/>
  <c r="I82" i="12"/>
  <c r="H82" i="12"/>
  <c r="I81" i="12"/>
  <c r="H81" i="12"/>
  <c r="I80" i="12"/>
  <c r="H80" i="12"/>
  <c r="I79" i="12"/>
  <c r="H79" i="12"/>
  <c r="D77" i="12"/>
  <c r="C77" i="12"/>
  <c r="D76" i="12"/>
  <c r="C76" i="12"/>
  <c r="H75" i="12"/>
  <c r="H74" i="12"/>
  <c r="H73" i="12"/>
  <c r="I72" i="12"/>
  <c r="H72" i="12"/>
  <c r="E72" i="12"/>
  <c r="E73" i="12" s="1"/>
  <c r="E74" i="12" s="1"/>
  <c r="I71" i="12"/>
  <c r="H71" i="12"/>
  <c r="E71" i="12"/>
  <c r="I70" i="12"/>
  <c r="H70" i="12"/>
  <c r="E70" i="12"/>
  <c r="I69" i="12"/>
  <c r="H69" i="12"/>
  <c r="E69" i="12"/>
  <c r="I68" i="12"/>
  <c r="H68" i="12"/>
  <c r="E68" i="12"/>
  <c r="I67" i="12"/>
  <c r="H67" i="12"/>
  <c r="E67" i="12"/>
  <c r="I66" i="12"/>
  <c r="H66" i="12"/>
  <c r="E66" i="12"/>
  <c r="I65" i="12"/>
  <c r="H65" i="12"/>
  <c r="E65" i="12"/>
  <c r="I64" i="12"/>
  <c r="H64" i="12"/>
  <c r="E64" i="12"/>
  <c r="E63" i="12"/>
  <c r="E62" i="12"/>
  <c r="D62" i="12"/>
  <c r="C62" i="12"/>
  <c r="H61" i="12"/>
  <c r="D61" i="12"/>
  <c r="C61" i="12"/>
  <c r="I60" i="12"/>
  <c r="H60" i="12"/>
  <c r="E60" i="12"/>
  <c r="I59" i="12"/>
  <c r="H59" i="12"/>
  <c r="E59" i="12"/>
  <c r="I58" i="12"/>
  <c r="H58" i="12"/>
  <c r="E58" i="12"/>
  <c r="I57" i="12"/>
  <c r="H57" i="12"/>
  <c r="E57" i="12"/>
  <c r="I56" i="12"/>
  <c r="H56" i="12"/>
  <c r="E56" i="12"/>
  <c r="I55" i="12"/>
  <c r="H55" i="12"/>
  <c r="E55" i="12"/>
  <c r="I54" i="12"/>
  <c r="H54" i="12"/>
  <c r="E54" i="12"/>
  <c r="I53" i="12"/>
  <c r="H53" i="12"/>
  <c r="E53" i="12"/>
  <c r="I52" i="12"/>
  <c r="H52" i="12"/>
  <c r="E52" i="12"/>
  <c r="I51" i="12"/>
  <c r="H51" i="12"/>
  <c r="E51" i="12"/>
  <c r="I50" i="12"/>
  <c r="H50" i="12"/>
  <c r="E50" i="12"/>
  <c r="I49" i="12"/>
  <c r="H49" i="12"/>
  <c r="E49" i="12"/>
  <c r="E48" i="12"/>
  <c r="E47" i="12"/>
  <c r="D47" i="12"/>
  <c r="C47" i="12"/>
  <c r="H46" i="12"/>
  <c r="D46" i="12"/>
  <c r="C46" i="12"/>
  <c r="I45" i="12"/>
  <c r="H45" i="12"/>
  <c r="E45" i="12"/>
  <c r="I44" i="12"/>
  <c r="H44" i="12"/>
  <c r="E44" i="12"/>
  <c r="I43" i="12"/>
  <c r="H43" i="12"/>
  <c r="E43" i="12"/>
  <c r="I42" i="12"/>
  <c r="H42" i="12"/>
  <c r="E42" i="12"/>
  <c r="I41" i="12"/>
  <c r="H41" i="12"/>
  <c r="E41" i="12"/>
  <c r="I40" i="12"/>
  <c r="H40" i="12"/>
  <c r="E40" i="12"/>
  <c r="I39" i="12"/>
  <c r="H39" i="12"/>
  <c r="E39" i="12"/>
  <c r="I38" i="12"/>
  <c r="H38" i="12"/>
  <c r="E38" i="12"/>
  <c r="I37" i="12"/>
  <c r="H37" i="12"/>
  <c r="E37" i="12"/>
  <c r="I36" i="12"/>
  <c r="H36" i="12"/>
  <c r="E36" i="12"/>
  <c r="I35" i="12"/>
  <c r="H35" i="12"/>
  <c r="E35" i="12"/>
  <c r="I34" i="12"/>
  <c r="H34" i="12"/>
  <c r="E34" i="12"/>
  <c r="E33" i="12"/>
  <c r="E32" i="12"/>
  <c r="D32" i="12"/>
  <c r="C32" i="12"/>
  <c r="H31" i="12"/>
  <c r="D31" i="12"/>
  <c r="C31" i="12"/>
  <c r="I30" i="12"/>
  <c r="H30" i="12"/>
  <c r="E30" i="12"/>
  <c r="I29" i="12"/>
  <c r="H29" i="12"/>
  <c r="E29" i="12"/>
  <c r="I28" i="12"/>
  <c r="H28" i="12"/>
  <c r="E28" i="12"/>
  <c r="I27" i="12"/>
  <c r="H27" i="12"/>
  <c r="E27" i="12"/>
  <c r="I26" i="12"/>
  <c r="H26" i="12"/>
  <c r="E26" i="12"/>
  <c r="I25" i="12"/>
  <c r="H25" i="12"/>
  <c r="E25" i="12"/>
  <c r="I24" i="12"/>
  <c r="H24" i="12"/>
  <c r="E24" i="12"/>
  <c r="I23" i="12"/>
  <c r="H23" i="12"/>
  <c r="E23" i="12"/>
  <c r="I22" i="12"/>
  <c r="H22" i="12"/>
  <c r="E22" i="12"/>
  <c r="I21" i="12"/>
  <c r="H21" i="12"/>
  <c r="E21" i="12"/>
  <c r="I20" i="12"/>
  <c r="H20" i="12"/>
  <c r="E20" i="12"/>
  <c r="I19" i="12"/>
  <c r="H19" i="12"/>
  <c r="E19" i="12"/>
  <c r="E18" i="12"/>
  <c r="E17" i="12"/>
  <c r="D17" i="12"/>
  <c r="C17" i="12"/>
  <c r="D16" i="12"/>
  <c r="C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92" i="11"/>
  <c r="D92" i="11"/>
  <c r="C92" i="11"/>
  <c r="H91" i="11"/>
  <c r="D91" i="11"/>
  <c r="C91" i="11"/>
  <c r="I90" i="11"/>
  <c r="H90" i="11"/>
  <c r="I89" i="11"/>
  <c r="H89" i="11"/>
  <c r="I88" i="11"/>
  <c r="H88" i="11"/>
  <c r="I87" i="11"/>
  <c r="H87" i="11"/>
  <c r="I86" i="11"/>
  <c r="H86" i="11"/>
  <c r="I85" i="11"/>
  <c r="H85" i="11"/>
  <c r="I84" i="11"/>
  <c r="H84" i="11"/>
  <c r="I83" i="11"/>
  <c r="H83" i="11"/>
  <c r="I82" i="11"/>
  <c r="H82" i="11"/>
  <c r="I81" i="11"/>
  <c r="H81" i="11"/>
  <c r="I80" i="11"/>
  <c r="H80" i="11"/>
  <c r="I79" i="11"/>
  <c r="H79" i="11"/>
  <c r="D77" i="11"/>
  <c r="C77" i="11"/>
  <c r="D76" i="11"/>
  <c r="C76" i="11"/>
  <c r="H75" i="11"/>
  <c r="H74" i="11"/>
  <c r="H73" i="11"/>
  <c r="H72" i="11"/>
  <c r="E72" i="11"/>
  <c r="E73" i="11" s="1"/>
  <c r="E74" i="11" s="1"/>
  <c r="I71" i="11"/>
  <c r="H71" i="11"/>
  <c r="E71" i="11"/>
  <c r="I70" i="11"/>
  <c r="H70" i="11"/>
  <c r="E70" i="11"/>
  <c r="I69" i="11"/>
  <c r="H69" i="11"/>
  <c r="E69" i="11"/>
  <c r="I68" i="11"/>
  <c r="H68" i="11"/>
  <c r="E68" i="11"/>
  <c r="I67" i="11"/>
  <c r="H67" i="11"/>
  <c r="E67" i="11"/>
  <c r="I66" i="11"/>
  <c r="H66" i="11"/>
  <c r="E66" i="11"/>
  <c r="I65" i="11"/>
  <c r="H65" i="11"/>
  <c r="E65" i="11"/>
  <c r="I64" i="11"/>
  <c r="H64" i="11"/>
  <c r="E64" i="11"/>
  <c r="E63" i="11"/>
  <c r="E62" i="11"/>
  <c r="D62" i="11"/>
  <c r="C62" i="11"/>
  <c r="H61" i="11"/>
  <c r="D61" i="11"/>
  <c r="C61" i="11"/>
  <c r="I60" i="11"/>
  <c r="H60" i="11"/>
  <c r="E60" i="11"/>
  <c r="I59" i="11"/>
  <c r="H59" i="11"/>
  <c r="E59" i="11"/>
  <c r="I58" i="11"/>
  <c r="H58" i="11"/>
  <c r="E58" i="11"/>
  <c r="I57" i="11"/>
  <c r="H57" i="11"/>
  <c r="E57" i="11"/>
  <c r="I56" i="11"/>
  <c r="H56" i="11"/>
  <c r="E56" i="11"/>
  <c r="I55" i="11"/>
  <c r="H55" i="11"/>
  <c r="E55" i="11"/>
  <c r="I54" i="11"/>
  <c r="H54" i="11"/>
  <c r="E54" i="11"/>
  <c r="I53" i="11"/>
  <c r="H53" i="11"/>
  <c r="E53" i="11"/>
  <c r="I52" i="11"/>
  <c r="H52" i="11"/>
  <c r="E52" i="11"/>
  <c r="I51" i="11"/>
  <c r="H51" i="11"/>
  <c r="E51" i="11"/>
  <c r="I50" i="11"/>
  <c r="H50" i="11"/>
  <c r="E50" i="11"/>
  <c r="I49" i="11"/>
  <c r="H49" i="11"/>
  <c r="E49" i="11"/>
  <c r="E48" i="11"/>
  <c r="E47" i="11"/>
  <c r="D47" i="11"/>
  <c r="C47" i="11"/>
  <c r="H46" i="11"/>
  <c r="D46" i="11"/>
  <c r="C46" i="11"/>
  <c r="I45" i="11"/>
  <c r="H45" i="11"/>
  <c r="E45" i="11"/>
  <c r="I44" i="11"/>
  <c r="H44" i="11"/>
  <c r="E44" i="11"/>
  <c r="I43" i="11"/>
  <c r="H43" i="11"/>
  <c r="E43" i="11"/>
  <c r="I42" i="11"/>
  <c r="H42" i="11"/>
  <c r="E42" i="11"/>
  <c r="I41" i="11"/>
  <c r="H41" i="11"/>
  <c r="E41" i="11"/>
  <c r="I40" i="11"/>
  <c r="H40" i="11"/>
  <c r="E40" i="11"/>
  <c r="I39" i="11"/>
  <c r="H39" i="11"/>
  <c r="E39" i="11"/>
  <c r="I38" i="11"/>
  <c r="H38" i="11"/>
  <c r="E38" i="11"/>
  <c r="I37" i="11"/>
  <c r="H37" i="11"/>
  <c r="E37" i="11"/>
  <c r="I36" i="11"/>
  <c r="H36" i="11"/>
  <c r="E36" i="11"/>
  <c r="I35" i="11"/>
  <c r="H35" i="11"/>
  <c r="E35" i="11"/>
  <c r="I34" i="11"/>
  <c r="H34" i="11"/>
  <c r="E34" i="11"/>
  <c r="E33" i="11"/>
  <c r="E32" i="11"/>
  <c r="D32" i="11"/>
  <c r="C32" i="11"/>
  <c r="H31" i="11"/>
  <c r="D31" i="11"/>
  <c r="C31" i="11"/>
  <c r="I30" i="11"/>
  <c r="H30" i="11"/>
  <c r="E30" i="11"/>
  <c r="I29" i="11"/>
  <c r="H29" i="11"/>
  <c r="E29" i="11"/>
  <c r="I28" i="11"/>
  <c r="H28" i="11"/>
  <c r="E28" i="11"/>
  <c r="I27" i="11"/>
  <c r="H27" i="11"/>
  <c r="E27" i="11"/>
  <c r="I26" i="11"/>
  <c r="H26" i="11"/>
  <c r="E26" i="11"/>
  <c r="I25" i="11"/>
  <c r="H25" i="11"/>
  <c r="E25" i="11"/>
  <c r="I24" i="11"/>
  <c r="H24" i="11"/>
  <c r="E24" i="11"/>
  <c r="I23" i="11"/>
  <c r="H23" i="11"/>
  <c r="E23" i="11"/>
  <c r="I22" i="11"/>
  <c r="H22" i="11"/>
  <c r="E22" i="11"/>
  <c r="I21" i="11"/>
  <c r="H21" i="11"/>
  <c r="E21" i="11"/>
  <c r="I20" i="11"/>
  <c r="H20" i="11"/>
  <c r="E20" i="11"/>
  <c r="I19" i="11"/>
  <c r="H19" i="11"/>
  <c r="E19" i="11"/>
  <c r="E18" i="11"/>
  <c r="E17" i="11"/>
  <c r="D17" i="11"/>
  <c r="C17" i="11"/>
  <c r="D16" i="11"/>
  <c r="C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92" i="10"/>
  <c r="D92" i="10"/>
  <c r="C92" i="10"/>
  <c r="H91" i="10"/>
  <c r="D91" i="10"/>
  <c r="C91" i="10"/>
  <c r="I90" i="10"/>
  <c r="H90" i="10"/>
  <c r="I89" i="10"/>
  <c r="H89" i="10"/>
  <c r="I88" i="10"/>
  <c r="H88" i="10"/>
  <c r="I87" i="10"/>
  <c r="H87" i="10"/>
  <c r="I86" i="10"/>
  <c r="H86" i="10"/>
  <c r="I85" i="10"/>
  <c r="H85" i="10"/>
  <c r="I84" i="10"/>
  <c r="H84" i="10"/>
  <c r="I83" i="10"/>
  <c r="H83" i="10"/>
  <c r="I82" i="10"/>
  <c r="H82" i="10"/>
  <c r="I81" i="10"/>
  <c r="H81" i="10"/>
  <c r="I80" i="10"/>
  <c r="H80" i="10"/>
  <c r="I79" i="10"/>
  <c r="H79" i="10"/>
  <c r="D77" i="10"/>
  <c r="C77" i="10"/>
  <c r="D76" i="10"/>
  <c r="C76" i="10"/>
  <c r="H75" i="10"/>
  <c r="H74" i="10"/>
  <c r="H73" i="10"/>
  <c r="H72" i="10"/>
  <c r="E72" i="10"/>
  <c r="E73" i="10" s="1"/>
  <c r="E74" i="10" s="1"/>
  <c r="I71" i="10"/>
  <c r="H71" i="10"/>
  <c r="E71" i="10"/>
  <c r="I70" i="10"/>
  <c r="H70" i="10"/>
  <c r="E70" i="10"/>
  <c r="I69" i="10"/>
  <c r="H69" i="10"/>
  <c r="E69" i="10"/>
  <c r="I68" i="10"/>
  <c r="H68" i="10"/>
  <c r="E68" i="10"/>
  <c r="I67" i="10"/>
  <c r="H67" i="10"/>
  <c r="E67" i="10"/>
  <c r="I66" i="10"/>
  <c r="H66" i="10"/>
  <c r="E66" i="10"/>
  <c r="I65" i="10"/>
  <c r="H65" i="10"/>
  <c r="E65" i="10"/>
  <c r="I64" i="10"/>
  <c r="H64" i="10"/>
  <c r="E64" i="10"/>
  <c r="E63" i="10"/>
  <c r="E62" i="10"/>
  <c r="D62" i="10"/>
  <c r="C62" i="10"/>
  <c r="H61" i="10"/>
  <c r="D61" i="10"/>
  <c r="C61" i="10"/>
  <c r="I60" i="10"/>
  <c r="H60" i="10"/>
  <c r="E60" i="10"/>
  <c r="I59" i="10"/>
  <c r="H59" i="10"/>
  <c r="E59" i="10"/>
  <c r="I58" i="10"/>
  <c r="H58" i="10"/>
  <c r="E58" i="10"/>
  <c r="I57" i="10"/>
  <c r="H57" i="10"/>
  <c r="E57" i="10"/>
  <c r="I56" i="10"/>
  <c r="H56" i="10"/>
  <c r="E56" i="10"/>
  <c r="I55" i="10"/>
  <c r="H55" i="10"/>
  <c r="E55" i="10"/>
  <c r="I54" i="10"/>
  <c r="H54" i="10"/>
  <c r="E54" i="10"/>
  <c r="I53" i="10"/>
  <c r="H53" i="10"/>
  <c r="E53" i="10"/>
  <c r="I52" i="10"/>
  <c r="H52" i="10"/>
  <c r="E52" i="10"/>
  <c r="I51" i="10"/>
  <c r="H51" i="10"/>
  <c r="E51" i="10"/>
  <c r="I50" i="10"/>
  <c r="H50" i="10"/>
  <c r="E50" i="10"/>
  <c r="I49" i="10"/>
  <c r="H49" i="10"/>
  <c r="E49" i="10"/>
  <c r="E48" i="10"/>
  <c r="E47" i="10"/>
  <c r="D47" i="10"/>
  <c r="C47" i="10"/>
  <c r="H46" i="10"/>
  <c r="D46" i="10"/>
  <c r="C46" i="10"/>
  <c r="I45" i="10"/>
  <c r="H45" i="10"/>
  <c r="E45" i="10"/>
  <c r="I44" i="10"/>
  <c r="H44" i="10"/>
  <c r="E44" i="10"/>
  <c r="I43" i="10"/>
  <c r="H43" i="10"/>
  <c r="E43" i="10"/>
  <c r="I42" i="10"/>
  <c r="H42" i="10"/>
  <c r="E42" i="10"/>
  <c r="I41" i="10"/>
  <c r="H41" i="10"/>
  <c r="E41" i="10"/>
  <c r="I40" i="10"/>
  <c r="H40" i="10"/>
  <c r="E40" i="10"/>
  <c r="I39" i="10"/>
  <c r="H39" i="10"/>
  <c r="E39" i="10"/>
  <c r="I38" i="10"/>
  <c r="H38" i="10"/>
  <c r="E38" i="10"/>
  <c r="I37" i="10"/>
  <c r="H37" i="10"/>
  <c r="E37" i="10"/>
  <c r="I36" i="10"/>
  <c r="H36" i="10"/>
  <c r="E36" i="10"/>
  <c r="I35" i="10"/>
  <c r="H35" i="10"/>
  <c r="E35" i="10"/>
  <c r="I34" i="10"/>
  <c r="H34" i="10"/>
  <c r="E34" i="10"/>
  <c r="E33" i="10"/>
  <c r="E32" i="10"/>
  <c r="D32" i="10"/>
  <c r="C32" i="10"/>
  <c r="H31" i="10"/>
  <c r="D31" i="10"/>
  <c r="C31" i="10"/>
  <c r="I30" i="10"/>
  <c r="H30" i="10"/>
  <c r="E30" i="10"/>
  <c r="I29" i="10"/>
  <c r="H29" i="10"/>
  <c r="E29" i="10"/>
  <c r="I28" i="10"/>
  <c r="H28" i="10"/>
  <c r="E28" i="10"/>
  <c r="I27" i="10"/>
  <c r="H27" i="10"/>
  <c r="E27" i="10"/>
  <c r="I26" i="10"/>
  <c r="H26" i="10"/>
  <c r="E26" i="10"/>
  <c r="I25" i="10"/>
  <c r="H25" i="10"/>
  <c r="E25" i="10"/>
  <c r="I24" i="10"/>
  <c r="H24" i="10"/>
  <c r="E24" i="10"/>
  <c r="I23" i="10"/>
  <c r="H23" i="10"/>
  <c r="E23" i="10"/>
  <c r="I22" i="10"/>
  <c r="H22" i="10"/>
  <c r="E22" i="10"/>
  <c r="I21" i="10"/>
  <c r="H21" i="10"/>
  <c r="E21" i="10"/>
  <c r="I20" i="10"/>
  <c r="H20" i="10"/>
  <c r="E20" i="10"/>
  <c r="I19" i="10"/>
  <c r="H19" i="10"/>
  <c r="E19" i="10"/>
  <c r="E18" i="10"/>
  <c r="E17" i="10"/>
  <c r="D17" i="10"/>
  <c r="C17" i="10"/>
  <c r="D16" i="10"/>
  <c r="C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92" i="9"/>
  <c r="D92" i="9"/>
  <c r="C92" i="9"/>
  <c r="H91" i="9"/>
  <c r="D91" i="9"/>
  <c r="C91" i="9"/>
  <c r="I90" i="9"/>
  <c r="H90" i="9"/>
  <c r="I89" i="9"/>
  <c r="H89" i="9"/>
  <c r="I88" i="9"/>
  <c r="H88" i="9"/>
  <c r="I87" i="9"/>
  <c r="H87" i="9"/>
  <c r="I86" i="9"/>
  <c r="H86" i="9"/>
  <c r="I85" i="9"/>
  <c r="H85" i="9"/>
  <c r="I84" i="9"/>
  <c r="H84" i="9"/>
  <c r="I83" i="9"/>
  <c r="H83" i="9"/>
  <c r="I82" i="9"/>
  <c r="H82" i="9"/>
  <c r="I81" i="9"/>
  <c r="H81" i="9"/>
  <c r="I80" i="9"/>
  <c r="H80" i="9"/>
  <c r="I79" i="9"/>
  <c r="H79" i="9"/>
  <c r="D77" i="9"/>
  <c r="C77" i="9"/>
  <c r="D76" i="9"/>
  <c r="C76" i="9"/>
  <c r="H75" i="9"/>
  <c r="H74" i="9"/>
  <c r="H73" i="9"/>
  <c r="I72" i="9"/>
  <c r="H72" i="9"/>
  <c r="E72" i="9"/>
  <c r="E73" i="9" s="1"/>
  <c r="E74" i="9" s="1"/>
  <c r="I71" i="9"/>
  <c r="H71" i="9"/>
  <c r="E71" i="9"/>
  <c r="I70" i="9"/>
  <c r="H70" i="9"/>
  <c r="E70" i="9"/>
  <c r="I69" i="9"/>
  <c r="H69" i="9"/>
  <c r="E69" i="9"/>
  <c r="I68" i="9"/>
  <c r="H68" i="9"/>
  <c r="E68" i="9"/>
  <c r="I67" i="9"/>
  <c r="H67" i="9"/>
  <c r="E67" i="9"/>
  <c r="I66" i="9"/>
  <c r="H66" i="9"/>
  <c r="E66" i="9"/>
  <c r="I65" i="9"/>
  <c r="H65" i="9"/>
  <c r="E65" i="9"/>
  <c r="I64" i="9"/>
  <c r="H64" i="9"/>
  <c r="E64" i="9"/>
  <c r="E63" i="9"/>
  <c r="E62" i="9"/>
  <c r="D62" i="9"/>
  <c r="C62" i="9"/>
  <c r="H61" i="9"/>
  <c r="D61" i="9"/>
  <c r="C61" i="9"/>
  <c r="I60" i="9"/>
  <c r="H60" i="9"/>
  <c r="E60" i="9"/>
  <c r="I59" i="9"/>
  <c r="H59" i="9"/>
  <c r="E59" i="9"/>
  <c r="I58" i="9"/>
  <c r="H58" i="9"/>
  <c r="E58" i="9"/>
  <c r="I57" i="9"/>
  <c r="H57" i="9"/>
  <c r="E57" i="9"/>
  <c r="I56" i="9"/>
  <c r="H56" i="9"/>
  <c r="E56" i="9"/>
  <c r="I55" i="9"/>
  <c r="H55" i="9"/>
  <c r="E55" i="9"/>
  <c r="I54" i="9"/>
  <c r="H54" i="9"/>
  <c r="E54" i="9"/>
  <c r="I53" i="9"/>
  <c r="H53" i="9"/>
  <c r="E53" i="9"/>
  <c r="I52" i="9"/>
  <c r="H52" i="9"/>
  <c r="E52" i="9"/>
  <c r="I51" i="9"/>
  <c r="H51" i="9"/>
  <c r="E51" i="9"/>
  <c r="I50" i="9"/>
  <c r="H50" i="9"/>
  <c r="E50" i="9"/>
  <c r="I49" i="9"/>
  <c r="H49" i="9"/>
  <c r="E49" i="9"/>
  <c r="E48" i="9"/>
  <c r="E47" i="9"/>
  <c r="D47" i="9"/>
  <c r="C47" i="9"/>
  <c r="H46" i="9"/>
  <c r="D46" i="9"/>
  <c r="C46" i="9"/>
  <c r="I45" i="9"/>
  <c r="H45" i="9"/>
  <c r="E45" i="9"/>
  <c r="I44" i="9"/>
  <c r="H44" i="9"/>
  <c r="E44" i="9"/>
  <c r="I43" i="9"/>
  <c r="H43" i="9"/>
  <c r="E43" i="9"/>
  <c r="I42" i="9"/>
  <c r="H42" i="9"/>
  <c r="E42" i="9"/>
  <c r="I41" i="9"/>
  <c r="H41" i="9"/>
  <c r="E41" i="9"/>
  <c r="I40" i="9"/>
  <c r="H40" i="9"/>
  <c r="E40" i="9"/>
  <c r="I39" i="9"/>
  <c r="H39" i="9"/>
  <c r="E39" i="9"/>
  <c r="I38" i="9"/>
  <c r="H38" i="9"/>
  <c r="E38" i="9"/>
  <c r="I37" i="9"/>
  <c r="H37" i="9"/>
  <c r="E37" i="9"/>
  <c r="I36" i="9"/>
  <c r="H36" i="9"/>
  <c r="E36" i="9"/>
  <c r="I35" i="9"/>
  <c r="H35" i="9"/>
  <c r="E35" i="9"/>
  <c r="I34" i="9"/>
  <c r="H34" i="9"/>
  <c r="E34" i="9"/>
  <c r="E33" i="9"/>
  <c r="E32" i="9"/>
  <c r="D32" i="9"/>
  <c r="C32" i="9"/>
  <c r="H31" i="9"/>
  <c r="D31" i="9"/>
  <c r="C31" i="9"/>
  <c r="I30" i="9"/>
  <c r="H30" i="9"/>
  <c r="E30" i="9"/>
  <c r="I29" i="9"/>
  <c r="H29" i="9"/>
  <c r="E29" i="9"/>
  <c r="I28" i="9"/>
  <c r="H28" i="9"/>
  <c r="E28" i="9"/>
  <c r="I27" i="9"/>
  <c r="H27" i="9"/>
  <c r="E27" i="9"/>
  <c r="I26" i="9"/>
  <c r="H26" i="9"/>
  <c r="E26" i="9"/>
  <c r="I25" i="9"/>
  <c r="H25" i="9"/>
  <c r="E25" i="9"/>
  <c r="I24" i="9"/>
  <c r="H24" i="9"/>
  <c r="E24" i="9"/>
  <c r="I23" i="9"/>
  <c r="H23" i="9"/>
  <c r="E23" i="9"/>
  <c r="I22" i="9"/>
  <c r="H22" i="9"/>
  <c r="E22" i="9"/>
  <c r="I21" i="9"/>
  <c r="H21" i="9"/>
  <c r="E21" i="9"/>
  <c r="I20" i="9"/>
  <c r="H20" i="9"/>
  <c r="E20" i="9"/>
  <c r="I19" i="9"/>
  <c r="H19" i="9"/>
  <c r="E19" i="9"/>
  <c r="E18" i="9"/>
  <c r="E17" i="9"/>
  <c r="D17" i="9"/>
  <c r="C17" i="9"/>
  <c r="D16" i="9"/>
  <c r="C16" i="9"/>
  <c r="E15" i="9"/>
  <c r="E14" i="9"/>
  <c r="E13" i="9"/>
  <c r="E12" i="9"/>
  <c r="E11" i="9"/>
  <c r="E10" i="9"/>
  <c r="E9" i="9"/>
  <c r="E8" i="9"/>
  <c r="E7" i="9"/>
  <c r="E6" i="9"/>
  <c r="E5" i="9"/>
  <c r="E4" i="9"/>
  <c r="E92" i="8"/>
  <c r="D92" i="8"/>
  <c r="C92" i="8"/>
  <c r="H91" i="8"/>
  <c r="D91" i="8"/>
  <c r="C91" i="8"/>
  <c r="I90" i="8"/>
  <c r="H90" i="8"/>
  <c r="I89" i="8"/>
  <c r="H89" i="8"/>
  <c r="I88" i="8"/>
  <c r="H88" i="8"/>
  <c r="I87" i="8"/>
  <c r="H87" i="8"/>
  <c r="I86" i="8"/>
  <c r="H86" i="8"/>
  <c r="I85" i="8"/>
  <c r="H85" i="8"/>
  <c r="I84" i="8"/>
  <c r="H84" i="8"/>
  <c r="I83" i="8"/>
  <c r="H83" i="8"/>
  <c r="I82" i="8"/>
  <c r="H82" i="8"/>
  <c r="I81" i="8"/>
  <c r="H81" i="8"/>
  <c r="I80" i="8"/>
  <c r="H80" i="8"/>
  <c r="I79" i="8"/>
  <c r="H79" i="8"/>
  <c r="D77" i="8"/>
  <c r="C77" i="8"/>
  <c r="D76" i="8"/>
  <c r="C76" i="8"/>
  <c r="H75" i="8"/>
  <c r="H74" i="8"/>
  <c r="H73" i="8"/>
  <c r="E73" i="8"/>
  <c r="I73" i="8" s="1"/>
  <c r="H72" i="8"/>
  <c r="E72" i="8"/>
  <c r="I72" i="8" s="1"/>
  <c r="I71" i="8"/>
  <c r="H71" i="8"/>
  <c r="E71" i="8"/>
  <c r="I70" i="8"/>
  <c r="H70" i="8"/>
  <c r="E70" i="8"/>
  <c r="I69" i="8"/>
  <c r="H69" i="8"/>
  <c r="E69" i="8"/>
  <c r="I68" i="8"/>
  <c r="H68" i="8"/>
  <c r="E68" i="8"/>
  <c r="I67" i="8"/>
  <c r="H67" i="8"/>
  <c r="E67" i="8"/>
  <c r="I66" i="8"/>
  <c r="H66" i="8"/>
  <c r="E66" i="8"/>
  <c r="I65" i="8"/>
  <c r="H65" i="8"/>
  <c r="E65" i="8"/>
  <c r="I64" i="8"/>
  <c r="H64" i="8"/>
  <c r="E64" i="8"/>
  <c r="E63" i="8"/>
  <c r="E62" i="8"/>
  <c r="D62" i="8"/>
  <c r="C62" i="8"/>
  <c r="H61" i="8"/>
  <c r="D61" i="8"/>
  <c r="C61" i="8"/>
  <c r="I60" i="8"/>
  <c r="H60" i="8"/>
  <c r="E60" i="8"/>
  <c r="I59" i="8"/>
  <c r="H59" i="8"/>
  <c r="E59" i="8"/>
  <c r="I58" i="8"/>
  <c r="H58" i="8"/>
  <c r="E58" i="8"/>
  <c r="I57" i="8"/>
  <c r="H57" i="8"/>
  <c r="E57" i="8"/>
  <c r="I56" i="8"/>
  <c r="H56" i="8"/>
  <c r="E56" i="8"/>
  <c r="I55" i="8"/>
  <c r="H55" i="8"/>
  <c r="E55" i="8"/>
  <c r="I54" i="8"/>
  <c r="H54" i="8"/>
  <c r="E54" i="8"/>
  <c r="I53" i="8"/>
  <c r="H53" i="8"/>
  <c r="E53" i="8"/>
  <c r="I52" i="8"/>
  <c r="H52" i="8"/>
  <c r="E52" i="8"/>
  <c r="I51" i="8"/>
  <c r="H51" i="8"/>
  <c r="E51" i="8"/>
  <c r="I50" i="8"/>
  <c r="H50" i="8"/>
  <c r="E50" i="8"/>
  <c r="I49" i="8"/>
  <c r="H49" i="8"/>
  <c r="E49" i="8"/>
  <c r="E48" i="8"/>
  <c r="E47" i="8"/>
  <c r="D47" i="8"/>
  <c r="C47" i="8"/>
  <c r="H46" i="8"/>
  <c r="D46" i="8"/>
  <c r="C46" i="8"/>
  <c r="I45" i="8"/>
  <c r="H45" i="8"/>
  <c r="E45" i="8"/>
  <c r="I44" i="8"/>
  <c r="H44" i="8"/>
  <c r="E44" i="8"/>
  <c r="I43" i="8"/>
  <c r="H43" i="8"/>
  <c r="E43" i="8"/>
  <c r="I42" i="8"/>
  <c r="H42" i="8"/>
  <c r="E42" i="8"/>
  <c r="I41" i="8"/>
  <c r="H41" i="8"/>
  <c r="E41" i="8"/>
  <c r="I40" i="8"/>
  <c r="H40" i="8"/>
  <c r="E40" i="8"/>
  <c r="I39" i="8"/>
  <c r="H39" i="8"/>
  <c r="E39" i="8"/>
  <c r="I38" i="8"/>
  <c r="H38" i="8"/>
  <c r="E38" i="8"/>
  <c r="I37" i="8"/>
  <c r="H37" i="8"/>
  <c r="E37" i="8"/>
  <c r="I36" i="8"/>
  <c r="H36" i="8"/>
  <c r="E36" i="8"/>
  <c r="I35" i="8"/>
  <c r="H35" i="8"/>
  <c r="E35" i="8"/>
  <c r="I34" i="8"/>
  <c r="H34" i="8"/>
  <c r="E34" i="8"/>
  <c r="E33" i="8"/>
  <c r="E32" i="8"/>
  <c r="D32" i="8"/>
  <c r="C32" i="8"/>
  <c r="H31" i="8"/>
  <c r="D31" i="8"/>
  <c r="C31" i="8"/>
  <c r="I30" i="8"/>
  <c r="H30" i="8"/>
  <c r="E30" i="8"/>
  <c r="I29" i="8"/>
  <c r="H29" i="8"/>
  <c r="E29" i="8"/>
  <c r="I28" i="8"/>
  <c r="H28" i="8"/>
  <c r="E28" i="8"/>
  <c r="I27" i="8"/>
  <c r="H27" i="8"/>
  <c r="E27" i="8"/>
  <c r="I26" i="8"/>
  <c r="H26" i="8"/>
  <c r="E26" i="8"/>
  <c r="I25" i="8"/>
  <c r="H25" i="8"/>
  <c r="E25" i="8"/>
  <c r="I24" i="8"/>
  <c r="H24" i="8"/>
  <c r="E24" i="8"/>
  <c r="I23" i="8"/>
  <c r="H23" i="8"/>
  <c r="E23" i="8"/>
  <c r="I22" i="8"/>
  <c r="H22" i="8"/>
  <c r="E22" i="8"/>
  <c r="I21" i="8"/>
  <c r="H21" i="8"/>
  <c r="E21" i="8"/>
  <c r="I20" i="8"/>
  <c r="H20" i="8"/>
  <c r="E20" i="8"/>
  <c r="I19" i="8"/>
  <c r="H19" i="8"/>
  <c r="E19" i="8"/>
  <c r="E18" i="8"/>
  <c r="E17" i="8"/>
  <c r="D17" i="8"/>
  <c r="C17" i="8"/>
  <c r="D16" i="8"/>
  <c r="C16" i="8"/>
  <c r="E15" i="8"/>
  <c r="E14" i="8"/>
  <c r="E13" i="8"/>
  <c r="E12" i="8"/>
  <c r="E11" i="8"/>
  <c r="E10" i="8"/>
  <c r="E9" i="8"/>
  <c r="E8" i="8"/>
  <c r="E7" i="8"/>
  <c r="E6" i="8"/>
  <c r="E5" i="8"/>
  <c r="E4" i="8"/>
  <c r="E92" i="7"/>
  <c r="D92" i="7"/>
  <c r="C92" i="7"/>
  <c r="H91" i="7"/>
  <c r="D91" i="7"/>
  <c r="C91" i="7"/>
  <c r="I90" i="7"/>
  <c r="H90" i="7"/>
  <c r="I89" i="7"/>
  <c r="H89" i="7"/>
  <c r="I88" i="7"/>
  <c r="H88" i="7"/>
  <c r="I87" i="7"/>
  <c r="H87" i="7"/>
  <c r="I86" i="7"/>
  <c r="H86" i="7"/>
  <c r="I85" i="7"/>
  <c r="H85" i="7"/>
  <c r="I84" i="7"/>
  <c r="H84" i="7"/>
  <c r="I83" i="7"/>
  <c r="H83" i="7"/>
  <c r="I82" i="7"/>
  <c r="H82" i="7"/>
  <c r="I81" i="7"/>
  <c r="H81" i="7"/>
  <c r="I80" i="7"/>
  <c r="H80" i="7"/>
  <c r="I79" i="7"/>
  <c r="H79" i="7"/>
  <c r="D77" i="7"/>
  <c r="C77" i="7"/>
  <c r="D76" i="7"/>
  <c r="C76" i="7"/>
  <c r="H75" i="7"/>
  <c r="H74" i="7"/>
  <c r="H73" i="7"/>
  <c r="H72" i="7"/>
  <c r="E72" i="7"/>
  <c r="E73" i="7" s="1"/>
  <c r="E74" i="7" s="1"/>
  <c r="I71" i="7"/>
  <c r="H71" i="7"/>
  <c r="E71" i="7"/>
  <c r="I70" i="7"/>
  <c r="H70" i="7"/>
  <c r="E70" i="7"/>
  <c r="I69" i="7"/>
  <c r="H69" i="7"/>
  <c r="E69" i="7"/>
  <c r="I68" i="7"/>
  <c r="H68" i="7"/>
  <c r="E68" i="7"/>
  <c r="I67" i="7"/>
  <c r="H67" i="7"/>
  <c r="E67" i="7"/>
  <c r="I66" i="7"/>
  <c r="H66" i="7"/>
  <c r="E66" i="7"/>
  <c r="I65" i="7"/>
  <c r="H65" i="7"/>
  <c r="E65" i="7"/>
  <c r="I64" i="7"/>
  <c r="H64" i="7"/>
  <c r="E64" i="7"/>
  <c r="E63" i="7"/>
  <c r="E62" i="7"/>
  <c r="D62" i="7"/>
  <c r="C62" i="7"/>
  <c r="H61" i="7"/>
  <c r="D61" i="7"/>
  <c r="C61" i="7"/>
  <c r="I60" i="7"/>
  <c r="H60" i="7"/>
  <c r="E60" i="7"/>
  <c r="I59" i="7"/>
  <c r="H59" i="7"/>
  <c r="E59" i="7"/>
  <c r="I58" i="7"/>
  <c r="H58" i="7"/>
  <c r="E58" i="7"/>
  <c r="I57" i="7"/>
  <c r="H57" i="7"/>
  <c r="E57" i="7"/>
  <c r="I56" i="7"/>
  <c r="H56" i="7"/>
  <c r="E56" i="7"/>
  <c r="I55" i="7"/>
  <c r="H55" i="7"/>
  <c r="E55" i="7"/>
  <c r="I54" i="7"/>
  <c r="H54" i="7"/>
  <c r="E54" i="7"/>
  <c r="I53" i="7"/>
  <c r="H53" i="7"/>
  <c r="E53" i="7"/>
  <c r="I52" i="7"/>
  <c r="H52" i="7"/>
  <c r="E52" i="7"/>
  <c r="I51" i="7"/>
  <c r="H51" i="7"/>
  <c r="E51" i="7"/>
  <c r="I50" i="7"/>
  <c r="H50" i="7"/>
  <c r="E50" i="7"/>
  <c r="I49" i="7"/>
  <c r="H49" i="7"/>
  <c r="E49" i="7"/>
  <c r="E48" i="7"/>
  <c r="E47" i="7"/>
  <c r="D47" i="7"/>
  <c r="C47" i="7"/>
  <c r="H46" i="7"/>
  <c r="D46" i="7"/>
  <c r="C46" i="7"/>
  <c r="I45" i="7"/>
  <c r="H45" i="7"/>
  <c r="E45" i="7"/>
  <c r="I44" i="7"/>
  <c r="H44" i="7"/>
  <c r="E44" i="7"/>
  <c r="I43" i="7"/>
  <c r="H43" i="7"/>
  <c r="E43" i="7"/>
  <c r="I42" i="7"/>
  <c r="H42" i="7"/>
  <c r="E42" i="7"/>
  <c r="I41" i="7"/>
  <c r="H41" i="7"/>
  <c r="E41" i="7"/>
  <c r="I40" i="7"/>
  <c r="H40" i="7"/>
  <c r="E40" i="7"/>
  <c r="I39" i="7"/>
  <c r="H39" i="7"/>
  <c r="E39" i="7"/>
  <c r="I38" i="7"/>
  <c r="H38" i="7"/>
  <c r="E38" i="7"/>
  <c r="I37" i="7"/>
  <c r="H37" i="7"/>
  <c r="E37" i="7"/>
  <c r="I36" i="7"/>
  <c r="H36" i="7"/>
  <c r="E36" i="7"/>
  <c r="I35" i="7"/>
  <c r="H35" i="7"/>
  <c r="E35" i="7"/>
  <c r="I34" i="7"/>
  <c r="H34" i="7"/>
  <c r="E34" i="7"/>
  <c r="E33" i="7"/>
  <c r="E32" i="7"/>
  <c r="D32" i="7"/>
  <c r="C32" i="7"/>
  <c r="H31" i="7"/>
  <c r="D31" i="7"/>
  <c r="C31" i="7"/>
  <c r="I30" i="7"/>
  <c r="H30" i="7"/>
  <c r="E30" i="7"/>
  <c r="I29" i="7"/>
  <c r="H29" i="7"/>
  <c r="E29" i="7"/>
  <c r="I28" i="7"/>
  <c r="H28" i="7"/>
  <c r="E28" i="7"/>
  <c r="I27" i="7"/>
  <c r="H27" i="7"/>
  <c r="E27" i="7"/>
  <c r="I26" i="7"/>
  <c r="H26" i="7"/>
  <c r="E26" i="7"/>
  <c r="I25" i="7"/>
  <c r="H25" i="7"/>
  <c r="E25" i="7"/>
  <c r="I24" i="7"/>
  <c r="H24" i="7"/>
  <c r="E24" i="7"/>
  <c r="I23" i="7"/>
  <c r="H23" i="7"/>
  <c r="E23" i="7"/>
  <c r="I22" i="7"/>
  <c r="H22" i="7"/>
  <c r="E22" i="7"/>
  <c r="I21" i="7"/>
  <c r="H21" i="7"/>
  <c r="E21" i="7"/>
  <c r="I20" i="7"/>
  <c r="H20" i="7"/>
  <c r="E20" i="7"/>
  <c r="I19" i="7"/>
  <c r="H19" i="7"/>
  <c r="E19" i="7"/>
  <c r="E18" i="7"/>
  <c r="E17" i="7"/>
  <c r="D17" i="7"/>
  <c r="C17" i="7"/>
  <c r="D16" i="7"/>
  <c r="C16" i="7"/>
  <c r="E15" i="7"/>
  <c r="E14" i="7"/>
  <c r="E13" i="7"/>
  <c r="E12" i="7"/>
  <c r="E11" i="7"/>
  <c r="E10" i="7"/>
  <c r="E9" i="7"/>
  <c r="E8" i="7"/>
  <c r="E7" i="7"/>
  <c r="E6" i="7"/>
  <c r="E5" i="7"/>
  <c r="E4" i="7"/>
  <c r="E92" i="6"/>
  <c r="D92" i="6"/>
  <c r="C92" i="6"/>
  <c r="H91" i="6"/>
  <c r="D91" i="6"/>
  <c r="C91" i="6"/>
  <c r="I90" i="6"/>
  <c r="H90" i="6"/>
  <c r="I89" i="6"/>
  <c r="H89" i="6"/>
  <c r="I88" i="6"/>
  <c r="H88" i="6"/>
  <c r="I87" i="6"/>
  <c r="H87" i="6"/>
  <c r="I86" i="6"/>
  <c r="H86" i="6"/>
  <c r="I85" i="6"/>
  <c r="H85" i="6"/>
  <c r="I84" i="6"/>
  <c r="H84" i="6"/>
  <c r="I83" i="6"/>
  <c r="H83" i="6"/>
  <c r="I82" i="6"/>
  <c r="H82" i="6"/>
  <c r="I81" i="6"/>
  <c r="H81" i="6"/>
  <c r="I80" i="6"/>
  <c r="H80" i="6"/>
  <c r="I79" i="6"/>
  <c r="H79" i="6"/>
  <c r="D77" i="6"/>
  <c r="C77" i="6"/>
  <c r="D76" i="6"/>
  <c r="C76" i="6"/>
  <c r="H75" i="6"/>
  <c r="H74" i="6"/>
  <c r="H73" i="6"/>
  <c r="H72" i="6"/>
  <c r="E72" i="6"/>
  <c r="E73" i="6" s="1"/>
  <c r="E74" i="6" s="1"/>
  <c r="I71" i="6"/>
  <c r="H71" i="6"/>
  <c r="E71" i="6"/>
  <c r="I70" i="6"/>
  <c r="H70" i="6"/>
  <c r="E70" i="6"/>
  <c r="I69" i="6"/>
  <c r="H69" i="6"/>
  <c r="E69" i="6"/>
  <c r="I68" i="6"/>
  <c r="H68" i="6"/>
  <c r="E68" i="6"/>
  <c r="I67" i="6"/>
  <c r="H67" i="6"/>
  <c r="E67" i="6"/>
  <c r="I66" i="6"/>
  <c r="H66" i="6"/>
  <c r="E66" i="6"/>
  <c r="I65" i="6"/>
  <c r="H65" i="6"/>
  <c r="E65" i="6"/>
  <c r="I64" i="6"/>
  <c r="H64" i="6"/>
  <c r="E64" i="6"/>
  <c r="E63" i="6"/>
  <c r="E62" i="6"/>
  <c r="D62" i="6"/>
  <c r="C62" i="6"/>
  <c r="H61" i="6"/>
  <c r="D61" i="6"/>
  <c r="C61" i="6"/>
  <c r="I60" i="6"/>
  <c r="H60" i="6"/>
  <c r="E60" i="6"/>
  <c r="I59" i="6"/>
  <c r="H59" i="6"/>
  <c r="E59" i="6"/>
  <c r="I58" i="6"/>
  <c r="H58" i="6"/>
  <c r="E58" i="6"/>
  <c r="I57" i="6"/>
  <c r="H57" i="6"/>
  <c r="E57" i="6"/>
  <c r="I56" i="6"/>
  <c r="H56" i="6"/>
  <c r="E56" i="6"/>
  <c r="I55" i="6"/>
  <c r="H55" i="6"/>
  <c r="E55" i="6"/>
  <c r="I54" i="6"/>
  <c r="H54" i="6"/>
  <c r="E54" i="6"/>
  <c r="I53" i="6"/>
  <c r="H53" i="6"/>
  <c r="E53" i="6"/>
  <c r="I52" i="6"/>
  <c r="H52" i="6"/>
  <c r="E52" i="6"/>
  <c r="I51" i="6"/>
  <c r="H51" i="6"/>
  <c r="E51" i="6"/>
  <c r="I50" i="6"/>
  <c r="H50" i="6"/>
  <c r="E50" i="6"/>
  <c r="I49" i="6"/>
  <c r="H49" i="6"/>
  <c r="E49" i="6"/>
  <c r="E48" i="6"/>
  <c r="E47" i="6"/>
  <c r="D47" i="6"/>
  <c r="C47" i="6"/>
  <c r="H46" i="6"/>
  <c r="D46" i="6"/>
  <c r="C46" i="6"/>
  <c r="I45" i="6"/>
  <c r="H45" i="6"/>
  <c r="E45" i="6"/>
  <c r="I44" i="6"/>
  <c r="H44" i="6"/>
  <c r="E44" i="6"/>
  <c r="I43" i="6"/>
  <c r="H43" i="6"/>
  <c r="E43" i="6"/>
  <c r="I42" i="6"/>
  <c r="H42" i="6"/>
  <c r="E42" i="6"/>
  <c r="I41" i="6"/>
  <c r="H41" i="6"/>
  <c r="E41" i="6"/>
  <c r="I40" i="6"/>
  <c r="H40" i="6"/>
  <c r="E40" i="6"/>
  <c r="I39" i="6"/>
  <c r="H39" i="6"/>
  <c r="E39" i="6"/>
  <c r="I38" i="6"/>
  <c r="H38" i="6"/>
  <c r="E38" i="6"/>
  <c r="I37" i="6"/>
  <c r="H37" i="6"/>
  <c r="E37" i="6"/>
  <c r="I36" i="6"/>
  <c r="H36" i="6"/>
  <c r="E36" i="6"/>
  <c r="I35" i="6"/>
  <c r="H35" i="6"/>
  <c r="E35" i="6"/>
  <c r="I34" i="6"/>
  <c r="H34" i="6"/>
  <c r="E34" i="6"/>
  <c r="E33" i="6"/>
  <c r="E32" i="6"/>
  <c r="D32" i="6"/>
  <c r="C32" i="6"/>
  <c r="H31" i="6"/>
  <c r="D31" i="6"/>
  <c r="C31" i="6"/>
  <c r="I30" i="6"/>
  <c r="H30" i="6"/>
  <c r="E30" i="6"/>
  <c r="I29" i="6"/>
  <c r="H29" i="6"/>
  <c r="E29" i="6"/>
  <c r="I28" i="6"/>
  <c r="H28" i="6"/>
  <c r="E28" i="6"/>
  <c r="I27" i="6"/>
  <c r="H27" i="6"/>
  <c r="E27" i="6"/>
  <c r="I26" i="6"/>
  <c r="H26" i="6"/>
  <c r="E26" i="6"/>
  <c r="I25" i="6"/>
  <c r="H25" i="6"/>
  <c r="E25" i="6"/>
  <c r="I24" i="6"/>
  <c r="H24" i="6"/>
  <c r="E24" i="6"/>
  <c r="I23" i="6"/>
  <c r="H23" i="6"/>
  <c r="E23" i="6"/>
  <c r="I22" i="6"/>
  <c r="H22" i="6"/>
  <c r="E22" i="6"/>
  <c r="I21" i="6"/>
  <c r="H21" i="6"/>
  <c r="E21" i="6"/>
  <c r="I20" i="6"/>
  <c r="H20" i="6"/>
  <c r="E20" i="6"/>
  <c r="I19" i="6"/>
  <c r="H19" i="6"/>
  <c r="E19" i="6"/>
  <c r="E18" i="6"/>
  <c r="E17" i="6"/>
  <c r="D17" i="6"/>
  <c r="C17" i="6"/>
  <c r="D16" i="6"/>
  <c r="C16" i="6"/>
  <c r="E15" i="6"/>
  <c r="E14" i="6"/>
  <c r="E13" i="6"/>
  <c r="E12" i="6"/>
  <c r="E11" i="6"/>
  <c r="E10" i="6"/>
  <c r="E9" i="6"/>
  <c r="E8" i="6"/>
  <c r="E7" i="6"/>
  <c r="E6" i="6"/>
  <c r="E5" i="6"/>
  <c r="E4" i="6"/>
  <c r="E92" i="5"/>
  <c r="D92" i="5"/>
  <c r="C92" i="5"/>
  <c r="H91" i="5"/>
  <c r="D91" i="5"/>
  <c r="C91" i="5"/>
  <c r="I90" i="5"/>
  <c r="H90" i="5"/>
  <c r="I89" i="5"/>
  <c r="H89" i="5"/>
  <c r="I88" i="5"/>
  <c r="H88" i="5"/>
  <c r="I87" i="5"/>
  <c r="H87" i="5"/>
  <c r="I86" i="5"/>
  <c r="H86" i="5"/>
  <c r="I85" i="5"/>
  <c r="H85" i="5"/>
  <c r="I84" i="5"/>
  <c r="H84" i="5"/>
  <c r="I83" i="5"/>
  <c r="H83" i="5"/>
  <c r="I82" i="5"/>
  <c r="H82" i="5"/>
  <c r="I81" i="5"/>
  <c r="H81" i="5"/>
  <c r="I80" i="5"/>
  <c r="H80" i="5"/>
  <c r="I79" i="5"/>
  <c r="H79" i="5"/>
  <c r="D77" i="5"/>
  <c r="C77" i="5"/>
  <c r="D76" i="5"/>
  <c r="C76" i="5"/>
  <c r="H75" i="5"/>
  <c r="H74" i="5"/>
  <c r="H73" i="5"/>
  <c r="E73" i="5"/>
  <c r="E74" i="5" s="1"/>
  <c r="H72" i="5"/>
  <c r="E72" i="5"/>
  <c r="I72" i="5" s="1"/>
  <c r="I71" i="5"/>
  <c r="H71" i="5"/>
  <c r="E71" i="5"/>
  <c r="I70" i="5"/>
  <c r="H70" i="5"/>
  <c r="E70" i="5"/>
  <c r="I69" i="5"/>
  <c r="H69" i="5"/>
  <c r="E69" i="5"/>
  <c r="I68" i="5"/>
  <c r="H68" i="5"/>
  <c r="E68" i="5"/>
  <c r="I67" i="5"/>
  <c r="H67" i="5"/>
  <c r="E67" i="5"/>
  <c r="I66" i="5"/>
  <c r="H66" i="5"/>
  <c r="E66" i="5"/>
  <c r="I65" i="5"/>
  <c r="H65" i="5"/>
  <c r="E65" i="5"/>
  <c r="I64" i="5"/>
  <c r="H64" i="5"/>
  <c r="E64" i="5"/>
  <c r="E63" i="5"/>
  <c r="E62" i="5"/>
  <c r="D62" i="5"/>
  <c r="C62" i="5"/>
  <c r="H61" i="5"/>
  <c r="D61" i="5"/>
  <c r="C61" i="5"/>
  <c r="I60" i="5"/>
  <c r="H60" i="5"/>
  <c r="E60" i="5"/>
  <c r="I59" i="5"/>
  <c r="H59" i="5"/>
  <c r="E59" i="5"/>
  <c r="I58" i="5"/>
  <c r="H58" i="5"/>
  <c r="E58" i="5"/>
  <c r="I57" i="5"/>
  <c r="H57" i="5"/>
  <c r="E57" i="5"/>
  <c r="I56" i="5"/>
  <c r="H56" i="5"/>
  <c r="E56" i="5"/>
  <c r="I55" i="5"/>
  <c r="H55" i="5"/>
  <c r="E55" i="5"/>
  <c r="I54" i="5"/>
  <c r="H54" i="5"/>
  <c r="E54" i="5"/>
  <c r="I53" i="5"/>
  <c r="H53" i="5"/>
  <c r="E53" i="5"/>
  <c r="I52" i="5"/>
  <c r="H52" i="5"/>
  <c r="E52" i="5"/>
  <c r="I51" i="5"/>
  <c r="H51" i="5"/>
  <c r="E51" i="5"/>
  <c r="I50" i="5"/>
  <c r="H50" i="5"/>
  <c r="E50" i="5"/>
  <c r="I49" i="5"/>
  <c r="H49" i="5"/>
  <c r="E49" i="5"/>
  <c r="E48" i="5"/>
  <c r="E47" i="5"/>
  <c r="D47" i="5"/>
  <c r="C47" i="5"/>
  <c r="H46" i="5"/>
  <c r="D46" i="5"/>
  <c r="C46" i="5"/>
  <c r="I45" i="5"/>
  <c r="H45" i="5"/>
  <c r="E45" i="5"/>
  <c r="I44" i="5"/>
  <c r="H44" i="5"/>
  <c r="E44" i="5"/>
  <c r="I43" i="5"/>
  <c r="H43" i="5"/>
  <c r="E43" i="5"/>
  <c r="I42" i="5"/>
  <c r="H42" i="5"/>
  <c r="E42" i="5"/>
  <c r="I41" i="5"/>
  <c r="H41" i="5"/>
  <c r="E41" i="5"/>
  <c r="I40" i="5"/>
  <c r="H40" i="5"/>
  <c r="E40" i="5"/>
  <c r="I39" i="5"/>
  <c r="H39" i="5"/>
  <c r="E39" i="5"/>
  <c r="I38" i="5"/>
  <c r="H38" i="5"/>
  <c r="E38" i="5"/>
  <c r="I37" i="5"/>
  <c r="H37" i="5"/>
  <c r="E37" i="5"/>
  <c r="I36" i="5"/>
  <c r="H36" i="5"/>
  <c r="E36" i="5"/>
  <c r="I35" i="5"/>
  <c r="H35" i="5"/>
  <c r="E35" i="5"/>
  <c r="I34" i="5"/>
  <c r="H34" i="5"/>
  <c r="E34" i="5"/>
  <c r="E33" i="5"/>
  <c r="E32" i="5"/>
  <c r="D32" i="5"/>
  <c r="C32" i="5"/>
  <c r="H31" i="5"/>
  <c r="D31" i="5"/>
  <c r="C31" i="5"/>
  <c r="I30" i="5"/>
  <c r="H30" i="5"/>
  <c r="E30" i="5"/>
  <c r="I29" i="5"/>
  <c r="H29" i="5"/>
  <c r="E29" i="5"/>
  <c r="I28" i="5"/>
  <c r="H28" i="5"/>
  <c r="E28" i="5"/>
  <c r="I27" i="5"/>
  <c r="H27" i="5"/>
  <c r="E27" i="5"/>
  <c r="I26" i="5"/>
  <c r="H26" i="5"/>
  <c r="E26" i="5"/>
  <c r="I25" i="5"/>
  <c r="H25" i="5"/>
  <c r="E25" i="5"/>
  <c r="I24" i="5"/>
  <c r="H24" i="5"/>
  <c r="E24" i="5"/>
  <c r="I23" i="5"/>
  <c r="H23" i="5"/>
  <c r="E23" i="5"/>
  <c r="I22" i="5"/>
  <c r="H22" i="5"/>
  <c r="E22" i="5"/>
  <c r="I21" i="5"/>
  <c r="H21" i="5"/>
  <c r="E21" i="5"/>
  <c r="I20" i="5"/>
  <c r="H20" i="5"/>
  <c r="E20" i="5"/>
  <c r="I19" i="5"/>
  <c r="H19" i="5"/>
  <c r="E19" i="5"/>
  <c r="E18" i="5"/>
  <c r="E17" i="5"/>
  <c r="D17" i="5"/>
  <c r="C17" i="5"/>
  <c r="D16" i="5"/>
  <c r="C16" i="5"/>
  <c r="E15" i="5"/>
  <c r="E14" i="5"/>
  <c r="E13" i="5"/>
  <c r="E12" i="5"/>
  <c r="E11" i="5"/>
  <c r="E10" i="5"/>
  <c r="E9" i="5"/>
  <c r="E8" i="5"/>
  <c r="E7" i="5"/>
  <c r="E6" i="5"/>
  <c r="E5" i="5"/>
  <c r="E4" i="5"/>
  <c r="E92" i="4"/>
  <c r="D92" i="4"/>
  <c r="C92" i="4"/>
  <c r="H91" i="4"/>
  <c r="D91" i="4"/>
  <c r="C91" i="4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I82" i="4"/>
  <c r="H82" i="4"/>
  <c r="I81" i="4"/>
  <c r="H81" i="4"/>
  <c r="I80" i="4"/>
  <c r="H80" i="4"/>
  <c r="I79" i="4"/>
  <c r="H79" i="4"/>
  <c r="D77" i="4"/>
  <c r="C77" i="4"/>
  <c r="D76" i="4"/>
  <c r="C76" i="4"/>
  <c r="H75" i="4"/>
  <c r="H74" i="4"/>
  <c r="H73" i="4"/>
  <c r="H72" i="4"/>
  <c r="E72" i="4"/>
  <c r="E73" i="4" s="1"/>
  <c r="E74" i="4" s="1"/>
  <c r="I71" i="4"/>
  <c r="H71" i="4"/>
  <c r="E71" i="4"/>
  <c r="I70" i="4"/>
  <c r="H70" i="4"/>
  <c r="E70" i="4"/>
  <c r="I69" i="4"/>
  <c r="H69" i="4"/>
  <c r="E69" i="4"/>
  <c r="I68" i="4"/>
  <c r="H68" i="4"/>
  <c r="E68" i="4"/>
  <c r="I67" i="4"/>
  <c r="H67" i="4"/>
  <c r="E67" i="4"/>
  <c r="I66" i="4"/>
  <c r="H66" i="4"/>
  <c r="E66" i="4"/>
  <c r="I65" i="4"/>
  <c r="H65" i="4"/>
  <c r="E65" i="4"/>
  <c r="I64" i="4"/>
  <c r="H64" i="4"/>
  <c r="E64" i="4"/>
  <c r="E63" i="4"/>
  <c r="E62" i="4"/>
  <c r="D62" i="4"/>
  <c r="C62" i="4"/>
  <c r="H61" i="4"/>
  <c r="D61" i="4"/>
  <c r="C61" i="4"/>
  <c r="I60" i="4"/>
  <c r="H60" i="4"/>
  <c r="E60" i="4"/>
  <c r="I59" i="4"/>
  <c r="H59" i="4"/>
  <c r="E59" i="4"/>
  <c r="I58" i="4"/>
  <c r="H58" i="4"/>
  <c r="E58" i="4"/>
  <c r="I57" i="4"/>
  <c r="H57" i="4"/>
  <c r="E57" i="4"/>
  <c r="I56" i="4"/>
  <c r="H56" i="4"/>
  <c r="E56" i="4"/>
  <c r="I55" i="4"/>
  <c r="H55" i="4"/>
  <c r="E55" i="4"/>
  <c r="I54" i="4"/>
  <c r="H54" i="4"/>
  <c r="E54" i="4"/>
  <c r="I53" i="4"/>
  <c r="H53" i="4"/>
  <c r="E53" i="4"/>
  <c r="I52" i="4"/>
  <c r="H52" i="4"/>
  <c r="E52" i="4"/>
  <c r="I51" i="4"/>
  <c r="H51" i="4"/>
  <c r="E51" i="4"/>
  <c r="I50" i="4"/>
  <c r="H50" i="4"/>
  <c r="E50" i="4"/>
  <c r="I49" i="4"/>
  <c r="H49" i="4"/>
  <c r="E49" i="4"/>
  <c r="E48" i="4"/>
  <c r="E47" i="4"/>
  <c r="D47" i="4"/>
  <c r="C47" i="4"/>
  <c r="H46" i="4"/>
  <c r="D46" i="4"/>
  <c r="C46" i="4"/>
  <c r="I45" i="4"/>
  <c r="H45" i="4"/>
  <c r="E45" i="4"/>
  <c r="I44" i="4"/>
  <c r="H44" i="4"/>
  <c r="E44" i="4"/>
  <c r="I43" i="4"/>
  <c r="H43" i="4"/>
  <c r="E43" i="4"/>
  <c r="I42" i="4"/>
  <c r="H42" i="4"/>
  <c r="E42" i="4"/>
  <c r="I41" i="4"/>
  <c r="H41" i="4"/>
  <c r="E41" i="4"/>
  <c r="I40" i="4"/>
  <c r="H40" i="4"/>
  <c r="E40" i="4"/>
  <c r="I39" i="4"/>
  <c r="H39" i="4"/>
  <c r="E39" i="4"/>
  <c r="I38" i="4"/>
  <c r="H38" i="4"/>
  <c r="E38" i="4"/>
  <c r="I37" i="4"/>
  <c r="H37" i="4"/>
  <c r="E37" i="4"/>
  <c r="I36" i="4"/>
  <c r="H36" i="4"/>
  <c r="E36" i="4"/>
  <c r="I35" i="4"/>
  <c r="H35" i="4"/>
  <c r="E35" i="4"/>
  <c r="I34" i="4"/>
  <c r="H34" i="4"/>
  <c r="E34" i="4"/>
  <c r="E33" i="4"/>
  <c r="E32" i="4"/>
  <c r="D32" i="4"/>
  <c r="C32" i="4"/>
  <c r="H31" i="4"/>
  <c r="D31" i="4"/>
  <c r="C31" i="4"/>
  <c r="I30" i="4"/>
  <c r="H30" i="4"/>
  <c r="E30" i="4"/>
  <c r="I29" i="4"/>
  <c r="H29" i="4"/>
  <c r="E29" i="4"/>
  <c r="I28" i="4"/>
  <c r="H28" i="4"/>
  <c r="E28" i="4"/>
  <c r="I27" i="4"/>
  <c r="H27" i="4"/>
  <c r="E27" i="4"/>
  <c r="I26" i="4"/>
  <c r="H26" i="4"/>
  <c r="E26" i="4"/>
  <c r="I25" i="4"/>
  <c r="H25" i="4"/>
  <c r="E25" i="4"/>
  <c r="I24" i="4"/>
  <c r="H24" i="4"/>
  <c r="E24" i="4"/>
  <c r="I23" i="4"/>
  <c r="H23" i="4"/>
  <c r="E23" i="4"/>
  <c r="I22" i="4"/>
  <c r="H22" i="4"/>
  <c r="E22" i="4"/>
  <c r="I21" i="4"/>
  <c r="H21" i="4"/>
  <c r="E21" i="4"/>
  <c r="I20" i="4"/>
  <c r="H20" i="4"/>
  <c r="E20" i="4"/>
  <c r="I19" i="4"/>
  <c r="H19" i="4"/>
  <c r="E19" i="4"/>
  <c r="E18" i="4"/>
  <c r="E17" i="4"/>
  <c r="D17" i="4"/>
  <c r="C17" i="4"/>
  <c r="D16" i="4"/>
  <c r="C16" i="4"/>
  <c r="E15" i="4"/>
  <c r="E14" i="4"/>
  <c r="E13" i="4"/>
  <c r="E12" i="4"/>
  <c r="E11" i="4"/>
  <c r="E10" i="4"/>
  <c r="E9" i="4"/>
  <c r="E8" i="4"/>
  <c r="E7" i="4"/>
  <c r="E6" i="4"/>
  <c r="E5" i="4"/>
  <c r="E4" i="4"/>
  <c r="E92" i="3"/>
  <c r="D92" i="3"/>
  <c r="C92" i="3"/>
  <c r="H91" i="3"/>
  <c r="D91" i="3"/>
  <c r="C91" i="3"/>
  <c r="I90" i="3"/>
  <c r="H90" i="3"/>
  <c r="I89" i="3"/>
  <c r="H89" i="3"/>
  <c r="I88" i="3"/>
  <c r="H88" i="3"/>
  <c r="I87" i="3"/>
  <c r="H87" i="3"/>
  <c r="I86" i="3"/>
  <c r="H86" i="3"/>
  <c r="I85" i="3"/>
  <c r="H85" i="3"/>
  <c r="I84" i="3"/>
  <c r="H84" i="3"/>
  <c r="I83" i="3"/>
  <c r="H83" i="3"/>
  <c r="I82" i="3"/>
  <c r="H82" i="3"/>
  <c r="I81" i="3"/>
  <c r="H81" i="3"/>
  <c r="I80" i="3"/>
  <c r="H80" i="3"/>
  <c r="I79" i="3"/>
  <c r="H79" i="3"/>
  <c r="D77" i="3"/>
  <c r="C77" i="3"/>
  <c r="D76" i="3"/>
  <c r="C76" i="3"/>
  <c r="H75" i="3"/>
  <c r="H74" i="3"/>
  <c r="H73" i="3"/>
  <c r="H72" i="3"/>
  <c r="E72" i="3"/>
  <c r="E73" i="3" s="1"/>
  <c r="E74" i="3" s="1"/>
  <c r="I71" i="3"/>
  <c r="H71" i="3"/>
  <c r="E71" i="3"/>
  <c r="I70" i="3"/>
  <c r="H70" i="3"/>
  <c r="E70" i="3"/>
  <c r="I69" i="3"/>
  <c r="H69" i="3"/>
  <c r="E69" i="3"/>
  <c r="I68" i="3"/>
  <c r="H68" i="3"/>
  <c r="E68" i="3"/>
  <c r="I67" i="3"/>
  <c r="H67" i="3"/>
  <c r="E67" i="3"/>
  <c r="I66" i="3"/>
  <c r="H66" i="3"/>
  <c r="E66" i="3"/>
  <c r="I65" i="3"/>
  <c r="H65" i="3"/>
  <c r="E65" i="3"/>
  <c r="I64" i="3"/>
  <c r="H64" i="3"/>
  <c r="E64" i="3"/>
  <c r="E63" i="3"/>
  <c r="E62" i="3"/>
  <c r="D62" i="3"/>
  <c r="C62" i="3"/>
  <c r="H61" i="3"/>
  <c r="D61" i="3"/>
  <c r="C61" i="3"/>
  <c r="I60" i="3"/>
  <c r="H60" i="3"/>
  <c r="E60" i="3"/>
  <c r="I59" i="3"/>
  <c r="H59" i="3"/>
  <c r="E59" i="3"/>
  <c r="I58" i="3"/>
  <c r="H58" i="3"/>
  <c r="E58" i="3"/>
  <c r="I57" i="3"/>
  <c r="H57" i="3"/>
  <c r="E57" i="3"/>
  <c r="I56" i="3"/>
  <c r="H56" i="3"/>
  <c r="E56" i="3"/>
  <c r="I55" i="3"/>
  <c r="H55" i="3"/>
  <c r="E55" i="3"/>
  <c r="I54" i="3"/>
  <c r="H54" i="3"/>
  <c r="E54" i="3"/>
  <c r="I53" i="3"/>
  <c r="H53" i="3"/>
  <c r="E53" i="3"/>
  <c r="I52" i="3"/>
  <c r="H52" i="3"/>
  <c r="E52" i="3"/>
  <c r="I51" i="3"/>
  <c r="H51" i="3"/>
  <c r="E51" i="3"/>
  <c r="I50" i="3"/>
  <c r="H50" i="3"/>
  <c r="E50" i="3"/>
  <c r="I49" i="3"/>
  <c r="H49" i="3"/>
  <c r="E49" i="3"/>
  <c r="E48" i="3"/>
  <c r="E47" i="3"/>
  <c r="D47" i="3"/>
  <c r="C47" i="3"/>
  <c r="H46" i="3"/>
  <c r="D46" i="3"/>
  <c r="C46" i="3"/>
  <c r="I45" i="3"/>
  <c r="H45" i="3"/>
  <c r="E45" i="3"/>
  <c r="I44" i="3"/>
  <c r="H44" i="3"/>
  <c r="E44" i="3"/>
  <c r="I43" i="3"/>
  <c r="H43" i="3"/>
  <c r="E43" i="3"/>
  <c r="I42" i="3"/>
  <c r="H42" i="3"/>
  <c r="E42" i="3"/>
  <c r="I41" i="3"/>
  <c r="H41" i="3"/>
  <c r="E41" i="3"/>
  <c r="I40" i="3"/>
  <c r="H40" i="3"/>
  <c r="E40" i="3"/>
  <c r="I39" i="3"/>
  <c r="H39" i="3"/>
  <c r="E39" i="3"/>
  <c r="I38" i="3"/>
  <c r="H38" i="3"/>
  <c r="E38" i="3"/>
  <c r="I37" i="3"/>
  <c r="H37" i="3"/>
  <c r="E37" i="3"/>
  <c r="I36" i="3"/>
  <c r="H36" i="3"/>
  <c r="E36" i="3"/>
  <c r="I35" i="3"/>
  <c r="H35" i="3"/>
  <c r="E35" i="3"/>
  <c r="I34" i="3"/>
  <c r="H34" i="3"/>
  <c r="E34" i="3"/>
  <c r="E33" i="3"/>
  <c r="E32" i="3"/>
  <c r="D32" i="3"/>
  <c r="C32" i="3"/>
  <c r="H31" i="3"/>
  <c r="D31" i="3"/>
  <c r="C31" i="3"/>
  <c r="I30" i="3"/>
  <c r="H30" i="3"/>
  <c r="E30" i="3"/>
  <c r="I29" i="3"/>
  <c r="H29" i="3"/>
  <c r="E29" i="3"/>
  <c r="I28" i="3"/>
  <c r="H28" i="3"/>
  <c r="E28" i="3"/>
  <c r="I27" i="3"/>
  <c r="H27" i="3"/>
  <c r="E27" i="3"/>
  <c r="I26" i="3"/>
  <c r="H26" i="3"/>
  <c r="E26" i="3"/>
  <c r="I25" i="3"/>
  <c r="H25" i="3"/>
  <c r="E25" i="3"/>
  <c r="I24" i="3"/>
  <c r="H24" i="3"/>
  <c r="E24" i="3"/>
  <c r="I23" i="3"/>
  <c r="H23" i="3"/>
  <c r="E23" i="3"/>
  <c r="I22" i="3"/>
  <c r="H22" i="3"/>
  <c r="E22" i="3"/>
  <c r="I21" i="3"/>
  <c r="H21" i="3"/>
  <c r="E21" i="3"/>
  <c r="I20" i="3"/>
  <c r="H20" i="3"/>
  <c r="E20" i="3"/>
  <c r="I19" i="3"/>
  <c r="H19" i="3"/>
  <c r="E19" i="3"/>
  <c r="E18" i="3"/>
  <c r="E17" i="3"/>
  <c r="D17" i="3"/>
  <c r="C17" i="3"/>
  <c r="D16" i="3"/>
  <c r="C16" i="3"/>
  <c r="E15" i="3"/>
  <c r="E14" i="3"/>
  <c r="E13" i="3"/>
  <c r="E12" i="3"/>
  <c r="E11" i="3"/>
  <c r="E10" i="3"/>
  <c r="E9" i="3"/>
  <c r="E8" i="3"/>
  <c r="E7" i="3"/>
  <c r="E6" i="3"/>
  <c r="E5" i="3"/>
  <c r="E4" i="3"/>
  <c r="E92" i="2"/>
  <c r="D92" i="2"/>
  <c r="C92" i="2"/>
  <c r="H91" i="2"/>
  <c r="D91" i="2"/>
  <c r="C91" i="2"/>
  <c r="I90" i="2"/>
  <c r="H90" i="2"/>
  <c r="I89" i="2"/>
  <c r="H89" i="2"/>
  <c r="I88" i="2"/>
  <c r="H88" i="2"/>
  <c r="I87" i="2"/>
  <c r="H87" i="2"/>
  <c r="I86" i="2"/>
  <c r="H86" i="2"/>
  <c r="I85" i="2"/>
  <c r="H85" i="2"/>
  <c r="I84" i="2"/>
  <c r="H84" i="2"/>
  <c r="I83" i="2"/>
  <c r="H83" i="2"/>
  <c r="I82" i="2"/>
  <c r="H82" i="2"/>
  <c r="I81" i="2"/>
  <c r="H81" i="2"/>
  <c r="I80" i="2"/>
  <c r="H80" i="2"/>
  <c r="I79" i="2"/>
  <c r="H79" i="2"/>
  <c r="D77" i="2"/>
  <c r="C77" i="2"/>
  <c r="D76" i="2"/>
  <c r="C76" i="2"/>
  <c r="H75" i="2"/>
  <c r="H74" i="2"/>
  <c r="H73" i="2"/>
  <c r="H72" i="2"/>
  <c r="E72" i="2"/>
  <c r="E73" i="2" s="1"/>
  <c r="E74" i="2" s="1"/>
  <c r="I71" i="2"/>
  <c r="H71" i="2"/>
  <c r="E71" i="2"/>
  <c r="I70" i="2"/>
  <c r="H70" i="2"/>
  <c r="E70" i="2"/>
  <c r="I69" i="2"/>
  <c r="H69" i="2"/>
  <c r="E69" i="2"/>
  <c r="I68" i="2"/>
  <c r="H68" i="2"/>
  <c r="E68" i="2"/>
  <c r="I67" i="2"/>
  <c r="H67" i="2"/>
  <c r="E67" i="2"/>
  <c r="I66" i="2"/>
  <c r="H66" i="2"/>
  <c r="E66" i="2"/>
  <c r="I65" i="2"/>
  <c r="H65" i="2"/>
  <c r="E65" i="2"/>
  <c r="I64" i="2"/>
  <c r="H64" i="2"/>
  <c r="E64" i="2"/>
  <c r="E63" i="2"/>
  <c r="E62" i="2"/>
  <c r="D62" i="2"/>
  <c r="C62" i="2"/>
  <c r="H61" i="2"/>
  <c r="D61" i="2"/>
  <c r="C61" i="2"/>
  <c r="I60" i="2"/>
  <c r="H60" i="2"/>
  <c r="E60" i="2"/>
  <c r="I59" i="2"/>
  <c r="H59" i="2"/>
  <c r="E59" i="2"/>
  <c r="I58" i="2"/>
  <c r="H58" i="2"/>
  <c r="E58" i="2"/>
  <c r="I57" i="2"/>
  <c r="H57" i="2"/>
  <c r="E57" i="2"/>
  <c r="I56" i="2"/>
  <c r="H56" i="2"/>
  <c r="E56" i="2"/>
  <c r="I55" i="2"/>
  <c r="H55" i="2"/>
  <c r="E55" i="2"/>
  <c r="I54" i="2"/>
  <c r="H54" i="2"/>
  <c r="E54" i="2"/>
  <c r="I53" i="2"/>
  <c r="H53" i="2"/>
  <c r="E53" i="2"/>
  <c r="I52" i="2"/>
  <c r="H52" i="2"/>
  <c r="E52" i="2"/>
  <c r="I51" i="2"/>
  <c r="H51" i="2"/>
  <c r="E51" i="2"/>
  <c r="I50" i="2"/>
  <c r="H50" i="2"/>
  <c r="E50" i="2"/>
  <c r="I49" i="2"/>
  <c r="H49" i="2"/>
  <c r="E49" i="2"/>
  <c r="E48" i="2"/>
  <c r="E47" i="2"/>
  <c r="D47" i="2"/>
  <c r="C47" i="2"/>
  <c r="H46" i="2"/>
  <c r="D46" i="2"/>
  <c r="C46" i="2"/>
  <c r="I45" i="2"/>
  <c r="H45" i="2"/>
  <c r="E45" i="2"/>
  <c r="I44" i="2"/>
  <c r="H44" i="2"/>
  <c r="E44" i="2"/>
  <c r="I43" i="2"/>
  <c r="H43" i="2"/>
  <c r="E43" i="2"/>
  <c r="I42" i="2"/>
  <c r="H42" i="2"/>
  <c r="E42" i="2"/>
  <c r="I41" i="2"/>
  <c r="H41" i="2"/>
  <c r="E41" i="2"/>
  <c r="I40" i="2"/>
  <c r="H40" i="2"/>
  <c r="E40" i="2"/>
  <c r="I39" i="2"/>
  <c r="H39" i="2"/>
  <c r="E39" i="2"/>
  <c r="I38" i="2"/>
  <c r="H38" i="2"/>
  <c r="E38" i="2"/>
  <c r="I37" i="2"/>
  <c r="H37" i="2"/>
  <c r="E37" i="2"/>
  <c r="I36" i="2"/>
  <c r="H36" i="2"/>
  <c r="E36" i="2"/>
  <c r="I35" i="2"/>
  <c r="H35" i="2"/>
  <c r="E35" i="2"/>
  <c r="I34" i="2"/>
  <c r="H34" i="2"/>
  <c r="E34" i="2"/>
  <c r="E33" i="2"/>
  <c r="E32" i="2"/>
  <c r="D32" i="2"/>
  <c r="C32" i="2"/>
  <c r="H31" i="2"/>
  <c r="D31" i="2"/>
  <c r="C31" i="2"/>
  <c r="I30" i="2"/>
  <c r="H30" i="2"/>
  <c r="E30" i="2"/>
  <c r="I29" i="2"/>
  <c r="H29" i="2"/>
  <c r="E29" i="2"/>
  <c r="I28" i="2"/>
  <c r="H28" i="2"/>
  <c r="E28" i="2"/>
  <c r="I27" i="2"/>
  <c r="H27" i="2"/>
  <c r="E27" i="2"/>
  <c r="I26" i="2"/>
  <c r="H26" i="2"/>
  <c r="E26" i="2"/>
  <c r="I25" i="2"/>
  <c r="H25" i="2"/>
  <c r="E25" i="2"/>
  <c r="I24" i="2"/>
  <c r="H24" i="2"/>
  <c r="E24" i="2"/>
  <c r="I23" i="2"/>
  <c r="H23" i="2"/>
  <c r="E23" i="2"/>
  <c r="I22" i="2"/>
  <c r="H22" i="2"/>
  <c r="E22" i="2"/>
  <c r="I21" i="2"/>
  <c r="H21" i="2"/>
  <c r="E21" i="2"/>
  <c r="I20" i="2"/>
  <c r="H20" i="2"/>
  <c r="E20" i="2"/>
  <c r="I19" i="2"/>
  <c r="H19" i="2"/>
  <c r="E19" i="2"/>
  <c r="E18" i="2"/>
  <c r="E17" i="2"/>
  <c r="D17" i="2"/>
  <c r="C17" i="2"/>
  <c r="D16" i="2"/>
  <c r="C16" i="2"/>
  <c r="E15" i="2"/>
  <c r="E14" i="2"/>
  <c r="E13" i="2"/>
  <c r="E12" i="2"/>
  <c r="E11" i="2"/>
  <c r="E10" i="2"/>
  <c r="E9" i="2"/>
  <c r="E8" i="2"/>
  <c r="E7" i="2"/>
  <c r="E6" i="2"/>
  <c r="E5" i="2"/>
  <c r="E4" i="2"/>
  <c r="H76" i="16" l="1"/>
  <c r="E77" i="16"/>
  <c r="I72" i="16"/>
  <c r="E75" i="16"/>
  <c r="I74" i="16"/>
  <c r="I73" i="16"/>
  <c r="H76" i="15"/>
  <c r="E77" i="15"/>
  <c r="I72" i="15"/>
  <c r="E75" i="15"/>
  <c r="I74" i="15"/>
  <c r="I73" i="15"/>
  <c r="H76" i="14"/>
  <c r="E77" i="14"/>
  <c r="I72" i="14"/>
  <c r="E75" i="14"/>
  <c r="I74" i="14"/>
  <c r="I73" i="14"/>
  <c r="H76" i="13"/>
  <c r="E77" i="13"/>
  <c r="I72" i="13"/>
  <c r="E75" i="13"/>
  <c r="I74" i="13"/>
  <c r="I73" i="13"/>
  <c r="H76" i="12"/>
  <c r="E77" i="12"/>
  <c r="E75" i="12"/>
  <c r="I74" i="12"/>
  <c r="I73" i="12"/>
  <c r="E77" i="11"/>
  <c r="H76" i="11"/>
  <c r="I72" i="11"/>
  <c r="E75" i="11"/>
  <c r="I74" i="11"/>
  <c r="I73" i="11"/>
  <c r="H76" i="10"/>
  <c r="E77" i="10"/>
  <c r="I72" i="10"/>
  <c r="E75" i="10"/>
  <c r="I74" i="10"/>
  <c r="I73" i="10"/>
  <c r="H76" i="9"/>
  <c r="E77" i="9"/>
  <c r="E75" i="9"/>
  <c r="I74" i="9"/>
  <c r="I73" i="9"/>
  <c r="H76" i="8"/>
  <c r="E77" i="8"/>
  <c r="E74" i="8"/>
  <c r="H76" i="7"/>
  <c r="E77" i="7"/>
  <c r="I72" i="7"/>
  <c r="E75" i="7"/>
  <c r="I74" i="7"/>
  <c r="I73" i="7"/>
  <c r="H76" i="6"/>
  <c r="E77" i="6"/>
  <c r="I72" i="6"/>
  <c r="E75" i="6"/>
  <c r="I74" i="6"/>
  <c r="I73" i="6"/>
  <c r="H76" i="5"/>
  <c r="E77" i="5"/>
  <c r="E75" i="5"/>
  <c r="I74" i="5"/>
  <c r="I73" i="5"/>
  <c r="H76" i="4"/>
  <c r="E77" i="4"/>
  <c r="I72" i="4"/>
  <c r="E75" i="4"/>
  <c r="I74" i="4"/>
  <c r="I73" i="4"/>
  <c r="H76" i="3"/>
  <c r="E77" i="3"/>
  <c r="I72" i="3"/>
  <c r="E75" i="3"/>
  <c r="I74" i="3"/>
  <c r="I73" i="3"/>
  <c r="H76" i="2"/>
  <c r="E77" i="2"/>
  <c r="I72" i="2"/>
  <c r="E75" i="2"/>
  <c r="I74" i="2"/>
  <c r="I73" i="2"/>
  <c r="I75" i="16" l="1"/>
  <c r="E78" i="16"/>
  <c r="E79" i="16" s="1"/>
  <c r="E80" i="16" s="1"/>
  <c r="E81" i="16" s="1"/>
  <c r="E82" i="16" s="1"/>
  <c r="E83" i="16" s="1"/>
  <c r="E84" i="16" s="1"/>
  <c r="E85" i="16" s="1"/>
  <c r="E86" i="16" s="1"/>
  <c r="E87" i="16" s="1"/>
  <c r="E88" i="16" s="1"/>
  <c r="E89" i="16" s="1"/>
  <c r="E90" i="16" s="1"/>
  <c r="I75" i="15"/>
  <c r="E78" i="15"/>
  <c r="E79" i="15" s="1"/>
  <c r="E80" i="15" s="1"/>
  <c r="E81" i="15" s="1"/>
  <c r="E82" i="15" s="1"/>
  <c r="E83" i="15" s="1"/>
  <c r="E84" i="15" s="1"/>
  <c r="E85" i="15" s="1"/>
  <c r="E86" i="15" s="1"/>
  <c r="E87" i="15" s="1"/>
  <c r="E88" i="15" s="1"/>
  <c r="E89" i="15" s="1"/>
  <c r="E90" i="15" s="1"/>
  <c r="I75" i="14"/>
  <c r="E78" i="14"/>
  <c r="E79" i="14" s="1"/>
  <c r="E80" i="14" s="1"/>
  <c r="E81" i="14" s="1"/>
  <c r="E82" i="14" s="1"/>
  <c r="E83" i="14" s="1"/>
  <c r="E84" i="14" s="1"/>
  <c r="E85" i="14" s="1"/>
  <c r="E86" i="14" s="1"/>
  <c r="E87" i="14" s="1"/>
  <c r="E88" i="14" s="1"/>
  <c r="E89" i="14" s="1"/>
  <c r="E90" i="14" s="1"/>
  <c r="I75" i="13"/>
  <c r="E78" i="13"/>
  <c r="E79" i="13" s="1"/>
  <c r="E80" i="13" s="1"/>
  <c r="E81" i="13" s="1"/>
  <c r="E82" i="13" s="1"/>
  <c r="E83" i="13" s="1"/>
  <c r="E84" i="13" s="1"/>
  <c r="E85" i="13" s="1"/>
  <c r="E86" i="13" s="1"/>
  <c r="E87" i="13" s="1"/>
  <c r="E88" i="13" s="1"/>
  <c r="E89" i="13" s="1"/>
  <c r="E90" i="13" s="1"/>
  <c r="I75" i="12"/>
  <c r="E78" i="12"/>
  <c r="E79" i="12" s="1"/>
  <c r="E80" i="12" s="1"/>
  <c r="E81" i="12" s="1"/>
  <c r="E82" i="12" s="1"/>
  <c r="E83" i="12" s="1"/>
  <c r="E84" i="12" s="1"/>
  <c r="E85" i="12" s="1"/>
  <c r="E86" i="12" s="1"/>
  <c r="E87" i="12" s="1"/>
  <c r="E88" i="12" s="1"/>
  <c r="E89" i="12" s="1"/>
  <c r="E90" i="12" s="1"/>
  <c r="I75" i="11"/>
  <c r="E78" i="1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I75" i="10"/>
  <c r="E78" i="10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I75" i="9"/>
  <c r="E78" i="9"/>
  <c r="E79" i="9" s="1"/>
  <c r="E80" i="9" s="1"/>
  <c r="E81" i="9" s="1"/>
  <c r="E82" i="9" s="1"/>
  <c r="E83" i="9" s="1"/>
  <c r="E84" i="9" s="1"/>
  <c r="E85" i="9" s="1"/>
  <c r="E86" i="9" s="1"/>
  <c r="E87" i="9" s="1"/>
  <c r="E88" i="9" s="1"/>
  <c r="E89" i="9" s="1"/>
  <c r="E90" i="9" s="1"/>
  <c r="E75" i="8"/>
  <c r="I74" i="8"/>
  <c r="I75" i="7"/>
  <c r="E78" i="7"/>
  <c r="E79" i="7" s="1"/>
  <c r="E80" i="7" s="1"/>
  <c r="E81" i="7" s="1"/>
  <c r="E82" i="7" s="1"/>
  <c r="E83" i="7" s="1"/>
  <c r="E84" i="7" s="1"/>
  <c r="E85" i="7" s="1"/>
  <c r="E86" i="7" s="1"/>
  <c r="E87" i="7" s="1"/>
  <c r="E88" i="7" s="1"/>
  <c r="E89" i="7" s="1"/>
  <c r="E90" i="7" s="1"/>
  <c r="I75" i="6"/>
  <c r="E78" i="6"/>
  <c r="E79" i="6" s="1"/>
  <c r="E80" i="6" s="1"/>
  <c r="E81" i="6" s="1"/>
  <c r="E82" i="6" s="1"/>
  <c r="E83" i="6" s="1"/>
  <c r="E84" i="6" s="1"/>
  <c r="E85" i="6" s="1"/>
  <c r="E86" i="6" s="1"/>
  <c r="E87" i="6" s="1"/>
  <c r="E88" i="6" s="1"/>
  <c r="E89" i="6" s="1"/>
  <c r="E90" i="6" s="1"/>
  <c r="I75" i="5"/>
  <c r="E78" i="5"/>
  <c r="E79" i="5" s="1"/>
  <c r="E80" i="5" s="1"/>
  <c r="E81" i="5" s="1"/>
  <c r="E82" i="5" s="1"/>
  <c r="E83" i="5" s="1"/>
  <c r="E84" i="5" s="1"/>
  <c r="E85" i="5" s="1"/>
  <c r="E86" i="5" s="1"/>
  <c r="E87" i="5" s="1"/>
  <c r="E88" i="5" s="1"/>
  <c r="E89" i="5" s="1"/>
  <c r="E90" i="5" s="1"/>
  <c r="I75" i="4"/>
  <c r="E78" i="4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I75" i="3"/>
  <c r="E78" i="3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I75" i="2"/>
  <c r="E78" i="2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I75" i="8" l="1"/>
  <c r="E78" i="8"/>
  <c r="E79" i="8" s="1"/>
  <c r="E80" i="8" s="1"/>
  <c r="E81" i="8" s="1"/>
  <c r="E82" i="8" s="1"/>
  <c r="E83" i="8" s="1"/>
  <c r="E84" i="8" s="1"/>
  <c r="E85" i="8" s="1"/>
  <c r="E86" i="8" s="1"/>
  <c r="E87" i="8" s="1"/>
  <c r="E88" i="8" s="1"/>
  <c r="E89" i="8" s="1"/>
  <c r="E90" i="8" s="1"/>
</calcChain>
</file>

<file path=xl/sharedStrings.xml><?xml version="1.0" encoding="utf-8"?>
<sst xmlns="http://schemas.openxmlformats.org/spreadsheetml/2006/main" count="4627" uniqueCount="42">
  <si>
    <t>An</t>
  </si>
  <si>
    <t>Luna</t>
  </si>
  <si>
    <t>INTRARI</t>
  </si>
  <si>
    <t>IESIRI</t>
  </si>
  <si>
    <t>SOLD</t>
  </si>
  <si>
    <t>DIF VANZ AN
PRECEDENT</t>
  </si>
  <si>
    <t>DIF STOC AN
PRECEDENT</t>
  </si>
  <si>
    <t>IAN</t>
  </si>
  <si>
    <t>FEB</t>
  </si>
  <si>
    <t>MAR</t>
  </si>
  <si>
    <t>APR</t>
  </si>
  <si>
    <t>MAI</t>
  </si>
  <si>
    <t>JUN</t>
  </si>
  <si>
    <t>JUL</t>
  </si>
  <si>
    <t>AUG</t>
  </si>
  <si>
    <t>SEP</t>
  </si>
  <si>
    <t>OCT</t>
  </si>
  <si>
    <t>NOV</t>
  </si>
  <si>
    <t>DEC</t>
  </si>
  <si>
    <t>TOTAL</t>
  </si>
  <si>
    <t>MEDIE</t>
  </si>
  <si>
    <t>METALICO M</t>
  </si>
  <si>
    <t>ZHEJIANG C</t>
  </si>
  <si>
    <t>GTV POLAND</t>
  </si>
  <si>
    <t>CONSOLIGHT</t>
  </si>
  <si>
    <t xml:space="preserve">EMOS SPOL </t>
  </si>
  <si>
    <t>NINGBO EXC</t>
  </si>
  <si>
    <t>Makel Elek</t>
  </si>
  <si>
    <t>BM SPA</t>
  </si>
  <si>
    <t>MONO Elekt</t>
  </si>
  <si>
    <t>WKK FIXATI</t>
  </si>
  <si>
    <t>Cepas Galv</t>
  </si>
  <si>
    <t>SHENZHEN S</t>
  </si>
  <si>
    <t>SUZHOU KIN</t>
  </si>
  <si>
    <t>DMY ELEKTR</t>
  </si>
  <si>
    <t>MUTLUSAN P</t>
  </si>
  <si>
    <t>Producator</t>
  </si>
  <si>
    <t>Anul</t>
  </si>
  <si>
    <t>Intrari</t>
  </si>
  <si>
    <t>Iesiri</t>
  </si>
  <si>
    <t>Sold</t>
  </si>
  <si>
    <t>Timeline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</si>
</sst>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#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1"/>
      <color rgb="FF7030A0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/>
    <xf numFmtId="164" fontId="1" fillId="0" borderId="0" xfId="0" applyNumberFormat="1" applyFont="1"/>
    <xf numFmtId="164" fontId="0" fillId="0" borderId="0" xfId="0" applyNumberForma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/>
    </xf>
    <xf numFmtId="164" fontId="2" fillId="0" borderId="0" xfId="0" applyNumberFormat="1" applyFont="1"/>
    <xf numFmtId="164" fontId="3" fillId="0" borderId="0" xfId="0" applyNumberFormat="1" applyFont="1" applyAlignment="1">
      <alignment horizontal="center" vertical="center"/>
    </xf>
    <xf numFmtId="164" fontId="3" fillId="0" borderId="0" xfId="0" applyNumberFormat="1" applyFont="1"/>
    <xf numFmtId="0" fontId="0" fillId="2" borderId="0" xfId="0" applyFill="1"/>
    <xf numFmtId="164" fontId="2" fillId="2" borderId="0" xfId="0" applyNumberFormat="1" applyFont="1" applyFill="1"/>
    <xf numFmtId="164" fontId="3" fillId="2" borderId="0" xfId="0" applyNumberFormat="1" applyFont="1" applyFill="1"/>
    <xf numFmtId="164" fontId="1" fillId="2" borderId="0" xfId="0" applyNumberFormat="1" applyFont="1" applyFill="1"/>
    <xf numFmtId="164" fontId="0" fillId="2" borderId="0" xfId="0" applyNumberFormat="1" applyFill="1"/>
    <xf numFmtId="0" fontId="0" fillId="2" borderId="1" xfId="0" applyFill="1" applyBorder="1"/>
    <xf numFmtId="164" fontId="2" fillId="2" borderId="1" xfId="0" applyNumberFormat="1" applyFont="1" applyFill="1" applyBorder="1"/>
    <xf numFmtId="164" fontId="3" fillId="2" borderId="1" xfId="0" applyNumberFormat="1" applyFont="1" applyFill="1" applyBorder="1"/>
    <xf numFmtId="164" fontId="1" fillId="2" borderId="1" xfId="0" applyNumberFormat="1" applyFont="1" applyFill="1" applyBorder="1"/>
    <xf numFmtId="164" fontId="0" fillId="2" borderId="1" xfId="0" applyNumberFormat="1" applyFill="1" applyBorder="1"/>
    <xf numFmtId="0" fontId="1" fillId="2" borderId="0" xfId="0" applyFont="1" applyFill="1"/>
    <xf numFmtId="164" fontId="4" fillId="2" borderId="0" xfId="0" applyNumberFormat="1" applyFont="1" applyFill="1"/>
    <xf numFmtId="164" fontId="5" fillId="2" borderId="0" xfId="0" applyNumberFormat="1" applyFont="1" applyFill="1"/>
    <xf numFmtId="10" fontId="6" fillId="2" borderId="0" xfId="0" applyNumberFormat="1" applyFont="1" applyFill="1"/>
    <xf numFmtId="0" fontId="0" fillId="3" borderId="0" xfId="0" applyFill="1"/>
    <xf numFmtId="164" fontId="2" fillId="3" borderId="0" xfId="0" applyNumberFormat="1" applyFont="1" applyFill="1"/>
    <xf numFmtId="164" fontId="3" fillId="3" borderId="0" xfId="0" applyNumberFormat="1" applyFont="1" applyFill="1"/>
    <xf numFmtId="164" fontId="1" fillId="3" borderId="0" xfId="0" applyNumberFormat="1" applyFont="1" applyFill="1"/>
    <xf numFmtId="164" fontId="0" fillId="3" borderId="0" xfId="0" applyNumberFormat="1" applyFill="1"/>
    <xf numFmtId="0" fontId="0" fillId="3" borderId="1" xfId="0" applyFill="1" applyBorder="1"/>
    <xf numFmtId="164" fontId="2" fillId="3" borderId="1" xfId="0" applyNumberFormat="1" applyFont="1" applyFill="1" applyBorder="1"/>
    <xf numFmtId="164" fontId="3" fillId="3" borderId="1" xfId="0" applyNumberFormat="1" applyFont="1" applyFill="1" applyBorder="1"/>
    <xf numFmtId="164" fontId="1" fillId="3" borderId="1" xfId="0" applyNumberFormat="1" applyFont="1" applyFill="1" applyBorder="1"/>
    <xf numFmtId="164" fontId="0" fillId="3" borderId="1" xfId="0" applyNumberFormat="1" applyFill="1" applyBorder="1"/>
    <xf numFmtId="0" fontId="1" fillId="3" borderId="0" xfId="0" applyFont="1" applyFill="1"/>
    <xf numFmtId="164" fontId="4" fillId="3" borderId="0" xfId="0" applyNumberFormat="1" applyFont="1" applyFill="1"/>
    <xf numFmtId="164" fontId="5" fillId="3" borderId="0" xfId="0" applyNumberFormat="1" applyFont="1" applyFill="1"/>
    <xf numFmtId="10" fontId="6" fillId="3" borderId="0" xfId="0" applyNumberFormat="1" applyFont="1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1ECD4-52F4-4193-B1CE-9994E61F0927}">
  <sheetPr codeName="Sheet1"/>
  <dimension ref="A1:A15"/>
  <sheetViews>
    <sheetView workbookViewId="0"/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  <row r="9" spans="1:1" x14ac:dyDescent="0.25">
      <c r="A9" t="s">
        <v>29</v>
      </c>
    </row>
    <row r="10" spans="1:1" x14ac:dyDescent="0.25">
      <c r="A10" t="s">
        <v>30</v>
      </c>
    </row>
    <row r="11" spans="1:1" x14ac:dyDescent="0.25">
      <c r="A11" t="s">
        <v>31</v>
      </c>
    </row>
    <row r="12" spans="1:1" x14ac:dyDescent="0.25">
      <c r="A12" t="s">
        <v>32</v>
      </c>
    </row>
    <row r="13" spans="1:1" x14ac:dyDescent="0.25">
      <c r="A13" t="s">
        <v>33</v>
      </c>
    </row>
    <row r="14" spans="1:1" x14ac:dyDescent="0.25">
      <c r="A14" t="s">
        <v>34</v>
      </c>
    </row>
    <row r="15" spans="1:1" x14ac:dyDescent="0.25">
      <c r="A15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C5910-8901-41B9-85E6-52D4E73C1FA1}">
  <dimension ref="A1:G1082"/>
  <sheetViews>
    <sheetView tabSelected="1" workbookViewId="0"/>
  </sheetViews>
  <sheetFormatPr defaultRowHeight="15" x14ac:dyDescent="0.25"/>
  <sheetData>
    <row r="1" spans="1:7" x14ac:dyDescent="0.25">
      <c r="A1" t="s">
        <v>36</v>
      </c>
      <c r="B1" t="s">
        <v>37</v>
      </c>
      <c r="C1" t="s">
        <v>1</v>
      </c>
      <c r="D1" t="s">
        <v>38</v>
      </c>
      <c r="E1" t="s">
        <v>39</v>
      </c>
      <c r="F1" t="s">
        <v>40</v>
      </c>
      <c r="G1" t="s">
        <v>41</v>
      </c>
    </row>
    <row r="2" spans="1:7" x14ac:dyDescent="0.25">
      <c r="A2" t="s">
        <v>21</v>
      </c>
      <c r="B2">
        <v>2019</v>
      </c>
      <c r="C2" t="s">
        <v>7</v>
      </c>
      <c r="F2">
        <v>0</v>
      </c>
      <c r="G2" s="39">
        <v>43466</v>
      </c>
    </row>
    <row r="3" spans="1:7" x14ac:dyDescent="0.25">
      <c r="A3" t="s">
        <v>21</v>
      </c>
      <c r="B3">
        <v>2019</v>
      </c>
      <c r="C3" t="s">
        <v>8</v>
      </c>
      <c r="F3">
        <v>0</v>
      </c>
      <c r="G3" s="39">
        <v>43497</v>
      </c>
    </row>
    <row r="4" spans="1:7" x14ac:dyDescent="0.25">
      <c r="A4" t="s">
        <v>21</v>
      </c>
      <c r="B4">
        <v>2019</v>
      </c>
      <c r="C4" t="s">
        <v>9</v>
      </c>
      <c r="F4">
        <v>0</v>
      </c>
      <c r="G4" s="39">
        <v>43525</v>
      </c>
    </row>
    <row r="5" spans="1:7" x14ac:dyDescent="0.25">
      <c r="A5" t="s">
        <v>21</v>
      </c>
      <c r="B5">
        <v>2019</v>
      </c>
      <c r="C5" t="s">
        <v>10</v>
      </c>
      <c r="D5">
        <v>185625.18395499999</v>
      </c>
      <c r="E5">
        <v>20057.400874999999</v>
      </c>
      <c r="F5">
        <v>165567.78307999999</v>
      </c>
      <c r="G5" s="39">
        <v>43556</v>
      </c>
    </row>
    <row r="6" spans="1:7" x14ac:dyDescent="0.25">
      <c r="A6" t="s">
        <v>21</v>
      </c>
      <c r="B6">
        <v>2019</v>
      </c>
      <c r="C6" t="s">
        <v>11</v>
      </c>
      <c r="D6">
        <v>19705.439999999999</v>
      </c>
      <c r="E6">
        <v>69278.997178999998</v>
      </c>
      <c r="F6">
        <v>115994.225901</v>
      </c>
      <c r="G6" s="39">
        <v>43586</v>
      </c>
    </row>
    <row r="7" spans="1:7" x14ac:dyDescent="0.25">
      <c r="A7" t="s">
        <v>21</v>
      </c>
      <c r="B7">
        <v>2019</v>
      </c>
      <c r="C7" t="s">
        <v>12</v>
      </c>
      <c r="D7">
        <v>190448.42525999999</v>
      </c>
      <c r="E7">
        <v>87998.139494999996</v>
      </c>
      <c r="F7">
        <v>218444.51166600001</v>
      </c>
      <c r="G7" s="39">
        <v>43617</v>
      </c>
    </row>
    <row r="8" spans="1:7" x14ac:dyDescent="0.25">
      <c r="A8" t="s">
        <v>21</v>
      </c>
      <c r="B8">
        <v>2019</v>
      </c>
      <c r="C8" t="s">
        <v>13</v>
      </c>
      <c r="D8">
        <v>116249.745544</v>
      </c>
      <c r="E8">
        <v>120820.278942</v>
      </c>
      <c r="F8">
        <v>213873.97826800001</v>
      </c>
      <c r="G8" s="39">
        <v>43647</v>
      </c>
    </row>
    <row r="9" spans="1:7" x14ac:dyDescent="0.25">
      <c r="A9" t="s">
        <v>21</v>
      </c>
      <c r="B9">
        <v>2019</v>
      </c>
      <c r="C9" t="s">
        <v>14</v>
      </c>
      <c r="D9">
        <v>99813.036829000004</v>
      </c>
      <c r="E9">
        <v>113103.57687999999</v>
      </c>
      <c r="F9">
        <v>200583.43821699999</v>
      </c>
      <c r="G9" s="39">
        <v>43678</v>
      </c>
    </row>
    <row r="10" spans="1:7" x14ac:dyDescent="0.25">
      <c r="A10" t="s">
        <v>21</v>
      </c>
      <c r="B10">
        <v>2019</v>
      </c>
      <c r="C10" t="s">
        <v>15</v>
      </c>
      <c r="D10">
        <v>108115.62</v>
      </c>
      <c r="E10">
        <v>118259.183839</v>
      </c>
      <c r="F10">
        <v>190439.87437799998</v>
      </c>
      <c r="G10" s="39">
        <v>43709</v>
      </c>
    </row>
    <row r="11" spans="1:7" x14ac:dyDescent="0.25">
      <c r="A11" t="s">
        <v>21</v>
      </c>
      <c r="B11">
        <v>2019</v>
      </c>
      <c r="C11" t="s">
        <v>16</v>
      </c>
      <c r="D11">
        <v>210031.32053299999</v>
      </c>
      <c r="E11">
        <v>136473.165996</v>
      </c>
      <c r="F11">
        <v>263998.02891499997</v>
      </c>
      <c r="G11" s="39">
        <v>43739</v>
      </c>
    </row>
    <row r="12" spans="1:7" x14ac:dyDescent="0.25">
      <c r="A12" t="s">
        <v>21</v>
      </c>
      <c r="B12">
        <v>2019</v>
      </c>
      <c r="C12" t="s">
        <v>17</v>
      </c>
      <c r="D12">
        <v>61576.046000000002</v>
      </c>
      <c r="E12">
        <v>148326.06457300001</v>
      </c>
      <c r="F12">
        <v>177248.01034199999</v>
      </c>
      <c r="G12" s="39">
        <v>43770</v>
      </c>
    </row>
    <row r="13" spans="1:7" x14ac:dyDescent="0.25">
      <c r="A13" t="s">
        <v>21</v>
      </c>
      <c r="B13">
        <v>2019</v>
      </c>
      <c r="C13" t="s">
        <v>18</v>
      </c>
      <c r="D13">
        <v>109576.735231</v>
      </c>
      <c r="E13">
        <v>83255.190619000001</v>
      </c>
      <c r="F13">
        <v>203569.55495399999</v>
      </c>
      <c r="G13" s="39">
        <v>43800</v>
      </c>
    </row>
    <row r="14" spans="1:7" x14ac:dyDescent="0.25">
      <c r="A14" t="s">
        <v>21</v>
      </c>
      <c r="B14">
        <v>2020</v>
      </c>
      <c r="C14" t="s">
        <v>7</v>
      </c>
      <c r="D14">
        <v>-1018.226286</v>
      </c>
      <c r="E14">
        <v>99130.868390999996</v>
      </c>
      <c r="F14">
        <v>103420.46027700001</v>
      </c>
      <c r="G14" s="39">
        <v>43831</v>
      </c>
    </row>
    <row r="15" spans="1:7" x14ac:dyDescent="0.25">
      <c r="A15" t="s">
        <v>21</v>
      </c>
      <c r="B15">
        <v>2020</v>
      </c>
      <c r="C15" t="s">
        <v>8</v>
      </c>
      <c r="D15">
        <v>200713.54757</v>
      </c>
      <c r="E15">
        <v>125374.457247</v>
      </c>
      <c r="F15">
        <v>178759.55060000002</v>
      </c>
      <c r="G15" s="39">
        <v>43862</v>
      </c>
    </row>
    <row r="16" spans="1:7" x14ac:dyDescent="0.25">
      <c r="A16" t="s">
        <v>21</v>
      </c>
      <c r="B16">
        <v>2020</v>
      </c>
      <c r="C16" t="s">
        <v>9</v>
      </c>
      <c r="D16">
        <v>320138.98</v>
      </c>
      <c r="E16">
        <v>126734.29416799999</v>
      </c>
      <c r="F16">
        <v>372164.23643200001</v>
      </c>
      <c r="G16" s="39">
        <v>43891</v>
      </c>
    </row>
    <row r="17" spans="1:7" x14ac:dyDescent="0.25">
      <c r="A17" t="s">
        <v>21</v>
      </c>
      <c r="B17">
        <v>2020</v>
      </c>
      <c r="C17" t="s">
        <v>10</v>
      </c>
      <c r="D17">
        <v>-704.33918500000004</v>
      </c>
      <c r="E17">
        <v>102005.350852</v>
      </c>
      <c r="F17">
        <v>269454.54639500001</v>
      </c>
      <c r="G17" s="39">
        <v>43922</v>
      </c>
    </row>
    <row r="18" spans="1:7" x14ac:dyDescent="0.25">
      <c r="A18" t="s">
        <v>21</v>
      </c>
      <c r="B18">
        <v>2020</v>
      </c>
      <c r="C18" t="s">
        <v>11</v>
      </c>
      <c r="D18">
        <v>95470.242643000005</v>
      </c>
      <c r="E18">
        <v>125069.01796500001</v>
      </c>
      <c r="F18">
        <v>239855.77107300004</v>
      </c>
      <c r="G18" s="39">
        <v>43952</v>
      </c>
    </row>
    <row r="19" spans="1:7" x14ac:dyDescent="0.25">
      <c r="A19" t="s">
        <v>21</v>
      </c>
      <c r="B19">
        <v>2020</v>
      </c>
      <c r="C19" t="s">
        <v>12</v>
      </c>
      <c r="D19">
        <v>90508.39</v>
      </c>
      <c r="E19">
        <v>111189.994573</v>
      </c>
      <c r="F19">
        <v>219174.16650000005</v>
      </c>
      <c r="G19" s="39">
        <v>43983</v>
      </c>
    </row>
    <row r="20" spans="1:7" x14ac:dyDescent="0.25">
      <c r="A20" t="s">
        <v>21</v>
      </c>
      <c r="B20">
        <v>2020</v>
      </c>
      <c r="C20" t="s">
        <v>13</v>
      </c>
      <c r="D20">
        <v>185955.95100500001</v>
      </c>
      <c r="E20">
        <v>185800.15043800001</v>
      </c>
      <c r="F20">
        <v>219329.96706700008</v>
      </c>
      <c r="G20" s="39">
        <v>44013</v>
      </c>
    </row>
    <row r="21" spans="1:7" x14ac:dyDescent="0.25">
      <c r="A21" t="s">
        <v>21</v>
      </c>
      <c r="B21">
        <v>2020</v>
      </c>
      <c r="C21" t="s">
        <v>14</v>
      </c>
      <c r="D21">
        <v>272370.876697</v>
      </c>
      <c r="E21">
        <v>164914.95695299999</v>
      </c>
      <c r="F21">
        <v>326785.88681100012</v>
      </c>
      <c r="G21" s="39">
        <v>44044</v>
      </c>
    </row>
    <row r="22" spans="1:7" x14ac:dyDescent="0.25">
      <c r="A22" t="s">
        <v>21</v>
      </c>
      <c r="B22">
        <v>2020</v>
      </c>
      <c r="C22" t="s">
        <v>15</v>
      </c>
      <c r="D22">
        <v>303899.84538499999</v>
      </c>
      <c r="E22">
        <v>176954.91021</v>
      </c>
      <c r="F22">
        <v>453730.82198600017</v>
      </c>
      <c r="G22" s="39">
        <v>44075</v>
      </c>
    </row>
    <row r="23" spans="1:7" x14ac:dyDescent="0.25">
      <c r="A23" t="s">
        <v>21</v>
      </c>
      <c r="B23">
        <v>2020</v>
      </c>
      <c r="C23" t="s">
        <v>16</v>
      </c>
      <c r="D23">
        <v>199754</v>
      </c>
      <c r="E23">
        <v>195586.31894900001</v>
      </c>
      <c r="F23">
        <v>457898.50303700019</v>
      </c>
      <c r="G23" s="39">
        <v>44105</v>
      </c>
    </row>
    <row r="24" spans="1:7" x14ac:dyDescent="0.25">
      <c r="A24" t="s">
        <v>21</v>
      </c>
      <c r="B24">
        <v>2020</v>
      </c>
      <c r="C24" t="s">
        <v>17</v>
      </c>
      <c r="D24">
        <v>117707.989999</v>
      </c>
      <c r="E24">
        <v>163667.105606</v>
      </c>
      <c r="F24">
        <v>411939.38743000018</v>
      </c>
      <c r="G24" s="39">
        <v>44136</v>
      </c>
    </row>
    <row r="25" spans="1:7" x14ac:dyDescent="0.25">
      <c r="A25" t="s">
        <v>21</v>
      </c>
      <c r="B25">
        <v>2020</v>
      </c>
      <c r="C25" t="s">
        <v>18</v>
      </c>
      <c r="D25">
        <v>111729.229507</v>
      </c>
      <c r="E25">
        <v>109906.088101</v>
      </c>
      <c r="F25">
        <v>413762.52883600019</v>
      </c>
      <c r="G25" s="39">
        <v>44166</v>
      </c>
    </row>
    <row r="26" spans="1:7" x14ac:dyDescent="0.25">
      <c r="A26" t="s">
        <v>21</v>
      </c>
      <c r="B26">
        <v>2021</v>
      </c>
      <c r="C26" t="s">
        <v>7</v>
      </c>
      <c r="D26">
        <v>53833.88</v>
      </c>
      <c r="E26">
        <v>160012.13151400001</v>
      </c>
      <c r="F26">
        <v>307584.27732200018</v>
      </c>
      <c r="G26" s="39">
        <v>44197</v>
      </c>
    </row>
    <row r="27" spans="1:7" x14ac:dyDescent="0.25">
      <c r="A27" t="s">
        <v>21</v>
      </c>
      <c r="B27">
        <v>2021</v>
      </c>
      <c r="C27" t="s">
        <v>8</v>
      </c>
      <c r="D27">
        <v>303998.65166500001</v>
      </c>
      <c r="E27">
        <v>261504.83363099999</v>
      </c>
      <c r="F27">
        <v>350078.09535600012</v>
      </c>
      <c r="G27" s="39">
        <v>44228</v>
      </c>
    </row>
    <row r="28" spans="1:7" x14ac:dyDescent="0.25">
      <c r="A28" t="s">
        <v>21</v>
      </c>
      <c r="B28">
        <v>2021</v>
      </c>
      <c r="C28" t="s">
        <v>9</v>
      </c>
      <c r="D28">
        <v>489732.65822300001</v>
      </c>
      <c r="E28">
        <v>265382.92813100002</v>
      </c>
      <c r="F28">
        <v>574427.82544800011</v>
      </c>
      <c r="G28" s="39">
        <v>44256</v>
      </c>
    </row>
    <row r="29" spans="1:7" x14ac:dyDescent="0.25">
      <c r="A29" t="s">
        <v>21</v>
      </c>
      <c r="B29">
        <v>2021</v>
      </c>
      <c r="C29" t="s">
        <v>10</v>
      </c>
      <c r="D29">
        <v>404366.62</v>
      </c>
      <c r="E29">
        <v>281127.99800299999</v>
      </c>
      <c r="F29">
        <v>697666.44744500006</v>
      </c>
      <c r="G29" s="39">
        <v>44287</v>
      </c>
    </row>
    <row r="30" spans="1:7" x14ac:dyDescent="0.25">
      <c r="A30" t="s">
        <v>21</v>
      </c>
      <c r="B30">
        <v>2021</v>
      </c>
      <c r="C30" t="s">
        <v>11</v>
      </c>
      <c r="D30">
        <v>122158.88</v>
      </c>
      <c r="E30">
        <v>245343.47144299999</v>
      </c>
      <c r="F30">
        <v>574481.85600200004</v>
      </c>
      <c r="G30" s="39">
        <v>44317</v>
      </c>
    </row>
    <row r="31" spans="1:7" x14ac:dyDescent="0.25">
      <c r="A31" t="s">
        <v>21</v>
      </c>
      <c r="B31">
        <v>2021</v>
      </c>
      <c r="C31" t="s">
        <v>12</v>
      </c>
      <c r="D31">
        <v>266993.62183100003</v>
      </c>
      <c r="E31">
        <v>267655.74258000002</v>
      </c>
      <c r="F31">
        <v>573819.73525299993</v>
      </c>
      <c r="G31" s="39">
        <v>44348</v>
      </c>
    </row>
    <row r="32" spans="1:7" x14ac:dyDescent="0.25">
      <c r="A32" t="s">
        <v>21</v>
      </c>
      <c r="B32">
        <v>2021</v>
      </c>
      <c r="C32" t="s">
        <v>13</v>
      </c>
      <c r="D32">
        <v>229674.98</v>
      </c>
      <c r="E32">
        <v>227194.86780899999</v>
      </c>
      <c r="F32">
        <v>576299.84744399996</v>
      </c>
      <c r="G32" s="39">
        <v>44378</v>
      </c>
    </row>
    <row r="33" spans="1:7" x14ac:dyDescent="0.25">
      <c r="A33" t="s">
        <v>21</v>
      </c>
      <c r="B33">
        <v>2021</v>
      </c>
      <c r="C33" t="s">
        <v>14</v>
      </c>
      <c r="D33">
        <v>1180338.8445639999</v>
      </c>
      <c r="E33">
        <v>1093411.8935740001</v>
      </c>
      <c r="F33">
        <v>663226.79843399976</v>
      </c>
      <c r="G33" s="39">
        <v>44409</v>
      </c>
    </row>
    <row r="34" spans="1:7" x14ac:dyDescent="0.25">
      <c r="A34" t="s">
        <v>21</v>
      </c>
      <c r="B34">
        <v>2021</v>
      </c>
      <c r="C34" t="s">
        <v>15</v>
      </c>
      <c r="D34">
        <v>290105.80999500002</v>
      </c>
      <c r="E34">
        <v>326204.65157799999</v>
      </c>
      <c r="F34">
        <v>627127.95685099973</v>
      </c>
      <c r="G34" s="39">
        <v>44440</v>
      </c>
    </row>
    <row r="35" spans="1:7" x14ac:dyDescent="0.25">
      <c r="A35" t="s">
        <v>21</v>
      </c>
      <c r="B35">
        <v>2021</v>
      </c>
      <c r="C35" t="s">
        <v>16</v>
      </c>
      <c r="D35">
        <v>2688264.1862829998</v>
      </c>
      <c r="E35">
        <v>2428992.6079739998</v>
      </c>
      <c r="F35">
        <v>886399.53515999997</v>
      </c>
      <c r="G35" s="39">
        <v>44470</v>
      </c>
    </row>
    <row r="36" spans="1:7" x14ac:dyDescent="0.25">
      <c r="A36" t="s">
        <v>21</v>
      </c>
      <c r="B36">
        <v>2021</v>
      </c>
      <c r="C36" t="s">
        <v>17</v>
      </c>
      <c r="D36">
        <v>309000.07</v>
      </c>
      <c r="E36">
        <v>230155.75556300001</v>
      </c>
      <c r="F36">
        <v>965243.84959700005</v>
      </c>
      <c r="G36" s="39">
        <v>44501</v>
      </c>
    </row>
    <row r="37" spans="1:7" x14ac:dyDescent="0.25">
      <c r="A37" t="s">
        <v>21</v>
      </c>
      <c r="B37">
        <v>2021</v>
      </c>
      <c r="C37" t="s">
        <v>18</v>
      </c>
      <c r="D37">
        <v>222980.37</v>
      </c>
      <c r="E37">
        <v>275565.13191400003</v>
      </c>
      <c r="F37">
        <v>912659.08768300014</v>
      </c>
      <c r="G37" s="39">
        <v>44531</v>
      </c>
    </row>
    <row r="38" spans="1:7" x14ac:dyDescent="0.25">
      <c r="A38" t="s">
        <v>21</v>
      </c>
      <c r="B38">
        <v>2022</v>
      </c>
      <c r="C38" t="s">
        <v>7</v>
      </c>
      <c r="D38">
        <v>354258.87</v>
      </c>
      <c r="E38">
        <v>261564.543336</v>
      </c>
      <c r="F38">
        <v>1005353.4143470002</v>
      </c>
      <c r="G38" s="39">
        <v>44562</v>
      </c>
    </row>
    <row r="39" spans="1:7" x14ac:dyDescent="0.25">
      <c r="A39" t="s">
        <v>21</v>
      </c>
      <c r="B39">
        <v>2022</v>
      </c>
      <c r="C39" t="s">
        <v>8</v>
      </c>
      <c r="D39">
        <v>371877.13999900001</v>
      </c>
      <c r="E39">
        <v>356785.02308900002</v>
      </c>
      <c r="F39">
        <v>1020445.5312570003</v>
      </c>
      <c r="G39" s="39">
        <v>44593</v>
      </c>
    </row>
    <row r="40" spans="1:7" x14ac:dyDescent="0.25">
      <c r="A40" t="s">
        <v>21</v>
      </c>
      <c r="B40">
        <v>2022</v>
      </c>
      <c r="C40" t="s">
        <v>9</v>
      </c>
      <c r="D40">
        <v>464819.10999899998</v>
      </c>
      <c r="E40">
        <v>400586.36166200001</v>
      </c>
      <c r="F40">
        <v>1084678.2795940004</v>
      </c>
      <c r="G40" s="39">
        <v>44621</v>
      </c>
    </row>
    <row r="41" spans="1:7" x14ac:dyDescent="0.25">
      <c r="A41" t="s">
        <v>21</v>
      </c>
      <c r="B41">
        <v>2022</v>
      </c>
      <c r="C41" t="s">
        <v>10</v>
      </c>
      <c r="D41">
        <v>320284.07</v>
      </c>
      <c r="E41">
        <v>332181.57838700002</v>
      </c>
      <c r="F41">
        <v>1072780.7712070006</v>
      </c>
      <c r="G41" s="39">
        <v>44652</v>
      </c>
    </row>
    <row r="42" spans="1:7" x14ac:dyDescent="0.25">
      <c r="A42" t="s">
        <v>21</v>
      </c>
      <c r="B42">
        <v>2022</v>
      </c>
      <c r="C42" t="s">
        <v>11</v>
      </c>
      <c r="D42">
        <v>478226.199998</v>
      </c>
      <c r="E42">
        <v>466303.176117</v>
      </c>
      <c r="F42">
        <v>1084703.7950880006</v>
      </c>
      <c r="G42" s="39">
        <v>44682</v>
      </c>
    </row>
    <row r="43" spans="1:7" x14ac:dyDescent="0.25">
      <c r="A43" t="s">
        <v>21</v>
      </c>
      <c r="B43">
        <v>2022</v>
      </c>
      <c r="C43" t="s">
        <v>12</v>
      </c>
      <c r="D43">
        <v>739068.10999799997</v>
      </c>
      <c r="E43">
        <v>598996.07178400003</v>
      </c>
      <c r="F43">
        <v>1224775.8333020005</v>
      </c>
      <c r="G43" s="39">
        <v>44713</v>
      </c>
    </row>
    <row r="44" spans="1:7" x14ac:dyDescent="0.25">
      <c r="A44" t="s">
        <v>21</v>
      </c>
      <c r="B44">
        <v>2022</v>
      </c>
      <c r="C44" t="s">
        <v>13</v>
      </c>
      <c r="D44">
        <v>358981.949999</v>
      </c>
      <c r="E44">
        <v>576173.29991099995</v>
      </c>
      <c r="F44">
        <v>1007584.4833900005</v>
      </c>
      <c r="G44" s="39">
        <v>44743</v>
      </c>
    </row>
    <row r="45" spans="1:7" x14ac:dyDescent="0.25">
      <c r="A45" t="s">
        <v>21</v>
      </c>
      <c r="B45">
        <v>2022</v>
      </c>
      <c r="C45" t="s">
        <v>14</v>
      </c>
      <c r="D45">
        <v>465917.25</v>
      </c>
      <c r="E45">
        <v>443273.43150399998</v>
      </c>
      <c r="F45">
        <v>1030228.3018860007</v>
      </c>
      <c r="G45" s="39">
        <v>44774</v>
      </c>
    </row>
    <row r="46" spans="1:7" x14ac:dyDescent="0.25">
      <c r="A46" t="s">
        <v>21</v>
      </c>
      <c r="B46">
        <v>2022</v>
      </c>
      <c r="C46" t="s">
        <v>15</v>
      </c>
      <c r="D46">
        <v>329980.73999799998</v>
      </c>
      <c r="E46">
        <v>445744.60989899997</v>
      </c>
      <c r="F46">
        <v>914464.43198500061</v>
      </c>
      <c r="G46" s="39">
        <v>44805</v>
      </c>
    </row>
    <row r="47" spans="1:7" x14ac:dyDescent="0.25">
      <c r="A47" t="s">
        <v>21</v>
      </c>
      <c r="B47">
        <v>2022</v>
      </c>
      <c r="C47" t="s">
        <v>16</v>
      </c>
      <c r="D47">
        <v>506196.98999899998</v>
      </c>
      <c r="E47">
        <v>437328.16269000003</v>
      </c>
      <c r="F47">
        <v>983333.25929400057</v>
      </c>
      <c r="G47" s="39">
        <v>44835</v>
      </c>
    </row>
    <row r="48" spans="1:7" x14ac:dyDescent="0.25">
      <c r="A48" t="s">
        <v>21</v>
      </c>
      <c r="B48">
        <v>2022</v>
      </c>
      <c r="C48" t="s">
        <v>17</v>
      </c>
      <c r="D48">
        <v>344078.06</v>
      </c>
      <c r="E48">
        <v>498245.16049600003</v>
      </c>
      <c r="F48">
        <v>829166.15879800054</v>
      </c>
      <c r="G48" s="39">
        <v>44866</v>
      </c>
    </row>
    <row r="49" spans="1:7" x14ac:dyDescent="0.25">
      <c r="A49" t="s">
        <v>21</v>
      </c>
      <c r="B49">
        <v>2022</v>
      </c>
      <c r="C49" t="s">
        <v>18</v>
      </c>
      <c r="D49">
        <v>224374.65</v>
      </c>
      <c r="E49">
        <v>317938.15155000001</v>
      </c>
      <c r="F49">
        <v>735602.65724800038</v>
      </c>
      <c r="G49" s="39">
        <v>44896</v>
      </c>
    </row>
    <row r="50" spans="1:7" x14ac:dyDescent="0.25">
      <c r="A50" t="s">
        <v>21</v>
      </c>
      <c r="B50">
        <v>2023</v>
      </c>
      <c r="C50" t="s">
        <v>7</v>
      </c>
      <c r="D50">
        <v>482458.509999</v>
      </c>
      <c r="E50">
        <v>245845.65752400001</v>
      </c>
      <c r="F50">
        <v>972215.50972300034</v>
      </c>
      <c r="G50" s="39">
        <v>44927</v>
      </c>
    </row>
    <row r="51" spans="1:7" x14ac:dyDescent="0.25">
      <c r="A51" t="s">
        <v>21</v>
      </c>
      <c r="B51">
        <v>2023</v>
      </c>
      <c r="C51" t="s">
        <v>8</v>
      </c>
      <c r="D51">
        <v>433479.44</v>
      </c>
      <c r="E51">
        <v>396917.11582100001</v>
      </c>
      <c r="F51">
        <v>1008777.8339020004</v>
      </c>
      <c r="G51" s="39">
        <v>44958</v>
      </c>
    </row>
    <row r="52" spans="1:7" x14ac:dyDescent="0.25">
      <c r="A52" t="s">
        <v>21</v>
      </c>
      <c r="B52">
        <v>2023</v>
      </c>
      <c r="C52" t="s">
        <v>9</v>
      </c>
      <c r="D52">
        <v>429042.71</v>
      </c>
      <c r="E52">
        <v>408377.81489199999</v>
      </c>
      <c r="F52">
        <v>1029442.7290100004</v>
      </c>
      <c r="G52" s="39">
        <v>44986</v>
      </c>
    </row>
    <row r="53" spans="1:7" x14ac:dyDescent="0.25">
      <c r="A53" t="s">
        <v>21</v>
      </c>
      <c r="B53">
        <v>2023</v>
      </c>
      <c r="C53" t="s">
        <v>10</v>
      </c>
      <c r="D53">
        <v>308037.46999999997</v>
      </c>
      <c r="E53">
        <v>343638.96497899998</v>
      </c>
      <c r="F53">
        <v>993841.23403100041</v>
      </c>
      <c r="G53" s="39">
        <v>45017</v>
      </c>
    </row>
    <row r="54" spans="1:7" x14ac:dyDescent="0.25">
      <c r="A54" t="s">
        <v>21</v>
      </c>
      <c r="B54">
        <v>2023</v>
      </c>
      <c r="C54" t="s">
        <v>11</v>
      </c>
      <c r="D54">
        <v>418482.75</v>
      </c>
      <c r="E54">
        <v>390395.11813999998</v>
      </c>
      <c r="F54">
        <v>1021928.8658910005</v>
      </c>
      <c r="G54" s="39">
        <v>45047</v>
      </c>
    </row>
    <row r="55" spans="1:7" x14ac:dyDescent="0.25">
      <c r="A55" t="s">
        <v>21</v>
      </c>
      <c r="B55">
        <v>2023</v>
      </c>
      <c r="C55" t="s">
        <v>12</v>
      </c>
      <c r="D55">
        <v>423544.02999900002</v>
      </c>
      <c r="E55">
        <v>448398.84087299998</v>
      </c>
      <c r="F55">
        <v>997074.05501700053</v>
      </c>
      <c r="G55" s="39">
        <v>45078</v>
      </c>
    </row>
    <row r="56" spans="1:7" x14ac:dyDescent="0.25">
      <c r="A56" t="s">
        <v>21</v>
      </c>
      <c r="B56">
        <v>2023</v>
      </c>
      <c r="C56" t="s">
        <v>13</v>
      </c>
      <c r="D56">
        <v>608443.99</v>
      </c>
      <c r="E56">
        <v>432492.88241899997</v>
      </c>
      <c r="F56">
        <v>1173025.1625980006</v>
      </c>
      <c r="G56" s="39">
        <v>45108</v>
      </c>
    </row>
    <row r="57" spans="1:7" x14ac:dyDescent="0.25">
      <c r="A57" t="s">
        <v>21</v>
      </c>
      <c r="B57">
        <v>2023</v>
      </c>
      <c r="C57" t="s">
        <v>14</v>
      </c>
      <c r="D57">
        <v>532913.38</v>
      </c>
      <c r="E57">
        <v>627013.55802</v>
      </c>
      <c r="F57">
        <v>1078924.9845780008</v>
      </c>
      <c r="G57" s="39">
        <v>45139</v>
      </c>
    </row>
    <row r="58" spans="1:7" x14ac:dyDescent="0.25">
      <c r="A58" t="s">
        <v>21</v>
      </c>
      <c r="B58">
        <v>2023</v>
      </c>
      <c r="C58" t="s">
        <v>15</v>
      </c>
      <c r="D58">
        <v>904820.12999699998</v>
      </c>
      <c r="E58">
        <v>475948.97313200001</v>
      </c>
      <c r="F58">
        <v>1507796.1414430009</v>
      </c>
      <c r="G58" s="39">
        <v>45170</v>
      </c>
    </row>
    <row r="59" spans="1:7" x14ac:dyDescent="0.25">
      <c r="A59" t="s">
        <v>21</v>
      </c>
      <c r="B59">
        <v>2023</v>
      </c>
      <c r="C59" t="s">
        <v>16</v>
      </c>
      <c r="D59">
        <v>604939.13</v>
      </c>
      <c r="E59">
        <v>662084.62999699998</v>
      </c>
      <c r="F59">
        <v>1450650.6414460009</v>
      </c>
      <c r="G59" s="39">
        <v>45200</v>
      </c>
    </row>
    <row r="60" spans="1:7" x14ac:dyDescent="0.25">
      <c r="A60" t="s">
        <v>21</v>
      </c>
      <c r="B60">
        <v>2023</v>
      </c>
      <c r="C60" t="s">
        <v>17</v>
      </c>
      <c r="D60">
        <v>316239.63</v>
      </c>
      <c r="E60">
        <v>491086.231783</v>
      </c>
      <c r="F60">
        <v>1275804.0396630007</v>
      </c>
      <c r="G60" s="39">
        <v>45231</v>
      </c>
    </row>
    <row r="61" spans="1:7" x14ac:dyDescent="0.25">
      <c r="A61" t="s">
        <v>21</v>
      </c>
      <c r="B61">
        <v>2023</v>
      </c>
      <c r="C61" t="s">
        <v>18</v>
      </c>
      <c r="D61">
        <v>309371.80999899999</v>
      </c>
      <c r="E61">
        <v>438714.833965</v>
      </c>
      <c r="F61">
        <v>1146461.0156970008</v>
      </c>
      <c r="G61" s="39">
        <v>45261</v>
      </c>
    </row>
    <row r="62" spans="1:7" x14ac:dyDescent="0.25">
      <c r="A62" t="s">
        <v>21</v>
      </c>
      <c r="B62">
        <v>2024</v>
      </c>
      <c r="C62" t="s">
        <v>7</v>
      </c>
      <c r="F62">
        <v>1146461.0156970008</v>
      </c>
      <c r="G62" s="39">
        <v>45292</v>
      </c>
    </row>
    <row r="63" spans="1:7" x14ac:dyDescent="0.25">
      <c r="A63" t="s">
        <v>21</v>
      </c>
      <c r="B63">
        <v>2024</v>
      </c>
      <c r="C63" t="s">
        <v>8</v>
      </c>
      <c r="F63">
        <v>1146461.0156970008</v>
      </c>
      <c r="G63" s="39">
        <v>45323</v>
      </c>
    </row>
    <row r="64" spans="1:7" x14ac:dyDescent="0.25">
      <c r="A64" t="s">
        <v>21</v>
      </c>
      <c r="B64">
        <v>2024</v>
      </c>
      <c r="C64" t="s">
        <v>9</v>
      </c>
      <c r="F64">
        <v>1146461.0156970008</v>
      </c>
      <c r="G64" s="39">
        <v>45352</v>
      </c>
    </row>
    <row r="65" spans="1:7" x14ac:dyDescent="0.25">
      <c r="A65" t="s">
        <v>21</v>
      </c>
      <c r="B65">
        <v>2024</v>
      </c>
      <c r="C65" t="s">
        <v>10</v>
      </c>
      <c r="F65">
        <v>1146461.0156970008</v>
      </c>
      <c r="G65" s="39">
        <v>45383</v>
      </c>
    </row>
    <row r="66" spans="1:7" x14ac:dyDescent="0.25">
      <c r="A66" t="s">
        <v>21</v>
      </c>
      <c r="B66">
        <v>2024</v>
      </c>
      <c r="C66" t="s">
        <v>11</v>
      </c>
      <c r="F66">
        <v>1146461.0156970008</v>
      </c>
      <c r="G66" s="39">
        <v>45413</v>
      </c>
    </row>
    <row r="67" spans="1:7" x14ac:dyDescent="0.25">
      <c r="A67" t="s">
        <v>21</v>
      </c>
      <c r="B67">
        <v>2024</v>
      </c>
      <c r="C67" t="s">
        <v>12</v>
      </c>
      <c r="F67">
        <v>1146461.0156970008</v>
      </c>
      <c r="G67" s="39">
        <v>45444</v>
      </c>
    </row>
    <row r="68" spans="1:7" x14ac:dyDescent="0.25">
      <c r="A68" t="s">
        <v>21</v>
      </c>
      <c r="B68">
        <v>2024</v>
      </c>
      <c r="C68" t="s">
        <v>13</v>
      </c>
      <c r="F68">
        <v>1146461.0156970008</v>
      </c>
      <c r="G68" s="39">
        <v>45474</v>
      </c>
    </row>
    <row r="69" spans="1:7" x14ac:dyDescent="0.25">
      <c r="A69" t="s">
        <v>21</v>
      </c>
      <c r="B69">
        <v>2024</v>
      </c>
      <c r="C69" t="s">
        <v>14</v>
      </c>
      <c r="F69">
        <v>1146461.0156970008</v>
      </c>
      <c r="G69" s="39">
        <v>45505</v>
      </c>
    </row>
    <row r="70" spans="1:7" x14ac:dyDescent="0.25">
      <c r="A70" t="s">
        <v>21</v>
      </c>
      <c r="B70">
        <v>2024</v>
      </c>
      <c r="C70" t="s">
        <v>15</v>
      </c>
      <c r="F70">
        <v>1146461.0156970008</v>
      </c>
      <c r="G70" s="39">
        <v>45536</v>
      </c>
    </row>
    <row r="71" spans="1:7" x14ac:dyDescent="0.25">
      <c r="A71" t="s">
        <v>21</v>
      </c>
      <c r="B71">
        <v>2024</v>
      </c>
      <c r="C71" t="s">
        <v>16</v>
      </c>
      <c r="F71">
        <v>1146461.0156970008</v>
      </c>
      <c r="G71" s="39">
        <v>45566</v>
      </c>
    </row>
    <row r="72" spans="1:7" x14ac:dyDescent="0.25">
      <c r="A72" t="s">
        <v>21</v>
      </c>
      <c r="B72">
        <v>2024</v>
      </c>
      <c r="C72" t="s">
        <v>17</v>
      </c>
      <c r="F72">
        <v>1146461.0156970008</v>
      </c>
      <c r="G72" s="39">
        <v>45597</v>
      </c>
    </row>
    <row r="73" spans="1:7" x14ac:dyDescent="0.25">
      <c r="A73" t="s">
        <v>21</v>
      </c>
      <c r="B73">
        <v>2024</v>
      </c>
      <c r="C73" t="s">
        <v>18</v>
      </c>
      <c r="F73">
        <v>1146461.0156970008</v>
      </c>
      <c r="G73" s="39">
        <v>45627</v>
      </c>
    </row>
    <row r="74" spans="1:7" x14ac:dyDescent="0.25">
      <c r="A74" t="s">
        <v>22</v>
      </c>
      <c r="B74">
        <v>2019</v>
      </c>
      <c r="C74" t="s">
        <v>7</v>
      </c>
      <c r="F74">
        <v>0</v>
      </c>
      <c r="G74" s="39">
        <v>43466</v>
      </c>
    </row>
    <row r="75" spans="1:7" x14ac:dyDescent="0.25">
      <c r="A75" t="s">
        <v>22</v>
      </c>
      <c r="B75">
        <v>2019</v>
      </c>
      <c r="C75" t="s">
        <v>8</v>
      </c>
      <c r="F75">
        <v>0</v>
      </c>
      <c r="G75" s="39">
        <v>43497</v>
      </c>
    </row>
    <row r="76" spans="1:7" x14ac:dyDescent="0.25">
      <c r="A76" t="s">
        <v>22</v>
      </c>
      <c r="B76">
        <v>2019</v>
      </c>
      <c r="C76" t="s">
        <v>9</v>
      </c>
      <c r="F76">
        <v>0</v>
      </c>
      <c r="G76" s="39">
        <v>43525</v>
      </c>
    </row>
    <row r="77" spans="1:7" x14ac:dyDescent="0.25">
      <c r="A77" t="s">
        <v>22</v>
      </c>
      <c r="B77">
        <v>2019</v>
      </c>
      <c r="C77" t="s">
        <v>10</v>
      </c>
      <c r="F77">
        <v>0</v>
      </c>
      <c r="G77" s="39">
        <v>43556</v>
      </c>
    </row>
    <row r="78" spans="1:7" x14ac:dyDescent="0.25">
      <c r="A78" t="s">
        <v>22</v>
      </c>
      <c r="B78">
        <v>2019</v>
      </c>
      <c r="C78" t="s">
        <v>11</v>
      </c>
      <c r="F78">
        <v>0</v>
      </c>
      <c r="G78" s="39">
        <v>43586</v>
      </c>
    </row>
    <row r="79" spans="1:7" x14ac:dyDescent="0.25">
      <c r="A79" t="s">
        <v>22</v>
      </c>
      <c r="B79">
        <v>2019</v>
      </c>
      <c r="C79" t="s">
        <v>12</v>
      </c>
      <c r="F79">
        <v>0</v>
      </c>
      <c r="G79" s="39">
        <v>43617</v>
      </c>
    </row>
    <row r="80" spans="1:7" x14ac:dyDescent="0.25">
      <c r="A80" t="s">
        <v>22</v>
      </c>
      <c r="B80">
        <v>2019</v>
      </c>
      <c r="C80" t="s">
        <v>13</v>
      </c>
      <c r="F80">
        <v>0</v>
      </c>
      <c r="G80" s="39">
        <v>43647</v>
      </c>
    </row>
    <row r="81" spans="1:7" x14ac:dyDescent="0.25">
      <c r="A81" t="s">
        <v>22</v>
      </c>
      <c r="B81">
        <v>2019</v>
      </c>
      <c r="C81" t="s">
        <v>14</v>
      </c>
      <c r="F81">
        <v>0</v>
      </c>
      <c r="G81" s="39">
        <v>43678</v>
      </c>
    </row>
    <row r="82" spans="1:7" x14ac:dyDescent="0.25">
      <c r="A82" t="s">
        <v>22</v>
      </c>
      <c r="B82">
        <v>2019</v>
      </c>
      <c r="C82" t="s">
        <v>15</v>
      </c>
      <c r="F82">
        <v>0</v>
      </c>
      <c r="G82" s="39">
        <v>43709</v>
      </c>
    </row>
    <row r="83" spans="1:7" x14ac:dyDescent="0.25">
      <c r="A83" t="s">
        <v>22</v>
      </c>
      <c r="B83">
        <v>2019</v>
      </c>
      <c r="C83" t="s">
        <v>16</v>
      </c>
      <c r="F83">
        <v>0</v>
      </c>
      <c r="G83" s="39">
        <v>43739</v>
      </c>
    </row>
    <row r="84" spans="1:7" x14ac:dyDescent="0.25">
      <c r="A84" t="s">
        <v>22</v>
      </c>
      <c r="B84">
        <v>2019</v>
      </c>
      <c r="C84" t="s">
        <v>17</v>
      </c>
      <c r="F84">
        <v>0</v>
      </c>
      <c r="G84" s="39">
        <v>43770</v>
      </c>
    </row>
    <row r="85" spans="1:7" x14ac:dyDescent="0.25">
      <c r="A85" t="s">
        <v>22</v>
      </c>
      <c r="B85">
        <v>2019</v>
      </c>
      <c r="C85" t="s">
        <v>18</v>
      </c>
      <c r="F85">
        <v>0</v>
      </c>
      <c r="G85" s="39">
        <v>43800</v>
      </c>
    </row>
    <row r="86" spans="1:7" x14ac:dyDescent="0.25">
      <c r="A86" t="s">
        <v>22</v>
      </c>
      <c r="B86">
        <v>2020</v>
      </c>
      <c r="C86" t="s">
        <v>7</v>
      </c>
      <c r="F86">
        <v>0</v>
      </c>
      <c r="G86" s="39">
        <v>43831</v>
      </c>
    </row>
    <row r="87" spans="1:7" x14ac:dyDescent="0.25">
      <c r="A87" t="s">
        <v>22</v>
      </c>
      <c r="B87">
        <v>2020</v>
      </c>
      <c r="C87" t="s">
        <v>8</v>
      </c>
      <c r="F87">
        <v>0</v>
      </c>
      <c r="G87" s="39">
        <v>43862</v>
      </c>
    </row>
    <row r="88" spans="1:7" x14ac:dyDescent="0.25">
      <c r="A88" t="s">
        <v>22</v>
      </c>
      <c r="B88">
        <v>2020</v>
      </c>
      <c r="C88" t="s">
        <v>9</v>
      </c>
      <c r="D88">
        <v>222427.5</v>
      </c>
      <c r="E88">
        <v>0</v>
      </c>
      <c r="F88">
        <v>222427.5</v>
      </c>
      <c r="G88" s="39">
        <v>43891</v>
      </c>
    </row>
    <row r="89" spans="1:7" x14ac:dyDescent="0.25">
      <c r="A89" t="s">
        <v>22</v>
      </c>
      <c r="B89">
        <v>2020</v>
      </c>
      <c r="C89" t="s">
        <v>10</v>
      </c>
      <c r="D89">
        <v>0</v>
      </c>
      <c r="E89">
        <v>1299.8599999999999</v>
      </c>
      <c r="F89">
        <v>221127.64</v>
      </c>
      <c r="G89" s="39">
        <v>43922</v>
      </c>
    </row>
    <row r="90" spans="1:7" x14ac:dyDescent="0.25">
      <c r="A90" t="s">
        <v>22</v>
      </c>
      <c r="B90">
        <v>2020</v>
      </c>
      <c r="C90" t="s">
        <v>11</v>
      </c>
      <c r="D90">
        <v>0</v>
      </c>
      <c r="E90">
        <v>41259.56</v>
      </c>
      <c r="F90">
        <v>179868.08000000002</v>
      </c>
      <c r="G90" s="39">
        <v>43952</v>
      </c>
    </row>
    <row r="91" spans="1:7" x14ac:dyDescent="0.25">
      <c r="A91" t="s">
        <v>22</v>
      </c>
      <c r="B91">
        <v>2020</v>
      </c>
      <c r="C91" t="s">
        <v>12</v>
      </c>
      <c r="D91">
        <v>0</v>
      </c>
      <c r="E91">
        <v>2994.73</v>
      </c>
      <c r="F91">
        <v>176873.35</v>
      </c>
      <c r="G91" s="39">
        <v>43983</v>
      </c>
    </row>
    <row r="92" spans="1:7" x14ac:dyDescent="0.25">
      <c r="A92" t="s">
        <v>22</v>
      </c>
      <c r="B92">
        <v>2020</v>
      </c>
      <c r="C92" t="s">
        <v>13</v>
      </c>
      <c r="D92">
        <v>0</v>
      </c>
      <c r="E92">
        <v>11913.94</v>
      </c>
      <c r="F92">
        <v>164959.41</v>
      </c>
      <c r="G92" s="39">
        <v>44013</v>
      </c>
    </row>
    <row r="93" spans="1:7" x14ac:dyDescent="0.25">
      <c r="A93" t="s">
        <v>22</v>
      </c>
      <c r="B93">
        <v>2020</v>
      </c>
      <c r="C93" t="s">
        <v>14</v>
      </c>
      <c r="D93">
        <v>0</v>
      </c>
      <c r="E93">
        <v>14363.76</v>
      </c>
      <c r="F93">
        <v>150595.65</v>
      </c>
      <c r="G93" s="39">
        <v>44044</v>
      </c>
    </row>
    <row r="94" spans="1:7" x14ac:dyDescent="0.25">
      <c r="A94" t="s">
        <v>22</v>
      </c>
      <c r="B94">
        <v>2020</v>
      </c>
      <c r="C94" t="s">
        <v>15</v>
      </c>
      <c r="D94">
        <v>0</v>
      </c>
      <c r="E94">
        <v>5288.74</v>
      </c>
      <c r="F94">
        <v>145306.91</v>
      </c>
      <c r="G94" s="39">
        <v>44075</v>
      </c>
    </row>
    <row r="95" spans="1:7" x14ac:dyDescent="0.25">
      <c r="A95" t="s">
        <v>22</v>
      </c>
      <c r="B95">
        <v>2020</v>
      </c>
      <c r="C95" t="s">
        <v>16</v>
      </c>
      <c r="D95">
        <v>0</v>
      </c>
      <c r="E95">
        <v>3159.84</v>
      </c>
      <c r="F95">
        <v>142147.07</v>
      </c>
      <c r="G95" s="39">
        <v>44105</v>
      </c>
    </row>
    <row r="96" spans="1:7" x14ac:dyDescent="0.25">
      <c r="A96" t="s">
        <v>22</v>
      </c>
      <c r="B96">
        <v>2020</v>
      </c>
      <c r="C96" t="s">
        <v>17</v>
      </c>
      <c r="D96">
        <v>123241.65</v>
      </c>
      <c r="E96">
        <v>5698.41</v>
      </c>
      <c r="F96">
        <v>259690.30999999997</v>
      </c>
      <c r="G96" s="39">
        <v>44136</v>
      </c>
    </row>
    <row r="97" spans="1:7" x14ac:dyDescent="0.25">
      <c r="A97" t="s">
        <v>22</v>
      </c>
      <c r="B97">
        <v>2020</v>
      </c>
      <c r="C97" t="s">
        <v>18</v>
      </c>
      <c r="D97">
        <v>0</v>
      </c>
      <c r="E97">
        <v>1145.55</v>
      </c>
      <c r="F97">
        <v>258544.75999999998</v>
      </c>
      <c r="G97" s="39">
        <v>44166</v>
      </c>
    </row>
    <row r="98" spans="1:7" x14ac:dyDescent="0.25">
      <c r="A98" t="s">
        <v>22</v>
      </c>
      <c r="B98">
        <v>2021</v>
      </c>
      <c r="C98" t="s">
        <v>7</v>
      </c>
      <c r="D98">
        <v>0</v>
      </c>
      <c r="E98">
        <v>5566.81</v>
      </c>
      <c r="F98">
        <v>252977.94999999998</v>
      </c>
      <c r="G98" s="39">
        <v>44197</v>
      </c>
    </row>
    <row r="99" spans="1:7" x14ac:dyDescent="0.25">
      <c r="A99" t="s">
        <v>22</v>
      </c>
      <c r="B99">
        <v>2021</v>
      </c>
      <c r="C99" t="s">
        <v>8</v>
      </c>
      <c r="D99">
        <v>0</v>
      </c>
      <c r="E99">
        <v>22711.360000000001</v>
      </c>
      <c r="F99">
        <v>230266.58999999997</v>
      </c>
      <c r="G99" s="39">
        <v>44228</v>
      </c>
    </row>
    <row r="100" spans="1:7" x14ac:dyDescent="0.25">
      <c r="A100" t="s">
        <v>22</v>
      </c>
      <c r="B100">
        <v>2021</v>
      </c>
      <c r="C100" t="s">
        <v>9</v>
      </c>
      <c r="D100">
        <v>0</v>
      </c>
      <c r="E100">
        <v>2026.09</v>
      </c>
      <c r="F100">
        <v>228240.49999999997</v>
      </c>
      <c r="G100" s="39">
        <v>44256</v>
      </c>
    </row>
    <row r="101" spans="1:7" x14ac:dyDescent="0.25">
      <c r="A101" t="s">
        <v>22</v>
      </c>
      <c r="B101">
        <v>2021</v>
      </c>
      <c r="C101" t="s">
        <v>10</v>
      </c>
      <c r="D101">
        <v>0</v>
      </c>
      <c r="E101">
        <v>13034.45</v>
      </c>
      <c r="F101">
        <v>215206.04999999996</v>
      </c>
      <c r="G101" s="39">
        <v>44287</v>
      </c>
    </row>
    <row r="102" spans="1:7" x14ac:dyDescent="0.25">
      <c r="A102" t="s">
        <v>22</v>
      </c>
      <c r="B102">
        <v>2021</v>
      </c>
      <c r="C102" t="s">
        <v>11</v>
      </c>
      <c r="D102">
        <v>0</v>
      </c>
      <c r="E102">
        <v>2120.0500000000002</v>
      </c>
      <c r="F102">
        <v>213085.99999999997</v>
      </c>
      <c r="G102" s="39">
        <v>44317</v>
      </c>
    </row>
    <row r="103" spans="1:7" x14ac:dyDescent="0.25">
      <c r="A103" t="s">
        <v>22</v>
      </c>
      <c r="B103">
        <v>2021</v>
      </c>
      <c r="C103" t="s">
        <v>12</v>
      </c>
      <c r="D103">
        <v>0</v>
      </c>
      <c r="E103">
        <v>2423.1999999999998</v>
      </c>
      <c r="F103">
        <v>210662.79999999996</v>
      </c>
      <c r="G103" s="39">
        <v>44348</v>
      </c>
    </row>
    <row r="104" spans="1:7" x14ac:dyDescent="0.25">
      <c r="A104" t="s">
        <v>22</v>
      </c>
      <c r="B104">
        <v>2021</v>
      </c>
      <c r="C104" t="s">
        <v>13</v>
      </c>
      <c r="D104">
        <v>120834</v>
      </c>
      <c r="E104">
        <v>8285.59</v>
      </c>
      <c r="F104">
        <v>323211.2099999999</v>
      </c>
      <c r="G104" s="39">
        <v>44378</v>
      </c>
    </row>
    <row r="105" spans="1:7" x14ac:dyDescent="0.25">
      <c r="A105" t="s">
        <v>22</v>
      </c>
      <c r="B105">
        <v>2021</v>
      </c>
      <c r="C105" t="s">
        <v>14</v>
      </c>
      <c r="D105">
        <v>0</v>
      </c>
      <c r="E105">
        <v>75525.41</v>
      </c>
      <c r="F105">
        <v>247685.7999999999</v>
      </c>
      <c r="G105" s="39">
        <v>44409</v>
      </c>
    </row>
    <row r="106" spans="1:7" x14ac:dyDescent="0.25">
      <c r="A106" t="s">
        <v>22</v>
      </c>
      <c r="B106">
        <v>2021</v>
      </c>
      <c r="C106" t="s">
        <v>15</v>
      </c>
      <c r="D106">
        <v>0</v>
      </c>
      <c r="E106">
        <v>11377.64</v>
      </c>
      <c r="F106">
        <v>236308.15999999992</v>
      </c>
      <c r="G106" s="39">
        <v>44440</v>
      </c>
    </row>
    <row r="107" spans="1:7" x14ac:dyDescent="0.25">
      <c r="A107" t="s">
        <v>22</v>
      </c>
      <c r="B107">
        <v>2021</v>
      </c>
      <c r="C107" t="s">
        <v>16</v>
      </c>
      <c r="D107">
        <v>120834</v>
      </c>
      <c r="E107">
        <v>108076.97</v>
      </c>
      <c r="F107">
        <v>249065.18999999992</v>
      </c>
      <c r="G107" s="39">
        <v>44470</v>
      </c>
    </row>
    <row r="108" spans="1:7" x14ac:dyDescent="0.25">
      <c r="A108" t="s">
        <v>22</v>
      </c>
      <c r="B108">
        <v>2021</v>
      </c>
      <c r="C108" t="s">
        <v>17</v>
      </c>
      <c r="D108">
        <v>0</v>
      </c>
      <c r="E108">
        <v>18113.8</v>
      </c>
      <c r="F108">
        <v>230951.38999999993</v>
      </c>
      <c r="G108" s="39">
        <v>44501</v>
      </c>
    </row>
    <row r="109" spans="1:7" x14ac:dyDescent="0.25">
      <c r="A109" t="s">
        <v>22</v>
      </c>
      <c r="B109">
        <v>2021</v>
      </c>
      <c r="C109" t="s">
        <v>18</v>
      </c>
      <c r="D109">
        <v>0</v>
      </c>
      <c r="E109">
        <v>936.24</v>
      </c>
      <c r="F109">
        <v>230015.14999999994</v>
      </c>
      <c r="G109" s="39">
        <v>44531</v>
      </c>
    </row>
    <row r="110" spans="1:7" x14ac:dyDescent="0.25">
      <c r="A110" t="s">
        <v>22</v>
      </c>
      <c r="B110">
        <v>2022</v>
      </c>
      <c r="C110" t="s">
        <v>7</v>
      </c>
      <c r="D110">
        <v>0</v>
      </c>
      <c r="E110">
        <v>14481.68</v>
      </c>
      <c r="F110">
        <v>215533.46999999994</v>
      </c>
      <c r="G110" s="39">
        <v>44562</v>
      </c>
    </row>
    <row r="111" spans="1:7" x14ac:dyDescent="0.25">
      <c r="A111" t="s">
        <v>22</v>
      </c>
      <c r="B111">
        <v>2022</v>
      </c>
      <c r="C111" t="s">
        <v>8</v>
      </c>
      <c r="D111">
        <v>0</v>
      </c>
      <c r="E111">
        <v>5615.76</v>
      </c>
      <c r="F111">
        <v>209917.70999999993</v>
      </c>
      <c r="G111" s="39">
        <v>44593</v>
      </c>
    </row>
    <row r="112" spans="1:7" x14ac:dyDescent="0.25">
      <c r="A112" t="s">
        <v>22</v>
      </c>
      <c r="B112">
        <v>2022</v>
      </c>
      <c r="C112" t="s">
        <v>9</v>
      </c>
      <c r="D112">
        <v>0</v>
      </c>
      <c r="E112">
        <v>11105.78</v>
      </c>
      <c r="F112">
        <v>198811.92999999993</v>
      </c>
      <c r="G112" s="39">
        <v>44621</v>
      </c>
    </row>
    <row r="113" spans="1:7" x14ac:dyDescent="0.25">
      <c r="A113" t="s">
        <v>22</v>
      </c>
      <c r="B113">
        <v>2022</v>
      </c>
      <c r="C113" t="s">
        <v>10</v>
      </c>
      <c r="D113">
        <v>0</v>
      </c>
      <c r="E113">
        <v>1327.58</v>
      </c>
      <c r="F113">
        <v>197484.34999999995</v>
      </c>
      <c r="G113" s="39">
        <v>44652</v>
      </c>
    </row>
    <row r="114" spans="1:7" x14ac:dyDescent="0.25">
      <c r="A114" t="s">
        <v>22</v>
      </c>
      <c r="B114">
        <v>2022</v>
      </c>
      <c r="C114" t="s">
        <v>11</v>
      </c>
      <c r="D114">
        <v>0</v>
      </c>
      <c r="E114">
        <v>4161.24</v>
      </c>
      <c r="F114">
        <v>193323.10999999996</v>
      </c>
      <c r="G114" s="39">
        <v>44682</v>
      </c>
    </row>
    <row r="115" spans="1:7" x14ac:dyDescent="0.25">
      <c r="A115" t="s">
        <v>22</v>
      </c>
      <c r="B115">
        <v>2022</v>
      </c>
      <c r="C115" t="s">
        <v>12</v>
      </c>
      <c r="D115">
        <v>0</v>
      </c>
      <c r="E115">
        <v>8782.1200000000008</v>
      </c>
      <c r="F115">
        <v>184540.98999999996</v>
      </c>
      <c r="G115" s="39">
        <v>44713</v>
      </c>
    </row>
    <row r="116" spans="1:7" x14ac:dyDescent="0.25">
      <c r="A116" t="s">
        <v>22</v>
      </c>
      <c r="B116">
        <v>2022</v>
      </c>
      <c r="C116" t="s">
        <v>13</v>
      </c>
      <c r="D116">
        <v>0</v>
      </c>
      <c r="E116">
        <v>3058.01</v>
      </c>
      <c r="F116">
        <v>181482.97999999995</v>
      </c>
      <c r="G116" s="39">
        <v>44743</v>
      </c>
    </row>
    <row r="117" spans="1:7" x14ac:dyDescent="0.25">
      <c r="A117" t="s">
        <v>22</v>
      </c>
      <c r="B117">
        <v>2022</v>
      </c>
      <c r="C117" t="s">
        <v>14</v>
      </c>
      <c r="D117">
        <v>0</v>
      </c>
      <c r="E117">
        <v>5534.69</v>
      </c>
      <c r="F117">
        <v>175948.28999999995</v>
      </c>
      <c r="G117" s="39">
        <v>44774</v>
      </c>
    </row>
    <row r="118" spans="1:7" x14ac:dyDescent="0.25">
      <c r="A118" t="s">
        <v>22</v>
      </c>
      <c r="B118">
        <v>2022</v>
      </c>
      <c r="C118" t="s">
        <v>15</v>
      </c>
      <c r="D118">
        <v>0</v>
      </c>
      <c r="E118">
        <v>2934.15</v>
      </c>
      <c r="F118">
        <v>173014.13999999996</v>
      </c>
      <c r="G118" s="39">
        <v>44805</v>
      </c>
    </row>
    <row r="119" spans="1:7" x14ac:dyDescent="0.25">
      <c r="A119" t="s">
        <v>22</v>
      </c>
      <c r="B119">
        <v>2022</v>
      </c>
      <c r="C119" t="s">
        <v>16</v>
      </c>
      <c r="D119">
        <v>0</v>
      </c>
      <c r="E119">
        <v>3901.49</v>
      </c>
      <c r="F119">
        <v>169112.64999999997</v>
      </c>
      <c r="G119" s="39">
        <v>44835</v>
      </c>
    </row>
    <row r="120" spans="1:7" x14ac:dyDescent="0.25">
      <c r="A120" t="s">
        <v>22</v>
      </c>
      <c r="B120">
        <v>2022</v>
      </c>
      <c r="C120" t="s">
        <v>17</v>
      </c>
      <c r="D120">
        <v>8175.6</v>
      </c>
      <c r="E120">
        <v>1665.1</v>
      </c>
      <c r="F120">
        <v>175623.14999999997</v>
      </c>
      <c r="G120" s="39">
        <v>44866</v>
      </c>
    </row>
    <row r="121" spans="1:7" x14ac:dyDescent="0.25">
      <c r="A121" t="s">
        <v>22</v>
      </c>
      <c r="B121">
        <v>2022</v>
      </c>
      <c r="C121" t="s">
        <v>18</v>
      </c>
      <c r="D121">
        <v>0</v>
      </c>
      <c r="E121">
        <v>1915.65</v>
      </c>
      <c r="F121">
        <v>173707.49999999997</v>
      </c>
      <c r="G121" s="39">
        <v>44896</v>
      </c>
    </row>
    <row r="122" spans="1:7" x14ac:dyDescent="0.25">
      <c r="A122" t="s">
        <v>22</v>
      </c>
      <c r="B122">
        <v>2023</v>
      </c>
      <c r="C122" t="s">
        <v>7</v>
      </c>
      <c r="D122">
        <v>0</v>
      </c>
      <c r="E122">
        <v>3546.68</v>
      </c>
      <c r="F122">
        <v>170160.81999999998</v>
      </c>
      <c r="G122" s="39">
        <v>44927</v>
      </c>
    </row>
    <row r="123" spans="1:7" x14ac:dyDescent="0.25">
      <c r="A123" t="s">
        <v>22</v>
      </c>
      <c r="B123">
        <v>2023</v>
      </c>
      <c r="C123" t="s">
        <v>8</v>
      </c>
      <c r="D123">
        <v>0</v>
      </c>
      <c r="E123">
        <v>758.34</v>
      </c>
      <c r="F123">
        <v>169402.47999999998</v>
      </c>
      <c r="G123" s="39">
        <v>44958</v>
      </c>
    </row>
    <row r="124" spans="1:7" x14ac:dyDescent="0.25">
      <c r="A124" t="s">
        <v>22</v>
      </c>
      <c r="B124">
        <v>2023</v>
      </c>
      <c r="C124" t="s">
        <v>9</v>
      </c>
      <c r="D124">
        <v>0</v>
      </c>
      <c r="E124">
        <v>1362.44</v>
      </c>
      <c r="F124">
        <v>168040.03999999998</v>
      </c>
      <c r="G124" s="39">
        <v>44986</v>
      </c>
    </row>
    <row r="125" spans="1:7" x14ac:dyDescent="0.25">
      <c r="A125" t="s">
        <v>22</v>
      </c>
      <c r="B125">
        <v>2023</v>
      </c>
      <c r="C125" t="s">
        <v>10</v>
      </c>
      <c r="D125">
        <v>0</v>
      </c>
      <c r="E125">
        <v>4556.01</v>
      </c>
      <c r="F125">
        <v>163484.02999999997</v>
      </c>
      <c r="G125" s="39">
        <v>45017</v>
      </c>
    </row>
    <row r="126" spans="1:7" x14ac:dyDescent="0.25">
      <c r="A126" t="s">
        <v>22</v>
      </c>
      <c r="B126">
        <v>2023</v>
      </c>
      <c r="C126" t="s">
        <v>11</v>
      </c>
      <c r="D126">
        <v>0</v>
      </c>
      <c r="E126">
        <v>1351.42</v>
      </c>
      <c r="F126">
        <v>162132.60999999996</v>
      </c>
      <c r="G126" s="39">
        <v>45047</v>
      </c>
    </row>
    <row r="127" spans="1:7" x14ac:dyDescent="0.25">
      <c r="A127" t="s">
        <v>22</v>
      </c>
      <c r="B127">
        <v>2023</v>
      </c>
      <c r="C127" t="s">
        <v>12</v>
      </c>
      <c r="D127">
        <v>0</v>
      </c>
      <c r="E127">
        <v>5067.8100000000004</v>
      </c>
      <c r="F127">
        <v>157064.79999999996</v>
      </c>
      <c r="G127" s="39">
        <v>45078</v>
      </c>
    </row>
    <row r="128" spans="1:7" x14ac:dyDescent="0.25">
      <c r="A128" t="s">
        <v>22</v>
      </c>
      <c r="B128">
        <v>2023</v>
      </c>
      <c r="C128" t="s">
        <v>13</v>
      </c>
      <c r="D128">
        <v>0</v>
      </c>
      <c r="E128">
        <v>988.62</v>
      </c>
      <c r="F128">
        <v>156076.17999999996</v>
      </c>
      <c r="G128" s="39">
        <v>45108</v>
      </c>
    </row>
    <row r="129" spans="1:7" x14ac:dyDescent="0.25">
      <c r="A129" t="s">
        <v>22</v>
      </c>
      <c r="B129">
        <v>2023</v>
      </c>
      <c r="C129" t="s">
        <v>14</v>
      </c>
      <c r="D129">
        <v>0</v>
      </c>
      <c r="E129">
        <v>4961.8</v>
      </c>
      <c r="F129">
        <v>151114.37999999998</v>
      </c>
      <c r="G129" s="39">
        <v>45139</v>
      </c>
    </row>
    <row r="130" spans="1:7" x14ac:dyDescent="0.25">
      <c r="A130" t="s">
        <v>22</v>
      </c>
      <c r="B130">
        <v>2023</v>
      </c>
      <c r="C130" t="s">
        <v>15</v>
      </c>
      <c r="D130">
        <v>0</v>
      </c>
      <c r="E130">
        <v>6785.62</v>
      </c>
      <c r="F130">
        <v>144328.75999999998</v>
      </c>
      <c r="G130" s="39">
        <v>45170</v>
      </c>
    </row>
    <row r="131" spans="1:7" x14ac:dyDescent="0.25">
      <c r="A131" t="s">
        <v>22</v>
      </c>
      <c r="B131">
        <v>2023</v>
      </c>
      <c r="C131" t="s">
        <v>16</v>
      </c>
      <c r="D131">
        <v>0</v>
      </c>
      <c r="E131">
        <v>1132.43</v>
      </c>
      <c r="F131">
        <v>143196.32999999999</v>
      </c>
      <c r="G131" s="39">
        <v>45200</v>
      </c>
    </row>
    <row r="132" spans="1:7" x14ac:dyDescent="0.25">
      <c r="A132" t="s">
        <v>22</v>
      </c>
      <c r="B132">
        <v>2023</v>
      </c>
      <c r="C132" t="s">
        <v>17</v>
      </c>
      <c r="D132">
        <v>0</v>
      </c>
      <c r="E132">
        <v>5814.38</v>
      </c>
      <c r="F132">
        <v>137381.94999999998</v>
      </c>
      <c r="G132" s="39">
        <v>45231</v>
      </c>
    </row>
    <row r="133" spans="1:7" x14ac:dyDescent="0.25">
      <c r="A133" t="s">
        <v>22</v>
      </c>
      <c r="B133">
        <v>2023</v>
      </c>
      <c r="C133" t="s">
        <v>18</v>
      </c>
      <c r="D133">
        <v>0</v>
      </c>
      <c r="E133">
        <v>1062.1400000000001</v>
      </c>
      <c r="F133">
        <v>136319.80999999997</v>
      </c>
      <c r="G133" s="39">
        <v>45261</v>
      </c>
    </row>
    <row r="134" spans="1:7" x14ac:dyDescent="0.25">
      <c r="A134" t="s">
        <v>22</v>
      </c>
      <c r="B134">
        <v>2024</v>
      </c>
      <c r="C134" t="s">
        <v>7</v>
      </c>
      <c r="F134">
        <v>136319.80999999997</v>
      </c>
      <c r="G134" s="39">
        <v>45292</v>
      </c>
    </row>
    <row r="135" spans="1:7" x14ac:dyDescent="0.25">
      <c r="A135" t="s">
        <v>22</v>
      </c>
      <c r="B135">
        <v>2024</v>
      </c>
      <c r="C135" t="s">
        <v>8</v>
      </c>
      <c r="F135">
        <v>136319.80999999997</v>
      </c>
      <c r="G135" s="39">
        <v>45323</v>
      </c>
    </row>
    <row r="136" spans="1:7" x14ac:dyDescent="0.25">
      <c r="A136" t="s">
        <v>22</v>
      </c>
      <c r="B136">
        <v>2024</v>
      </c>
      <c r="C136" t="s">
        <v>9</v>
      </c>
      <c r="F136">
        <v>136319.80999999997</v>
      </c>
      <c r="G136" s="39">
        <v>45352</v>
      </c>
    </row>
    <row r="137" spans="1:7" x14ac:dyDescent="0.25">
      <c r="A137" t="s">
        <v>22</v>
      </c>
      <c r="B137">
        <v>2024</v>
      </c>
      <c r="C137" t="s">
        <v>10</v>
      </c>
      <c r="F137">
        <v>136319.80999999997</v>
      </c>
      <c r="G137" s="39">
        <v>45383</v>
      </c>
    </row>
    <row r="138" spans="1:7" x14ac:dyDescent="0.25">
      <c r="A138" t="s">
        <v>22</v>
      </c>
      <c r="B138">
        <v>2024</v>
      </c>
      <c r="C138" t="s">
        <v>11</v>
      </c>
      <c r="F138">
        <v>136319.80999999997</v>
      </c>
      <c r="G138" s="39">
        <v>45413</v>
      </c>
    </row>
    <row r="139" spans="1:7" x14ac:dyDescent="0.25">
      <c r="A139" t="s">
        <v>22</v>
      </c>
      <c r="B139">
        <v>2024</v>
      </c>
      <c r="C139" t="s">
        <v>12</v>
      </c>
      <c r="F139">
        <v>136319.80999999997</v>
      </c>
      <c r="G139" s="39">
        <v>45444</v>
      </c>
    </row>
    <row r="140" spans="1:7" x14ac:dyDescent="0.25">
      <c r="A140" t="s">
        <v>22</v>
      </c>
      <c r="B140">
        <v>2024</v>
      </c>
      <c r="C140" t="s">
        <v>13</v>
      </c>
      <c r="F140">
        <v>136319.80999999997</v>
      </c>
      <c r="G140" s="39">
        <v>45474</v>
      </c>
    </row>
    <row r="141" spans="1:7" x14ac:dyDescent="0.25">
      <c r="A141" t="s">
        <v>22</v>
      </c>
      <c r="B141">
        <v>2024</v>
      </c>
      <c r="C141" t="s">
        <v>14</v>
      </c>
      <c r="F141">
        <v>136319.80999999997</v>
      </c>
      <c r="G141" s="39">
        <v>45505</v>
      </c>
    </row>
    <row r="142" spans="1:7" x14ac:dyDescent="0.25">
      <c r="A142" t="s">
        <v>22</v>
      </c>
      <c r="B142">
        <v>2024</v>
      </c>
      <c r="C142" t="s">
        <v>15</v>
      </c>
      <c r="F142">
        <v>136319.80999999997</v>
      </c>
      <c r="G142" s="39">
        <v>45536</v>
      </c>
    </row>
    <row r="143" spans="1:7" x14ac:dyDescent="0.25">
      <c r="A143" t="s">
        <v>22</v>
      </c>
      <c r="B143">
        <v>2024</v>
      </c>
      <c r="C143" t="s">
        <v>16</v>
      </c>
      <c r="F143">
        <v>136319.80999999997</v>
      </c>
      <c r="G143" s="39">
        <v>45566</v>
      </c>
    </row>
    <row r="144" spans="1:7" x14ac:dyDescent="0.25">
      <c r="A144" t="s">
        <v>22</v>
      </c>
      <c r="B144">
        <v>2024</v>
      </c>
      <c r="C144" t="s">
        <v>17</v>
      </c>
      <c r="F144">
        <v>136319.80999999997</v>
      </c>
      <c r="G144" s="39">
        <v>45597</v>
      </c>
    </row>
    <row r="145" spans="1:7" x14ac:dyDescent="0.25">
      <c r="A145" t="s">
        <v>22</v>
      </c>
      <c r="B145">
        <v>2024</v>
      </c>
      <c r="C145" t="s">
        <v>18</v>
      </c>
      <c r="F145">
        <v>136319.80999999997</v>
      </c>
      <c r="G145" s="39">
        <v>45627</v>
      </c>
    </row>
    <row r="146" spans="1:7" x14ac:dyDescent="0.25">
      <c r="A146" t="s">
        <v>23</v>
      </c>
      <c r="B146">
        <v>2019</v>
      </c>
      <c r="C146" t="s">
        <v>7</v>
      </c>
      <c r="D146">
        <v>7396.16</v>
      </c>
      <c r="E146">
        <v>2149.9549830000001</v>
      </c>
      <c r="F146">
        <v>21264.252769000002</v>
      </c>
      <c r="G146" s="39">
        <v>43466</v>
      </c>
    </row>
    <row r="147" spans="1:7" x14ac:dyDescent="0.25">
      <c r="A147" t="s">
        <v>23</v>
      </c>
      <c r="B147">
        <v>2019</v>
      </c>
      <c r="C147" t="s">
        <v>8</v>
      </c>
      <c r="D147">
        <v>6871.2592500000001</v>
      </c>
      <c r="E147">
        <v>6139.1264389999997</v>
      </c>
      <c r="F147">
        <v>21996.385580000002</v>
      </c>
      <c r="G147" s="39">
        <v>43497</v>
      </c>
    </row>
    <row r="148" spans="1:7" x14ac:dyDescent="0.25">
      <c r="A148" t="s">
        <v>23</v>
      </c>
      <c r="B148">
        <v>2019</v>
      </c>
      <c r="C148" t="s">
        <v>9</v>
      </c>
      <c r="D148">
        <v>19642.939999999999</v>
      </c>
      <c r="E148">
        <v>15050.095106000001</v>
      </c>
      <c r="F148">
        <v>26589.230474000004</v>
      </c>
      <c r="G148" s="39">
        <v>43525</v>
      </c>
    </row>
    <row r="149" spans="1:7" x14ac:dyDescent="0.25">
      <c r="A149" t="s">
        <v>23</v>
      </c>
      <c r="B149">
        <v>2019</v>
      </c>
      <c r="C149" t="s">
        <v>10</v>
      </c>
      <c r="D149">
        <v>5322.5410000000002</v>
      </c>
      <c r="E149">
        <v>8391.1825900000003</v>
      </c>
      <c r="F149">
        <v>23520.588884000004</v>
      </c>
      <c r="G149" s="39">
        <v>43556</v>
      </c>
    </row>
    <row r="150" spans="1:7" x14ac:dyDescent="0.25">
      <c r="A150" t="s">
        <v>23</v>
      </c>
      <c r="B150">
        <v>2019</v>
      </c>
      <c r="C150" t="s">
        <v>11</v>
      </c>
      <c r="D150">
        <v>9107.7000000000007</v>
      </c>
      <c r="E150">
        <v>8056.4301349999996</v>
      </c>
      <c r="F150">
        <v>24571.858749000006</v>
      </c>
      <c r="G150" s="39">
        <v>43586</v>
      </c>
    </row>
    <row r="151" spans="1:7" x14ac:dyDescent="0.25">
      <c r="A151" t="s">
        <v>23</v>
      </c>
      <c r="B151">
        <v>2019</v>
      </c>
      <c r="C151" t="s">
        <v>12</v>
      </c>
      <c r="D151">
        <v>16510.59</v>
      </c>
      <c r="E151">
        <v>9997.8863939999992</v>
      </c>
      <c r="F151">
        <v>31084.562355000002</v>
      </c>
      <c r="G151" s="39">
        <v>43617</v>
      </c>
    </row>
    <row r="152" spans="1:7" x14ac:dyDescent="0.25">
      <c r="A152" t="s">
        <v>23</v>
      </c>
      <c r="B152">
        <v>2019</v>
      </c>
      <c r="C152" t="s">
        <v>13</v>
      </c>
      <c r="D152">
        <v>19827.330000000002</v>
      </c>
      <c r="E152">
        <v>7661.376456</v>
      </c>
      <c r="F152">
        <v>43250.515899000005</v>
      </c>
      <c r="G152" s="39">
        <v>43647</v>
      </c>
    </row>
    <row r="153" spans="1:7" x14ac:dyDescent="0.25">
      <c r="A153" t="s">
        <v>23</v>
      </c>
      <c r="B153">
        <v>2019</v>
      </c>
      <c r="C153" t="s">
        <v>14</v>
      </c>
      <c r="D153">
        <v>27422.220499999999</v>
      </c>
      <c r="E153">
        <v>36279.956403999997</v>
      </c>
      <c r="F153">
        <v>34392.779995000004</v>
      </c>
      <c r="G153" s="39">
        <v>43678</v>
      </c>
    </row>
    <row r="154" spans="1:7" x14ac:dyDescent="0.25">
      <c r="A154" t="s">
        <v>23</v>
      </c>
      <c r="B154">
        <v>2019</v>
      </c>
      <c r="C154" t="s">
        <v>15</v>
      </c>
      <c r="D154">
        <v>0</v>
      </c>
      <c r="E154">
        <v>11603.075231000001</v>
      </c>
      <c r="F154">
        <v>22789.704764000002</v>
      </c>
      <c r="G154" s="39">
        <v>43709</v>
      </c>
    </row>
    <row r="155" spans="1:7" x14ac:dyDescent="0.25">
      <c r="A155" t="s">
        <v>23</v>
      </c>
      <c r="B155">
        <v>2019</v>
      </c>
      <c r="C155" t="s">
        <v>16</v>
      </c>
      <c r="D155">
        <v>36359.318528999996</v>
      </c>
      <c r="E155">
        <v>41606.125334999997</v>
      </c>
      <c r="F155">
        <v>17542.897958000001</v>
      </c>
      <c r="G155" s="39">
        <v>43739</v>
      </c>
    </row>
    <row r="156" spans="1:7" x14ac:dyDescent="0.25">
      <c r="A156" t="s">
        <v>23</v>
      </c>
      <c r="B156">
        <v>2019</v>
      </c>
      <c r="C156" t="s">
        <v>17</v>
      </c>
      <c r="D156">
        <v>49367.523500000003</v>
      </c>
      <c r="E156">
        <v>35604.004710000001</v>
      </c>
      <c r="F156">
        <v>31306.416747999996</v>
      </c>
      <c r="G156" s="39">
        <v>43770</v>
      </c>
    </row>
    <row r="157" spans="1:7" x14ac:dyDescent="0.25">
      <c r="A157" t="s">
        <v>23</v>
      </c>
      <c r="B157">
        <v>2019</v>
      </c>
      <c r="C157" t="s">
        <v>18</v>
      </c>
      <c r="D157">
        <v>27539.292727</v>
      </c>
      <c r="E157">
        <v>26947.327168</v>
      </c>
      <c r="F157">
        <v>31898.382306999996</v>
      </c>
      <c r="G157" s="39">
        <v>43800</v>
      </c>
    </row>
    <row r="158" spans="1:7" x14ac:dyDescent="0.25">
      <c r="A158" t="s">
        <v>23</v>
      </c>
      <c r="B158">
        <v>2020</v>
      </c>
      <c r="C158" t="s">
        <v>7</v>
      </c>
      <c r="D158">
        <v>62220.080952999997</v>
      </c>
      <c r="E158">
        <v>22504.758328</v>
      </c>
      <c r="F158">
        <v>71613.704931999993</v>
      </c>
      <c r="G158" s="39">
        <v>43831</v>
      </c>
    </row>
    <row r="159" spans="1:7" x14ac:dyDescent="0.25">
      <c r="A159" t="s">
        <v>23</v>
      </c>
      <c r="B159">
        <v>2020</v>
      </c>
      <c r="C159" t="s">
        <v>8</v>
      </c>
      <c r="D159">
        <v>54631.171249999999</v>
      </c>
      <c r="E159">
        <v>44131.460133</v>
      </c>
      <c r="F159">
        <v>82113.416048999992</v>
      </c>
      <c r="G159" s="39">
        <v>43862</v>
      </c>
    </row>
    <row r="160" spans="1:7" x14ac:dyDescent="0.25">
      <c r="A160" t="s">
        <v>23</v>
      </c>
      <c r="B160">
        <v>2020</v>
      </c>
      <c r="C160" t="s">
        <v>9</v>
      </c>
      <c r="D160">
        <v>86649.465867000006</v>
      </c>
      <c r="E160">
        <v>50276.357118</v>
      </c>
      <c r="F160">
        <v>118486.52479799998</v>
      </c>
      <c r="G160" s="39">
        <v>43891</v>
      </c>
    </row>
    <row r="161" spans="1:7" x14ac:dyDescent="0.25">
      <c r="A161" t="s">
        <v>23</v>
      </c>
      <c r="B161">
        <v>2020</v>
      </c>
      <c r="C161" t="s">
        <v>10</v>
      </c>
      <c r="D161">
        <v>16555.29</v>
      </c>
      <c r="E161">
        <v>28687.713572000001</v>
      </c>
      <c r="F161">
        <v>106354.10122599997</v>
      </c>
      <c r="G161" s="39">
        <v>43922</v>
      </c>
    </row>
    <row r="162" spans="1:7" x14ac:dyDescent="0.25">
      <c r="A162" t="s">
        <v>23</v>
      </c>
      <c r="B162">
        <v>2020</v>
      </c>
      <c r="C162" t="s">
        <v>11</v>
      </c>
      <c r="D162">
        <v>25366.85</v>
      </c>
      <c r="E162">
        <v>81481.148908000003</v>
      </c>
      <c r="F162">
        <v>50239.802317999973</v>
      </c>
      <c r="G162" s="39">
        <v>43952</v>
      </c>
    </row>
    <row r="163" spans="1:7" x14ac:dyDescent="0.25">
      <c r="A163" t="s">
        <v>23</v>
      </c>
      <c r="B163">
        <v>2020</v>
      </c>
      <c r="C163" t="s">
        <v>12</v>
      </c>
      <c r="D163">
        <v>74213.919999999998</v>
      </c>
      <c r="E163">
        <v>40529.514899000002</v>
      </c>
      <c r="F163">
        <v>83924.207418999969</v>
      </c>
      <c r="G163" s="39">
        <v>43983</v>
      </c>
    </row>
    <row r="164" spans="1:7" x14ac:dyDescent="0.25">
      <c r="A164" t="s">
        <v>23</v>
      </c>
      <c r="B164">
        <v>2020</v>
      </c>
      <c r="C164" t="s">
        <v>13</v>
      </c>
      <c r="D164">
        <v>133733.64069999999</v>
      </c>
      <c r="E164">
        <v>68909.467162000001</v>
      </c>
      <c r="F164">
        <v>148748.38095699996</v>
      </c>
      <c r="G164" s="39">
        <v>44013</v>
      </c>
    </row>
    <row r="165" spans="1:7" x14ac:dyDescent="0.25">
      <c r="A165" t="s">
        <v>23</v>
      </c>
      <c r="B165">
        <v>2020</v>
      </c>
      <c r="C165" t="s">
        <v>14</v>
      </c>
      <c r="D165">
        <v>111242.44917399999</v>
      </c>
      <c r="E165">
        <v>99210.869420000003</v>
      </c>
      <c r="F165">
        <v>160779.96071099996</v>
      </c>
      <c r="G165" s="39">
        <v>44044</v>
      </c>
    </row>
    <row r="166" spans="1:7" x14ac:dyDescent="0.25">
      <c r="A166" t="s">
        <v>23</v>
      </c>
      <c r="B166">
        <v>2020</v>
      </c>
      <c r="C166" t="s">
        <v>15</v>
      </c>
      <c r="D166">
        <v>72527.903250000003</v>
      </c>
      <c r="E166">
        <v>66916.947870000004</v>
      </c>
      <c r="F166">
        <v>166390.91609099996</v>
      </c>
      <c r="G166" s="39">
        <v>44075</v>
      </c>
    </row>
    <row r="167" spans="1:7" x14ac:dyDescent="0.25">
      <c r="A167" t="s">
        <v>23</v>
      </c>
      <c r="B167">
        <v>2020</v>
      </c>
      <c r="C167" t="s">
        <v>16</v>
      </c>
      <c r="D167">
        <v>95557.171000000002</v>
      </c>
      <c r="E167">
        <v>104064.25966900001</v>
      </c>
      <c r="F167">
        <v>157883.82742199994</v>
      </c>
      <c r="G167" s="39">
        <v>44105</v>
      </c>
    </row>
    <row r="168" spans="1:7" x14ac:dyDescent="0.25">
      <c r="A168" t="s">
        <v>23</v>
      </c>
      <c r="B168">
        <v>2020</v>
      </c>
      <c r="C168" t="s">
        <v>17</v>
      </c>
      <c r="D168">
        <v>121525.086463</v>
      </c>
      <c r="E168">
        <v>77791.144610999996</v>
      </c>
      <c r="F168">
        <v>201617.76927399993</v>
      </c>
      <c r="G168" s="39">
        <v>44136</v>
      </c>
    </row>
    <row r="169" spans="1:7" x14ac:dyDescent="0.25">
      <c r="A169" t="s">
        <v>23</v>
      </c>
      <c r="B169">
        <v>2020</v>
      </c>
      <c r="C169" t="s">
        <v>18</v>
      </c>
      <c r="D169">
        <v>18892.062833</v>
      </c>
      <c r="E169">
        <v>68586.226330999998</v>
      </c>
      <c r="F169">
        <v>151923.60577599995</v>
      </c>
      <c r="G169" s="39">
        <v>44166</v>
      </c>
    </row>
    <row r="170" spans="1:7" x14ac:dyDescent="0.25">
      <c r="A170" t="s">
        <v>23</v>
      </c>
      <c r="B170">
        <v>2021</v>
      </c>
      <c r="C170" t="s">
        <v>7</v>
      </c>
      <c r="D170">
        <v>115795.521433</v>
      </c>
      <c r="E170">
        <v>43270.637075999999</v>
      </c>
      <c r="F170">
        <v>224448.49013299996</v>
      </c>
      <c r="G170" s="39">
        <v>44197</v>
      </c>
    </row>
    <row r="171" spans="1:7" x14ac:dyDescent="0.25">
      <c r="A171" t="s">
        <v>23</v>
      </c>
      <c r="B171">
        <v>2021</v>
      </c>
      <c r="C171" t="s">
        <v>8</v>
      </c>
      <c r="D171">
        <v>114769.395074</v>
      </c>
      <c r="E171">
        <v>77859.352786999996</v>
      </c>
      <c r="F171">
        <v>261358.53241999994</v>
      </c>
      <c r="G171" s="39">
        <v>44228</v>
      </c>
    </row>
    <row r="172" spans="1:7" x14ac:dyDescent="0.25">
      <c r="A172" t="s">
        <v>23</v>
      </c>
      <c r="B172">
        <v>2021</v>
      </c>
      <c r="C172" t="s">
        <v>9</v>
      </c>
      <c r="D172">
        <v>117041.59390599999</v>
      </c>
      <c r="E172">
        <v>89385.517968</v>
      </c>
      <c r="F172">
        <v>289014.60835799994</v>
      </c>
      <c r="G172" s="39">
        <v>44256</v>
      </c>
    </row>
    <row r="173" spans="1:7" x14ac:dyDescent="0.25">
      <c r="A173" t="s">
        <v>23</v>
      </c>
      <c r="B173">
        <v>2021</v>
      </c>
      <c r="C173" t="s">
        <v>10</v>
      </c>
      <c r="D173">
        <v>316934.57</v>
      </c>
      <c r="E173">
        <v>66866.398008000004</v>
      </c>
      <c r="F173">
        <v>539082.78035000002</v>
      </c>
      <c r="G173" s="39">
        <v>44287</v>
      </c>
    </row>
    <row r="174" spans="1:7" x14ac:dyDescent="0.25">
      <c r="A174" t="s">
        <v>23</v>
      </c>
      <c r="B174">
        <v>2021</v>
      </c>
      <c r="C174" t="s">
        <v>11</v>
      </c>
      <c r="D174">
        <v>-173.47604999999999</v>
      </c>
      <c r="E174">
        <v>76589.894923</v>
      </c>
      <c r="F174">
        <v>462319.40937699995</v>
      </c>
      <c r="G174" s="39">
        <v>44317</v>
      </c>
    </row>
    <row r="175" spans="1:7" x14ac:dyDescent="0.25">
      <c r="A175" t="s">
        <v>23</v>
      </c>
      <c r="B175">
        <v>2021</v>
      </c>
      <c r="C175" t="s">
        <v>12</v>
      </c>
      <c r="D175">
        <v>24218.611807000001</v>
      </c>
      <c r="E175">
        <v>66084.591532999999</v>
      </c>
      <c r="F175">
        <v>420453.42965099995</v>
      </c>
      <c r="G175" s="39">
        <v>44348</v>
      </c>
    </row>
    <row r="176" spans="1:7" x14ac:dyDescent="0.25">
      <c r="A176" t="s">
        <v>23</v>
      </c>
      <c r="B176">
        <v>2021</v>
      </c>
      <c r="C176" t="s">
        <v>13</v>
      </c>
      <c r="D176">
        <v>31315.81984</v>
      </c>
      <c r="E176">
        <v>61175.174768999997</v>
      </c>
      <c r="F176">
        <v>390594.07472199999</v>
      </c>
      <c r="G176" s="39">
        <v>44378</v>
      </c>
    </row>
    <row r="177" spans="1:7" x14ac:dyDescent="0.25">
      <c r="A177" t="s">
        <v>23</v>
      </c>
      <c r="B177">
        <v>2021</v>
      </c>
      <c r="C177" t="s">
        <v>14</v>
      </c>
      <c r="D177">
        <v>313354.24419900001</v>
      </c>
      <c r="E177">
        <v>365718.88754999998</v>
      </c>
      <c r="F177">
        <v>338229.43137100001</v>
      </c>
      <c r="G177" s="39">
        <v>44409</v>
      </c>
    </row>
    <row r="178" spans="1:7" x14ac:dyDescent="0.25">
      <c r="A178" t="s">
        <v>23</v>
      </c>
      <c r="B178">
        <v>2021</v>
      </c>
      <c r="C178" t="s">
        <v>15</v>
      </c>
      <c r="D178">
        <v>208885.38682499999</v>
      </c>
      <c r="E178">
        <v>120055.4051</v>
      </c>
      <c r="F178">
        <v>427059.41309600009</v>
      </c>
      <c r="G178" s="39">
        <v>44440</v>
      </c>
    </row>
    <row r="179" spans="1:7" x14ac:dyDescent="0.25">
      <c r="A179" t="s">
        <v>23</v>
      </c>
      <c r="B179">
        <v>2021</v>
      </c>
      <c r="C179" t="s">
        <v>16</v>
      </c>
      <c r="D179">
        <v>901715.46877599997</v>
      </c>
      <c r="E179">
        <v>757651.31155999994</v>
      </c>
      <c r="F179">
        <v>571123.57031200023</v>
      </c>
      <c r="G179" s="39">
        <v>44470</v>
      </c>
    </row>
    <row r="180" spans="1:7" x14ac:dyDescent="0.25">
      <c r="A180" t="s">
        <v>23</v>
      </c>
      <c r="B180">
        <v>2021</v>
      </c>
      <c r="C180" t="s">
        <v>17</v>
      </c>
      <c r="D180">
        <v>15745.29</v>
      </c>
      <c r="E180">
        <v>48878.651789000003</v>
      </c>
      <c r="F180">
        <v>537990.20852300024</v>
      </c>
      <c r="G180" s="39">
        <v>44501</v>
      </c>
    </row>
    <row r="181" spans="1:7" x14ac:dyDescent="0.25">
      <c r="A181" t="s">
        <v>23</v>
      </c>
      <c r="B181">
        <v>2021</v>
      </c>
      <c r="C181" t="s">
        <v>18</v>
      </c>
      <c r="D181">
        <v>56551.180540000001</v>
      </c>
      <c r="E181">
        <v>61180.310805000001</v>
      </c>
      <c r="F181">
        <v>533361.0782580002</v>
      </c>
      <c r="G181" s="39">
        <v>44531</v>
      </c>
    </row>
    <row r="182" spans="1:7" x14ac:dyDescent="0.25">
      <c r="A182" t="s">
        <v>23</v>
      </c>
      <c r="B182">
        <v>2022</v>
      </c>
      <c r="C182" t="s">
        <v>7</v>
      </c>
      <c r="D182">
        <v>52821.57</v>
      </c>
      <c r="E182">
        <v>47822.355703000001</v>
      </c>
      <c r="F182">
        <v>538360.29255500017</v>
      </c>
      <c r="G182" s="39">
        <v>44562</v>
      </c>
    </row>
    <row r="183" spans="1:7" x14ac:dyDescent="0.25">
      <c r="A183" t="s">
        <v>23</v>
      </c>
      <c r="B183">
        <v>2022</v>
      </c>
      <c r="C183" t="s">
        <v>8</v>
      </c>
      <c r="D183">
        <v>101891.01</v>
      </c>
      <c r="E183">
        <v>97431.764974999998</v>
      </c>
      <c r="F183">
        <v>542819.53758000024</v>
      </c>
      <c r="G183" s="39">
        <v>44593</v>
      </c>
    </row>
    <row r="184" spans="1:7" x14ac:dyDescent="0.25">
      <c r="A184" t="s">
        <v>23</v>
      </c>
      <c r="B184">
        <v>2022</v>
      </c>
      <c r="C184" t="s">
        <v>9</v>
      </c>
      <c r="D184">
        <v>68715.399999999994</v>
      </c>
      <c r="E184">
        <v>96473.527394999997</v>
      </c>
      <c r="F184">
        <v>515061.41018500028</v>
      </c>
      <c r="G184" s="39">
        <v>44621</v>
      </c>
    </row>
    <row r="185" spans="1:7" x14ac:dyDescent="0.25">
      <c r="A185" t="s">
        <v>23</v>
      </c>
      <c r="B185">
        <v>2022</v>
      </c>
      <c r="C185" t="s">
        <v>10</v>
      </c>
      <c r="D185">
        <v>70090.58</v>
      </c>
      <c r="E185">
        <v>64483.818583</v>
      </c>
      <c r="F185">
        <v>520668.17160200025</v>
      </c>
      <c r="G185" s="39">
        <v>44652</v>
      </c>
    </row>
    <row r="186" spans="1:7" x14ac:dyDescent="0.25">
      <c r="A186" t="s">
        <v>23</v>
      </c>
      <c r="B186">
        <v>2022</v>
      </c>
      <c r="C186" t="s">
        <v>11</v>
      </c>
      <c r="D186">
        <v>50953.17</v>
      </c>
      <c r="E186">
        <v>65324.578749</v>
      </c>
      <c r="F186">
        <v>506296.76285300031</v>
      </c>
      <c r="G186" s="39">
        <v>44682</v>
      </c>
    </row>
    <row r="187" spans="1:7" x14ac:dyDescent="0.25">
      <c r="A187" t="s">
        <v>23</v>
      </c>
      <c r="B187">
        <v>2022</v>
      </c>
      <c r="C187" t="s">
        <v>12</v>
      </c>
      <c r="D187">
        <v>39116.379999999997</v>
      </c>
      <c r="E187">
        <v>53118.412944000003</v>
      </c>
      <c r="F187">
        <v>492294.72990900034</v>
      </c>
      <c r="G187" s="39">
        <v>44713</v>
      </c>
    </row>
    <row r="188" spans="1:7" x14ac:dyDescent="0.25">
      <c r="A188" t="s">
        <v>23</v>
      </c>
      <c r="B188">
        <v>2022</v>
      </c>
      <c r="C188" t="s">
        <v>13</v>
      </c>
      <c r="D188">
        <v>44374.35</v>
      </c>
      <c r="E188">
        <v>60613.334335</v>
      </c>
      <c r="F188">
        <v>476055.74557400029</v>
      </c>
      <c r="G188" s="39">
        <v>44743</v>
      </c>
    </row>
    <row r="189" spans="1:7" x14ac:dyDescent="0.25">
      <c r="A189" t="s">
        <v>23</v>
      </c>
      <c r="B189">
        <v>2022</v>
      </c>
      <c r="C189" t="s">
        <v>14</v>
      </c>
      <c r="D189">
        <v>66154.33</v>
      </c>
      <c r="E189">
        <v>80834.720637000006</v>
      </c>
      <c r="F189">
        <v>461375.35493700026</v>
      </c>
      <c r="G189" s="39">
        <v>44774</v>
      </c>
    </row>
    <row r="190" spans="1:7" x14ac:dyDescent="0.25">
      <c r="A190" t="s">
        <v>23</v>
      </c>
      <c r="B190">
        <v>2022</v>
      </c>
      <c r="C190" t="s">
        <v>15</v>
      </c>
      <c r="D190">
        <v>97820.9</v>
      </c>
      <c r="E190">
        <v>61731.425063000002</v>
      </c>
      <c r="F190">
        <v>497464.82987400022</v>
      </c>
      <c r="G190" s="39">
        <v>44805</v>
      </c>
    </row>
    <row r="191" spans="1:7" x14ac:dyDescent="0.25">
      <c r="A191" t="s">
        <v>23</v>
      </c>
      <c r="B191">
        <v>2022</v>
      </c>
      <c r="C191" t="s">
        <v>16</v>
      </c>
      <c r="D191">
        <v>89553.38</v>
      </c>
      <c r="E191">
        <v>124788.736972</v>
      </c>
      <c r="F191">
        <v>462229.47290200018</v>
      </c>
      <c r="G191" s="39">
        <v>44835</v>
      </c>
    </row>
    <row r="192" spans="1:7" x14ac:dyDescent="0.25">
      <c r="A192" t="s">
        <v>23</v>
      </c>
      <c r="B192">
        <v>2022</v>
      </c>
      <c r="C192" t="s">
        <v>17</v>
      </c>
      <c r="D192">
        <v>46853.82</v>
      </c>
      <c r="E192">
        <v>69201.188238000002</v>
      </c>
      <c r="F192">
        <v>439882.10466400022</v>
      </c>
      <c r="G192" s="39">
        <v>44866</v>
      </c>
    </row>
    <row r="193" spans="1:7" x14ac:dyDescent="0.25">
      <c r="A193" t="s">
        <v>23</v>
      </c>
      <c r="B193">
        <v>2022</v>
      </c>
      <c r="C193" t="s">
        <v>18</v>
      </c>
      <c r="D193">
        <v>14931.8</v>
      </c>
      <c r="E193">
        <v>38801.625784000003</v>
      </c>
      <c r="F193">
        <v>416012.27888000023</v>
      </c>
      <c r="G193" s="39">
        <v>44896</v>
      </c>
    </row>
    <row r="194" spans="1:7" x14ac:dyDescent="0.25">
      <c r="A194" t="s">
        <v>23</v>
      </c>
      <c r="B194">
        <v>2023</v>
      </c>
      <c r="C194" t="s">
        <v>7</v>
      </c>
      <c r="D194">
        <v>50619.99</v>
      </c>
      <c r="E194">
        <v>29817.488805000001</v>
      </c>
      <c r="F194">
        <v>436814.78007500025</v>
      </c>
      <c r="G194" s="39">
        <v>44927</v>
      </c>
    </row>
    <row r="195" spans="1:7" x14ac:dyDescent="0.25">
      <c r="A195" t="s">
        <v>23</v>
      </c>
      <c r="B195">
        <v>2023</v>
      </c>
      <c r="C195" t="s">
        <v>8</v>
      </c>
      <c r="D195">
        <v>32999.599999999999</v>
      </c>
      <c r="E195">
        <v>21981.521236</v>
      </c>
      <c r="F195">
        <v>447832.85883900023</v>
      </c>
      <c r="G195" s="39">
        <v>44958</v>
      </c>
    </row>
    <row r="196" spans="1:7" x14ac:dyDescent="0.25">
      <c r="A196" t="s">
        <v>23</v>
      </c>
      <c r="B196">
        <v>2023</v>
      </c>
      <c r="C196" t="s">
        <v>9</v>
      </c>
      <c r="D196">
        <v>36130.910000000003</v>
      </c>
      <c r="E196">
        <v>54636.051934000003</v>
      </c>
      <c r="F196">
        <v>429327.71690500027</v>
      </c>
      <c r="G196" s="39">
        <v>44986</v>
      </c>
    </row>
    <row r="197" spans="1:7" x14ac:dyDescent="0.25">
      <c r="A197" t="s">
        <v>23</v>
      </c>
      <c r="B197">
        <v>2023</v>
      </c>
      <c r="C197" t="s">
        <v>10</v>
      </c>
      <c r="D197">
        <v>27511.45</v>
      </c>
      <c r="E197">
        <v>38515.335010000003</v>
      </c>
      <c r="F197">
        <v>418323.8318950003</v>
      </c>
      <c r="G197" s="39">
        <v>45017</v>
      </c>
    </row>
    <row r="198" spans="1:7" x14ac:dyDescent="0.25">
      <c r="A198" t="s">
        <v>23</v>
      </c>
      <c r="B198">
        <v>2023</v>
      </c>
      <c r="C198" t="s">
        <v>11</v>
      </c>
      <c r="D198">
        <v>64645.3</v>
      </c>
      <c r="E198">
        <v>64004.828898</v>
      </c>
      <c r="F198">
        <v>418964.30299700028</v>
      </c>
      <c r="G198" s="39">
        <v>45047</v>
      </c>
    </row>
    <row r="199" spans="1:7" x14ac:dyDescent="0.25">
      <c r="A199" t="s">
        <v>23</v>
      </c>
      <c r="B199">
        <v>2023</v>
      </c>
      <c r="C199" t="s">
        <v>12</v>
      </c>
      <c r="D199">
        <v>13368.14</v>
      </c>
      <c r="E199">
        <v>16306.883529999999</v>
      </c>
      <c r="F199">
        <v>416025.5594670003</v>
      </c>
      <c r="G199" s="39">
        <v>45078</v>
      </c>
    </row>
    <row r="200" spans="1:7" x14ac:dyDescent="0.25">
      <c r="A200" t="s">
        <v>23</v>
      </c>
      <c r="B200">
        <v>2023</v>
      </c>
      <c r="C200" t="s">
        <v>13</v>
      </c>
      <c r="D200">
        <v>22536.9</v>
      </c>
      <c r="E200">
        <v>14336.327423999999</v>
      </c>
      <c r="F200">
        <v>424226.13204300031</v>
      </c>
      <c r="G200" s="39">
        <v>45108</v>
      </c>
    </row>
    <row r="201" spans="1:7" x14ac:dyDescent="0.25">
      <c r="A201" t="s">
        <v>23</v>
      </c>
      <c r="B201">
        <v>2023</v>
      </c>
      <c r="C201" t="s">
        <v>14</v>
      </c>
      <c r="D201">
        <v>34243.501400000001</v>
      </c>
      <c r="E201">
        <v>45692.618756999997</v>
      </c>
      <c r="F201">
        <v>412777.0146860003</v>
      </c>
      <c r="G201" s="39">
        <v>45139</v>
      </c>
    </row>
    <row r="202" spans="1:7" x14ac:dyDescent="0.25">
      <c r="A202" t="s">
        <v>23</v>
      </c>
      <c r="B202">
        <v>2023</v>
      </c>
      <c r="C202" t="s">
        <v>15</v>
      </c>
      <c r="D202">
        <v>10197.84</v>
      </c>
      <c r="E202">
        <v>11723.107497000001</v>
      </c>
      <c r="F202">
        <v>411251.74718900031</v>
      </c>
      <c r="G202" s="39">
        <v>45170</v>
      </c>
    </row>
    <row r="203" spans="1:7" x14ac:dyDescent="0.25">
      <c r="A203" t="s">
        <v>23</v>
      </c>
      <c r="B203">
        <v>2023</v>
      </c>
      <c r="C203" t="s">
        <v>16</v>
      </c>
      <c r="D203">
        <v>27721.24</v>
      </c>
      <c r="E203">
        <v>26753.871254000001</v>
      </c>
      <c r="F203">
        <v>412219.1159350003</v>
      </c>
      <c r="G203" s="39">
        <v>45200</v>
      </c>
    </row>
    <row r="204" spans="1:7" x14ac:dyDescent="0.25">
      <c r="A204" t="s">
        <v>23</v>
      </c>
      <c r="B204">
        <v>2023</v>
      </c>
      <c r="C204" t="s">
        <v>17</v>
      </c>
      <c r="D204">
        <v>60220.5648</v>
      </c>
      <c r="E204">
        <v>62601.795408999998</v>
      </c>
      <c r="F204">
        <v>409837.88532600028</v>
      </c>
      <c r="G204" s="39">
        <v>45231</v>
      </c>
    </row>
    <row r="205" spans="1:7" x14ac:dyDescent="0.25">
      <c r="A205" t="s">
        <v>23</v>
      </c>
      <c r="B205">
        <v>2023</v>
      </c>
      <c r="C205" t="s">
        <v>18</v>
      </c>
      <c r="D205">
        <v>27606.78</v>
      </c>
      <c r="E205">
        <v>37708.006453000002</v>
      </c>
      <c r="F205">
        <v>399736.6588730003</v>
      </c>
      <c r="G205" s="39">
        <v>45261</v>
      </c>
    </row>
    <row r="206" spans="1:7" x14ac:dyDescent="0.25">
      <c r="A206" t="s">
        <v>23</v>
      </c>
      <c r="B206">
        <v>2024</v>
      </c>
      <c r="C206" t="s">
        <v>7</v>
      </c>
      <c r="F206">
        <v>399736.6588730003</v>
      </c>
      <c r="G206" s="39">
        <v>45292</v>
      </c>
    </row>
    <row r="207" spans="1:7" x14ac:dyDescent="0.25">
      <c r="A207" t="s">
        <v>23</v>
      </c>
      <c r="B207">
        <v>2024</v>
      </c>
      <c r="C207" t="s">
        <v>8</v>
      </c>
      <c r="F207">
        <v>399736.6588730003</v>
      </c>
      <c r="G207" s="39">
        <v>45323</v>
      </c>
    </row>
    <row r="208" spans="1:7" x14ac:dyDescent="0.25">
      <c r="A208" t="s">
        <v>23</v>
      </c>
      <c r="B208">
        <v>2024</v>
      </c>
      <c r="C208" t="s">
        <v>9</v>
      </c>
      <c r="F208">
        <v>399736.6588730003</v>
      </c>
      <c r="G208" s="39">
        <v>45352</v>
      </c>
    </row>
    <row r="209" spans="1:7" x14ac:dyDescent="0.25">
      <c r="A209" t="s">
        <v>23</v>
      </c>
      <c r="B209">
        <v>2024</v>
      </c>
      <c r="C209" t="s">
        <v>10</v>
      </c>
      <c r="F209">
        <v>399736.6588730003</v>
      </c>
      <c r="G209" s="39">
        <v>45383</v>
      </c>
    </row>
    <row r="210" spans="1:7" x14ac:dyDescent="0.25">
      <c r="A210" t="s">
        <v>23</v>
      </c>
      <c r="B210">
        <v>2024</v>
      </c>
      <c r="C210" t="s">
        <v>11</v>
      </c>
      <c r="F210">
        <v>399736.6588730003</v>
      </c>
      <c r="G210" s="39">
        <v>45413</v>
      </c>
    </row>
    <row r="211" spans="1:7" x14ac:dyDescent="0.25">
      <c r="A211" t="s">
        <v>23</v>
      </c>
      <c r="B211">
        <v>2024</v>
      </c>
      <c r="C211" t="s">
        <v>12</v>
      </c>
      <c r="F211">
        <v>399736.6588730003</v>
      </c>
      <c r="G211" s="39">
        <v>45444</v>
      </c>
    </row>
    <row r="212" spans="1:7" x14ac:dyDescent="0.25">
      <c r="A212" t="s">
        <v>23</v>
      </c>
      <c r="B212">
        <v>2024</v>
      </c>
      <c r="C212" t="s">
        <v>13</v>
      </c>
      <c r="F212">
        <v>399736.6588730003</v>
      </c>
      <c r="G212" s="39">
        <v>45474</v>
      </c>
    </row>
    <row r="213" spans="1:7" x14ac:dyDescent="0.25">
      <c r="A213" t="s">
        <v>23</v>
      </c>
      <c r="B213">
        <v>2024</v>
      </c>
      <c r="C213" t="s">
        <v>14</v>
      </c>
      <c r="F213">
        <v>399736.6588730003</v>
      </c>
      <c r="G213" s="39">
        <v>45505</v>
      </c>
    </row>
    <row r="214" spans="1:7" x14ac:dyDescent="0.25">
      <c r="A214" t="s">
        <v>23</v>
      </c>
      <c r="B214">
        <v>2024</v>
      </c>
      <c r="C214" t="s">
        <v>15</v>
      </c>
      <c r="F214">
        <v>399736.6588730003</v>
      </c>
      <c r="G214" s="39">
        <v>45536</v>
      </c>
    </row>
    <row r="215" spans="1:7" x14ac:dyDescent="0.25">
      <c r="A215" t="s">
        <v>23</v>
      </c>
      <c r="B215">
        <v>2024</v>
      </c>
      <c r="C215" t="s">
        <v>16</v>
      </c>
      <c r="F215">
        <v>399736.6588730003</v>
      </c>
      <c r="G215" s="39">
        <v>45566</v>
      </c>
    </row>
    <row r="216" spans="1:7" x14ac:dyDescent="0.25">
      <c r="A216" t="s">
        <v>23</v>
      </c>
      <c r="B216">
        <v>2024</v>
      </c>
      <c r="C216" t="s">
        <v>17</v>
      </c>
      <c r="F216">
        <v>399736.6588730003</v>
      </c>
      <c r="G216" s="39">
        <v>45597</v>
      </c>
    </row>
    <row r="217" spans="1:7" x14ac:dyDescent="0.25">
      <c r="A217" t="s">
        <v>23</v>
      </c>
      <c r="B217">
        <v>2024</v>
      </c>
      <c r="C217" t="s">
        <v>18</v>
      </c>
      <c r="F217">
        <v>399736.6588730003</v>
      </c>
      <c r="G217" s="39">
        <v>45627</v>
      </c>
    </row>
    <row r="218" spans="1:7" x14ac:dyDescent="0.25">
      <c r="A218" t="s">
        <v>24</v>
      </c>
      <c r="B218">
        <v>2019</v>
      </c>
      <c r="C218" t="s">
        <v>7</v>
      </c>
      <c r="F218">
        <v>0</v>
      </c>
      <c r="G218" s="39">
        <v>43466</v>
      </c>
    </row>
    <row r="219" spans="1:7" x14ac:dyDescent="0.25">
      <c r="A219" t="s">
        <v>24</v>
      </c>
      <c r="B219">
        <v>2019</v>
      </c>
      <c r="C219" t="s">
        <v>8</v>
      </c>
      <c r="F219">
        <v>0</v>
      </c>
      <c r="G219" s="39">
        <v>43497</v>
      </c>
    </row>
    <row r="220" spans="1:7" x14ac:dyDescent="0.25">
      <c r="A220" t="s">
        <v>24</v>
      </c>
      <c r="B220">
        <v>2019</v>
      </c>
      <c r="C220" t="s">
        <v>9</v>
      </c>
      <c r="F220">
        <v>0</v>
      </c>
      <c r="G220" s="39">
        <v>43525</v>
      </c>
    </row>
    <row r="221" spans="1:7" x14ac:dyDescent="0.25">
      <c r="A221" t="s">
        <v>24</v>
      </c>
      <c r="B221">
        <v>2019</v>
      </c>
      <c r="C221" t="s">
        <v>10</v>
      </c>
      <c r="F221">
        <v>0</v>
      </c>
      <c r="G221" s="39">
        <v>43556</v>
      </c>
    </row>
    <row r="222" spans="1:7" x14ac:dyDescent="0.25">
      <c r="A222" t="s">
        <v>24</v>
      </c>
      <c r="B222">
        <v>2019</v>
      </c>
      <c r="C222" t="s">
        <v>11</v>
      </c>
      <c r="F222">
        <v>0</v>
      </c>
      <c r="G222" s="39">
        <v>43586</v>
      </c>
    </row>
    <row r="223" spans="1:7" x14ac:dyDescent="0.25">
      <c r="A223" t="s">
        <v>24</v>
      </c>
      <c r="B223">
        <v>2019</v>
      </c>
      <c r="C223" t="s">
        <v>12</v>
      </c>
      <c r="F223">
        <v>0</v>
      </c>
      <c r="G223" s="39">
        <v>43617</v>
      </c>
    </row>
    <row r="224" spans="1:7" x14ac:dyDescent="0.25">
      <c r="A224" t="s">
        <v>24</v>
      </c>
      <c r="B224">
        <v>2019</v>
      </c>
      <c r="C224" t="s">
        <v>13</v>
      </c>
      <c r="F224">
        <v>0</v>
      </c>
      <c r="G224" s="39">
        <v>43647</v>
      </c>
    </row>
    <row r="225" spans="1:7" x14ac:dyDescent="0.25">
      <c r="A225" t="s">
        <v>24</v>
      </c>
      <c r="B225">
        <v>2019</v>
      </c>
      <c r="C225" t="s">
        <v>14</v>
      </c>
      <c r="D225">
        <v>99717.799992999993</v>
      </c>
      <c r="E225">
        <v>289.24993000000001</v>
      </c>
      <c r="F225">
        <v>99428.550062999988</v>
      </c>
      <c r="G225" s="39">
        <v>43678</v>
      </c>
    </row>
    <row r="226" spans="1:7" x14ac:dyDescent="0.25">
      <c r="A226" t="s">
        <v>24</v>
      </c>
      <c r="B226">
        <v>2019</v>
      </c>
      <c r="C226" t="s">
        <v>15</v>
      </c>
      <c r="D226">
        <v>0</v>
      </c>
      <c r="E226">
        <v>8338.031943</v>
      </c>
      <c r="F226">
        <v>91090.518119999993</v>
      </c>
      <c r="G226" s="39">
        <v>43709</v>
      </c>
    </row>
    <row r="227" spans="1:7" x14ac:dyDescent="0.25">
      <c r="A227" t="s">
        <v>24</v>
      </c>
      <c r="B227">
        <v>2019</v>
      </c>
      <c r="C227" t="s">
        <v>16</v>
      </c>
      <c r="D227">
        <v>0</v>
      </c>
      <c r="E227">
        <v>6099.8394969999999</v>
      </c>
      <c r="F227">
        <v>84990.678623</v>
      </c>
      <c r="G227" s="39">
        <v>43739</v>
      </c>
    </row>
    <row r="228" spans="1:7" x14ac:dyDescent="0.25">
      <c r="A228" t="s">
        <v>24</v>
      </c>
      <c r="B228">
        <v>2019</v>
      </c>
      <c r="C228" t="s">
        <v>17</v>
      </c>
      <c r="D228">
        <v>0</v>
      </c>
      <c r="E228">
        <v>5426.898792</v>
      </c>
      <c r="F228">
        <v>79563.779830999993</v>
      </c>
      <c r="G228" s="39">
        <v>43770</v>
      </c>
    </row>
    <row r="229" spans="1:7" x14ac:dyDescent="0.25">
      <c r="A229" t="s">
        <v>24</v>
      </c>
      <c r="B229">
        <v>2019</v>
      </c>
      <c r="C229" t="s">
        <v>18</v>
      </c>
      <c r="D229">
        <v>0</v>
      </c>
      <c r="E229">
        <v>3218.005251</v>
      </c>
      <c r="F229">
        <v>76345.774579999998</v>
      </c>
      <c r="G229" s="39">
        <v>43800</v>
      </c>
    </row>
    <row r="230" spans="1:7" x14ac:dyDescent="0.25">
      <c r="A230" t="s">
        <v>24</v>
      </c>
      <c r="B230">
        <v>2020</v>
      </c>
      <c r="C230" t="s">
        <v>7</v>
      </c>
      <c r="D230">
        <v>0</v>
      </c>
      <c r="E230">
        <v>3477.4661660000002</v>
      </c>
      <c r="F230">
        <v>72868.308413999999</v>
      </c>
      <c r="G230" s="39">
        <v>43831</v>
      </c>
    </row>
    <row r="231" spans="1:7" x14ac:dyDescent="0.25">
      <c r="A231" t="s">
        <v>24</v>
      </c>
      <c r="B231">
        <v>2020</v>
      </c>
      <c r="C231" t="s">
        <v>8</v>
      </c>
      <c r="D231">
        <v>0</v>
      </c>
      <c r="E231">
        <v>9737.3149969999995</v>
      </c>
      <c r="F231">
        <v>63130.993416999998</v>
      </c>
      <c r="G231" s="39">
        <v>43862</v>
      </c>
    </row>
    <row r="232" spans="1:7" x14ac:dyDescent="0.25">
      <c r="A232" t="s">
        <v>24</v>
      </c>
      <c r="B232">
        <v>2020</v>
      </c>
      <c r="C232" t="s">
        <v>9</v>
      </c>
      <c r="D232">
        <v>16866.419999999998</v>
      </c>
      <c r="E232">
        <v>9002.6424360000001</v>
      </c>
      <c r="F232">
        <v>70994.770981000009</v>
      </c>
      <c r="G232" s="39">
        <v>43891</v>
      </c>
    </row>
    <row r="233" spans="1:7" x14ac:dyDescent="0.25">
      <c r="A233" t="s">
        <v>24</v>
      </c>
      <c r="B233">
        <v>2020</v>
      </c>
      <c r="C233" t="s">
        <v>10</v>
      </c>
      <c r="D233">
        <v>0</v>
      </c>
      <c r="E233">
        <v>15857.586165000001</v>
      </c>
      <c r="F233">
        <v>55137.184816000008</v>
      </c>
      <c r="G233" s="39">
        <v>43922</v>
      </c>
    </row>
    <row r="234" spans="1:7" x14ac:dyDescent="0.25">
      <c r="A234" t="s">
        <v>24</v>
      </c>
      <c r="B234">
        <v>2020</v>
      </c>
      <c r="C234" t="s">
        <v>11</v>
      </c>
      <c r="D234">
        <v>9351.7999999999993</v>
      </c>
      <c r="E234">
        <v>19281.782103000001</v>
      </c>
      <c r="F234">
        <v>45207.202713000006</v>
      </c>
      <c r="G234" s="39">
        <v>43952</v>
      </c>
    </row>
    <row r="235" spans="1:7" x14ac:dyDescent="0.25">
      <c r="A235" t="s">
        <v>24</v>
      </c>
      <c r="B235">
        <v>2020</v>
      </c>
      <c r="C235" t="s">
        <v>12</v>
      </c>
      <c r="D235">
        <v>12880.77</v>
      </c>
      <c r="E235">
        <v>24714.706948999999</v>
      </c>
      <c r="F235">
        <v>33373.265764000011</v>
      </c>
      <c r="G235" s="39">
        <v>43983</v>
      </c>
    </row>
    <row r="236" spans="1:7" x14ac:dyDescent="0.25">
      <c r="A236" t="s">
        <v>24</v>
      </c>
      <c r="B236">
        <v>2020</v>
      </c>
      <c r="C236" t="s">
        <v>13</v>
      </c>
      <c r="D236">
        <v>19060.93</v>
      </c>
      <c r="E236">
        <v>25512.77505</v>
      </c>
      <c r="F236">
        <v>26921.420714000011</v>
      </c>
      <c r="G236" s="39">
        <v>44013</v>
      </c>
    </row>
    <row r="237" spans="1:7" x14ac:dyDescent="0.25">
      <c r="A237" t="s">
        <v>24</v>
      </c>
      <c r="B237">
        <v>2020</v>
      </c>
      <c r="C237" t="s">
        <v>14</v>
      </c>
      <c r="D237">
        <v>12889.28</v>
      </c>
      <c r="E237">
        <v>19741.574892000001</v>
      </c>
      <c r="F237">
        <v>20069.125822000013</v>
      </c>
      <c r="G237" s="39">
        <v>44044</v>
      </c>
    </row>
    <row r="238" spans="1:7" x14ac:dyDescent="0.25">
      <c r="A238" t="s">
        <v>24</v>
      </c>
      <c r="B238">
        <v>2020</v>
      </c>
      <c r="C238" t="s">
        <v>15</v>
      </c>
      <c r="D238">
        <v>17176.36</v>
      </c>
      <c r="E238">
        <v>20191.303124999999</v>
      </c>
      <c r="F238">
        <v>17054.182697000018</v>
      </c>
      <c r="G238" s="39">
        <v>44075</v>
      </c>
    </row>
    <row r="239" spans="1:7" x14ac:dyDescent="0.25">
      <c r="A239" t="s">
        <v>24</v>
      </c>
      <c r="B239">
        <v>2020</v>
      </c>
      <c r="C239" t="s">
        <v>16</v>
      </c>
      <c r="D239">
        <v>23977.54</v>
      </c>
      <c r="E239">
        <v>26060.490448</v>
      </c>
      <c r="F239">
        <v>14971.232249000019</v>
      </c>
      <c r="G239" s="39">
        <v>44105</v>
      </c>
    </row>
    <row r="240" spans="1:7" x14ac:dyDescent="0.25">
      <c r="A240" t="s">
        <v>24</v>
      </c>
      <c r="B240">
        <v>2020</v>
      </c>
      <c r="C240" t="s">
        <v>17</v>
      </c>
      <c r="D240">
        <v>86013.56</v>
      </c>
      <c r="E240">
        <v>24502.116719000001</v>
      </c>
      <c r="F240">
        <v>76482.675530000022</v>
      </c>
      <c r="G240" s="39">
        <v>44136</v>
      </c>
    </row>
    <row r="241" spans="1:7" x14ac:dyDescent="0.25">
      <c r="A241" t="s">
        <v>24</v>
      </c>
      <c r="B241">
        <v>2020</v>
      </c>
      <c r="C241" t="s">
        <v>18</v>
      </c>
      <c r="D241">
        <v>10581.38</v>
      </c>
      <c r="E241">
        <v>32655.392018999999</v>
      </c>
      <c r="F241">
        <v>54408.663511000028</v>
      </c>
      <c r="G241" s="39">
        <v>44166</v>
      </c>
    </row>
    <row r="242" spans="1:7" x14ac:dyDescent="0.25">
      <c r="A242" t="s">
        <v>24</v>
      </c>
      <c r="B242">
        <v>2021</v>
      </c>
      <c r="C242" t="s">
        <v>7</v>
      </c>
      <c r="D242">
        <v>12993.46</v>
      </c>
      <c r="E242">
        <v>26296.102539</v>
      </c>
      <c r="F242">
        <v>41106.020972000028</v>
      </c>
      <c r="G242" s="39">
        <v>44197</v>
      </c>
    </row>
    <row r="243" spans="1:7" x14ac:dyDescent="0.25">
      <c r="A243" t="s">
        <v>24</v>
      </c>
      <c r="B243">
        <v>2021</v>
      </c>
      <c r="C243" t="s">
        <v>8</v>
      </c>
      <c r="D243">
        <v>28278</v>
      </c>
      <c r="E243">
        <v>26757.488759</v>
      </c>
      <c r="F243">
        <v>42626.532213000028</v>
      </c>
      <c r="G243" s="39">
        <v>44228</v>
      </c>
    </row>
    <row r="244" spans="1:7" x14ac:dyDescent="0.25">
      <c r="A244" t="s">
        <v>24</v>
      </c>
      <c r="B244">
        <v>2021</v>
      </c>
      <c r="C244" t="s">
        <v>9</v>
      </c>
      <c r="D244">
        <v>33588</v>
      </c>
      <c r="E244">
        <v>46635.178505000003</v>
      </c>
      <c r="F244">
        <v>29579.353708000024</v>
      </c>
      <c r="G244" s="39">
        <v>44256</v>
      </c>
    </row>
    <row r="245" spans="1:7" x14ac:dyDescent="0.25">
      <c r="A245" t="s">
        <v>24</v>
      </c>
      <c r="B245">
        <v>2021</v>
      </c>
      <c r="C245" t="s">
        <v>10</v>
      </c>
      <c r="D245">
        <v>16729.8</v>
      </c>
      <c r="E245">
        <v>38804.819430000003</v>
      </c>
      <c r="F245">
        <v>7504.3342780000239</v>
      </c>
      <c r="G245" s="39">
        <v>44287</v>
      </c>
    </row>
    <row r="246" spans="1:7" x14ac:dyDescent="0.25">
      <c r="A246" t="s">
        <v>24</v>
      </c>
      <c r="B246">
        <v>2021</v>
      </c>
      <c r="C246" t="s">
        <v>11</v>
      </c>
      <c r="D246">
        <v>7926.6</v>
      </c>
      <c r="E246">
        <v>24899.388849999999</v>
      </c>
      <c r="F246">
        <v>-9468.4545719999751</v>
      </c>
      <c r="G246" s="39">
        <v>44317</v>
      </c>
    </row>
    <row r="247" spans="1:7" x14ac:dyDescent="0.25">
      <c r="A247" t="s">
        <v>24</v>
      </c>
      <c r="B247">
        <v>2021</v>
      </c>
      <c r="C247" t="s">
        <v>12</v>
      </c>
      <c r="D247">
        <v>186507.36</v>
      </c>
      <c r="E247">
        <v>18877.673296000001</v>
      </c>
      <c r="F247">
        <v>158161.232132</v>
      </c>
      <c r="G247" s="39">
        <v>44348</v>
      </c>
    </row>
    <row r="248" spans="1:7" x14ac:dyDescent="0.25">
      <c r="A248" t="s">
        <v>24</v>
      </c>
      <c r="B248">
        <v>2021</v>
      </c>
      <c r="C248" t="s">
        <v>13</v>
      </c>
      <c r="D248">
        <v>16932</v>
      </c>
      <c r="E248">
        <v>27382.939348</v>
      </c>
      <c r="F248">
        <v>147710.29278399999</v>
      </c>
      <c r="G248" s="39">
        <v>44378</v>
      </c>
    </row>
    <row r="249" spans="1:7" x14ac:dyDescent="0.25">
      <c r="A249" t="s">
        <v>24</v>
      </c>
      <c r="B249">
        <v>2021</v>
      </c>
      <c r="C249" t="s">
        <v>14</v>
      </c>
      <c r="D249">
        <v>66617.39</v>
      </c>
      <c r="E249">
        <v>122240.59792299999</v>
      </c>
      <c r="F249">
        <v>92087.08486100001</v>
      </c>
      <c r="G249" s="39">
        <v>44409</v>
      </c>
    </row>
    <row r="250" spans="1:7" x14ac:dyDescent="0.25">
      <c r="A250" t="s">
        <v>24</v>
      </c>
      <c r="B250">
        <v>2021</v>
      </c>
      <c r="C250" t="s">
        <v>15</v>
      </c>
      <c r="D250">
        <v>17190.53</v>
      </c>
      <c r="E250">
        <v>31832.109378000001</v>
      </c>
      <c r="F250">
        <v>77445.505483000015</v>
      </c>
      <c r="G250" s="39">
        <v>44440</v>
      </c>
    </row>
    <row r="251" spans="1:7" x14ac:dyDescent="0.25">
      <c r="A251" t="s">
        <v>24</v>
      </c>
      <c r="B251">
        <v>2021</v>
      </c>
      <c r="C251" t="s">
        <v>16</v>
      </c>
      <c r="D251">
        <v>345753.04</v>
      </c>
      <c r="E251">
        <v>275682.23615299998</v>
      </c>
      <c r="F251">
        <v>147516.30933000002</v>
      </c>
      <c r="G251" s="39">
        <v>44470</v>
      </c>
    </row>
    <row r="252" spans="1:7" x14ac:dyDescent="0.25">
      <c r="A252" t="s">
        <v>24</v>
      </c>
      <c r="B252">
        <v>2021</v>
      </c>
      <c r="C252" t="s">
        <v>17</v>
      </c>
      <c r="D252">
        <v>10826.11</v>
      </c>
      <c r="E252">
        <v>31894.151613999999</v>
      </c>
      <c r="F252">
        <v>126448.267716</v>
      </c>
      <c r="G252" s="39">
        <v>44501</v>
      </c>
    </row>
    <row r="253" spans="1:7" x14ac:dyDescent="0.25">
      <c r="A253" t="s">
        <v>24</v>
      </c>
      <c r="B253">
        <v>2021</v>
      </c>
      <c r="C253" t="s">
        <v>18</v>
      </c>
      <c r="D253">
        <v>10386.9</v>
      </c>
      <c r="E253">
        <v>41705.738966999998</v>
      </c>
      <c r="F253">
        <v>95129.428748999999</v>
      </c>
      <c r="G253" s="39">
        <v>44531</v>
      </c>
    </row>
    <row r="254" spans="1:7" x14ac:dyDescent="0.25">
      <c r="A254" t="s">
        <v>24</v>
      </c>
      <c r="B254">
        <v>2022</v>
      </c>
      <c r="C254" t="s">
        <v>7</v>
      </c>
      <c r="D254">
        <v>255923.7</v>
      </c>
      <c r="E254">
        <v>24496.052273000001</v>
      </c>
      <c r="F254">
        <v>326557.07647600002</v>
      </c>
      <c r="G254" s="39">
        <v>44562</v>
      </c>
    </row>
    <row r="255" spans="1:7" x14ac:dyDescent="0.25">
      <c r="A255" t="s">
        <v>24</v>
      </c>
      <c r="B255">
        <v>2022</v>
      </c>
      <c r="C255" t="s">
        <v>8</v>
      </c>
      <c r="D255">
        <v>18849.05</v>
      </c>
      <c r="E255">
        <v>27489.008249999999</v>
      </c>
      <c r="F255">
        <v>317917.11822599999</v>
      </c>
      <c r="G255" s="39">
        <v>44593</v>
      </c>
    </row>
    <row r="256" spans="1:7" x14ac:dyDescent="0.25">
      <c r="A256" t="s">
        <v>24</v>
      </c>
      <c r="B256">
        <v>2022</v>
      </c>
      <c r="C256" t="s">
        <v>9</v>
      </c>
      <c r="D256">
        <v>34181.949999999997</v>
      </c>
      <c r="E256">
        <v>30566.221153999999</v>
      </c>
      <c r="F256">
        <v>321532.84707200003</v>
      </c>
      <c r="G256" s="39">
        <v>44621</v>
      </c>
    </row>
    <row r="257" spans="1:7" x14ac:dyDescent="0.25">
      <c r="A257" t="s">
        <v>24</v>
      </c>
      <c r="B257">
        <v>2022</v>
      </c>
      <c r="C257" t="s">
        <v>10</v>
      </c>
      <c r="D257">
        <v>2696.6779999999999</v>
      </c>
      <c r="E257">
        <v>36648.232649999998</v>
      </c>
      <c r="F257">
        <v>287581.29242200003</v>
      </c>
      <c r="G257" s="39">
        <v>44652</v>
      </c>
    </row>
    <row r="258" spans="1:7" x14ac:dyDescent="0.25">
      <c r="A258" t="s">
        <v>24</v>
      </c>
      <c r="B258">
        <v>2022</v>
      </c>
      <c r="C258" t="s">
        <v>11</v>
      </c>
      <c r="D258">
        <v>13045.59</v>
      </c>
      <c r="E258">
        <v>33217.357088999997</v>
      </c>
      <c r="F258">
        <v>267409.52533300006</v>
      </c>
      <c r="G258" s="39">
        <v>44682</v>
      </c>
    </row>
    <row r="259" spans="1:7" x14ac:dyDescent="0.25">
      <c r="A259" t="s">
        <v>24</v>
      </c>
      <c r="B259">
        <v>2022</v>
      </c>
      <c r="C259" t="s">
        <v>12</v>
      </c>
      <c r="D259">
        <v>5348.19</v>
      </c>
      <c r="E259">
        <v>33547.790395000004</v>
      </c>
      <c r="F259">
        <v>239209.92493800004</v>
      </c>
      <c r="G259" s="39">
        <v>44713</v>
      </c>
    </row>
    <row r="260" spans="1:7" x14ac:dyDescent="0.25">
      <c r="A260" t="s">
        <v>24</v>
      </c>
      <c r="B260">
        <v>2022</v>
      </c>
      <c r="C260" t="s">
        <v>13</v>
      </c>
      <c r="D260">
        <v>12778.89</v>
      </c>
      <c r="E260">
        <v>37990.687700000002</v>
      </c>
      <c r="F260">
        <v>213998.12723800004</v>
      </c>
      <c r="G260" s="39">
        <v>44743</v>
      </c>
    </row>
    <row r="261" spans="1:7" x14ac:dyDescent="0.25">
      <c r="A261" t="s">
        <v>24</v>
      </c>
      <c r="B261">
        <v>2022</v>
      </c>
      <c r="C261" t="s">
        <v>14</v>
      </c>
      <c r="D261">
        <v>19175.330000000002</v>
      </c>
      <c r="E261">
        <v>42980.862316999999</v>
      </c>
      <c r="F261">
        <v>190192.59492100007</v>
      </c>
      <c r="G261" s="39">
        <v>44774</v>
      </c>
    </row>
    <row r="262" spans="1:7" x14ac:dyDescent="0.25">
      <c r="A262" t="s">
        <v>24</v>
      </c>
      <c r="B262">
        <v>2022</v>
      </c>
      <c r="C262" t="s">
        <v>15</v>
      </c>
      <c r="D262">
        <v>22273.89</v>
      </c>
      <c r="E262">
        <v>34641.849196000003</v>
      </c>
      <c r="F262">
        <v>177824.63572500009</v>
      </c>
      <c r="G262" s="39">
        <v>44805</v>
      </c>
    </row>
    <row r="263" spans="1:7" x14ac:dyDescent="0.25">
      <c r="A263" t="s">
        <v>24</v>
      </c>
      <c r="B263">
        <v>2022</v>
      </c>
      <c r="C263" t="s">
        <v>16</v>
      </c>
      <c r="D263">
        <v>10881.67</v>
      </c>
      <c r="E263">
        <v>32596.319579999999</v>
      </c>
      <c r="F263">
        <v>156109.98614500009</v>
      </c>
      <c r="G263" s="39">
        <v>44835</v>
      </c>
    </row>
    <row r="264" spans="1:7" x14ac:dyDescent="0.25">
      <c r="A264" t="s">
        <v>24</v>
      </c>
      <c r="B264">
        <v>2022</v>
      </c>
      <c r="C264" t="s">
        <v>17</v>
      </c>
      <c r="D264">
        <v>19557.45</v>
      </c>
      <c r="E264">
        <v>37448.285027999998</v>
      </c>
      <c r="F264">
        <v>138219.15111700009</v>
      </c>
      <c r="G264" s="39">
        <v>44866</v>
      </c>
    </row>
    <row r="265" spans="1:7" x14ac:dyDescent="0.25">
      <c r="A265" t="s">
        <v>24</v>
      </c>
      <c r="B265">
        <v>2022</v>
      </c>
      <c r="C265" t="s">
        <v>18</v>
      </c>
      <c r="D265">
        <v>7196.34</v>
      </c>
      <c r="E265">
        <v>23285.928151</v>
      </c>
      <c r="F265">
        <v>122129.56296600008</v>
      </c>
      <c r="G265" s="39">
        <v>44896</v>
      </c>
    </row>
    <row r="266" spans="1:7" x14ac:dyDescent="0.25">
      <c r="A266" t="s">
        <v>24</v>
      </c>
      <c r="B266">
        <v>2023</v>
      </c>
      <c r="C266" t="s">
        <v>7</v>
      </c>
      <c r="D266">
        <v>14371.82</v>
      </c>
      <c r="E266">
        <v>21779.668726</v>
      </c>
      <c r="F266">
        <v>114721.71424000009</v>
      </c>
      <c r="G266" s="39">
        <v>44927</v>
      </c>
    </row>
    <row r="267" spans="1:7" x14ac:dyDescent="0.25">
      <c r="A267" t="s">
        <v>24</v>
      </c>
      <c r="B267">
        <v>2023</v>
      </c>
      <c r="C267" t="s">
        <v>8</v>
      </c>
      <c r="D267">
        <v>16906</v>
      </c>
      <c r="E267">
        <v>24992.657739999999</v>
      </c>
      <c r="F267">
        <v>106635.05650000009</v>
      </c>
      <c r="G267" s="39">
        <v>44958</v>
      </c>
    </row>
    <row r="268" spans="1:7" x14ac:dyDescent="0.25">
      <c r="A268" t="s">
        <v>24</v>
      </c>
      <c r="B268">
        <v>2023</v>
      </c>
      <c r="C268" t="s">
        <v>9</v>
      </c>
      <c r="D268">
        <v>12850.33</v>
      </c>
      <c r="E268">
        <v>29781.137590999999</v>
      </c>
      <c r="F268">
        <v>89704.248909000104</v>
      </c>
      <c r="G268" s="39">
        <v>44986</v>
      </c>
    </row>
    <row r="269" spans="1:7" x14ac:dyDescent="0.25">
      <c r="A269" t="s">
        <v>24</v>
      </c>
      <c r="B269">
        <v>2023</v>
      </c>
      <c r="C269" t="s">
        <v>10</v>
      </c>
      <c r="D269">
        <v>14300.58</v>
      </c>
      <c r="E269">
        <v>28780.158422</v>
      </c>
      <c r="F269">
        <v>75224.670487000112</v>
      </c>
      <c r="G269" s="39">
        <v>45017</v>
      </c>
    </row>
    <row r="270" spans="1:7" x14ac:dyDescent="0.25">
      <c r="A270" t="s">
        <v>24</v>
      </c>
      <c r="B270">
        <v>2023</v>
      </c>
      <c r="C270" t="s">
        <v>11</v>
      </c>
      <c r="D270">
        <v>18212.77</v>
      </c>
      <c r="E270">
        <v>31396.293172000002</v>
      </c>
      <c r="F270">
        <v>62041.147315000111</v>
      </c>
      <c r="G270" s="39">
        <v>45047</v>
      </c>
    </row>
    <row r="271" spans="1:7" x14ac:dyDescent="0.25">
      <c r="A271" t="s">
        <v>24</v>
      </c>
      <c r="B271">
        <v>2023</v>
      </c>
      <c r="C271" t="s">
        <v>12</v>
      </c>
      <c r="D271">
        <v>28591.599999999999</v>
      </c>
      <c r="E271">
        <v>26379.878482</v>
      </c>
      <c r="F271">
        <v>64252.868833000102</v>
      </c>
      <c r="G271" s="39">
        <v>45078</v>
      </c>
    </row>
    <row r="272" spans="1:7" x14ac:dyDescent="0.25">
      <c r="A272" t="s">
        <v>24</v>
      </c>
      <c r="B272">
        <v>2023</v>
      </c>
      <c r="C272" t="s">
        <v>13</v>
      </c>
      <c r="D272">
        <v>102979.999994</v>
      </c>
      <c r="E272">
        <v>23204.791759</v>
      </c>
      <c r="F272">
        <v>144028.0770680001</v>
      </c>
      <c r="G272" s="39">
        <v>45108</v>
      </c>
    </row>
    <row r="273" spans="1:7" x14ac:dyDescent="0.25">
      <c r="A273" t="s">
        <v>24</v>
      </c>
      <c r="B273">
        <v>2023</v>
      </c>
      <c r="C273" t="s">
        <v>14</v>
      </c>
      <c r="D273">
        <v>11375.89</v>
      </c>
      <c r="E273">
        <v>30627.291298</v>
      </c>
      <c r="F273">
        <v>124776.67577000012</v>
      </c>
      <c r="G273" s="39">
        <v>45139</v>
      </c>
    </row>
    <row r="274" spans="1:7" x14ac:dyDescent="0.25">
      <c r="A274" t="s">
        <v>24</v>
      </c>
      <c r="B274">
        <v>2023</v>
      </c>
      <c r="C274" t="s">
        <v>15</v>
      </c>
      <c r="D274">
        <v>16595.61</v>
      </c>
      <c r="E274">
        <v>23768.960239</v>
      </c>
      <c r="F274">
        <v>117603.32553100013</v>
      </c>
      <c r="G274" s="39">
        <v>45170</v>
      </c>
    </row>
    <row r="275" spans="1:7" x14ac:dyDescent="0.25">
      <c r="A275" t="s">
        <v>24</v>
      </c>
      <c r="B275">
        <v>2023</v>
      </c>
      <c r="C275" t="s">
        <v>16</v>
      </c>
      <c r="D275">
        <v>19219.23</v>
      </c>
      <c r="E275">
        <v>31090.826352</v>
      </c>
      <c r="F275">
        <v>105731.72917900013</v>
      </c>
      <c r="G275" s="39">
        <v>45200</v>
      </c>
    </row>
    <row r="276" spans="1:7" x14ac:dyDescent="0.25">
      <c r="A276" t="s">
        <v>24</v>
      </c>
      <c r="B276">
        <v>2023</v>
      </c>
      <c r="C276" t="s">
        <v>17</v>
      </c>
      <c r="D276">
        <v>19514.12</v>
      </c>
      <c r="E276">
        <v>38825.963799999998</v>
      </c>
      <c r="F276">
        <v>86419.88537900013</v>
      </c>
      <c r="G276" s="39">
        <v>45231</v>
      </c>
    </row>
    <row r="277" spans="1:7" x14ac:dyDescent="0.25">
      <c r="A277" t="s">
        <v>24</v>
      </c>
      <c r="B277">
        <v>2023</v>
      </c>
      <c r="C277" t="s">
        <v>18</v>
      </c>
      <c r="D277">
        <v>13397.88</v>
      </c>
      <c r="E277">
        <v>17641.204603999999</v>
      </c>
      <c r="F277">
        <v>82176.560775000136</v>
      </c>
      <c r="G277" s="39">
        <v>45261</v>
      </c>
    </row>
    <row r="278" spans="1:7" x14ac:dyDescent="0.25">
      <c r="A278" t="s">
        <v>24</v>
      </c>
      <c r="B278">
        <v>2024</v>
      </c>
      <c r="C278" t="s">
        <v>7</v>
      </c>
      <c r="F278">
        <v>82176.560775000136</v>
      </c>
      <c r="G278" s="39">
        <v>45292</v>
      </c>
    </row>
    <row r="279" spans="1:7" x14ac:dyDescent="0.25">
      <c r="A279" t="s">
        <v>24</v>
      </c>
      <c r="B279">
        <v>2024</v>
      </c>
      <c r="C279" t="s">
        <v>8</v>
      </c>
      <c r="F279">
        <v>82176.560775000136</v>
      </c>
      <c r="G279" s="39">
        <v>45323</v>
      </c>
    </row>
    <row r="280" spans="1:7" x14ac:dyDescent="0.25">
      <c r="A280" t="s">
        <v>24</v>
      </c>
      <c r="B280">
        <v>2024</v>
      </c>
      <c r="C280" t="s">
        <v>9</v>
      </c>
      <c r="F280">
        <v>82176.560775000136</v>
      </c>
      <c r="G280" s="39">
        <v>45352</v>
      </c>
    </row>
    <row r="281" spans="1:7" x14ac:dyDescent="0.25">
      <c r="A281" t="s">
        <v>24</v>
      </c>
      <c r="B281">
        <v>2024</v>
      </c>
      <c r="C281" t="s">
        <v>10</v>
      </c>
      <c r="F281">
        <v>82176.560775000136</v>
      </c>
      <c r="G281" s="39">
        <v>45383</v>
      </c>
    </row>
    <row r="282" spans="1:7" x14ac:dyDescent="0.25">
      <c r="A282" t="s">
        <v>24</v>
      </c>
      <c r="B282">
        <v>2024</v>
      </c>
      <c r="C282" t="s">
        <v>11</v>
      </c>
      <c r="F282">
        <v>82176.560775000136</v>
      </c>
      <c r="G282" s="39">
        <v>45413</v>
      </c>
    </row>
    <row r="283" spans="1:7" x14ac:dyDescent="0.25">
      <c r="A283" t="s">
        <v>24</v>
      </c>
      <c r="B283">
        <v>2024</v>
      </c>
      <c r="C283" t="s">
        <v>12</v>
      </c>
      <c r="F283">
        <v>82176.560775000136</v>
      </c>
      <c r="G283" s="39">
        <v>45444</v>
      </c>
    </row>
    <row r="284" spans="1:7" x14ac:dyDescent="0.25">
      <c r="A284" t="s">
        <v>24</v>
      </c>
      <c r="B284">
        <v>2024</v>
      </c>
      <c r="C284" t="s">
        <v>13</v>
      </c>
      <c r="F284">
        <v>82176.560775000136</v>
      </c>
      <c r="G284" s="39">
        <v>45474</v>
      </c>
    </row>
    <row r="285" spans="1:7" x14ac:dyDescent="0.25">
      <c r="A285" t="s">
        <v>24</v>
      </c>
      <c r="B285">
        <v>2024</v>
      </c>
      <c r="C285" t="s">
        <v>14</v>
      </c>
      <c r="F285">
        <v>82176.560775000136</v>
      </c>
      <c r="G285" s="39">
        <v>45505</v>
      </c>
    </row>
    <row r="286" spans="1:7" x14ac:dyDescent="0.25">
      <c r="A286" t="s">
        <v>24</v>
      </c>
      <c r="B286">
        <v>2024</v>
      </c>
      <c r="C286" t="s">
        <v>15</v>
      </c>
      <c r="F286">
        <v>82176.560775000136</v>
      </c>
      <c r="G286" s="39">
        <v>45536</v>
      </c>
    </row>
    <row r="287" spans="1:7" x14ac:dyDescent="0.25">
      <c r="A287" t="s">
        <v>24</v>
      </c>
      <c r="B287">
        <v>2024</v>
      </c>
      <c r="C287" t="s">
        <v>16</v>
      </c>
      <c r="F287">
        <v>82176.560775000136</v>
      </c>
      <c r="G287" s="39">
        <v>45566</v>
      </c>
    </row>
    <row r="288" spans="1:7" x14ac:dyDescent="0.25">
      <c r="A288" t="s">
        <v>24</v>
      </c>
      <c r="B288">
        <v>2024</v>
      </c>
      <c r="C288" t="s">
        <v>17</v>
      </c>
      <c r="F288">
        <v>82176.560775000136</v>
      </c>
      <c r="G288" s="39">
        <v>45597</v>
      </c>
    </row>
    <row r="289" spans="1:7" x14ac:dyDescent="0.25">
      <c r="A289" t="s">
        <v>24</v>
      </c>
      <c r="B289">
        <v>2024</v>
      </c>
      <c r="C289" t="s">
        <v>18</v>
      </c>
      <c r="F289">
        <v>82176.560775000136</v>
      </c>
      <c r="G289" s="39">
        <v>45627</v>
      </c>
    </row>
    <row r="290" spans="1:7" x14ac:dyDescent="0.25">
      <c r="A290" t="s">
        <v>25</v>
      </c>
      <c r="B290">
        <v>2019</v>
      </c>
      <c r="C290" t="s">
        <v>7</v>
      </c>
      <c r="D290">
        <v>0</v>
      </c>
      <c r="E290">
        <v>0</v>
      </c>
      <c r="F290">
        <v>0</v>
      </c>
      <c r="G290" s="39">
        <v>43466</v>
      </c>
    </row>
    <row r="291" spans="1:7" x14ac:dyDescent="0.25">
      <c r="A291" t="s">
        <v>25</v>
      </c>
      <c r="B291">
        <v>2019</v>
      </c>
      <c r="C291" t="s">
        <v>8</v>
      </c>
      <c r="D291">
        <v>0</v>
      </c>
      <c r="E291">
        <v>0</v>
      </c>
      <c r="F291">
        <v>0</v>
      </c>
      <c r="G291" s="39">
        <v>43497</v>
      </c>
    </row>
    <row r="292" spans="1:7" x14ac:dyDescent="0.25">
      <c r="A292" t="s">
        <v>25</v>
      </c>
      <c r="B292">
        <v>2019</v>
      </c>
      <c r="C292" t="s">
        <v>9</v>
      </c>
      <c r="D292">
        <v>0</v>
      </c>
      <c r="E292">
        <v>0</v>
      </c>
      <c r="F292">
        <v>0</v>
      </c>
      <c r="G292" s="39">
        <v>43525</v>
      </c>
    </row>
    <row r="293" spans="1:7" x14ac:dyDescent="0.25">
      <c r="A293" t="s">
        <v>25</v>
      </c>
      <c r="B293">
        <v>2019</v>
      </c>
      <c r="C293" t="s">
        <v>10</v>
      </c>
      <c r="D293">
        <v>0</v>
      </c>
      <c r="E293">
        <v>0</v>
      </c>
      <c r="F293">
        <v>0</v>
      </c>
      <c r="G293" s="39">
        <v>43556</v>
      </c>
    </row>
    <row r="294" spans="1:7" x14ac:dyDescent="0.25">
      <c r="A294" t="s">
        <v>25</v>
      </c>
      <c r="B294">
        <v>2019</v>
      </c>
      <c r="C294" t="s">
        <v>11</v>
      </c>
      <c r="D294">
        <v>0</v>
      </c>
      <c r="E294">
        <v>0</v>
      </c>
      <c r="F294">
        <v>0</v>
      </c>
      <c r="G294" s="39">
        <v>43586</v>
      </c>
    </row>
    <row r="295" spans="1:7" x14ac:dyDescent="0.25">
      <c r="A295" t="s">
        <v>25</v>
      </c>
      <c r="B295">
        <v>2019</v>
      </c>
      <c r="C295" t="s">
        <v>12</v>
      </c>
      <c r="D295">
        <v>0</v>
      </c>
      <c r="E295">
        <v>0</v>
      </c>
      <c r="F295">
        <v>0</v>
      </c>
      <c r="G295" s="39">
        <v>43617</v>
      </c>
    </row>
    <row r="296" spans="1:7" x14ac:dyDescent="0.25">
      <c r="A296" t="s">
        <v>25</v>
      </c>
      <c r="B296">
        <v>2019</v>
      </c>
      <c r="C296" t="s">
        <v>13</v>
      </c>
      <c r="D296">
        <v>0</v>
      </c>
      <c r="E296">
        <v>0</v>
      </c>
      <c r="F296">
        <v>0</v>
      </c>
      <c r="G296" s="39">
        <v>43647</v>
      </c>
    </row>
    <row r="297" spans="1:7" x14ac:dyDescent="0.25">
      <c r="A297" t="s">
        <v>25</v>
      </c>
      <c r="B297">
        <v>2019</v>
      </c>
      <c r="C297" t="s">
        <v>14</v>
      </c>
      <c r="D297">
        <v>0</v>
      </c>
      <c r="E297">
        <v>0</v>
      </c>
      <c r="F297">
        <v>0</v>
      </c>
      <c r="G297" s="39">
        <v>43678</v>
      </c>
    </row>
    <row r="298" spans="1:7" x14ac:dyDescent="0.25">
      <c r="A298" t="s">
        <v>25</v>
      </c>
      <c r="B298">
        <v>2019</v>
      </c>
      <c r="C298" t="s">
        <v>15</v>
      </c>
      <c r="D298">
        <v>0</v>
      </c>
      <c r="E298">
        <v>0</v>
      </c>
      <c r="F298">
        <v>0</v>
      </c>
      <c r="G298" s="39">
        <v>43709</v>
      </c>
    </row>
    <row r="299" spans="1:7" x14ac:dyDescent="0.25">
      <c r="A299" t="s">
        <v>25</v>
      </c>
      <c r="B299">
        <v>2019</v>
      </c>
      <c r="C299" t="s">
        <v>16</v>
      </c>
      <c r="D299">
        <v>0</v>
      </c>
      <c r="E299">
        <v>0</v>
      </c>
      <c r="F299">
        <v>0</v>
      </c>
      <c r="G299" s="39">
        <v>43739</v>
      </c>
    </row>
    <row r="300" spans="1:7" x14ac:dyDescent="0.25">
      <c r="A300" t="s">
        <v>25</v>
      </c>
      <c r="B300">
        <v>2019</v>
      </c>
      <c r="C300" t="s">
        <v>17</v>
      </c>
      <c r="D300">
        <v>0</v>
      </c>
      <c r="E300">
        <v>0</v>
      </c>
      <c r="F300">
        <v>0</v>
      </c>
      <c r="G300" s="39">
        <v>43770</v>
      </c>
    </row>
    <row r="301" spans="1:7" x14ac:dyDescent="0.25">
      <c r="A301" t="s">
        <v>25</v>
      </c>
      <c r="B301">
        <v>2019</v>
      </c>
      <c r="C301" t="s">
        <v>18</v>
      </c>
      <c r="D301">
        <v>0</v>
      </c>
      <c r="E301">
        <v>0</v>
      </c>
      <c r="F301">
        <v>0</v>
      </c>
      <c r="G301" s="39">
        <v>43800</v>
      </c>
    </row>
    <row r="302" spans="1:7" x14ac:dyDescent="0.25">
      <c r="A302" t="s">
        <v>25</v>
      </c>
      <c r="B302">
        <v>2020</v>
      </c>
      <c r="C302" t="s">
        <v>7</v>
      </c>
      <c r="D302">
        <v>0</v>
      </c>
      <c r="E302">
        <v>0</v>
      </c>
      <c r="F302">
        <v>0</v>
      </c>
      <c r="G302" s="39">
        <v>43831</v>
      </c>
    </row>
    <row r="303" spans="1:7" x14ac:dyDescent="0.25">
      <c r="A303" t="s">
        <v>25</v>
      </c>
      <c r="B303">
        <v>2020</v>
      </c>
      <c r="C303" t="s">
        <v>8</v>
      </c>
      <c r="D303">
        <v>0</v>
      </c>
      <c r="E303">
        <v>0</v>
      </c>
      <c r="F303">
        <v>0</v>
      </c>
      <c r="G303" s="39">
        <v>43862</v>
      </c>
    </row>
    <row r="304" spans="1:7" x14ac:dyDescent="0.25">
      <c r="A304" t="s">
        <v>25</v>
      </c>
      <c r="B304">
        <v>2020</v>
      </c>
      <c r="C304" t="s">
        <v>9</v>
      </c>
      <c r="D304">
        <v>0</v>
      </c>
      <c r="E304">
        <v>0</v>
      </c>
      <c r="F304">
        <v>0</v>
      </c>
      <c r="G304" s="39">
        <v>43891</v>
      </c>
    </row>
    <row r="305" spans="1:7" x14ac:dyDescent="0.25">
      <c r="A305" t="s">
        <v>25</v>
      </c>
      <c r="B305">
        <v>2020</v>
      </c>
      <c r="C305" t="s">
        <v>10</v>
      </c>
      <c r="D305">
        <v>0</v>
      </c>
      <c r="E305">
        <v>0</v>
      </c>
      <c r="F305">
        <v>0</v>
      </c>
      <c r="G305" s="39">
        <v>43922</v>
      </c>
    </row>
    <row r="306" spans="1:7" x14ac:dyDescent="0.25">
      <c r="A306" t="s">
        <v>25</v>
      </c>
      <c r="B306">
        <v>2020</v>
      </c>
      <c r="C306" t="s">
        <v>11</v>
      </c>
      <c r="D306">
        <v>0</v>
      </c>
      <c r="E306">
        <v>0</v>
      </c>
      <c r="F306">
        <v>0</v>
      </c>
      <c r="G306" s="39">
        <v>43952</v>
      </c>
    </row>
    <row r="307" spans="1:7" x14ac:dyDescent="0.25">
      <c r="A307" t="s">
        <v>25</v>
      </c>
      <c r="B307">
        <v>2020</v>
      </c>
      <c r="C307" t="s">
        <v>12</v>
      </c>
      <c r="D307">
        <v>23161.29</v>
      </c>
      <c r="E307">
        <v>0</v>
      </c>
      <c r="F307">
        <v>23161.29</v>
      </c>
      <c r="G307" s="39">
        <v>43983</v>
      </c>
    </row>
    <row r="308" spans="1:7" x14ac:dyDescent="0.25">
      <c r="A308" t="s">
        <v>25</v>
      </c>
      <c r="B308">
        <v>2020</v>
      </c>
      <c r="C308" t="s">
        <v>13</v>
      </c>
      <c r="D308">
        <v>9041.2690000000002</v>
      </c>
      <c r="E308">
        <v>3147.3438550000001</v>
      </c>
      <c r="F308">
        <v>29055.215145000002</v>
      </c>
      <c r="G308" s="39">
        <v>44013</v>
      </c>
    </row>
    <row r="309" spans="1:7" x14ac:dyDescent="0.25">
      <c r="A309" t="s">
        <v>25</v>
      </c>
      <c r="B309">
        <v>2020</v>
      </c>
      <c r="C309" t="s">
        <v>14</v>
      </c>
      <c r="D309">
        <v>18818.79</v>
      </c>
      <c r="E309">
        <v>7772.4932140000001</v>
      </c>
      <c r="F309">
        <v>40101.511931000001</v>
      </c>
      <c r="G309" s="39">
        <v>44044</v>
      </c>
    </row>
    <row r="310" spans="1:7" x14ac:dyDescent="0.25">
      <c r="A310" t="s">
        <v>25</v>
      </c>
      <c r="B310">
        <v>2020</v>
      </c>
      <c r="C310" t="s">
        <v>15</v>
      </c>
      <c r="D310">
        <v>10874.26</v>
      </c>
      <c r="E310">
        <v>13661.399681000001</v>
      </c>
      <c r="F310">
        <v>37314.37225</v>
      </c>
      <c r="G310" s="39">
        <v>44075</v>
      </c>
    </row>
    <row r="311" spans="1:7" x14ac:dyDescent="0.25">
      <c r="A311" t="s">
        <v>25</v>
      </c>
      <c r="B311">
        <v>2020</v>
      </c>
      <c r="C311" t="s">
        <v>16</v>
      </c>
      <c r="D311">
        <v>63329.59</v>
      </c>
      <c r="E311">
        <v>18217.012256999998</v>
      </c>
      <c r="F311">
        <v>82426.949993000002</v>
      </c>
      <c r="G311" s="39">
        <v>44105</v>
      </c>
    </row>
    <row r="312" spans="1:7" x14ac:dyDescent="0.25">
      <c r="A312" t="s">
        <v>25</v>
      </c>
      <c r="B312">
        <v>2020</v>
      </c>
      <c r="C312" t="s">
        <v>17</v>
      </c>
      <c r="D312">
        <v>56805.950666999997</v>
      </c>
      <c r="E312">
        <v>27346.435047999999</v>
      </c>
      <c r="F312">
        <v>111886.46561199999</v>
      </c>
      <c r="G312" s="39">
        <v>44136</v>
      </c>
    </row>
    <row r="313" spans="1:7" x14ac:dyDescent="0.25">
      <c r="A313" t="s">
        <v>25</v>
      </c>
      <c r="B313">
        <v>2020</v>
      </c>
      <c r="C313" t="s">
        <v>18</v>
      </c>
      <c r="D313">
        <v>23834.628916999998</v>
      </c>
      <c r="E313">
        <v>25959.279995000001</v>
      </c>
      <c r="F313">
        <v>109761.81453399999</v>
      </c>
      <c r="G313" s="39">
        <v>44166</v>
      </c>
    </row>
    <row r="314" spans="1:7" x14ac:dyDescent="0.25">
      <c r="A314" t="s">
        <v>25</v>
      </c>
      <c r="B314">
        <v>2021</v>
      </c>
      <c r="C314" t="s">
        <v>7</v>
      </c>
      <c r="D314">
        <v>76001.350000000006</v>
      </c>
      <c r="E314">
        <v>13581.930566000001</v>
      </c>
      <c r="F314">
        <v>172181.23396799999</v>
      </c>
      <c r="G314" s="39">
        <v>44197</v>
      </c>
    </row>
    <row r="315" spans="1:7" x14ac:dyDescent="0.25">
      <c r="A315" t="s">
        <v>25</v>
      </c>
      <c r="B315">
        <v>2021</v>
      </c>
      <c r="C315" t="s">
        <v>8</v>
      </c>
      <c r="D315">
        <v>46820.937666999998</v>
      </c>
      <c r="E315">
        <v>28813.004593000001</v>
      </c>
      <c r="F315">
        <v>190189.16704199999</v>
      </c>
      <c r="G315" s="39">
        <v>44228</v>
      </c>
    </row>
    <row r="316" spans="1:7" x14ac:dyDescent="0.25">
      <c r="A316" t="s">
        <v>25</v>
      </c>
      <c r="B316">
        <v>2021</v>
      </c>
      <c r="C316" t="s">
        <v>9</v>
      </c>
      <c r="D316">
        <v>105007.287708</v>
      </c>
      <c r="E316">
        <v>55151.172167999997</v>
      </c>
      <c r="F316">
        <v>240045.28258199999</v>
      </c>
      <c r="G316" s="39">
        <v>44256</v>
      </c>
    </row>
    <row r="317" spans="1:7" x14ac:dyDescent="0.25">
      <c r="A317" t="s">
        <v>25</v>
      </c>
      <c r="B317">
        <v>2021</v>
      </c>
      <c r="C317" t="s">
        <v>10</v>
      </c>
      <c r="D317">
        <v>59688.539799999999</v>
      </c>
      <c r="E317">
        <v>33209.927037000001</v>
      </c>
      <c r="F317">
        <v>266523.89534499997</v>
      </c>
      <c r="G317" s="39">
        <v>44287</v>
      </c>
    </row>
    <row r="318" spans="1:7" x14ac:dyDescent="0.25">
      <c r="A318" t="s">
        <v>25</v>
      </c>
      <c r="B318">
        <v>2021</v>
      </c>
      <c r="C318" t="s">
        <v>11</v>
      </c>
      <c r="D318">
        <v>30620.35</v>
      </c>
      <c r="E318">
        <v>42346.514008999999</v>
      </c>
      <c r="F318">
        <v>254797.73133599994</v>
      </c>
      <c r="G318" s="39">
        <v>44317</v>
      </c>
    </row>
    <row r="319" spans="1:7" x14ac:dyDescent="0.25">
      <c r="A319" t="s">
        <v>25</v>
      </c>
      <c r="B319">
        <v>2021</v>
      </c>
      <c r="C319" t="s">
        <v>12</v>
      </c>
      <c r="D319">
        <v>17569.116399999999</v>
      </c>
      <c r="E319">
        <v>38746.093309999997</v>
      </c>
      <c r="F319">
        <v>233620.75442599997</v>
      </c>
      <c r="G319" s="39">
        <v>44348</v>
      </c>
    </row>
    <row r="320" spans="1:7" x14ac:dyDescent="0.25">
      <c r="A320" t="s">
        <v>25</v>
      </c>
      <c r="B320">
        <v>2021</v>
      </c>
      <c r="C320" t="s">
        <v>13</v>
      </c>
      <c r="D320">
        <v>16394.882571999999</v>
      </c>
      <c r="E320">
        <v>34362.656973999998</v>
      </c>
      <c r="F320">
        <v>215652.98002399999</v>
      </c>
      <c r="G320" s="39">
        <v>44378</v>
      </c>
    </row>
    <row r="321" spans="1:7" x14ac:dyDescent="0.25">
      <c r="A321" t="s">
        <v>25</v>
      </c>
      <c r="B321">
        <v>2021</v>
      </c>
      <c r="C321" t="s">
        <v>14</v>
      </c>
      <c r="D321">
        <v>100991.974115</v>
      </c>
      <c r="E321">
        <v>116909.94607999999</v>
      </c>
      <c r="F321">
        <v>199735.00805899999</v>
      </c>
      <c r="G321" s="39">
        <v>44409</v>
      </c>
    </row>
    <row r="322" spans="1:7" x14ac:dyDescent="0.25">
      <c r="A322" t="s">
        <v>25</v>
      </c>
      <c r="B322">
        <v>2021</v>
      </c>
      <c r="C322" t="s">
        <v>15</v>
      </c>
      <c r="D322">
        <v>18666.944114999998</v>
      </c>
      <c r="E322">
        <v>26469.689490000001</v>
      </c>
      <c r="F322">
        <v>191932.26268399999</v>
      </c>
      <c r="G322" s="39">
        <v>44440</v>
      </c>
    </row>
    <row r="323" spans="1:7" x14ac:dyDescent="0.25">
      <c r="A323" t="s">
        <v>25</v>
      </c>
      <c r="B323">
        <v>2021</v>
      </c>
      <c r="C323" t="s">
        <v>16</v>
      </c>
      <c r="D323">
        <v>310561.11826199997</v>
      </c>
      <c r="E323">
        <v>318123.16402700002</v>
      </c>
      <c r="F323">
        <v>184370.21691899997</v>
      </c>
      <c r="G323" s="39">
        <v>44470</v>
      </c>
    </row>
    <row r="324" spans="1:7" x14ac:dyDescent="0.25">
      <c r="A324" t="s">
        <v>25</v>
      </c>
      <c r="B324">
        <v>2021</v>
      </c>
      <c r="C324" t="s">
        <v>17</v>
      </c>
      <c r="D324">
        <v>66531.97</v>
      </c>
      <c r="E324">
        <v>31903.370504999999</v>
      </c>
      <c r="F324">
        <v>218998.81641399997</v>
      </c>
      <c r="G324" s="39">
        <v>44501</v>
      </c>
    </row>
    <row r="325" spans="1:7" x14ac:dyDescent="0.25">
      <c r="A325" t="s">
        <v>25</v>
      </c>
      <c r="B325">
        <v>2021</v>
      </c>
      <c r="C325" t="s">
        <v>18</v>
      </c>
      <c r="D325">
        <v>17516.38</v>
      </c>
      <c r="E325">
        <v>39004.293400000002</v>
      </c>
      <c r="F325">
        <v>197510.90301399998</v>
      </c>
      <c r="G325" s="39">
        <v>44531</v>
      </c>
    </row>
    <row r="326" spans="1:7" x14ac:dyDescent="0.25">
      <c r="A326" t="s">
        <v>25</v>
      </c>
      <c r="B326">
        <v>2022</v>
      </c>
      <c r="C326" t="s">
        <v>7</v>
      </c>
      <c r="D326">
        <v>19306.400000000001</v>
      </c>
      <c r="E326">
        <v>22601.117170000001</v>
      </c>
      <c r="F326">
        <v>194216.18584399996</v>
      </c>
      <c r="G326" s="39">
        <v>44562</v>
      </c>
    </row>
    <row r="327" spans="1:7" x14ac:dyDescent="0.25">
      <c r="A327" t="s">
        <v>25</v>
      </c>
      <c r="B327">
        <v>2022</v>
      </c>
      <c r="C327" t="s">
        <v>8</v>
      </c>
      <c r="D327">
        <v>83737.119999999995</v>
      </c>
      <c r="E327">
        <v>51610.872752000003</v>
      </c>
      <c r="F327">
        <v>226342.43309199996</v>
      </c>
      <c r="G327" s="39">
        <v>44593</v>
      </c>
    </row>
    <row r="328" spans="1:7" x14ac:dyDescent="0.25">
      <c r="A328" t="s">
        <v>25</v>
      </c>
      <c r="B328">
        <v>2022</v>
      </c>
      <c r="C328" t="s">
        <v>9</v>
      </c>
      <c r="D328">
        <v>10983.02</v>
      </c>
      <c r="E328">
        <v>37958.825634000001</v>
      </c>
      <c r="F328">
        <v>199366.62745799994</v>
      </c>
      <c r="G328" s="39">
        <v>44621</v>
      </c>
    </row>
    <row r="329" spans="1:7" x14ac:dyDescent="0.25">
      <c r="A329" t="s">
        <v>25</v>
      </c>
      <c r="B329">
        <v>2022</v>
      </c>
      <c r="C329" t="s">
        <v>10</v>
      </c>
      <c r="D329">
        <v>21170.91</v>
      </c>
      <c r="E329">
        <v>17451.200558</v>
      </c>
      <c r="F329">
        <v>203086.33689999994</v>
      </c>
      <c r="G329" s="39">
        <v>44652</v>
      </c>
    </row>
    <row r="330" spans="1:7" x14ac:dyDescent="0.25">
      <c r="A330" t="s">
        <v>25</v>
      </c>
      <c r="B330">
        <v>2022</v>
      </c>
      <c r="C330" t="s">
        <v>11</v>
      </c>
      <c r="D330">
        <v>31627.5</v>
      </c>
      <c r="E330">
        <v>24901.646628999999</v>
      </c>
      <c r="F330">
        <v>209812.19027099994</v>
      </c>
      <c r="G330" s="39">
        <v>44682</v>
      </c>
    </row>
    <row r="331" spans="1:7" x14ac:dyDescent="0.25">
      <c r="A331" t="s">
        <v>25</v>
      </c>
      <c r="B331">
        <v>2022</v>
      </c>
      <c r="C331" t="s">
        <v>12</v>
      </c>
      <c r="D331">
        <v>8516.3799999999992</v>
      </c>
      <c r="E331">
        <v>33766.445899999999</v>
      </c>
      <c r="F331">
        <v>184562.12437099995</v>
      </c>
      <c r="G331" s="39">
        <v>44713</v>
      </c>
    </row>
    <row r="332" spans="1:7" x14ac:dyDescent="0.25">
      <c r="A332" t="s">
        <v>25</v>
      </c>
      <c r="B332">
        <v>2022</v>
      </c>
      <c r="C332" t="s">
        <v>13</v>
      </c>
      <c r="D332">
        <v>206.8</v>
      </c>
      <c r="E332">
        <v>15171.265269</v>
      </c>
      <c r="F332">
        <v>169597.65910199995</v>
      </c>
      <c r="G332" s="39">
        <v>44743</v>
      </c>
    </row>
    <row r="333" spans="1:7" x14ac:dyDescent="0.25">
      <c r="A333" t="s">
        <v>25</v>
      </c>
      <c r="B333">
        <v>2022</v>
      </c>
      <c r="C333" t="s">
        <v>14</v>
      </c>
      <c r="D333">
        <v>289.17</v>
      </c>
      <c r="E333">
        <v>12422.682613000001</v>
      </c>
      <c r="F333">
        <v>157464.14648899995</v>
      </c>
      <c r="G333" s="39">
        <v>44774</v>
      </c>
    </row>
    <row r="334" spans="1:7" x14ac:dyDescent="0.25">
      <c r="A334" t="s">
        <v>25</v>
      </c>
      <c r="B334">
        <v>2022</v>
      </c>
      <c r="C334" t="s">
        <v>15</v>
      </c>
      <c r="D334">
        <v>8285.84</v>
      </c>
      <c r="E334">
        <v>16757.814869999998</v>
      </c>
      <c r="F334">
        <v>148992.17161899994</v>
      </c>
      <c r="G334" s="39">
        <v>44805</v>
      </c>
    </row>
    <row r="335" spans="1:7" x14ac:dyDescent="0.25">
      <c r="A335" t="s">
        <v>25</v>
      </c>
      <c r="B335">
        <v>2022</v>
      </c>
      <c r="C335" t="s">
        <v>16</v>
      </c>
      <c r="D335">
        <v>17052.71</v>
      </c>
      <c r="E335">
        <v>11802.858286999999</v>
      </c>
      <c r="F335">
        <v>154242.02333199992</v>
      </c>
      <c r="G335" s="39">
        <v>44835</v>
      </c>
    </row>
    <row r="336" spans="1:7" x14ac:dyDescent="0.25">
      <c r="A336" t="s">
        <v>25</v>
      </c>
      <c r="B336">
        <v>2022</v>
      </c>
      <c r="C336" t="s">
        <v>17</v>
      </c>
      <c r="D336">
        <v>7623.21</v>
      </c>
      <c r="E336">
        <v>21998.732715999999</v>
      </c>
      <c r="F336">
        <v>139866.50061599992</v>
      </c>
      <c r="G336" s="39">
        <v>44866</v>
      </c>
    </row>
    <row r="337" spans="1:7" x14ac:dyDescent="0.25">
      <c r="A337" t="s">
        <v>25</v>
      </c>
      <c r="B337">
        <v>2022</v>
      </c>
      <c r="C337" t="s">
        <v>18</v>
      </c>
      <c r="D337">
        <v>12860.8</v>
      </c>
      <c r="E337">
        <v>18135.164892000001</v>
      </c>
      <c r="F337">
        <v>134592.13572399991</v>
      </c>
      <c r="G337" s="39">
        <v>44896</v>
      </c>
    </row>
    <row r="338" spans="1:7" x14ac:dyDescent="0.25">
      <c r="A338" t="s">
        <v>25</v>
      </c>
      <c r="B338">
        <v>2023</v>
      </c>
      <c r="C338" t="s">
        <v>7</v>
      </c>
      <c r="D338">
        <v>218.54</v>
      </c>
      <c r="E338">
        <v>7469.2484139999997</v>
      </c>
      <c r="F338">
        <v>127341.42730999991</v>
      </c>
      <c r="G338" s="39">
        <v>44927</v>
      </c>
    </row>
    <row r="339" spans="1:7" x14ac:dyDescent="0.25">
      <c r="A339" t="s">
        <v>25</v>
      </c>
      <c r="B339">
        <v>2023</v>
      </c>
      <c r="C339" t="s">
        <v>8</v>
      </c>
      <c r="D339">
        <v>12757.77</v>
      </c>
      <c r="E339">
        <v>6978.3796609999999</v>
      </c>
      <c r="F339">
        <v>133120.81764899989</v>
      </c>
      <c r="G339" s="39">
        <v>44958</v>
      </c>
    </row>
    <row r="340" spans="1:7" x14ac:dyDescent="0.25">
      <c r="A340" t="s">
        <v>25</v>
      </c>
      <c r="B340">
        <v>2023</v>
      </c>
      <c r="C340" t="s">
        <v>9</v>
      </c>
      <c r="D340">
        <v>23479.94</v>
      </c>
      <c r="E340">
        <v>17836.561496999999</v>
      </c>
      <c r="F340">
        <v>138764.1961519999</v>
      </c>
      <c r="G340" s="39">
        <v>44986</v>
      </c>
    </row>
    <row r="341" spans="1:7" x14ac:dyDescent="0.25">
      <c r="A341" t="s">
        <v>25</v>
      </c>
      <c r="B341">
        <v>2023</v>
      </c>
      <c r="C341" t="s">
        <v>10</v>
      </c>
      <c r="D341">
        <v>5488.43</v>
      </c>
      <c r="E341">
        <v>12574.215139</v>
      </c>
      <c r="F341">
        <v>131678.41101299989</v>
      </c>
      <c r="G341" s="39">
        <v>45017</v>
      </c>
    </row>
    <row r="342" spans="1:7" x14ac:dyDescent="0.25">
      <c r="A342" t="s">
        <v>25</v>
      </c>
      <c r="B342">
        <v>2023</v>
      </c>
      <c r="C342" t="s">
        <v>11</v>
      </c>
      <c r="D342">
        <v>8295.9500000000007</v>
      </c>
      <c r="E342">
        <v>13256.933756</v>
      </c>
      <c r="F342">
        <v>126717.4272569999</v>
      </c>
      <c r="G342" s="39">
        <v>45047</v>
      </c>
    </row>
    <row r="343" spans="1:7" x14ac:dyDescent="0.25">
      <c r="A343" t="s">
        <v>25</v>
      </c>
      <c r="B343">
        <v>2023</v>
      </c>
      <c r="C343" t="s">
        <v>12</v>
      </c>
      <c r="D343">
        <v>30854.52</v>
      </c>
      <c r="E343">
        <v>15507.990320000001</v>
      </c>
      <c r="F343">
        <v>142063.95693699989</v>
      </c>
      <c r="G343" s="39">
        <v>45078</v>
      </c>
    </row>
    <row r="344" spans="1:7" x14ac:dyDescent="0.25">
      <c r="A344" t="s">
        <v>25</v>
      </c>
      <c r="B344">
        <v>2023</v>
      </c>
      <c r="C344" t="s">
        <v>13</v>
      </c>
      <c r="D344">
        <v>7861.8</v>
      </c>
      <c r="E344">
        <v>16568.439900000001</v>
      </c>
      <c r="F344">
        <v>133357.31703699988</v>
      </c>
      <c r="G344" s="39">
        <v>45108</v>
      </c>
    </row>
    <row r="345" spans="1:7" x14ac:dyDescent="0.25">
      <c r="A345" t="s">
        <v>25</v>
      </c>
      <c r="B345">
        <v>2023</v>
      </c>
      <c r="C345" t="s">
        <v>14</v>
      </c>
      <c r="D345">
        <v>10171.530000000001</v>
      </c>
      <c r="E345">
        <v>17584.921401</v>
      </c>
      <c r="F345">
        <v>125943.92563599988</v>
      </c>
      <c r="G345" s="39">
        <v>45139</v>
      </c>
    </row>
    <row r="346" spans="1:7" x14ac:dyDescent="0.25">
      <c r="A346" t="s">
        <v>25</v>
      </c>
      <c r="B346">
        <v>2023</v>
      </c>
      <c r="C346" t="s">
        <v>15</v>
      </c>
      <c r="D346">
        <v>15050.82</v>
      </c>
      <c r="E346">
        <v>9963.6707920000008</v>
      </c>
      <c r="F346">
        <v>131031.07484399989</v>
      </c>
      <c r="G346" s="39">
        <v>45170</v>
      </c>
    </row>
    <row r="347" spans="1:7" x14ac:dyDescent="0.25">
      <c r="A347" t="s">
        <v>25</v>
      </c>
      <c r="B347">
        <v>2023</v>
      </c>
      <c r="C347" t="s">
        <v>16</v>
      </c>
      <c r="D347">
        <v>18953.650000000001</v>
      </c>
      <c r="E347">
        <v>20432.586406999999</v>
      </c>
      <c r="F347">
        <v>129552.1384369999</v>
      </c>
      <c r="G347" s="39">
        <v>45200</v>
      </c>
    </row>
    <row r="348" spans="1:7" x14ac:dyDescent="0.25">
      <c r="A348" t="s">
        <v>25</v>
      </c>
      <c r="B348">
        <v>2023</v>
      </c>
      <c r="C348" t="s">
        <v>17</v>
      </c>
      <c r="D348">
        <v>15105.09</v>
      </c>
      <c r="E348">
        <v>14136.453219000001</v>
      </c>
      <c r="F348">
        <v>130520.77521799989</v>
      </c>
      <c r="G348" s="39">
        <v>45231</v>
      </c>
    </row>
    <row r="349" spans="1:7" x14ac:dyDescent="0.25">
      <c r="A349" t="s">
        <v>25</v>
      </c>
      <c r="B349">
        <v>2023</v>
      </c>
      <c r="C349" t="s">
        <v>18</v>
      </c>
      <c r="D349">
        <v>5050.92</v>
      </c>
      <c r="E349">
        <v>15474.178932000001</v>
      </c>
      <c r="F349">
        <v>120097.5162859999</v>
      </c>
      <c r="G349" s="39">
        <v>45261</v>
      </c>
    </row>
    <row r="350" spans="1:7" x14ac:dyDescent="0.25">
      <c r="A350" t="s">
        <v>25</v>
      </c>
      <c r="B350">
        <v>2024</v>
      </c>
      <c r="C350" t="s">
        <v>7</v>
      </c>
      <c r="F350">
        <v>120097.5162859999</v>
      </c>
      <c r="G350" s="39">
        <v>45292</v>
      </c>
    </row>
    <row r="351" spans="1:7" x14ac:dyDescent="0.25">
      <c r="A351" t="s">
        <v>25</v>
      </c>
      <c r="B351">
        <v>2024</v>
      </c>
      <c r="C351" t="s">
        <v>8</v>
      </c>
      <c r="F351">
        <v>120097.5162859999</v>
      </c>
      <c r="G351" s="39">
        <v>45323</v>
      </c>
    </row>
    <row r="352" spans="1:7" x14ac:dyDescent="0.25">
      <c r="A352" t="s">
        <v>25</v>
      </c>
      <c r="B352">
        <v>2024</v>
      </c>
      <c r="C352" t="s">
        <v>9</v>
      </c>
      <c r="F352">
        <v>120097.5162859999</v>
      </c>
      <c r="G352" s="39">
        <v>45352</v>
      </c>
    </row>
    <row r="353" spans="1:7" x14ac:dyDescent="0.25">
      <c r="A353" t="s">
        <v>25</v>
      </c>
      <c r="B353">
        <v>2024</v>
      </c>
      <c r="C353" t="s">
        <v>10</v>
      </c>
      <c r="F353">
        <v>120097.5162859999</v>
      </c>
      <c r="G353" s="39">
        <v>45383</v>
      </c>
    </row>
    <row r="354" spans="1:7" x14ac:dyDescent="0.25">
      <c r="A354" t="s">
        <v>25</v>
      </c>
      <c r="B354">
        <v>2024</v>
      </c>
      <c r="C354" t="s">
        <v>11</v>
      </c>
      <c r="F354">
        <v>120097.5162859999</v>
      </c>
      <c r="G354" s="39">
        <v>45413</v>
      </c>
    </row>
    <row r="355" spans="1:7" x14ac:dyDescent="0.25">
      <c r="A355" t="s">
        <v>25</v>
      </c>
      <c r="B355">
        <v>2024</v>
      </c>
      <c r="C355" t="s">
        <v>12</v>
      </c>
      <c r="F355">
        <v>120097.5162859999</v>
      </c>
      <c r="G355" s="39">
        <v>45444</v>
      </c>
    </row>
    <row r="356" spans="1:7" x14ac:dyDescent="0.25">
      <c r="A356" t="s">
        <v>25</v>
      </c>
      <c r="B356">
        <v>2024</v>
      </c>
      <c r="C356" t="s">
        <v>13</v>
      </c>
      <c r="F356">
        <v>120097.5162859999</v>
      </c>
      <c r="G356" s="39">
        <v>45474</v>
      </c>
    </row>
    <row r="357" spans="1:7" x14ac:dyDescent="0.25">
      <c r="A357" t="s">
        <v>25</v>
      </c>
      <c r="B357">
        <v>2024</v>
      </c>
      <c r="C357" t="s">
        <v>14</v>
      </c>
      <c r="F357">
        <v>120097.5162859999</v>
      </c>
      <c r="G357" s="39">
        <v>45505</v>
      </c>
    </row>
    <row r="358" spans="1:7" x14ac:dyDescent="0.25">
      <c r="A358" t="s">
        <v>25</v>
      </c>
      <c r="B358">
        <v>2024</v>
      </c>
      <c r="C358" t="s">
        <v>15</v>
      </c>
      <c r="F358">
        <v>120097.5162859999</v>
      </c>
      <c r="G358" s="39">
        <v>45536</v>
      </c>
    </row>
    <row r="359" spans="1:7" x14ac:dyDescent="0.25">
      <c r="A359" t="s">
        <v>25</v>
      </c>
      <c r="B359">
        <v>2024</v>
      </c>
      <c r="C359" t="s">
        <v>16</v>
      </c>
      <c r="F359">
        <v>120097.5162859999</v>
      </c>
      <c r="G359" s="39">
        <v>45566</v>
      </c>
    </row>
    <row r="360" spans="1:7" x14ac:dyDescent="0.25">
      <c r="A360" t="s">
        <v>25</v>
      </c>
      <c r="B360">
        <v>2024</v>
      </c>
      <c r="C360" t="s">
        <v>17</v>
      </c>
      <c r="F360">
        <v>120097.5162859999</v>
      </c>
      <c r="G360" s="39">
        <v>45597</v>
      </c>
    </row>
    <row r="361" spans="1:7" x14ac:dyDescent="0.25">
      <c r="A361" t="s">
        <v>25</v>
      </c>
      <c r="B361">
        <v>2024</v>
      </c>
      <c r="C361" t="s">
        <v>18</v>
      </c>
      <c r="F361">
        <v>120097.5162859999</v>
      </c>
      <c r="G361" s="39">
        <v>45627</v>
      </c>
    </row>
    <row r="362" spans="1:7" x14ac:dyDescent="0.25">
      <c r="A362" t="s">
        <v>26</v>
      </c>
      <c r="B362">
        <v>2019</v>
      </c>
      <c r="C362" t="s">
        <v>7</v>
      </c>
      <c r="D362">
        <v>0</v>
      </c>
      <c r="E362">
        <v>11486.503203</v>
      </c>
      <c r="F362">
        <v>61572.724340999994</v>
      </c>
      <c r="G362" s="39">
        <v>43466</v>
      </c>
    </row>
    <row r="363" spans="1:7" x14ac:dyDescent="0.25">
      <c r="A363" t="s">
        <v>26</v>
      </c>
      <c r="B363">
        <v>2019</v>
      </c>
      <c r="C363" t="s">
        <v>8</v>
      </c>
      <c r="D363">
        <v>93305.195030000003</v>
      </c>
      <c r="E363">
        <v>9526.0085190000009</v>
      </c>
      <c r="F363">
        <v>145351.910852</v>
      </c>
      <c r="G363" s="39">
        <v>43497</v>
      </c>
    </row>
    <row r="364" spans="1:7" x14ac:dyDescent="0.25">
      <c r="A364" t="s">
        <v>26</v>
      </c>
      <c r="B364">
        <v>2019</v>
      </c>
      <c r="C364" t="s">
        <v>9</v>
      </c>
      <c r="D364">
        <v>0</v>
      </c>
      <c r="E364">
        <v>15083.851119999999</v>
      </c>
      <c r="F364">
        <v>130268.05973199999</v>
      </c>
      <c r="G364" s="39">
        <v>43525</v>
      </c>
    </row>
    <row r="365" spans="1:7" x14ac:dyDescent="0.25">
      <c r="A365" t="s">
        <v>26</v>
      </c>
      <c r="B365">
        <v>2019</v>
      </c>
      <c r="C365" t="s">
        <v>10</v>
      </c>
      <c r="D365">
        <v>0</v>
      </c>
      <c r="E365">
        <v>7500.2252120000003</v>
      </c>
      <c r="F365">
        <v>122767.83451999999</v>
      </c>
      <c r="G365" s="39">
        <v>43556</v>
      </c>
    </row>
    <row r="366" spans="1:7" x14ac:dyDescent="0.25">
      <c r="A366" t="s">
        <v>26</v>
      </c>
      <c r="B366">
        <v>2019</v>
      </c>
      <c r="C366" t="s">
        <v>11</v>
      </c>
      <c r="D366">
        <v>0</v>
      </c>
      <c r="E366">
        <v>6586.8158169999997</v>
      </c>
      <c r="F366">
        <v>116181.01870299999</v>
      </c>
      <c r="G366" s="39">
        <v>43586</v>
      </c>
    </row>
    <row r="367" spans="1:7" x14ac:dyDescent="0.25">
      <c r="A367" t="s">
        <v>26</v>
      </c>
      <c r="B367">
        <v>2019</v>
      </c>
      <c r="C367" t="s">
        <v>12</v>
      </c>
      <c r="D367">
        <v>0</v>
      </c>
      <c r="E367">
        <v>19432.670596</v>
      </c>
      <c r="F367">
        <v>96748.348106999998</v>
      </c>
      <c r="G367" s="39">
        <v>43617</v>
      </c>
    </row>
    <row r="368" spans="1:7" x14ac:dyDescent="0.25">
      <c r="A368" t="s">
        <v>26</v>
      </c>
      <c r="B368">
        <v>2019</v>
      </c>
      <c r="C368" t="s">
        <v>13</v>
      </c>
      <c r="D368">
        <v>0</v>
      </c>
      <c r="E368">
        <v>12893.586482999999</v>
      </c>
      <c r="F368">
        <v>83854.761624000006</v>
      </c>
      <c r="G368" s="39">
        <v>43647</v>
      </c>
    </row>
    <row r="369" spans="1:7" x14ac:dyDescent="0.25">
      <c r="A369" t="s">
        <v>26</v>
      </c>
      <c r="B369">
        <v>2019</v>
      </c>
      <c r="C369" t="s">
        <v>14</v>
      </c>
      <c r="D369">
        <v>81989.38</v>
      </c>
      <c r="E369">
        <v>5405.4034080000001</v>
      </c>
      <c r="F369">
        <v>160438.738216</v>
      </c>
      <c r="G369" s="39">
        <v>43678</v>
      </c>
    </row>
    <row r="370" spans="1:7" x14ac:dyDescent="0.25">
      <c r="A370" t="s">
        <v>26</v>
      </c>
      <c r="B370">
        <v>2019</v>
      </c>
      <c r="C370" t="s">
        <v>15</v>
      </c>
      <c r="D370">
        <v>0</v>
      </c>
      <c r="E370">
        <v>9603.5990899999997</v>
      </c>
      <c r="F370">
        <v>150835.13912599999</v>
      </c>
      <c r="G370" s="39">
        <v>43709</v>
      </c>
    </row>
    <row r="371" spans="1:7" x14ac:dyDescent="0.25">
      <c r="A371" t="s">
        <v>26</v>
      </c>
      <c r="B371">
        <v>2019</v>
      </c>
      <c r="C371" t="s">
        <v>16</v>
      </c>
      <c r="D371">
        <v>0</v>
      </c>
      <c r="E371">
        <v>17144.009128000002</v>
      </c>
      <c r="F371">
        <v>133691.12999799999</v>
      </c>
      <c r="G371" s="39">
        <v>43739</v>
      </c>
    </row>
    <row r="372" spans="1:7" x14ac:dyDescent="0.25">
      <c r="A372" t="s">
        <v>26</v>
      </c>
      <c r="B372">
        <v>2019</v>
      </c>
      <c r="C372" t="s">
        <v>17</v>
      </c>
      <c r="D372">
        <v>0</v>
      </c>
      <c r="E372">
        <v>22237.884715</v>
      </c>
      <c r="F372">
        <v>111453.245283</v>
      </c>
      <c r="G372" s="39">
        <v>43770</v>
      </c>
    </row>
    <row r="373" spans="1:7" x14ac:dyDescent="0.25">
      <c r="A373" t="s">
        <v>26</v>
      </c>
      <c r="B373">
        <v>2019</v>
      </c>
      <c r="C373" t="s">
        <v>18</v>
      </c>
      <c r="D373">
        <v>0</v>
      </c>
      <c r="E373">
        <v>12602.346874999999</v>
      </c>
      <c r="F373">
        <v>98850.898407999994</v>
      </c>
      <c r="G373" s="39">
        <v>43800</v>
      </c>
    </row>
    <row r="374" spans="1:7" x14ac:dyDescent="0.25">
      <c r="A374" t="s">
        <v>26</v>
      </c>
      <c r="B374">
        <v>2020</v>
      </c>
      <c r="C374" t="s">
        <v>7</v>
      </c>
      <c r="D374">
        <v>0</v>
      </c>
      <c r="E374">
        <v>7453.5273530000004</v>
      </c>
      <c r="F374">
        <v>91397.371054999996</v>
      </c>
      <c r="G374" s="39">
        <v>43831</v>
      </c>
    </row>
    <row r="375" spans="1:7" x14ac:dyDescent="0.25">
      <c r="A375" t="s">
        <v>26</v>
      </c>
      <c r="B375">
        <v>2020</v>
      </c>
      <c r="C375" t="s">
        <v>8</v>
      </c>
      <c r="D375">
        <v>0</v>
      </c>
      <c r="E375">
        <v>14308.020863</v>
      </c>
      <c r="F375">
        <v>77089.350191999998</v>
      </c>
      <c r="G375" s="39">
        <v>43862</v>
      </c>
    </row>
    <row r="376" spans="1:7" x14ac:dyDescent="0.25">
      <c r="A376" t="s">
        <v>26</v>
      </c>
      <c r="B376">
        <v>2020</v>
      </c>
      <c r="C376" t="s">
        <v>9</v>
      </c>
      <c r="D376">
        <v>0</v>
      </c>
      <c r="E376">
        <v>10673.278410999999</v>
      </c>
      <c r="F376">
        <v>66416.071781000006</v>
      </c>
      <c r="G376" s="39">
        <v>43891</v>
      </c>
    </row>
    <row r="377" spans="1:7" x14ac:dyDescent="0.25">
      <c r="A377" t="s">
        <v>26</v>
      </c>
      <c r="B377">
        <v>2020</v>
      </c>
      <c r="C377" t="s">
        <v>10</v>
      </c>
      <c r="D377">
        <v>0</v>
      </c>
      <c r="E377">
        <v>5325.1764309999999</v>
      </c>
      <c r="F377">
        <v>61090.895350000006</v>
      </c>
      <c r="G377" s="39">
        <v>43922</v>
      </c>
    </row>
    <row r="378" spans="1:7" x14ac:dyDescent="0.25">
      <c r="A378" t="s">
        <v>26</v>
      </c>
      <c r="B378">
        <v>2020</v>
      </c>
      <c r="C378" t="s">
        <v>11</v>
      </c>
      <c r="D378">
        <v>0</v>
      </c>
      <c r="E378">
        <v>13029.939666</v>
      </c>
      <c r="F378">
        <v>48060.955684000008</v>
      </c>
      <c r="G378" s="39">
        <v>43952</v>
      </c>
    </row>
    <row r="379" spans="1:7" x14ac:dyDescent="0.25">
      <c r="A379" t="s">
        <v>26</v>
      </c>
      <c r="B379">
        <v>2020</v>
      </c>
      <c r="C379" t="s">
        <v>12</v>
      </c>
      <c r="D379">
        <v>0</v>
      </c>
      <c r="E379">
        <v>7419.2500849999997</v>
      </c>
      <c r="F379">
        <v>40641.705599000008</v>
      </c>
      <c r="G379" s="39">
        <v>43983</v>
      </c>
    </row>
    <row r="380" spans="1:7" x14ac:dyDescent="0.25">
      <c r="A380" t="s">
        <v>26</v>
      </c>
      <c r="B380">
        <v>2020</v>
      </c>
      <c r="C380" t="s">
        <v>13</v>
      </c>
      <c r="D380">
        <v>0</v>
      </c>
      <c r="E380">
        <v>2324.5602840000001</v>
      </c>
      <c r="F380">
        <v>38317.145315000009</v>
      </c>
      <c r="G380" s="39">
        <v>44013</v>
      </c>
    </row>
    <row r="381" spans="1:7" x14ac:dyDescent="0.25">
      <c r="A381" t="s">
        <v>26</v>
      </c>
      <c r="B381">
        <v>2020</v>
      </c>
      <c r="C381" t="s">
        <v>14</v>
      </c>
      <c r="D381">
        <v>77496.479999999996</v>
      </c>
      <c r="E381">
        <v>3508.1570040000001</v>
      </c>
      <c r="F381">
        <v>112305.46831100002</v>
      </c>
      <c r="G381" s="39">
        <v>44044</v>
      </c>
    </row>
    <row r="382" spans="1:7" x14ac:dyDescent="0.25">
      <c r="A382" t="s">
        <v>26</v>
      </c>
      <c r="B382">
        <v>2020</v>
      </c>
      <c r="C382" t="s">
        <v>15</v>
      </c>
      <c r="D382">
        <v>0</v>
      </c>
      <c r="E382">
        <v>15721.43721</v>
      </c>
      <c r="F382">
        <v>96584.031101000015</v>
      </c>
      <c r="G382" s="39">
        <v>44075</v>
      </c>
    </row>
    <row r="383" spans="1:7" x14ac:dyDescent="0.25">
      <c r="A383" t="s">
        <v>26</v>
      </c>
      <c r="B383">
        <v>2020</v>
      </c>
      <c r="C383" t="s">
        <v>16</v>
      </c>
      <c r="D383">
        <v>0</v>
      </c>
      <c r="E383">
        <v>11117.955791</v>
      </c>
      <c r="F383">
        <v>85466.075310000015</v>
      </c>
      <c r="G383" s="39">
        <v>44105</v>
      </c>
    </row>
    <row r="384" spans="1:7" x14ac:dyDescent="0.25">
      <c r="A384" t="s">
        <v>26</v>
      </c>
      <c r="B384">
        <v>2020</v>
      </c>
      <c r="C384" t="s">
        <v>17</v>
      </c>
      <c r="D384">
        <v>0</v>
      </c>
      <c r="E384">
        <v>11607.568171000001</v>
      </c>
      <c r="F384">
        <v>73858.507139000008</v>
      </c>
      <c r="G384" s="39">
        <v>44136</v>
      </c>
    </row>
    <row r="385" spans="1:7" x14ac:dyDescent="0.25">
      <c r="A385" t="s">
        <v>26</v>
      </c>
      <c r="B385">
        <v>2020</v>
      </c>
      <c r="C385" t="s">
        <v>18</v>
      </c>
      <c r="D385">
        <v>0</v>
      </c>
      <c r="E385">
        <v>9525.3278780000001</v>
      </c>
      <c r="F385">
        <v>64333.179261000012</v>
      </c>
      <c r="G385" s="39">
        <v>44166</v>
      </c>
    </row>
    <row r="386" spans="1:7" x14ac:dyDescent="0.25">
      <c r="A386" t="s">
        <v>26</v>
      </c>
      <c r="B386">
        <v>2021</v>
      </c>
      <c r="C386" t="s">
        <v>7</v>
      </c>
      <c r="D386">
        <v>85338.5</v>
      </c>
      <c r="E386">
        <v>6358.7714290000004</v>
      </c>
      <c r="F386">
        <v>143312.907832</v>
      </c>
      <c r="G386" s="39">
        <v>44197</v>
      </c>
    </row>
    <row r="387" spans="1:7" x14ac:dyDescent="0.25">
      <c r="A387" t="s">
        <v>26</v>
      </c>
      <c r="B387">
        <v>2021</v>
      </c>
      <c r="C387" t="s">
        <v>8</v>
      </c>
      <c r="D387">
        <v>0</v>
      </c>
      <c r="E387">
        <v>13528.429812</v>
      </c>
      <c r="F387">
        <v>129784.47802</v>
      </c>
      <c r="G387" s="39">
        <v>44228</v>
      </c>
    </row>
    <row r="388" spans="1:7" x14ac:dyDescent="0.25">
      <c r="A388" t="s">
        <v>26</v>
      </c>
      <c r="B388">
        <v>2021</v>
      </c>
      <c r="C388" t="s">
        <v>9</v>
      </c>
      <c r="D388">
        <v>0</v>
      </c>
      <c r="E388">
        <v>19425.31565</v>
      </c>
      <c r="F388">
        <v>110359.16236999999</v>
      </c>
      <c r="G388" s="39">
        <v>44256</v>
      </c>
    </row>
    <row r="389" spans="1:7" x14ac:dyDescent="0.25">
      <c r="A389" t="s">
        <v>26</v>
      </c>
      <c r="B389">
        <v>2021</v>
      </c>
      <c r="C389" t="s">
        <v>10</v>
      </c>
      <c r="D389">
        <v>0</v>
      </c>
      <c r="E389">
        <v>14680.305254000001</v>
      </c>
      <c r="F389">
        <v>95678.857115999985</v>
      </c>
      <c r="G389" s="39">
        <v>44287</v>
      </c>
    </row>
    <row r="390" spans="1:7" x14ac:dyDescent="0.25">
      <c r="A390" t="s">
        <v>26</v>
      </c>
      <c r="B390">
        <v>2021</v>
      </c>
      <c r="C390" t="s">
        <v>11</v>
      </c>
      <c r="D390">
        <v>0</v>
      </c>
      <c r="E390">
        <v>11751.371069000001</v>
      </c>
      <c r="F390">
        <v>83927.486046999984</v>
      </c>
      <c r="G390" s="39">
        <v>44317</v>
      </c>
    </row>
    <row r="391" spans="1:7" x14ac:dyDescent="0.25">
      <c r="A391" t="s">
        <v>26</v>
      </c>
      <c r="B391">
        <v>2021</v>
      </c>
      <c r="C391" t="s">
        <v>12</v>
      </c>
      <c r="D391">
        <v>0</v>
      </c>
      <c r="E391">
        <v>11769.288183000001</v>
      </c>
      <c r="F391">
        <v>72158.197863999987</v>
      </c>
      <c r="G391" s="39">
        <v>44348</v>
      </c>
    </row>
    <row r="392" spans="1:7" x14ac:dyDescent="0.25">
      <c r="A392" t="s">
        <v>26</v>
      </c>
      <c r="B392">
        <v>2021</v>
      </c>
      <c r="C392" t="s">
        <v>13</v>
      </c>
      <c r="D392">
        <v>128194.76</v>
      </c>
      <c r="E392">
        <v>16253.543011</v>
      </c>
      <c r="F392">
        <v>184099.41485299999</v>
      </c>
      <c r="G392" s="39">
        <v>44378</v>
      </c>
    </row>
    <row r="393" spans="1:7" x14ac:dyDescent="0.25">
      <c r="A393" t="s">
        <v>26</v>
      </c>
      <c r="B393">
        <v>2021</v>
      </c>
      <c r="C393" t="s">
        <v>14</v>
      </c>
      <c r="D393">
        <v>0</v>
      </c>
      <c r="E393">
        <v>53506.978858000002</v>
      </c>
      <c r="F393">
        <v>130592.43599499999</v>
      </c>
      <c r="G393" s="39">
        <v>44409</v>
      </c>
    </row>
    <row r="394" spans="1:7" x14ac:dyDescent="0.25">
      <c r="A394" t="s">
        <v>26</v>
      </c>
      <c r="B394">
        <v>2021</v>
      </c>
      <c r="C394" t="s">
        <v>15</v>
      </c>
      <c r="D394">
        <v>0</v>
      </c>
      <c r="E394">
        <v>6554.523126</v>
      </c>
      <c r="F394">
        <v>124037.91286899999</v>
      </c>
      <c r="G394" s="39">
        <v>44440</v>
      </c>
    </row>
    <row r="395" spans="1:7" x14ac:dyDescent="0.25">
      <c r="A395" t="s">
        <v>26</v>
      </c>
      <c r="B395">
        <v>2021</v>
      </c>
      <c r="C395" t="s">
        <v>16</v>
      </c>
      <c r="D395">
        <v>128194.76</v>
      </c>
      <c r="E395">
        <v>127321.88944100001</v>
      </c>
      <c r="F395">
        <v>124910.783428</v>
      </c>
      <c r="G395" s="39">
        <v>44470</v>
      </c>
    </row>
    <row r="396" spans="1:7" x14ac:dyDescent="0.25">
      <c r="A396" t="s">
        <v>26</v>
      </c>
      <c r="B396">
        <v>2021</v>
      </c>
      <c r="C396" t="s">
        <v>17</v>
      </c>
      <c r="D396">
        <v>0</v>
      </c>
      <c r="E396">
        <v>13788.258895999999</v>
      </c>
      <c r="F396">
        <v>111122.524532</v>
      </c>
      <c r="G396" s="39">
        <v>44501</v>
      </c>
    </row>
    <row r="397" spans="1:7" x14ac:dyDescent="0.25">
      <c r="A397" t="s">
        <v>26</v>
      </c>
      <c r="B397">
        <v>2021</v>
      </c>
      <c r="C397" t="s">
        <v>18</v>
      </c>
      <c r="D397">
        <v>0</v>
      </c>
      <c r="E397">
        <v>19296.707459000001</v>
      </c>
      <c r="F397">
        <v>91825.817072999998</v>
      </c>
      <c r="G397" s="39">
        <v>44531</v>
      </c>
    </row>
    <row r="398" spans="1:7" x14ac:dyDescent="0.25">
      <c r="A398" t="s">
        <v>26</v>
      </c>
      <c r="B398">
        <v>2022</v>
      </c>
      <c r="C398" t="s">
        <v>7</v>
      </c>
      <c r="D398">
        <v>0</v>
      </c>
      <c r="E398">
        <v>9884.3038770000003</v>
      </c>
      <c r="F398">
        <v>81941.513196</v>
      </c>
      <c r="G398" s="39">
        <v>44562</v>
      </c>
    </row>
    <row r="399" spans="1:7" x14ac:dyDescent="0.25">
      <c r="A399" t="s">
        <v>26</v>
      </c>
      <c r="B399">
        <v>2022</v>
      </c>
      <c r="C399" t="s">
        <v>8</v>
      </c>
      <c r="D399">
        <v>0</v>
      </c>
      <c r="E399">
        <v>12230.417149000001</v>
      </c>
      <c r="F399">
        <v>69711.096046999999</v>
      </c>
      <c r="G399" s="39">
        <v>44593</v>
      </c>
    </row>
    <row r="400" spans="1:7" x14ac:dyDescent="0.25">
      <c r="A400" t="s">
        <v>26</v>
      </c>
      <c r="B400">
        <v>2022</v>
      </c>
      <c r="C400" t="s">
        <v>9</v>
      </c>
      <c r="D400">
        <v>0</v>
      </c>
      <c r="E400">
        <v>19162.597373000001</v>
      </c>
      <c r="F400">
        <v>50548.498674000002</v>
      </c>
      <c r="G400" s="39">
        <v>44621</v>
      </c>
    </row>
    <row r="401" spans="1:7" x14ac:dyDescent="0.25">
      <c r="A401" t="s">
        <v>26</v>
      </c>
      <c r="B401">
        <v>2022</v>
      </c>
      <c r="C401" t="s">
        <v>10</v>
      </c>
      <c r="D401">
        <v>331.17</v>
      </c>
      <c r="E401">
        <v>11132.785142999999</v>
      </c>
      <c r="F401">
        <v>39746.883530999999</v>
      </c>
      <c r="G401" s="39">
        <v>44652</v>
      </c>
    </row>
    <row r="402" spans="1:7" x14ac:dyDescent="0.25">
      <c r="A402" t="s">
        <v>26</v>
      </c>
      <c r="B402">
        <v>2022</v>
      </c>
      <c r="C402" t="s">
        <v>11</v>
      </c>
      <c r="D402">
        <v>0</v>
      </c>
      <c r="E402">
        <v>9741.2652720000006</v>
      </c>
      <c r="F402">
        <v>30005.618258999999</v>
      </c>
      <c r="G402" s="39">
        <v>44682</v>
      </c>
    </row>
    <row r="403" spans="1:7" x14ac:dyDescent="0.25">
      <c r="A403" t="s">
        <v>26</v>
      </c>
      <c r="B403">
        <v>2022</v>
      </c>
      <c r="C403" t="s">
        <v>12</v>
      </c>
      <c r="D403">
        <v>0</v>
      </c>
      <c r="E403">
        <v>4447.4182000000001</v>
      </c>
      <c r="F403">
        <v>25558.200058999999</v>
      </c>
      <c r="G403" s="39">
        <v>44713</v>
      </c>
    </row>
    <row r="404" spans="1:7" x14ac:dyDescent="0.25">
      <c r="A404" t="s">
        <v>26</v>
      </c>
      <c r="B404">
        <v>2022</v>
      </c>
      <c r="C404" t="s">
        <v>13</v>
      </c>
      <c r="D404">
        <v>0</v>
      </c>
      <c r="E404">
        <v>3338.663634</v>
      </c>
      <c r="F404">
        <v>22219.536424999998</v>
      </c>
      <c r="G404" s="39">
        <v>44743</v>
      </c>
    </row>
    <row r="405" spans="1:7" x14ac:dyDescent="0.25">
      <c r="A405" t="s">
        <v>26</v>
      </c>
      <c r="B405">
        <v>2022</v>
      </c>
      <c r="C405" t="s">
        <v>14</v>
      </c>
      <c r="D405">
        <v>0</v>
      </c>
      <c r="E405">
        <v>4579.7825999999995</v>
      </c>
      <c r="F405">
        <v>17639.753825</v>
      </c>
      <c r="G405" s="39">
        <v>44774</v>
      </c>
    </row>
    <row r="406" spans="1:7" x14ac:dyDescent="0.25">
      <c r="A406" t="s">
        <v>26</v>
      </c>
      <c r="B406">
        <v>2022</v>
      </c>
      <c r="C406" t="s">
        <v>15</v>
      </c>
      <c r="D406">
        <v>0</v>
      </c>
      <c r="E406">
        <v>2112.914362</v>
      </c>
      <c r="F406">
        <v>15526.839463</v>
      </c>
      <c r="G406" s="39">
        <v>44805</v>
      </c>
    </row>
    <row r="407" spans="1:7" x14ac:dyDescent="0.25">
      <c r="A407" t="s">
        <v>26</v>
      </c>
      <c r="B407">
        <v>2022</v>
      </c>
      <c r="C407" t="s">
        <v>16</v>
      </c>
      <c r="D407">
        <v>0</v>
      </c>
      <c r="E407">
        <v>972.21663999999998</v>
      </c>
      <c r="F407">
        <v>14554.622823</v>
      </c>
      <c r="G407" s="39">
        <v>44835</v>
      </c>
    </row>
    <row r="408" spans="1:7" x14ac:dyDescent="0.25">
      <c r="A408" t="s">
        <v>26</v>
      </c>
      <c r="B408">
        <v>2022</v>
      </c>
      <c r="C408" t="s">
        <v>17</v>
      </c>
      <c r="D408">
        <v>0</v>
      </c>
      <c r="E408">
        <v>3033.3773890000002</v>
      </c>
      <c r="F408">
        <v>11521.245434</v>
      </c>
      <c r="G408" s="39">
        <v>44866</v>
      </c>
    </row>
    <row r="409" spans="1:7" x14ac:dyDescent="0.25">
      <c r="A409" t="s">
        <v>26</v>
      </c>
      <c r="B409">
        <v>2022</v>
      </c>
      <c r="C409" t="s">
        <v>18</v>
      </c>
      <c r="D409">
        <v>0</v>
      </c>
      <c r="E409">
        <v>705.274</v>
      </c>
      <c r="F409">
        <v>10815.971434000001</v>
      </c>
      <c r="G409" s="39">
        <v>44896</v>
      </c>
    </row>
    <row r="410" spans="1:7" x14ac:dyDescent="0.25">
      <c r="A410" t="s">
        <v>26</v>
      </c>
      <c r="B410">
        <v>2023</v>
      </c>
      <c r="C410" t="s">
        <v>7</v>
      </c>
      <c r="D410">
        <v>0</v>
      </c>
      <c r="E410">
        <v>0</v>
      </c>
      <c r="F410">
        <v>10815.971434000001</v>
      </c>
      <c r="G410" s="39">
        <v>44927</v>
      </c>
    </row>
    <row r="411" spans="1:7" x14ac:dyDescent="0.25">
      <c r="A411" t="s">
        <v>26</v>
      </c>
      <c r="B411">
        <v>2023</v>
      </c>
      <c r="C411" t="s">
        <v>8</v>
      </c>
      <c r="D411">
        <v>0</v>
      </c>
      <c r="E411">
        <v>697.798633</v>
      </c>
      <c r="F411">
        <v>10118.172801000001</v>
      </c>
      <c r="G411" s="39">
        <v>44958</v>
      </c>
    </row>
    <row r="412" spans="1:7" x14ac:dyDescent="0.25">
      <c r="A412" t="s">
        <v>26</v>
      </c>
      <c r="B412">
        <v>2023</v>
      </c>
      <c r="C412" t="s">
        <v>9</v>
      </c>
      <c r="D412">
        <v>0</v>
      </c>
      <c r="E412">
        <v>1741.936747</v>
      </c>
      <c r="F412">
        <v>8376.2360540000009</v>
      </c>
      <c r="G412" s="39">
        <v>44986</v>
      </c>
    </row>
    <row r="413" spans="1:7" x14ac:dyDescent="0.25">
      <c r="A413" t="s">
        <v>26</v>
      </c>
      <c r="B413">
        <v>2023</v>
      </c>
      <c r="C413" t="s">
        <v>10</v>
      </c>
      <c r="D413">
        <v>0</v>
      </c>
      <c r="E413">
        <v>944.95948799999996</v>
      </c>
      <c r="F413">
        <v>7431.2765660000005</v>
      </c>
      <c r="G413" s="39">
        <v>45017</v>
      </c>
    </row>
    <row r="414" spans="1:7" x14ac:dyDescent="0.25">
      <c r="A414" t="s">
        <v>26</v>
      </c>
      <c r="B414">
        <v>2023</v>
      </c>
      <c r="C414" t="s">
        <v>11</v>
      </c>
      <c r="D414">
        <v>0</v>
      </c>
      <c r="E414">
        <v>70.041759999999996</v>
      </c>
      <c r="F414">
        <v>7361.2348060000004</v>
      </c>
      <c r="G414" s="39">
        <v>45047</v>
      </c>
    </row>
    <row r="415" spans="1:7" x14ac:dyDescent="0.25">
      <c r="A415" t="s">
        <v>26</v>
      </c>
      <c r="B415">
        <v>2023</v>
      </c>
      <c r="C415" t="s">
        <v>12</v>
      </c>
      <c r="D415">
        <v>0</v>
      </c>
      <c r="E415">
        <v>138.479499</v>
      </c>
      <c r="F415">
        <v>7222.7553070000004</v>
      </c>
      <c r="G415" s="39">
        <v>45078</v>
      </c>
    </row>
    <row r="416" spans="1:7" x14ac:dyDescent="0.25">
      <c r="A416" t="s">
        <v>26</v>
      </c>
      <c r="B416">
        <v>2023</v>
      </c>
      <c r="C416" t="s">
        <v>13</v>
      </c>
      <c r="D416">
        <v>0</v>
      </c>
      <c r="E416">
        <v>256.65675800000002</v>
      </c>
      <c r="F416">
        <v>6966.0985490000003</v>
      </c>
      <c r="G416" s="39">
        <v>45108</v>
      </c>
    </row>
    <row r="417" spans="1:7" x14ac:dyDescent="0.25">
      <c r="A417" t="s">
        <v>26</v>
      </c>
      <c r="B417">
        <v>2023</v>
      </c>
      <c r="C417" t="s">
        <v>14</v>
      </c>
      <c r="D417">
        <v>0</v>
      </c>
      <c r="E417">
        <v>0</v>
      </c>
      <c r="F417">
        <v>6966.0985490000003</v>
      </c>
      <c r="G417" s="39">
        <v>45139</v>
      </c>
    </row>
    <row r="418" spans="1:7" x14ac:dyDescent="0.25">
      <c r="A418" t="s">
        <v>26</v>
      </c>
      <c r="B418">
        <v>2023</v>
      </c>
      <c r="C418" t="s">
        <v>15</v>
      </c>
      <c r="D418">
        <v>0</v>
      </c>
      <c r="E418">
        <v>478.15277300000002</v>
      </c>
      <c r="F418">
        <v>6487.9457760000005</v>
      </c>
      <c r="G418" s="39">
        <v>45170</v>
      </c>
    </row>
    <row r="419" spans="1:7" x14ac:dyDescent="0.25">
      <c r="A419" t="s">
        <v>26</v>
      </c>
      <c r="B419">
        <v>2023</v>
      </c>
      <c r="C419" t="s">
        <v>16</v>
      </c>
      <c r="D419">
        <v>0</v>
      </c>
      <c r="E419">
        <v>0</v>
      </c>
      <c r="F419">
        <v>6487.9457760000005</v>
      </c>
      <c r="G419" s="39">
        <v>45200</v>
      </c>
    </row>
    <row r="420" spans="1:7" x14ac:dyDescent="0.25">
      <c r="A420" t="s">
        <v>26</v>
      </c>
      <c r="B420">
        <v>2023</v>
      </c>
      <c r="C420" t="s">
        <v>17</v>
      </c>
      <c r="D420">
        <v>0</v>
      </c>
      <c r="E420">
        <v>71.886499999999998</v>
      </c>
      <c r="F420">
        <v>6416.0592760000009</v>
      </c>
      <c r="G420" s="39">
        <v>45231</v>
      </c>
    </row>
    <row r="421" spans="1:7" x14ac:dyDescent="0.25">
      <c r="A421" t="s">
        <v>26</v>
      </c>
      <c r="B421">
        <v>2023</v>
      </c>
      <c r="C421" t="s">
        <v>18</v>
      </c>
      <c r="D421">
        <v>0</v>
      </c>
      <c r="E421">
        <v>352.637</v>
      </c>
      <c r="F421">
        <v>6063.4222760000011</v>
      </c>
      <c r="G421" s="39">
        <v>45261</v>
      </c>
    </row>
    <row r="422" spans="1:7" x14ac:dyDescent="0.25">
      <c r="A422" t="s">
        <v>26</v>
      </c>
      <c r="B422">
        <v>2024</v>
      </c>
      <c r="C422" t="s">
        <v>7</v>
      </c>
      <c r="F422">
        <v>6063.4222760000011</v>
      </c>
      <c r="G422" s="39">
        <v>45292</v>
      </c>
    </row>
    <row r="423" spans="1:7" x14ac:dyDescent="0.25">
      <c r="A423" t="s">
        <v>26</v>
      </c>
      <c r="B423">
        <v>2024</v>
      </c>
      <c r="C423" t="s">
        <v>8</v>
      </c>
      <c r="F423">
        <v>6063.4222760000011</v>
      </c>
      <c r="G423" s="39">
        <v>45323</v>
      </c>
    </row>
    <row r="424" spans="1:7" x14ac:dyDescent="0.25">
      <c r="A424" t="s">
        <v>26</v>
      </c>
      <c r="B424">
        <v>2024</v>
      </c>
      <c r="C424" t="s">
        <v>9</v>
      </c>
      <c r="F424">
        <v>6063.4222760000011</v>
      </c>
      <c r="G424" s="39">
        <v>45352</v>
      </c>
    </row>
    <row r="425" spans="1:7" x14ac:dyDescent="0.25">
      <c r="A425" t="s">
        <v>26</v>
      </c>
      <c r="B425">
        <v>2024</v>
      </c>
      <c r="C425" t="s">
        <v>10</v>
      </c>
      <c r="F425">
        <v>6063.4222760000011</v>
      </c>
      <c r="G425" s="39">
        <v>45383</v>
      </c>
    </row>
    <row r="426" spans="1:7" x14ac:dyDescent="0.25">
      <c r="A426" t="s">
        <v>26</v>
      </c>
      <c r="B426">
        <v>2024</v>
      </c>
      <c r="C426" t="s">
        <v>11</v>
      </c>
      <c r="F426">
        <v>6063.4222760000011</v>
      </c>
      <c r="G426" s="39">
        <v>45413</v>
      </c>
    </row>
    <row r="427" spans="1:7" x14ac:dyDescent="0.25">
      <c r="A427" t="s">
        <v>26</v>
      </c>
      <c r="B427">
        <v>2024</v>
      </c>
      <c r="C427" t="s">
        <v>12</v>
      </c>
      <c r="F427">
        <v>6063.4222760000011</v>
      </c>
      <c r="G427" s="39">
        <v>45444</v>
      </c>
    </row>
    <row r="428" spans="1:7" x14ac:dyDescent="0.25">
      <c r="A428" t="s">
        <v>26</v>
      </c>
      <c r="B428">
        <v>2024</v>
      </c>
      <c r="C428" t="s">
        <v>13</v>
      </c>
      <c r="F428">
        <v>6063.4222760000011</v>
      </c>
      <c r="G428" s="39">
        <v>45474</v>
      </c>
    </row>
    <row r="429" spans="1:7" x14ac:dyDescent="0.25">
      <c r="A429" t="s">
        <v>26</v>
      </c>
      <c r="B429">
        <v>2024</v>
      </c>
      <c r="C429" t="s">
        <v>14</v>
      </c>
      <c r="F429">
        <v>6063.4222760000011</v>
      </c>
      <c r="G429" s="39">
        <v>45505</v>
      </c>
    </row>
    <row r="430" spans="1:7" x14ac:dyDescent="0.25">
      <c r="A430" t="s">
        <v>26</v>
      </c>
      <c r="B430">
        <v>2024</v>
      </c>
      <c r="C430" t="s">
        <v>15</v>
      </c>
      <c r="F430">
        <v>6063.4222760000011</v>
      </c>
      <c r="G430" s="39">
        <v>45536</v>
      </c>
    </row>
    <row r="431" spans="1:7" x14ac:dyDescent="0.25">
      <c r="A431" t="s">
        <v>26</v>
      </c>
      <c r="B431">
        <v>2024</v>
      </c>
      <c r="C431" t="s">
        <v>16</v>
      </c>
      <c r="F431">
        <v>6063.4222760000011</v>
      </c>
      <c r="G431" s="39">
        <v>45566</v>
      </c>
    </row>
    <row r="432" spans="1:7" x14ac:dyDescent="0.25">
      <c r="A432" t="s">
        <v>26</v>
      </c>
      <c r="B432">
        <v>2024</v>
      </c>
      <c r="C432" t="s">
        <v>17</v>
      </c>
      <c r="F432">
        <v>6063.4222760000011</v>
      </c>
      <c r="G432" s="39">
        <v>45597</v>
      </c>
    </row>
    <row r="433" spans="1:7" x14ac:dyDescent="0.25">
      <c r="A433" t="s">
        <v>26</v>
      </c>
      <c r="B433">
        <v>2024</v>
      </c>
      <c r="C433" t="s">
        <v>18</v>
      </c>
      <c r="F433">
        <v>6063.4222760000011</v>
      </c>
      <c r="G433" s="39">
        <v>45627</v>
      </c>
    </row>
    <row r="434" spans="1:7" x14ac:dyDescent="0.25">
      <c r="A434" t="s">
        <v>27</v>
      </c>
      <c r="B434">
        <v>2019</v>
      </c>
      <c r="C434" t="s">
        <v>7</v>
      </c>
      <c r="F434">
        <v>0</v>
      </c>
      <c r="G434" s="39">
        <v>43466</v>
      </c>
    </row>
    <row r="435" spans="1:7" x14ac:dyDescent="0.25">
      <c r="A435" t="s">
        <v>27</v>
      </c>
      <c r="B435">
        <v>2019</v>
      </c>
      <c r="C435" t="s">
        <v>8</v>
      </c>
      <c r="F435">
        <v>0</v>
      </c>
      <c r="G435" s="39">
        <v>43497</v>
      </c>
    </row>
    <row r="436" spans="1:7" x14ac:dyDescent="0.25">
      <c r="A436" t="s">
        <v>27</v>
      </c>
      <c r="B436">
        <v>2019</v>
      </c>
      <c r="C436" t="s">
        <v>9</v>
      </c>
      <c r="F436">
        <v>0</v>
      </c>
      <c r="G436" s="39">
        <v>43525</v>
      </c>
    </row>
    <row r="437" spans="1:7" x14ac:dyDescent="0.25">
      <c r="A437" t="s">
        <v>27</v>
      </c>
      <c r="B437">
        <v>2019</v>
      </c>
      <c r="C437" t="s">
        <v>10</v>
      </c>
      <c r="F437">
        <v>0</v>
      </c>
      <c r="G437" s="39">
        <v>43556</v>
      </c>
    </row>
    <row r="438" spans="1:7" x14ac:dyDescent="0.25">
      <c r="A438" t="s">
        <v>27</v>
      </c>
      <c r="B438">
        <v>2019</v>
      </c>
      <c r="C438" t="s">
        <v>11</v>
      </c>
      <c r="F438">
        <v>0</v>
      </c>
      <c r="G438" s="39">
        <v>43586</v>
      </c>
    </row>
    <row r="439" spans="1:7" x14ac:dyDescent="0.25">
      <c r="A439" t="s">
        <v>27</v>
      </c>
      <c r="B439">
        <v>2019</v>
      </c>
      <c r="C439" t="s">
        <v>12</v>
      </c>
      <c r="F439">
        <v>0</v>
      </c>
      <c r="G439" s="39">
        <v>43617</v>
      </c>
    </row>
    <row r="440" spans="1:7" x14ac:dyDescent="0.25">
      <c r="A440" t="s">
        <v>27</v>
      </c>
      <c r="B440">
        <v>2019</v>
      </c>
      <c r="C440" t="s">
        <v>13</v>
      </c>
      <c r="F440">
        <v>0</v>
      </c>
      <c r="G440" s="39">
        <v>43647</v>
      </c>
    </row>
    <row r="441" spans="1:7" x14ac:dyDescent="0.25">
      <c r="A441" t="s">
        <v>27</v>
      </c>
      <c r="B441">
        <v>2019</v>
      </c>
      <c r="C441" t="s">
        <v>14</v>
      </c>
      <c r="F441">
        <v>0</v>
      </c>
      <c r="G441" s="39">
        <v>43678</v>
      </c>
    </row>
    <row r="442" spans="1:7" x14ac:dyDescent="0.25">
      <c r="A442" t="s">
        <v>27</v>
      </c>
      <c r="B442">
        <v>2019</v>
      </c>
      <c r="C442" t="s">
        <v>15</v>
      </c>
      <c r="F442">
        <v>0</v>
      </c>
      <c r="G442" s="39">
        <v>43709</v>
      </c>
    </row>
    <row r="443" spans="1:7" x14ac:dyDescent="0.25">
      <c r="A443" t="s">
        <v>27</v>
      </c>
      <c r="B443">
        <v>2019</v>
      </c>
      <c r="C443" t="s">
        <v>16</v>
      </c>
      <c r="F443">
        <v>0</v>
      </c>
      <c r="G443" s="39">
        <v>43739</v>
      </c>
    </row>
    <row r="444" spans="1:7" x14ac:dyDescent="0.25">
      <c r="A444" t="s">
        <v>27</v>
      </c>
      <c r="B444">
        <v>2019</v>
      </c>
      <c r="C444" t="s">
        <v>17</v>
      </c>
      <c r="F444">
        <v>0</v>
      </c>
      <c r="G444" s="39">
        <v>43770</v>
      </c>
    </row>
    <row r="445" spans="1:7" x14ac:dyDescent="0.25">
      <c r="A445" t="s">
        <v>27</v>
      </c>
      <c r="B445">
        <v>2019</v>
      </c>
      <c r="C445" t="s">
        <v>18</v>
      </c>
      <c r="F445">
        <v>0</v>
      </c>
      <c r="G445" s="39">
        <v>43800</v>
      </c>
    </row>
    <row r="446" spans="1:7" x14ac:dyDescent="0.25">
      <c r="A446" t="s">
        <v>27</v>
      </c>
      <c r="B446">
        <v>2020</v>
      </c>
      <c r="C446" t="s">
        <v>7</v>
      </c>
      <c r="F446">
        <v>0</v>
      </c>
      <c r="G446" s="39">
        <v>43831</v>
      </c>
    </row>
    <row r="447" spans="1:7" x14ac:dyDescent="0.25">
      <c r="A447" t="s">
        <v>27</v>
      </c>
      <c r="B447">
        <v>2020</v>
      </c>
      <c r="C447" t="s">
        <v>8</v>
      </c>
      <c r="F447">
        <v>0</v>
      </c>
      <c r="G447" s="39">
        <v>43862</v>
      </c>
    </row>
    <row r="448" spans="1:7" x14ac:dyDescent="0.25">
      <c r="A448" t="s">
        <v>27</v>
      </c>
      <c r="B448">
        <v>2020</v>
      </c>
      <c r="C448" t="s">
        <v>9</v>
      </c>
      <c r="F448">
        <v>0</v>
      </c>
      <c r="G448" s="39">
        <v>43891</v>
      </c>
    </row>
    <row r="449" spans="1:7" x14ac:dyDescent="0.25">
      <c r="A449" t="s">
        <v>27</v>
      </c>
      <c r="B449">
        <v>2020</v>
      </c>
      <c r="C449" t="s">
        <v>10</v>
      </c>
      <c r="F449">
        <v>0</v>
      </c>
      <c r="G449" s="39">
        <v>43922</v>
      </c>
    </row>
    <row r="450" spans="1:7" x14ac:dyDescent="0.25">
      <c r="A450" t="s">
        <v>27</v>
      </c>
      <c r="B450">
        <v>2020</v>
      </c>
      <c r="C450" t="s">
        <v>11</v>
      </c>
      <c r="F450">
        <v>0</v>
      </c>
      <c r="G450" s="39">
        <v>43952</v>
      </c>
    </row>
    <row r="451" spans="1:7" x14ac:dyDescent="0.25">
      <c r="A451" t="s">
        <v>27</v>
      </c>
      <c r="B451">
        <v>2020</v>
      </c>
      <c r="C451" t="s">
        <v>12</v>
      </c>
      <c r="F451">
        <v>0</v>
      </c>
      <c r="G451" s="39">
        <v>43983</v>
      </c>
    </row>
    <row r="452" spans="1:7" x14ac:dyDescent="0.25">
      <c r="A452" t="s">
        <v>27</v>
      </c>
      <c r="B452">
        <v>2020</v>
      </c>
      <c r="C452" t="s">
        <v>13</v>
      </c>
      <c r="F452">
        <v>0</v>
      </c>
      <c r="G452" s="39">
        <v>44013</v>
      </c>
    </row>
    <row r="453" spans="1:7" x14ac:dyDescent="0.25">
      <c r="A453" t="s">
        <v>27</v>
      </c>
      <c r="B453">
        <v>2020</v>
      </c>
      <c r="C453" t="s">
        <v>14</v>
      </c>
      <c r="F453">
        <v>0</v>
      </c>
      <c r="G453" s="39">
        <v>44044</v>
      </c>
    </row>
    <row r="454" spans="1:7" x14ac:dyDescent="0.25">
      <c r="A454" t="s">
        <v>27</v>
      </c>
      <c r="B454">
        <v>2020</v>
      </c>
      <c r="C454" t="s">
        <v>15</v>
      </c>
      <c r="F454">
        <v>0</v>
      </c>
      <c r="G454" s="39">
        <v>44075</v>
      </c>
    </row>
    <row r="455" spans="1:7" x14ac:dyDescent="0.25">
      <c r="A455" t="s">
        <v>27</v>
      </c>
      <c r="B455">
        <v>2020</v>
      </c>
      <c r="C455" t="s">
        <v>16</v>
      </c>
      <c r="F455">
        <v>0</v>
      </c>
      <c r="G455" s="39">
        <v>44105</v>
      </c>
    </row>
    <row r="456" spans="1:7" x14ac:dyDescent="0.25">
      <c r="A456" t="s">
        <v>27</v>
      </c>
      <c r="B456">
        <v>2020</v>
      </c>
      <c r="C456" t="s">
        <v>17</v>
      </c>
      <c r="F456">
        <v>0</v>
      </c>
      <c r="G456" s="39">
        <v>44136</v>
      </c>
    </row>
    <row r="457" spans="1:7" x14ac:dyDescent="0.25">
      <c r="A457" t="s">
        <v>27</v>
      </c>
      <c r="B457">
        <v>2020</v>
      </c>
      <c r="C457" t="s">
        <v>18</v>
      </c>
      <c r="F457">
        <v>0</v>
      </c>
      <c r="G457" s="39">
        <v>44166</v>
      </c>
    </row>
    <row r="458" spans="1:7" x14ac:dyDescent="0.25">
      <c r="A458" t="s">
        <v>27</v>
      </c>
      <c r="B458">
        <v>2021</v>
      </c>
      <c r="C458" t="s">
        <v>7</v>
      </c>
      <c r="F458">
        <v>0</v>
      </c>
      <c r="G458" s="39">
        <v>44197</v>
      </c>
    </row>
    <row r="459" spans="1:7" x14ac:dyDescent="0.25">
      <c r="A459" t="s">
        <v>27</v>
      </c>
      <c r="B459">
        <v>2021</v>
      </c>
      <c r="C459" t="s">
        <v>8</v>
      </c>
      <c r="F459">
        <v>0</v>
      </c>
      <c r="G459" s="39">
        <v>44228</v>
      </c>
    </row>
    <row r="460" spans="1:7" x14ac:dyDescent="0.25">
      <c r="A460" t="s">
        <v>27</v>
      </c>
      <c r="B460">
        <v>2021</v>
      </c>
      <c r="C460" t="s">
        <v>9</v>
      </c>
      <c r="F460">
        <v>0</v>
      </c>
      <c r="G460" s="39">
        <v>44256</v>
      </c>
    </row>
    <row r="461" spans="1:7" x14ac:dyDescent="0.25">
      <c r="A461" t="s">
        <v>27</v>
      </c>
      <c r="B461">
        <v>2021</v>
      </c>
      <c r="C461" t="s">
        <v>10</v>
      </c>
      <c r="F461">
        <v>0</v>
      </c>
      <c r="G461" s="39">
        <v>44287</v>
      </c>
    </row>
    <row r="462" spans="1:7" x14ac:dyDescent="0.25">
      <c r="A462" t="s">
        <v>27</v>
      </c>
      <c r="B462">
        <v>2021</v>
      </c>
      <c r="C462" t="s">
        <v>11</v>
      </c>
      <c r="F462">
        <v>0</v>
      </c>
      <c r="G462" s="39">
        <v>44317</v>
      </c>
    </row>
    <row r="463" spans="1:7" x14ac:dyDescent="0.25">
      <c r="A463" t="s">
        <v>27</v>
      </c>
      <c r="B463">
        <v>2021</v>
      </c>
      <c r="C463" t="s">
        <v>12</v>
      </c>
      <c r="D463">
        <v>9683.35</v>
      </c>
      <c r="E463">
        <v>0</v>
      </c>
      <c r="F463">
        <v>9683.35</v>
      </c>
      <c r="G463" s="39">
        <v>44348</v>
      </c>
    </row>
    <row r="464" spans="1:7" x14ac:dyDescent="0.25">
      <c r="A464" t="s">
        <v>27</v>
      </c>
      <c r="B464">
        <v>2021</v>
      </c>
      <c r="C464" t="s">
        <v>13</v>
      </c>
      <c r="D464">
        <v>163090.15</v>
      </c>
      <c r="E464">
        <v>13393.82</v>
      </c>
      <c r="F464">
        <v>159379.68</v>
      </c>
      <c r="G464" s="39">
        <v>44378</v>
      </c>
    </row>
    <row r="465" spans="1:7" x14ac:dyDescent="0.25">
      <c r="A465" t="s">
        <v>27</v>
      </c>
      <c r="B465">
        <v>2021</v>
      </c>
      <c r="C465" t="s">
        <v>14</v>
      </c>
      <c r="D465">
        <v>10934.64</v>
      </c>
      <c r="E465">
        <v>14041.174477</v>
      </c>
      <c r="F465">
        <v>156273.14552300001</v>
      </c>
      <c r="G465" s="39">
        <v>44409</v>
      </c>
    </row>
    <row r="466" spans="1:7" x14ac:dyDescent="0.25">
      <c r="A466" t="s">
        <v>27</v>
      </c>
      <c r="B466">
        <v>2021</v>
      </c>
      <c r="C466" t="s">
        <v>15</v>
      </c>
      <c r="D466">
        <v>2120.4899999999998</v>
      </c>
      <c r="E466">
        <v>7035.2815449999998</v>
      </c>
      <c r="F466">
        <v>151358.353978</v>
      </c>
      <c r="G466" s="39">
        <v>44440</v>
      </c>
    </row>
    <row r="467" spans="1:7" x14ac:dyDescent="0.25">
      <c r="A467" t="s">
        <v>27</v>
      </c>
      <c r="B467">
        <v>2021</v>
      </c>
      <c r="C467" t="s">
        <v>16</v>
      </c>
      <c r="D467">
        <v>183708.14</v>
      </c>
      <c r="E467">
        <v>21292.182950999999</v>
      </c>
      <c r="F467">
        <v>313774.31102700002</v>
      </c>
      <c r="G467" s="39">
        <v>44470</v>
      </c>
    </row>
    <row r="468" spans="1:7" x14ac:dyDescent="0.25">
      <c r="A468" t="s">
        <v>27</v>
      </c>
      <c r="B468">
        <v>2021</v>
      </c>
      <c r="C468" t="s">
        <v>17</v>
      </c>
      <c r="D468">
        <v>0</v>
      </c>
      <c r="E468">
        <v>6142.8115260000004</v>
      </c>
      <c r="F468">
        <v>307631.49950100004</v>
      </c>
      <c r="G468" s="39">
        <v>44501</v>
      </c>
    </row>
    <row r="469" spans="1:7" x14ac:dyDescent="0.25">
      <c r="A469" t="s">
        <v>27</v>
      </c>
      <c r="B469">
        <v>2021</v>
      </c>
      <c r="C469" t="s">
        <v>18</v>
      </c>
      <c r="D469">
        <v>0</v>
      </c>
      <c r="E469">
        <v>1738.8489520000001</v>
      </c>
      <c r="F469">
        <v>305892.65054900007</v>
      </c>
      <c r="G469" s="39">
        <v>44531</v>
      </c>
    </row>
    <row r="470" spans="1:7" x14ac:dyDescent="0.25">
      <c r="A470" t="s">
        <v>27</v>
      </c>
      <c r="B470">
        <v>2022</v>
      </c>
      <c r="C470" t="s">
        <v>7</v>
      </c>
      <c r="D470">
        <v>0</v>
      </c>
      <c r="E470">
        <v>1151.1206709999999</v>
      </c>
      <c r="F470">
        <v>304741.52987800009</v>
      </c>
      <c r="G470" s="39">
        <v>44562</v>
      </c>
    </row>
    <row r="471" spans="1:7" x14ac:dyDescent="0.25">
      <c r="A471" t="s">
        <v>27</v>
      </c>
      <c r="B471">
        <v>2022</v>
      </c>
      <c r="C471" t="s">
        <v>8</v>
      </c>
      <c r="D471">
        <v>0</v>
      </c>
      <c r="E471">
        <v>2297.8103839999999</v>
      </c>
      <c r="F471">
        <v>302443.71949400008</v>
      </c>
      <c r="G471" s="39">
        <v>44593</v>
      </c>
    </row>
    <row r="472" spans="1:7" x14ac:dyDescent="0.25">
      <c r="A472" t="s">
        <v>27</v>
      </c>
      <c r="B472">
        <v>2022</v>
      </c>
      <c r="C472" t="s">
        <v>9</v>
      </c>
      <c r="D472">
        <v>0</v>
      </c>
      <c r="E472">
        <v>3331.9960930000002</v>
      </c>
      <c r="F472">
        <v>299111.72340100008</v>
      </c>
      <c r="G472" s="39">
        <v>44621</v>
      </c>
    </row>
    <row r="473" spans="1:7" x14ac:dyDescent="0.25">
      <c r="A473" t="s">
        <v>27</v>
      </c>
      <c r="B473">
        <v>2022</v>
      </c>
      <c r="C473" t="s">
        <v>10</v>
      </c>
      <c r="D473">
        <v>0</v>
      </c>
      <c r="E473">
        <v>1845.8211819999999</v>
      </c>
      <c r="F473">
        <v>297265.9022190001</v>
      </c>
      <c r="G473" s="39">
        <v>44652</v>
      </c>
    </row>
    <row r="474" spans="1:7" x14ac:dyDescent="0.25">
      <c r="A474" t="s">
        <v>27</v>
      </c>
      <c r="B474">
        <v>2022</v>
      </c>
      <c r="C474" t="s">
        <v>11</v>
      </c>
      <c r="D474">
        <v>0</v>
      </c>
      <c r="E474">
        <v>2188.668506</v>
      </c>
      <c r="F474">
        <v>295077.23371300008</v>
      </c>
      <c r="G474" s="39">
        <v>44682</v>
      </c>
    </row>
    <row r="475" spans="1:7" x14ac:dyDescent="0.25">
      <c r="A475" t="s">
        <v>27</v>
      </c>
      <c r="B475">
        <v>2022</v>
      </c>
      <c r="C475" t="s">
        <v>12</v>
      </c>
      <c r="D475">
        <v>0</v>
      </c>
      <c r="E475">
        <v>2972.2013980000002</v>
      </c>
      <c r="F475">
        <v>292105.03231500008</v>
      </c>
      <c r="G475" s="39">
        <v>44713</v>
      </c>
    </row>
    <row r="476" spans="1:7" x14ac:dyDescent="0.25">
      <c r="A476" t="s">
        <v>27</v>
      </c>
      <c r="B476">
        <v>2022</v>
      </c>
      <c r="C476" t="s">
        <v>13</v>
      </c>
      <c r="D476">
        <v>0</v>
      </c>
      <c r="E476">
        <v>2399.5972689999999</v>
      </c>
      <c r="F476">
        <v>289705.43504600006</v>
      </c>
      <c r="G476" s="39">
        <v>44743</v>
      </c>
    </row>
    <row r="477" spans="1:7" x14ac:dyDescent="0.25">
      <c r="A477" t="s">
        <v>27</v>
      </c>
      <c r="B477">
        <v>2022</v>
      </c>
      <c r="C477" t="s">
        <v>14</v>
      </c>
      <c r="D477">
        <v>21507.65</v>
      </c>
      <c r="E477">
        <v>35994.785501999999</v>
      </c>
      <c r="F477">
        <v>275218.29954400007</v>
      </c>
      <c r="G477" s="39">
        <v>44774</v>
      </c>
    </row>
    <row r="478" spans="1:7" x14ac:dyDescent="0.25">
      <c r="A478" t="s">
        <v>27</v>
      </c>
      <c r="B478">
        <v>2022</v>
      </c>
      <c r="C478" t="s">
        <v>15</v>
      </c>
      <c r="D478">
        <v>0</v>
      </c>
      <c r="E478">
        <v>26705.051559</v>
      </c>
      <c r="F478">
        <v>248513.24798500008</v>
      </c>
      <c r="G478" s="39">
        <v>44805</v>
      </c>
    </row>
    <row r="479" spans="1:7" x14ac:dyDescent="0.25">
      <c r="A479" t="s">
        <v>27</v>
      </c>
      <c r="B479">
        <v>2022</v>
      </c>
      <c r="C479" t="s">
        <v>16</v>
      </c>
      <c r="D479">
        <v>21805.83</v>
      </c>
      <c r="E479">
        <v>22273.507797999999</v>
      </c>
      <c r="F479">
        <v>248045.57018700009</v>
      </c>
      <c r="G479" s="39">
        <v>44835</v>
      </c>
    </row>
    <row r="480" spans="1:7" x14ac:dyDescent="0.25">
      <c r="A480" t="s">
        <v>27</v>
      </c>
      <c r="B480">
        <v>2022</v>
      </c>
      <c r="C480" t="s">
        <v>17</v>
      </c>
      <c r="D480">
        <v>0</v>
      </c>
      <c r="E480">
        <v>8898.1617279999991</v>
      </c>
      <c r="F480">
        <v>239147.40845900009</v>
      </c>
      <c r="G480" s="39">
        <v>44866</v>
      </c>
    </row>
    <row r="481" spans="1:7" x14ac:dyDescent="0.25">
      <c r="A481" t="s">
        <v>27</v>
      </c>
      <c r="B481">
        <v>2022</v>
      </c>
      <c r="C481" t="s">
        <v>18</v>
      </c>
      <c r="D481">
        <v>0</v>
      </c>
      <c r="E481">
        <v>3721.434041</v>
      </c>
      <c r="F481">
        <v>235425.97441800009</v>
      </c>
      <c r="G481" s="39">
        <v>44896</v>
      </c>
    </row>
    <row r="482" spans="1:7" x14ac:dyDescent="0.25">
      <c r="A482" t="s">
        <v>27</v>
      </c>
      <c r="B482">
        <v>2023</v>
      </c>
      <c r="C482" t="s">
        <v>7</v>
      </c>
      <c r="D482">
        <v>0</v>
      </c>
      <c r="E482">
        <v>2817.0147900000002</v>
      </c>
      <c r="F482">
        <v>232608.9596280001</v>
      </c>
      <c r="G482" s="39">
        <v>44927</v>
      </c>
    </row>
    <row r="483" spans="1:7" x14ac:dyDescent="0.25">
      <c r="A483" t="s">
        <v>27</v>
      </c>
      <c r="B483">
        <v>2023</v>
      </c>
      <c r="C483" t="s">
        <v>8</v>
      </c>
      <c r="D483">
        <v>695.88</v>
      </c>
      <c r="E483">
        <v>2441.1048839999999</v>
      </c>
      <c r="F483">
        <v>230863.7347440001</v>
      </c>
      <c r="G483" s="39">
        <v>44958</v>
      </c>
    </row>
    <row r="484" spans="1:7" x14ac:dyDescent="0.25">
      <c r="A484" t="s">
        <v>27</v>
      </c>
      <c r="B484">
        <v>2023</v>
      </c>
      <c r="C484" t="s">
        <v>9</v>
      </c>
      <c r="D484">
        <v>0</v>
      </c>
      <c r="E484">
        <v>5470.4308810000002</v>
      </c>
      <c r="F484">
        <v>225393.3038630001</v>
      </c>
      <c r="G484" s="39">
        <v>44986</v>
      </c>
    </row>
    <row r="485" spans="1:7" x14ac:dyDescent="0.25">
      <c r="A485" t="s">
        <v>27</v>
      </c>
      <c r="B485">
        <v>2023</v>
      </c>
      <c r="C485" t="s">
        <v>10</v>
      </c>
      <c r="D485">
        <v>0</v>
      </c>
      <c r="E485">
        <v>1446.3449330000001</v>
      </c>
      <c r="F485">
        <v>223946.95893000011</v>
      </c>
      <c r="G485" s="39">
        <v>45017</v>
      </c>
    </row>
    <row r="486" spans="1:7" x14ac:dyDescent="0.25">
      <c r="A486" t="s">
        <v>27</v>
      </c>
      <c r="B486">
        <v>2023</v>
      </c>
      <c r="C486" t="s">
        <v>11</v>
      </c>
      <c r="D486">
        <v>238.9</v>
      </c>
      <c r="E486">
        <v>350.90008899999998</v>
      </c>
      <c r="F486">
        <v>223834.9588410001</v>
      </c>
      <c r="G486" s="39">
        <v>45047</v>
      </c>
    </row>
    <row r="487" spans="1:7" x14ac:dyDescent="0.25">
      <c r="A487" t="s">
        <v>27</v>
      </c>
      <c r="B487">
        <v>2023</v>
      </c>
      <c r="C487" t="s">
        <v>12</v>
      </c>
      <c r="D487">
        <v>0</v>
      </c>
      <c r="E487">
        <v>622.25997600000005</v>
      </c>
      <c r="F487">
        <v>223212.6988650001</v>
      </c>
      <c r="G487" s="39">
        <v>45078</v>
      </c>
    </row>
    <row r="488" spans="1:7" x14ac:dyDescent="0.25">
      <c r="A488" t="s">
        <v>27</v>
      </c>
      <c r="B488">
        <v>2023</v>
      </c>
      <c r="C488" t="s">
        <v>13</v>
      </c>
      <c r="D488">
        <v>0</v>
      </c>
      <c r="E488">
        <v>518.86410599999999</v>
      </c>
      <c r="F488">
        <v>222693.83475900011</v>
      </c>
      <c r="G488" s="39">
        <v>45108</v>
      </c>
    </row>
    <row r="489" spans="1:7" x14ac:dyDescent="0.25">
      <c r="A489" t="s">
        <v>27</v>
      </c>
      <c r="B489">
        <v>2023</v>
      </c>
      <c r="C489" t="s">
        <v>14</v>
      </c>
      <c r="D489">
        <v>0</v>
      </c>
      <c r="E489">
        <v>2173.9998620000001</v>
      </c>
      <c r="F489">
        <v>220519.83489700011</v>
      </c>
      <c r="G489" s="39">
        <v>45139</v>
      </c>
    </row>
    <row r="490" spans="1:7" x14ac:dyDescent="0.25">
      <c r="A490" t="s">
        <v>27</v>
      </c>
      <c r="B490">
        <v>2023</v>
      </c>
      <c r="C490" t="s">
        <v>15</v>
      </c>
      <c r="D490">
        <v>0</v>
      </c>
      <c r="E490">
        <v>743.16908899999999</v>
      </c>
      <c r="F490">
        <v>219776.66580800011</v>
      </c>
      <c r="G490" s="39">
        <v>45170</v>
      </c>
    </row>
    <row r="491" spans="1:7" x14ac:dyDescent="0.25">
      <c r="A491" t="s">
        <v>27</v>
      </c>
      <c r="B491">
        <v>2023</v>
      </c>
      <c r="C491" t="s">
        <v>16</v>
      </c>
      <c r="D491">
        <v>834.96</v>
      </c>
      <c r="E491">
        <v>1203.858704</v>
      </c>
      <c r="F491">
        <v>219407.76710400009</v>
      </c>
      <c r="G491" s="39">
        <v>45200</v>
      </c>
    </row>
    <row r="492" spans="1:7" x14ac:dyDescent="0.25">
      <c r="A492" t="s">
        <v>27</v>
      </c>
      <c r="B492">
        <v>2023</v>
      </c>
      <c r="C492" t="s">
        <v>17</v>
      </c>
      <c r="D492">
        <v>0</v>
      </c>
      <c r="E492">
        <v>1041.237263</v>
      </c>
      <c r="F492">
        <v>218366.5298410001</v>
      </c>
      <c r="G492" s="39">
        <v>45231</v>
      </c>
    </row>
    <row r="493" spans="1:7" x14ac:dyDescent="0.25">
      <c r="A493" t="s">
        <v>27</v>
      </c>
      <c r="B493">
        <v>2023</v>
      </c>
      <c r="C493" t="s">
        <v>18</v>
      </c>
      <c r="D493">
        <v>0</v>
      </c>
      <c r="E493">
        <v>91.752618999999996</v>
      </c>
      <c r="F493">
        <v>218274.77722200009</v>
      </c>
      <c r="G493" s="39">
        <v>45261</v>
      </c>
    </row>
    <row r="494" spans="1:7" x14ac:dyDescent="0.25">
      <c r="A494" t="s">
        <v>27</v>
      </c>
      <c r="B494">
        <v>2024</v>
      </c>
      <c r="C494" t="s">
        <v>7</v>
      </c>
      <c r="F494">
        <v>218274.77722200009</v>
      </c>
      <c r="G494" s="39">
        <v>45292</v>
      </c>
    </row>
    <row r="495" spans="1:7" x14ac:dyDescent="0.25">
      <c r="A495" t="s">
        <v>27</v>
      </c>
      <c r="B495">
        <v>2024</v>
      </c>
      <c r="C495" t="s">
        <v>8</v>
      </c>
      <c r="F495">
        <v>218274.77722200009</v>
      </c>
      <c r="G495" s="39">
        <v>45323</v>
      </c>
    </row>
    <row r="496" spans="1:7" x14ac:dyDescent="0.25">
      <c r="A496" t="s">
        <v>27</v>
      </c>
      <c r="B496">
        <v>2024</v>
      </c>
      <c r="C496" t="s">
        <v>9</v>
      </c>
      <c r="F496">
        <v>218274.77722200009</v>
      </c>
      <c r="G496" s="39">
        <v>45352</v>
      </c>
    </row>
    <row r="497" spans="1:7" x14ac:dyDescent="0.25">
      <c r="A497" t="s">
        <v>27</v>
      </c>
      <c r="B497">
        <v>2024</v>
      </c>
      <c r="C497" t="s">
        <v>10</v>
      </c>
      <c r="F497">
        <v>218274.77722200009</v>
      </c>
      <c r="G497" s="39">
        <v>45383</v>
      </c>
    </row>
    <row r="498" spans="1:7" x14ac:dyDescent="0.25">
      <c r="A498" t="s">
        <v>27</v>
      </c>
      <c r="B498">
        <v>2024</v>
      </c>
      <c r="C498" t="s">
        <v>11</v>
      </c>
      <c r="F498">
        <v>218274.77722200009</v>
      </c>
      <c r="G498" s="39">
        <v>45413</v>
      </c>
    </row>
    <row r="499" spans="1:7" x14ac:dyDescent="0.25">
      <c r="A499" t="s">
        <v>27</v>
      </c>
      <c r="B499">
        <v>2024</v>
      </c>
      <c r="C499" t="s">
        <v>12</v>
      </c>
      <c r="F499">
        <v>218274.77722200009</v>
      </c>
      <c r="G499" s="39">
        <v>45444</v>
      </c>
    </row>
    <row r="500" spans="1:7" x14ac:dyDescent="0.25">
      <c r="A500" t="s">
        <v>27</v>
      </c>
      <c r="B500">
        <v>2024</v>
      </c>
      <c r="C500" t="s">
        <v>13</v>
      </c>
      <c r="F500">
        <v>218274.77722200009</v>
      </c>
      <c r="G500" s="39">
        <v>45474</v>
      </c>
    </row>
    <row r="501" spans="1:7" x14ac:dyDescent="0.25">
      <c r="A501" t="s">
        <v>27</v>
      </c>
      <c r="B501">
        <v>2024</v>
      </c>
      <c r="C501" t="s">
        <v>14</v>
      </c>
      <c r="F501">
        <v>218274.77722200009</v>
      </c>
      <c r="G501" s="39">
        <v>45505</v>
      </c>
    </row>
    <row r="502" spans="1:7" x14ac:dyDescent="0.25">
      <c r="A502" t="s">
        <v>27</v>
      </c>
      <c r="B502">
        <v>2024</v>
      </c>
      <c r="C502" t="s">
        <v>15</v>
      </c>
      <c r="F502">
        <v>218274.77722200009</v>
      </c>
      <c r="G502" s="39">
        <v>45536</v>
      </c>
    </row>
    <row r="503" spans="1:7" x14ac:dyDescent="0.25">
      <c r="A503" t="s">
        <v>27</v>
      </c>
      <c r="B503">
        <v>2024</v>
      </c>
      <c r="C503" t="s">
        <v>16</v>
      </c>
      <c r="F503">
        <v>218274.77722200009</v>
      </c>
      <c r="G503" s="39">
        <v>45566</v>
      </c>
    </row>
    <row r="504" spans="1:7" x14ac:dyDescent="0.25">
      <c r="A504" t="s">
        <v>27</v>
      </c>
      <c r="B504">
        <v>2024</v>
      </c>
      <c r="C504" t="s">
        <v>17</v>
      </c>
      <c r="F504">
        <v>218274.77722200009</v>
      </c>
      <c r="G504" s="39">
        <v>45597</v>
      </c>
    </row>
    <row r="505" spans="1:7" x14ac:dyDescent="0.25">
      <c r="A505" t="s">
        <v>27</v>
      </c>
      <c r="B505">
        <v>2024</v>
      </c>
      <c r="C505" t="s">
        <v>18</v>
      </c>
      <c r="F505">
        <v>218274.77722200009</v>
      </c>
      <c r="G505" s="39">
        <v>45627</v>
      </c>
    </row>
    <row r="506" spans="1:7" x14ac:dyDescent="0.25">
      <c r="A506" t="s">
        <v>28</v>
      </c>
      <c r="B506">
        <v>2019</v>
      </c>
      <c r="C506" t="s">
        <v>7</v>
      </c>
      <c r="D506">
        <v>23604.78</v>
      </c>
      <c r="E506">
        <v>16578.221474000002</v>
      </c>
      <c r="F506">
        <v>61846.683695999993</v>
      </c>
      <c r="G506" s="39">
        <v>43466</v>
      </c>
    </row>
    <row r="507" spans="1:7" x14ac:dyDescent="0.25">
      <c r="A507" t="s">
        <v>28</v>
      </c>
      <c r="B507">
        <v>2019</v>
      </c>
      <c r="C507" t="s">
        <v>8</v>
      </c>
      <c r="D507">
        <v>24629.58</v>
      </c>
      <c r="E507">
        <v>24570.321047000001</v>
      </c>
      <c r="F507">
        <v>61905.94264899999</v>
      </c>
      <c r="G507" s="39">
        <v>43497</v>
      </c>
    </row>
    <row r="508" spans="1:7" x14ac:dyDescent="0.25">
      <c r="A508" t="s">
        <v>28</v>
      </c>
      <c r="B508">
        <v>2019</v>
      </c>
      <c r="C508" t="s">
        <v>9</v>
      </c>
      <c r="D508">
        <v>109927.53999799999</v>
      </c>
      <c r="E508">
        <v>26296.412840000001</v>
      </c>
      <c r="F508">
        <v>145537.06980699999</v>
      </c>
      <c r="G508" s="39">
        <v>43525</v>
      </c>
    </row>
    <row r="509" spans="1:7" x14ac:dyDescent="0.25">
      <c r="A509" t="s">
        <v>28</v>
      </c>
      <c r="B509">
        <v>2019</v>
      </c>
      <c r="C509" t="s">
        <v>10</v>
      </c>
      <c r="D509">
        <v>21631.14</v>
      </c>
      <c r="E509">
        <v>30556.488073</v>
      </c>
      <c r="F509">
        <v>136611.72173400002</v>
      </c>
      <c r="G509" s="39">
        <v>43556</v>
      </c>
    </row>
    <row r="510" spans="1:7" x14ac:dyDescent="0.25">
      <c r="A510" t="s">
        <v>28</v>
      </c>
      <c r="B510">
        <v>2019</v>
      </c>
      <c r="C510" t="s">
        <v>11</v>
      </c>
      <c r="D510">
        <v>40929.019998000003</v>
      </c>
      <c r="E510">
        <v>39340.481290000003</v>
      </c>
      <c r="F510">
        <v>138200.26044200003</v>
      </c>
      <c r="G510" s="39">
        <v>43586</v>
      </c>
    </row>
    <row r="511" spans="1:7" x14ac:dyDescent="0.25">
      <c r="A511" t="s">
        <v>28</v>
      </c>
      <c r="B511">
        <v>2019</v>
      </c>
      <c r="C511" t="s">
        <v>12</v>
      </c>
      <c r="D511">
        <v>51161.82</v>
      </c>
      <c r="E511">
        <v>34363.563794000002</v>
      </c>
      <c r="F511">
        <v>154998.51664800005</v>
      </c>
      <c r="G511" s="39">
        <v>43617</v>
      </c>
    </row>
    <row r="512" spans="1:7" x14ac:dyDescent="0.25">
      <c r="A512" t="s">
        <v>28</v>
      </c>
      <c r="B512">
        <v>2019</v>
      </c>
      <c r="C512" t="s">
        <v>13</v>
      </c>
      <c r="D512">
        <v>102744.299988</v>
      </c>
      <c r="E512">
        <v>49393.050898000001</v>
      </c>
      <c r="F512">
        <v>208349.76573800005</v>
      </c>
      <c r="G512" s="39">
        <v>43647</v>
      </c>
    </row>
    <row r="513" spans="1:7" x14ac:dyDescent="0.25">
      <c r="A513" t="s">
        <v>28</v>
      </c>
      <c r="B513">
        <v>2019</v>
      </c>
      <c r="C513" t="s">
        <v>14</v>
      </c>
      <c r="D513">
        <v>9268.7099999999991</v>
      </c>
      <c r="E513">
        <v>37413.367536999998</v>
      </c>
      <c r="F513">
        <v>180205.10820100002</v>
      </c>
      <c r="G513" s="39">
        <v>43678</v>
      </c>
    </row>
    <row r="514" spans="1:7" x14ac:dyDescent="0.25">
      <c r="A514" t="s">
        <v>28</v>
      </c>
      <c r="B514">
        <v>2019</v>
      </c>
      <c r="C514" t="s">
        <v>15</v>
      </c>
      <c r="D514">
        <v>45457.89</v>
      </c>
      <c r="E514">
        <v>51130.712270000004</v>
      </c>
      <c r="F514">
        <v>174532.28593100002</v>
      </c>
      <c r="G514" s="39">
        <v>43709</v>
      </c>
    </row>
    <row r="515" spans="1:7" x14ac:dyDescent="0.25">
      <c r="A515" t="s">
        <v>28</v>
      </c>
      <c r="B515">
        <v>2019</v>
      </c>
      <c r="C515" t="s">
        <v>16</v>
      </c>
      <c r="D515">
        <v>63636.74</v>
      </c>
      <c r="E515">
        <v>68040.258998000005</v>
      </c>
      <c r="F515">
        <v>170128.76693300001</v>
      </c>
      <c r="G515" s="39">
        <v>43739</v>
      </c>
    </row>
    <row r="516" spans="1:7" x14ac:dyDescent="0.25">
      <c r="A516" t="s">
        <v>28</v>
      </c>
      <c r="B516">
        <v>2019</v>
      </c>
      <c r="C516" t="s">
        <v>17</v>
      </c>
      <c r="D516">
        <v>52435.77</v>
      </c>
      <c r="E516">
        <v>58246.534394000002</v>
      </c>
      <c r="F516">
        <v>164318.00253900001</v>
      </c>
      <c r="G516" s="39">
        <v>43770</v>
      </c>
    </row>
    <row r="517" spans="1:7" x14ac:dyDescent="0.25">
      <c r="A517" t="s">
        <v>28</v>
      </c>
      <c r="B517">
        <v>2019</v>
      </c>
      <c r="C517" t="s">
        <v>18</v>
      </c>
      <c r="D517">
        <v>0</v>
      </c>
      <c r="E517">
        <v>37648.066827000002</v>
      </c>
      <c r="F517">
        <v>126669.93571200001</v>
      </c>
      <c r="G517" s="39">
        <v>43800</v>
      </c>
    </row>
    <row r="518" spans="1:7" x14ac:dyDescent="0.25">
      <c r="A518" t="s">
        <v>28</v>
      </c>
      <c r="B518">
        <v>2020</v>
      </c>
      <c r="C518" t="s">
        <v>7</v>
      </c>
      <c r="D518">
        <v>63148.669997999998</v>
      </c>
      <c r="E518">
        <v>34443.923816000002</v>
      </c>
      <c r="F518">
        <v>155374.68189400001</v>
      </c>
      <c r="G518" s="39">
        <v>43831</v>
      </c>
    </row>
    <row r="519" spans="1:7" x14ac:dyDescent="0.25">
      <c r="A519" t="s">
        <v>28</v>
      </c>
      <c r="B519">
        <v>2020</v>
      </c>
      <c r="C519" t="s">
        <v>8</v>
      </c>
      <c r="D519">
        <v>49454.03</v>
      </c>
      <c r="E519">
        <v>43972.121360999998</v>
      </c>
      <c r="F519">
        <v>160856.59053300001</v>
      </c>
      <c r="G519" s="39">
        <v>43862</v>
      </c>
    </row>
    <row r="520" spans="1:7" x14ac:dyDescent="0.25">
      <c r="A520" t="s">
        <v>28</v>
      </c>
      <c r="B520">
        <v>2020</v>
      </c>
      <c r="C520" t="s">
        <v>9</v>
      </c>
      <c r="D520">
        <v>55766.62</v>
      </c>
      <c r="E520">
        <v>40073.849784999999</v>
      </c>
      <c r="F520">
        <v>176549.36074800001</v>
      </c>
      <c r="G520" s="39">
        <v>43891</v>
      </c>
    </row>
    <row r="521" spans="1:7" x14ac:dyDescent="0.25">
      <c r="A521" t="s">
        <v>28</v>
      </c>
      <c r="B521">
        <v>2020</v>
      </c>
      <c r="C521" t="s">
        <v>10</v>
      </c>
      <c r="D521">
        <v>0</v>
      </c>
      <c r="E521">
        <v>31332.967823999999</v>
      </c>
      <c r="F521">
        <v>145216.39292400001</v>
      </c>
      <c r="G521" s="39">
        <v>43922</v>
      </c>
    </row>
    <row r="522" spans="1:7" x14ac:dyDescent="0.25">
      <c r="A522" t="s">
        <v>28</v>
      </c>
      <c r="B522">
        <v>2020</v>
      </c>
      <c r="C522" t="s">
        <v>11</v>
      </c>
      <c r="D522">
        <v>7780.92</v>
      </c>
      <c r="E522">
        <v>38610.274668999999</v>
      </c>
      <c r="F522">
        <v>114387.03825500002</v>
      </c>
      <c r="G522" s="39">
        <v>43952</v>
      </c>
    </row>
    <row r="523" spans="1:7" x14ac:dyDescent="0.25">
      <c r="A523" t="s">
        <v>28</v>
      </c>
      <c r="B523">
        <v>2020</v>
      </c>
      <c r="C523" t="s">
        <v>12</v>
      </c>
      <c r="D523">
        <v>39631.142616999998</v>
      </c>
      <c r="E523">
        <v>43304.502032999997</v>
      </c>
      <c r="F523">
        <v>110713.67883900003</v>
      </c>
      <c r="G523" s="39">
        <v>43983</v>
      </c>
    </row>
    <row r="524" spans="1:7" x14ac:dyDescent="0.25">
      <c r="A524" t="s">
        <v>28</v>
      </c>
      <c r="B524">
        <v>2020</v>
      </c>
      <c r="C524" t="s">
        <v>13</v>
      </c>
      <c r="D524">
        <v>63912.91</v>
      </c>
      <c r="E524">
        <v>53185.599086000002</v>
      </c>
      <c r="F524">
        <v>121440.98975300003</v>
      </c>
      <c r="G524" s="39">
        <v>44013</v>
      </c>
    </row>
    <row r="525" spans="1:7" x14ac:dyDescent="0.25">
      <c r="A525" t="s">
        <v>28</v>
      </c>
      <c r="B525">
        <v>2020</v>
      </c>
      <c r="C525" t="s">
        <v>14</v>
      </c>
      <c r="D525">
        <v>48601</v>
      </c>
      <c r="E525">
        <v>49046.985014999998</v>
      </c>
      <c r="F525">
        <v>120995.00473800003</v>
      </c>
      <c r="G525" s="39">
        <v>44044</v>
      </c>
    </row>
    <row r="526" spans="1:7" x14ac:dyDescent="0.25">
      <c r="A526" t="s">
        <v>28</v>
      </c>
      <c r="B526">
        <v>2020</v>
      </c>
      <c r="C526" t="s">
        <v>15</v>
      </c>
      <c r="D526">
        <v>63028.470909999996</v>
      </c>
      <c r="E526">
        <v>56221.829533999997</v>
      </c>
      <c r="F526">
        <v>127801.64611400003</v>
      </c>
      <c r="G526" s="39">
        <v>44075</v>
      </c>
    </row>
    <row r="527" spans="1:7" x14ac:dyDescent="0.25">
      <c r="A527" t="s">
        <v>28</v>
      </c>
      <c r="B527">
        <v>2020</v>
      </c>
      <c r="C527" t="s">
        <v>16</v>
      </c>
      <c r="D527">
        <v>46700.74</v>
      </c>
      <c r="E527">
        <v>53829.064337999996</v>
      </c>
      <c r="F527">
        <v>120673.32177600003</v>
      </c>
      <c r="G527" s="39">
        <v>44105</v>
      </c>
    </row>
    <row r="528" spans="1:7" x14ac:dyDescent="0.25">
      <c r="A528" t="s">
        <v>28</v>
      </c>
      <c r="B528">
        <v>2020</v>
      </c>
      <c r="C528" t="s">
        <v>17</v>
      </c>
      <c r="D528">
        <v>84108.3</v>
      </c>
      <c r="E528">
        <v>55036.538392000002</v>
      </c>
      <c r="F528">
        <v>149745.083384</v>
      </c>
      <c r="G528" s="39">
        <v>44136</v>
      </c>
    </row>
    <row r="529" spans="1:7" x14ac:dyDescent="0.25">
      <c r="A529" t="s">
        <v>28</v>
      </c>
      <c r="B529">
        <v>2020</v>
      </c>
      <c r="C529" t="s">
        <v>18</v>
      </c>
      <c r="D529">
        <v>15243.4</v>
      </c>
      <c r="E529">
        <v>44217.264582000003</v>
      </c>
      <c r="F529">
        <v>120771.21880199999</v>
      </c>
      <c r="G529" s="39">
        <v>44166</v>
      </c>
    </row>
    <row r="530" spans="1:7" x14ac:dyDescent="0.25">
      <c r="A530" t="s">
        <v>28</v>
      </c>
      <c r="B530">
        <v>2021</v>
      </c>
      <c r="C530" t="s">
        <v>7</v>
      </c>
      <c r="D530">
        <v>40513.32</v>
      </c>
      <c r="E530">
        <v>50540.981340999999</v>
      </c>
      <c r="F530">
        <v>110743.55746099999</v>
      </c>
      <c r="G530" s="39">
        <v>44197</v>
      </c>
    </row>
    <row r="531" spans="1:7" x14ac:dyDescent="0.25">
      <c r="A531" t="s">
        <v>28</v>
      </c>
      <c r="B531">
        <v>2021</v>
      </c>
      <c r="C531" t="s">
        <v>8</v>
      </c>
      <c r="D531">
        <v>74839.42</v>
      </c>
      <c r="E531">
        <v>65393.192880000002</v>
      </c>
      <c r="F531">
        <v>120189.78458099997</v>
      </c>
      <c r="G531" s="39">
        <v>44228</v>
      </c>
    </row>
    <row r="532" spans="1:7" x14ac:dyDescent="0.25">
      <c r="A532" t="s">
        <v>28</v>
      </c>
      <c r="B532">
        <v>2021</v>
      </c>
      <c r="C532" t="s">
        <v>9</v>
      </c>
      <c r="D532">
        <v>98346.989767000006</v>
      </c>
      <c r="E532">
        <v>61405.906781999998</v>
      </c>
      <c r="F532">
        <v>157130.86756599997</v>
      </c>
      <c r="G532" s="39">
        <v>44256</v>
      </c>
    </row>
    <row r="533" spans="1:7" x14ac:dyDescent="0.25">
      <c r="A533" t="s">
        <v>28</v>
      </c>
      <c r="B533">
        <v>2021</v>
      </c>
      <c r="C533" t="s">
        <v>10</v>
      </c>
      <c r="D533">
        <v>96942.16</v>
      </c>
      <c r="E533">
        <v>78286.438477999996</v>
      </c>
      <c r="F533">
        <v>175786.58908799998</v>
      </c>
      <c r="G533" s="39">
        <v>44287</v>
      </c>
    </row>
    <row r="534" spans="1:7" x14ac:dyDescent="0.25">
      <c r="A534" t="s">
        <v>28</v>
      </c>
      <c r="B534">
        <v>2021</v>
      </c>
      <c r="C534" t="s">
        <v>11</v>
      </c>
      <c r="D534">
        <v>42240.51</v>
      </c>
      <c r="E534">
        <v>72357.638309999995</v>
      </c>
      <c r="F534">
        <v>145669.46077800001</v>
      </c>
      <c r="G534" s="39">
        <v>44317</v>
      </c>
    </row>
    <row r="535" spans="1:7" x14ac:dyDescent="0.25">
      <c r="A535" t="s">
        <v>28</v>
      </c>
      <c r="B535">
        <v>2021</v>
      </c>
      <c r="C535" t="s">
        <v>12</v>
      </c>
      <c r="D535">
        <v>98296.065000000002</v>
      </c>
      <c r="E535">
        <v>71709.276337000003</v>
      </c>
      <c r="F535">
        <v>172256.24944099999</v>
      </c>
      <c r="G535" s="39">
        <v>44348</v>
      </c>
    </row>
    <row r="536" spans="1:7" x14ac:dyDescent="0.25">
      <c r="A536" t="s">
        <v>28</v>
      </c>
      <c r="B536">
        <v>2021</v>
      </c>
      <c r="C536" t="s">
        <v>13</v>
      </c>
      <c r="D536">
        <v>57606.95</v>
      </c>
      <c r="E536">
        <v>56587.755299999997</v>
      </c>
      <c r="F536">
        <v>173275.44414100001</v>
      </c>
      <c r="G536" s="39">
        <v>44378</v>
      </c>
    </row>
    <row r="537" spans="1:7" x14ac:dyDescent="0.25">
      <c r="A537" t="s">
        <v>28</v>
      </c>
      <c r="B537">
        <v>2021</v>
      </c>
      <c r="C537" t="s">
        <v>14</v>
      </c>
      <c r="D537">
        <v>244825.87</v>
      </c>
      <c r="E537">
        <v>244065.02314800001</v>
      </c>
      <c r="F537">
        <v>174036.29099300003</v>
      </c>
      <c r="G537" s="39">
        <v>44409</v>
      </c>
    </row>
    <row r="538" spans="1:7" x14ac:dyDescent="0.25">
      <c r="A538" t="s">
        <v>28</v>
      </c>
      <c r="B538">
        <v>2021</v>
      </c>
      <c r="C538" t="s">
        <v>15</v>
      </c>
      <c r="D538">
        <v>98331.58</v>
      </c>
      <c r="E538">
        <v>74116.227335000003</v>
      </c>
      <c r="F538">
        <v>198251.64365800004</v>
      </c>
      <c r="G538" s="39">
        <v>44440</v>
      </c>
    </row>
    <row r="539" spans="1:7" x14ac:dyDescent="0.25">
      <c r="A539" t="s">
        <v>28</v>
      </c>
      <c r="B539">
        <v>2021</v>
      </c>
      <c r="C539" t="s">
        <v>16</v>
      </c>
      <c r="D539">
        <v>696071.24476699997</v>
      </c>
      <c r="E539">
        <v>615098.45115500002</v>
      </c>
      <c r="F539">
        <v>279224.43726999999</v>
      </c>
      <c r="G539" s="39">
        <v>44470</v>
      </c>
    </row>
    <row r="540" spans="1:7" x14ac:dyDescent="0.25">
      <c r="A540" t="s">
        <v>28</v>
      </c>
      <c r="B540">
        <v>2021</v>
      </c>
      <c r="C540" t="s">
        <v>17</v>
      </c>
      <c r="D540">
        <v>17026.72</v>
      </c>
      <c r="E540">
        <v>37130.49338</v>
      </c>
      <c r="F540">
        <v>259120.66388999997</v>
      </c>
      <c r="G540" s="39">
        <v>44501</v>
      </c>
    </row>
    <row r="541" spans="1:7" x14ac:dyDescent="0.25">
      <c r="A541" t="s">
        <v>28</v>
      </c>
      <c r="B541">
        <v>2021</v>
      </c>
      <c r="C541" t="s">
        <v>18</v>
      </c>
      <c r="D541">
        <v>45605.53</v>
      </c>
      <c r="E541">
        <v>89934.171732999996</v>
      </c>
      <c r="F541">
        <v>214792.022157</v>
      </c>
      <c r="G541" s="39">
        <v>44531</v>
      </c>
    </row>
    <row r="542" spans="1:7" x14ac:dyDescent="0.25">
      <c r="A542" t="s">
        <v>28</v>
      </c>
      <c r="B542">
        <v>2022</v>
      </c>
      <c r="C542" t="s">
        <v>7</v>
      </c>
      <c r="D542">
        <v>80456.398000000001</v>
      </c>
      <c r="E542">
        <v>42876.503742000001</v>
      </c>
      <c r="F542">
        <v>252371.91641500001</v>
      </c>
      <c r="G542" s="39">
        <v>44562</v>
      </c>
    </row>
    <row r="543" spans="1:7" x14ac:dyDescent="0.25">
      <c r="A543" t="s">
        <v>28</v>
      </c>
      <c r="B543">
        <v>2022</v>
      </c>
      <c r="C543" t="s">
        <v>8</v>
      </c>
      <c r="D543">
        <v>46934.201999999997</v>
      </c>
      <c r="E543">
        <v>79828.869653999995</v>
      </c>
      <c r="F543">
        <v>219477.24876100005</v>
      </c>
      <c r="G543" s="39">
        <v>44593</v>
      </c>
    </row>
    <row r="544" spans="1:7" x14ac:dyDescent="0.25">
      <c r="A544" t="s">
        <v>28</v>
      </c>
      <c r="B544">
        <v>2022</v>
      </c>
      <c r="C544" t="s">
        <v>9</v>
      </c>
      <c r="D544">
        <v>120675.22</v>
      </c>
      <c r="E544">
        <v>72143.263162000003</v>
      </c>
      <c r="F544">
        <v>268009.2055990001</v>
      </c>
      <c r="G544" s="39">
        <v>44621</v>
      </c>
    </row>
    <row r="545" spans="1:7" x14ac:dyDescent="0.25">
      <c r="A545" t="s">
        <v>28</v>
      </c>
      <c r="B545">
        <v>2022</v>
      </c>
      <c r="C545" t="s">
        <v>10</v>
      </c>
      <c r="D545">
        <v>55220.02</v>
      </c>
      <c r="E545">
        <v>74185.979844000001</v>
      </c>
      <c r="F545">
        <v>249043.2457550001</v>
      </c>
      <c r="G545" s="39">
        <v>44652</v>
      </c>
    </row>
    <row r="546" spans="1:7" x14ac:dyDescent="0.25">
      <c r="A546" t="s">
        <v>28</v>
      </c>
      <c r="B546">
        <v>2022</v>
      </c>
      <c r="C546" t="s">
        <v>11</v>
      </c>
      <c r="D546">
        <v>139068.588235</v>
      </c>
      <c r="E546">
        <v>108751.906995</v>
      </c>
      <c r="F546">
        <v>279359.9269950001</v>
      </c>
      <c r="G546" s="39">
        <v>44682</v>
      </c>
    </row>
    <row r="547" spans="1:7" x14ac:dyDescent="0.25">
      <c r="A547" t="s">
        <v>28</v>
      </c>
      <c r="B547">
        <v>2022</v>
      </c>
      <c r="C547" t="s">
        <v>12</v>
      </c>
      <c r="D547">
        <v>63705.97</v>
      </c>
      <c r="E547">
        <v>70323.154001999996</v>
      </c>
      <c r="F547">
        <v>272742.74299300008</v>
      </c>
      <c r="G547" s="39">
        <v>44713</v>
      </c>
    </row>
    <row r="548" spans="1:7" x14ac:dyDescent="0.25">
      <c r="A548" t="s">
        <v>28</v>
      </c>
      <c r="B548">
        <v>2022</v>
      </c>
      <c r="C548" t="s">
        <v>13</v>
      </c>
      <c r="D548">
        <v>65642.41</v>
      </c>
      <c r="E548">
        <v>66807.507379999995</v>
      </c>
      <c r="F548">
        <v>271577.64561300015</v>
      </c>
      <c r="G548" s="39">
        <v>44743</v>
      </c>
    </row>
    <row r="549" spans="1:7" x14ac:dyDescent="0.25">
      <c r="A549" t="s">
        <v>28</v>
      </c>
      <c r="B549">
        <v>2022</v>
      </c>
      <c r="C549" t="s">
        <v>14</v>
      </c>
      <c r="D549">
        <v>49139.45</v>
      </c>
      <c r="E549">
        <v>77044.656690000003</v>
      </c>
      <c r="F549">
        <v>243672.43892300015</v>
      </c>
      <c r="G549" s="39">
        <v>44774</v>
      </c>
    </row>
    <row r="550" spans="1:7" x14ac:dyDescent="0.25">
      <c r="A550" t="s">
        <v>28</v>
      </c>
      <c r="B550">
        <v>2022</v>
      </c>
      <c r="C550" t="s">
        <v>15</v>
      </c>
      <c r="D550">
        <v>108875.05</v>
      </c>
      <c r="E550">
        <v>79861.926263000001</v>
      </c>
      <c r="F550">
        <v>272685.56266000017</v>
      </c>
      <c r="G550" s="39">
        <v>44805</v>
      </c>
    </row>
    <row r="551" spans="1:7" x14ac:dyDescent="0.25">
      <c r="A551" t="s">
        <v>28</v>
      </c>
      <c r="B551">
        <v>2022</v>
      </c>
      <c r="C551" t="s">
        <v>16</v>
      </c>
      <c r="D551">
        <v>110043.95</v>
      </c>
      <c r="E551">
        <v>84670.361235000004</v>
      </c>
      <c r="F551">
        <v>298059.15142500016</v>
      </c>
      <c r="G551" s="39">
        <v>44835</v>
      </c>
    </row>
    <row r="552" spans="1:7" x14ac:dyDescent="0.25">
      <c r="A552" t="s">
        <v>28</v>
      </c>
      <c r="B552">
        <v>2022</v>
      </c>
      <c r="C552" t="s">
        <v>17</v>
      </c>
      <c r="D552">
        <v>45508.44</v>
      </c>
      <c r="E552">
        <v>93640.822692999995</v>
      </c>
      <c r="F552">
        <v>249926.76873200017</v>
      </c>
      <c r="G552" s="39">
        <v>44866</v>
      </c>
    </row>
    <row r="553" spans="1:7" x14ac:dyDescent="0.25">
      <c r="A553" t="s">
        <v>28</v>
      </c>
      <c r="B553">
        <v>2022</v>
      </c>
      <c r="C553" t="s">
        <v>18</v>
      </c>
      <c r="D553">
        <v>22856.958600000002</v>
      </c>
      <c r="E553">
        <v>39583.484407000004</v>
      </c>
      <c r="F553">
        <v>233200.24292500014</v>
      </c>
      <c r="G553" s="39">
        <v>44896</v>
      </c>
    </row>
    <row r="554" spans="1:7" x14ac:dyDescent="0.25">
      <c r="A554" t="s">
        <v>28</v>
      </c>
      <c r="B554">
        <v>2023</v>
      </c>
      <c r="C554" t="s">
        <v>7</v>
      </c>
      <c r="D554">
        <v>73813.14</v>
      </c>
      <c r="E554">
        <v>47388.890565000002</v>
      </c>
      <c r="F554">
        <v>259624.49236000015</v>
      </c>
      <c r="G554" s="39">
        <v>44927</v>
      </c>
    </row>
    <row r="555" spans="1:7" x14ac:dyDescent="0.25">
      <c r="A555" t="s">
        <v>28</v>
      </c>
      <c r="B555">
        <v>2023</v>
      </c>
      <c r="C555" t="s">
        <v>8</v>
      </c>
      <c r="D555">
        <v>76155.649999999994</v>
      </c>
      <c r="E555">
        <v>95405.416045999998</v>
      </c>
      <c r="F555">
        <v>240374.72631400017</v>
      </c>
      <c r="G555" s="39">
        <v>44958</v>
      </c>
    </row>
    <row r="556" spans="1:7" x14ac:dyDescent="0.25">
      <c r="A556" t="s">
        <v>28</v>
      </c>
      <c r="B556">
        <v>2023</v>
      </c>
      <c r="C556" t="s">
        <v>9</v>
      </c>
      <c r="D556">
        <v>133550.35999999999</v>
      </c>
      <c r="E556">
        <v>78223.735293999998</v>
      </c>
      <c r="F556">
        <v>295701.35102000018</v>
      </c>
      <c r="G556" s="39">
        <v>44986</v>
      </c>
    </row>
    <row r="557" spans="1:7" x14ac:dyDescent="0.25">
      <c r="A557" t="s">
        <v>28</v>
      </c>
      <c r="B557">
        <v>2023</v>
      </c>
      <c r="C557" t="s">
        <v>10</v>
      </c>
      <c r="D557">
        <v>57272.38</v>
      </c>
      <c r="E557">
        <v>66150.210217999993</v>
      </c>
      <c r="F557">
        <v>286823.52080200019</v>
      </c>
      <c r="G557" s="39">
        <v>45017</v>
      </c>
    </row>
    <row r="558" spans="1:7" x14ac:dyDescent="0.25">
      <c r="A558" t="s">
        <v>28</v>
      </c>
      <c r="B558">
        <v>2023</v>
      </c>
      <c r="C558" t="s">
        <v>11</v>
      </c>
      <c r="D558">
        <v>71125.794999999998</v>
      </c>
      <c r="E558">
        <v>94546.770950999999</v>
      </c>
      <c r="F558">
        <v>263402.54485100019</v>
      </c>
      <c r="G558" s="39">
        <v>45047</v>
      </c>
    </row>
    <row r="559" spans="1:7" x14ac:dyDescent="0.25">
      <c r="A559" t="s">
        <v>28</v>
      </c>
      <c r="B559">
        <v>2023</v>
      </c>
      <c r="C559" t="s">
        <v>12</v>
      </c>
      <c r="D559">
        <v>75816.05</v>
      </c>
      <c r="E559">
        <v>58156.659347000001</v>
      </c>
      <c r="F559">
        <v>281061.93550400017</v>
      </c>
      <c r="G559" s="39">
        <v>45078</v>
      </c>
    </row>
    <row r="560" spans="1:7" x14ac:dyDescent="0.25">
      <c r="A560" t="s">
        <v>28</v>
      </c>
      <c r="B560">
        <v>2023</v>
      </c>
      <c r="C560" t="s">
        <v>13</v>
      </c>
      <c r="D560">
        <v>66962.64</v>
      </c>
      <c r="E560">
        <v>67654.836154999997</v>
      </c>
      <c r="F560">
        <v>280369.73934900016</v>
      </c>
      <c r="G560" s="39">
        <v>45108</v>
      </c>
    </row>
    <row r="561" spans="1:7" x14ac:dyDescent="0.25">
      <c r="A561" t="s">
        <v>28</v>
      </c>
      <c r="B561">
        <v>2023</v>
      </c>
      <c r="C561" t="s">
        <v>14</v>
      </c>
      <c r="D561">
        <v>81725.22</v>
      </c>
      <c r="E561">
        <v>78008.296774000002</v>
      </c>
      <c r="F561">
        <v>284086.66257500014</v>
      </c>
      <c r="G561" s="39">
        <v>45139</v>
      </c>
    </row>
    <row r="562" spans="1:7" x14ac:dyDescent="0.25">
      <c r="A562" t="s">
        <v>28</v>
      </c>
      <c r="B562">
        <v>2023</v>
      </c>
      <c r="C562" t="s">
        <v>15</v>
      </c>
      <c r="D562">
        <v>86103.57</v>
      </c>
      <c r="E562">
        <v>68081.656176000004</v>
      </c>
      <c r="F562">
        <v>302108.57639900013</v>
      </c>
      <c r="G562" s="39">
        <v>45170</v>
      </c>
    </row>
    <row r="563" spans="1:7" x14ac:dyDescent="0.25">
      <c r="A563" t="s">
        <v>28</v>
      </c>
      <c r="B563">
        <v>2023</v>
      </c>
      <c r="C563" t="s">
        <v>16</v>
      </c>
      <c r="D563">
        <v>87104.98</v>
      </c>
      <c r="E563">
        <v>87780.366949999996</v>
      </c>
      <c r="F563">
        <v>301433.18944900011</v>
      </c>
      <c r="G563" s="39">
        <v>45200</v>
      </c>
    </row>
    <row r="564" spans="1:7" x14ac:dyDescent="0.25">
      <c r="A564" t="s">
        <v>28</v>
      </c>
      <c r="B564">
        <v>2023</v>
      </c>
      <c r="C564" t="s">
        <v>17</v>
      </c>
      <c r="D564">
        <v>42372.04</v>
      </c>
      <c r="E564">
        <v>79702.230032000007</v>
      </c>
      <c r="F564">
        <v>264102.9994170001</v>
      </c>
      <c r="G564" s="39">
        <v>45231</v>
      </c>
    </row>
    <row r="565" spans="1:7" x14ac:dyDescent="0.25">
      <c r="A565" t="s">
        <v>28</v>
      </c>
      <c r="B565">
        <v>2023</v>
      </c>
      <c r="C565" t="s">
        <v>18</v>
      </c>
      <c r="D565">
        <v>75686.600000000006</v>
      </c>
      <c r="E565">
        <v>77614.107850999993</v>
      </c>
      <c r="F565">
        <v>262175.4915660001</v>
      </c>
      <c r="G565" s="39">
        <v>45261</v>
      </c>
    </row>
    <row r="566" spans="1:7" x14ac:dyDescent="0.25">
      <c r="A566" t="s">
        <v>28</v>
      </c>
      <c r="B566">
        <v>2024</v>
      </c>
      <c r="C566" t="s">
        <v>7</v>
      </c>
      <c r="F566">
        <v>262175.4915660001</v>
      </c>
      <c r="G566" s="39">
        <v>45292</v>
      </c>
    </row>
    <row r="567" spans="1:7" x14ac:dyDescent="0.25">
      <c r="A567" t="s">
        <v>28</v>
      </c>
      <c r="B567">
        <v>2024</v>
      </c>
      <c r="C567" t="s">
        <v>8</v>
      </c>
      <c r="F567">
        <v>262175.4915660001</v>
      </c>
      <c r="G567" s="39">
        <v>45323</v>
      </c>
    </row>
    <row r="568" spans="1:7" x14ac:dyDescent="0.25">
      <c r="A568" t="s">
        <v>28</v>
      </c>
      <c r="B568">
        <v>2024</v>
      </c>
      <c r="C568" t="s">
        <v>9</v>
      </c>
      <c r="F568">
        <v>262175.4915660001</v>
      </c>
      <c r="G568" s="39">
        <v>45352</v>
      </c>
    </row>
    <row r="569" spans="1:7" x14ac:dyDescent="0.25">
      <c r="A569" t="s">
        <v>28</v>
      </c>
      <c r="B569">
        <v>2024</v>
      </c>
      <c r="C569" t="s">
        <v>10</v>
      </c>
      <c r="F569">
        <v>262175.4915660001</v>
      </c>
      <c r="G569" s="39">
        <v>45383</v>
      </c>
    </row>
    <row r="570" spans="1:7" x14ac:dyDescent="0.25">
      <c r="A570" t="s">
        <v>28</v>
      </c>
      <c r="B570">
        <v>2024</v>
      </c>
      <c r="C570" t="s">
        <v>11</v>
      </c>
      <c r="F570">
        <v>262175.4915660001</v>
      </c>
      <c r="G570" s="39">
        <v>45413</v>
      </c>
    </row>
    <row r="571" spans="1:7" x14ac:dyDescent="0.25">
      <c r="A571" t="s">
        <v>28</v>
      </c>
      <c r="B571">
        <v>2024</v>
      </c>
      <c r="C571" t="s">
        <v>12</v>
      </c>
      <c r="F571">
        <v>262175.4915660001</v>
      </c>
      <c r="G571" s="39">
        <v>45444</v>
      </c>
    </row>
    <row r="572" spans="1:7" x14ac:dyDescent="0.25">
      <c r="A572" t="s">
        <v>28</v>
      </c>
      <c r="B572">
        <v>2024</v>
      </c>
      <c r="C572" t="s">
        <v>13</v>
      </c>
      <c r="F572">
        <v>262175.4915660001</v>
      </c>
      <c r="G572" s="39">
        <v>45474</v>
      </c>
    </row>
    <row r="573" spans="1:7" x14ac:dyDescent="0.25">
      <c r="A573" t="s">
        <v>28</v>
      </c>
      <c r="B573">
        <v>2024</v>
      </c>
      <c r="C573" t="s">
        <v>14</v>
      </c>
      <c r="F573">
        <v>262175.4915660001</v>
      </c>
      <c r="G573" s="39">
        <v>45505</v>
      </c>
    </row>
    <row r="574" spans="1:7" x14ac:dyDescent="0.25">
      <c r="A574" t="s">
        <v>28</v>
      </c>
      <c r="B574">
        <v>2024</v>
      </c>
      <c r="C574" t="s">
        <v>15</v>
      </c>
      <c r="F574">
        <v>262175.4915660001</v>
      </c>
      <c r="G574" s="39">
        <v>45536</v>
      </c>
    </row>
    <row r="575" spans="1:7" x14ac:dyDescent="0.25">
      <c r="A575" t="s">
        <v>28</v>
      </c>
      <c r="B575">
        <v>2024</v>
      </c>
      <c r="C575" t="s">
        <v>16</v>
      </c>
      <c r="F575">
        <v>262175.4915660001</v>
      </c>
      <c r="G575" s="39">
        <v>45566</v>
      </c>
    </row>
    <row r="576" spans="1:7" x14ac:dyDescent="0.25">
      <c r="A576" t="s">
        <v>28</v>
      </c>
      <c r="B576">
        <v>2024</v>
      </c>
      <c r="C576" t="s">
        <v>17</v>
      </c>
      <c r="F576">
        <v>262175.4915660001</v>
      </c>
      <c r="G576" s="39">
        <v>45597</v>
      </c>
    </row>
    <row r="577" spans="1:7" x14ac:dyDescent="0.25">
      <c r="A577" t="s">
        <v>28</v>
      </c>
      <c r="B577">
        <v>2024</v>
      </c>
      <c r="C577" t="s">
        <v>18</v>
      </c>
      <c r="F577">
        <v>262175.4915660001</v>
      </c>
      <c r="G577" s="39">
        <v>45627</v>
      </c>
    </row>
    <row r="578" spans="1:7" x14ac:dyDescent="0.25">
      <c r="A578" t="s">
        <v>29</v>
      </c>
      <c r="B578">
        <v>2019</v>
      </c>
      <c r="C578" t="s">
        <v>7</v>
      </c>
      <c r="F578">
        <v>0</v>
      </c>
      <c r="G578" s="39">
        <v>43466</v>
      </c>
    </row>
    <row r="579" spans="1:7" x14ac:dyDescent="0.25">
      <c r="A579" t="s">
        <v>29</v>
      </c>
      <c r="B579">
        <v>2019</v>
      </c>
      <c r="C579" t="s">
        <v>8</v>
      </c>
      <c r="F579">
        <v>0</v>
      </c>
      <c r="G579" s="39">
        <v>43497</v>
      </c>
    </row>
    <row r="580" spans="1:7" x14ac:dyDescent="0.25">
      <c r="A580" t="s">
        <v>29</v>
      </c>
      <c r="B580">
        <v>2019</v>
      </c>
      <c r="C580" t="s">
        <v>9</v>
      </c>
      <c r="F580">
        <v>0</v>
      </c>
      <c r="G580" s="39">
        <v>43525</v>
      </c>
    </row>
    <row r="581" spans="1:7" x14ac:dyDescent="0.25">
      <c r="A581" t="s">
        <v>29</v>
      </c>
      <c r="B581">
        <v>2019</v>
      </c>
      <c r="C581" t="s">
        <v>10</v>
      </c>
      <c r="F581">
        <v>0</v>
      </c>
      <c r="G581" s="39">
        <v>43556</v>
      </c>
    </row>
    <row r="582" spans="1:7" x14ac:dyDescent="0.25">
      <c r="A582" t="s">
        <v>29</v>
      </c>
      <c r="B582">
        <v>2019</v>
      </c>
      <c r="C582" t="s">
        <v>11</v>
      </c>
      <c r="F582">
        <v>0</v>
      </c>
      <c r="G582" s="39">
        <v>43586</v>
      </c>
    </row>
    <row r="583" spans="1:7" x14ac:dyDescent="0.25">
      <c r="A583" t="s">
        <v>29</v>
      </c>
      <c r="B583">
        <v>2019</v>
      </c>
      <c r="C583" t="s">
        <v>12</v>
      </c>
      <c r="F583">
        <v>0</v>
      </c>
      <c r="G583" s="39">
        <v>43617</v>
      </c>
    </row>
    <row r="584" spans="1:7" x14ac:dyDescent="0.25">
      <c r="A584" t="s">
        <v>29</v>
      </c>
      <c r="B584">
        <v>2019</v>
      </c>
      <c r="C584" t="s">
        <v>13</v>
      </c>
      <c r="F584">
        <v>0</v>
      </c>
      <c r="G584" s="39">
        <v>43647</v>
      </c>
    </row>
    <row r="585" spans="1:7" x14ac:dyDescent="0.25">
      <c r="A585" t="s">
        <v>29</v>
      </c>
      <c r="B585">
        <v>2019</v>
      </c>
      <c r="C585" t="s">
        <v>14</v>
      </c>
      <c r="F585">
        <v>0</v>
      </c>
      <c r="G585" s="39">
        <v>43678</v>
      </c>
    </row>
    <row r="586" spans="1:7" x14ac:dyDescent="0.25">
      <c r="A586" t="s">
        <v>29</v>
      </c>
      <c r="B586">
        <v>2019</v>
      </c>
      <c r="C586" t="s">
        <v>15</v>
      </c>
      <c r="F586">
        <v>0</v>
      </c>
      <c r="G586" s="39">
        <v>43709</v>
      </c>
    </row>
    <row r="587" spans="1:7" x14ac:dyDescent="0.25">
      <c r="A587" t="s">
        <v>29</v>
      </c>
      <c r="B587">
        <v>2019</v>
      </c>
      <c r="C587" t="s">
        <v>16</v>
      </c>
      <c r="F587">
        <v>0</v>
      </c>
      <c r="G587" s="39">
        <v>43739</v>
      </c>
    </row>
    <row r="588" spans="1:7" x14ac:dyDescent="0.25">
      <c r="A588" t="s">
        <v>29</v>
      </c>
      <c r="B588">
        <v>2019</v>
      </c>
      <c r="C588" t="s">
        <v>17</v>
      </c>
      <c r="D588">
        <v>113130.339999</v>
      </c>
      <c r="E588">
        <v>1182.2196180000001</v>
      </c>
      <c r="F588">
        <v>111948.120381</v>
      </c>
      <c r="G588" s="39">
        <v>43770</v>
      </c>
    </row>
    <row r="589" spans="1:7" x14ac:dyDescent="0.25">
      <c r="A589" t="s">
        <v>29</v>
      </c>
      <c r="B589">
        <v>2019</v>
      </c>
      <c r="C589" t="s">
        <v>18</v>
      </c>
      <c r="D589">
        <v>0</v>
      </c>
      <c r="E589">
        <v>2132.1708680000002</v>
      </c>
      <c r="F589">
        <v>109815.949513</v>
      </c>
      <c r="G589" s="39">
        <v>43800</v>
      </c>
    </row>
    <row r="590" spans="1:7" x14ac:dyDescent="0.25">
      <c r="A590" t="s">
        <v>29</v>
      </c>
      <c r="B590">
        <v>2020</v>
      </c>
      <c r="C590" t="s">
        <v>7</v>
      </c>
      <c r="D590">
        <v>0</v>
      </c>
      <c r="E590">
        <v>3366.3898530000001</v>
      </c>
      <c r="F590">
        <v>106449.55966</v>
      </c>
      <c r="G590" s="39">
        <v>43831</v>
      </c>
    </row>
    <row r="591" spans="1:7" x14ac:dyDescent="0.25">
      <c r="A591" t="s">
        <v>29</v>
      </c>
      <c r="B591">
        <v>2020</v>
      </c>
      <c r="C591" t="s">
        <v>8</v>
      </c>
      <c r="D591">
        <v>178.01</v>
      </c>
      <c r="E591">
        <v>4823.5561879999996</v>
      </c>
      <c r="F591">
        <v>101804.01347199999</v>
      </c>
      <c r="G591" s="39">
        <v>43862</v>
      </c>
    </row>
    <row r="592" spans="1:7" x14ac:dyDescent="0.25">
      <c r="A592" t="s">
        <v>29</v>
      </c>
      <c r="B592">
        <v>2020</v>
      </c>
      <c r="C592" t="s">
        <v>9</v>
      </c>
      <c r="D592">
        <v>0</v>
      </c>
      <c r="E592">
        <v>16370.668110000001</v>
      </c>
      <c r="F592">
        <v>85433.345361999993</v>
      </c>
      <c r="G592" s="39">
        <v>43891</v>
      </c>
    </row>
    <row r="593" spans="1:7" x14ac:dyDescent="0.25">
      <c r="A593" t="s">
        <v>29</v>
      </c>
      <c r="B593">
        <v>2020</v>
      </c>
      <c r="C593" t="s">
        <v>10</v>
      </c>
      <c r="D593">
        <v>989.68</v>
      </c>
      <c r="E593">
        <v>7662.5806089999996</v>
      </c>
      <c r="F593">
        <v>78760.444752999989</v>
      </c>
      <c r="G593" s="39">
        <v>43922</v>
      </c>
    </row>
    <row r="594" spans="1:7" x14ac:dyDescent="0.25">
      <c r="A594" t="s">
        <v>29</v>
      </c>
      <c r="B594">
        <v>2020</v>
      </c>
      <c r="C594" t="s">
        <v>11</v>
      </c>
      <c r="D594">
        <v>0</v>
      </c>
      <c r="E594">
        <v>5042.13717</v>
      </c>
      <c r="F594">
        <v>73718.307582999987</v>
      </c>
      <c r="G594" s="39">
        <v>43952</v>
      </c>
    </row>
    <row r="595" spans="1:7" x14ac:dyDescent="0.25">
      <c r="A595" t="s">
        <v>29</v>
      </c>
      <c r="B595">
        <v>2020</v>
      </c>
      <c r="C595" t="s">
        <v>12</v>
      </c>
      <c r="D595">
        <v>35994.639999999999</v>
      </c>
      <c r="E595">
        <v>37758.901261999999</v>
      </c>
      <c r="F595">
        <v>71954.046320999987</v>
      </c>
      <c r="G595" s="39">
        <v>43983</v>
      </c>
    </row>
    <row r="596" spans="1:7" x14ac:dyDescent="0.25">
      <c r="A596" t="s">
        <v>29</v>
      </c>
      <c r="B596">
        <v>2020</v>
      </c>
      <c r="C596" t="s">
        <v>13</v>
      </c>
      <c r="D596">
        <v>22497.200000000001</v>
      </c>
      <c r="E596">
        <v>4793.3984460000001</v>
      </c>
      <c r="F596">
        <v>89657.847874999978</v>
      </c>
      <c r="G596" s="39">
        <v>44013</v>
      </c>
    </row>
    <row r="597" spans="1:7" x14ac:dyDescent="0.25">
      <c r="A597" t="s">
        <v>29</v>
      </c>
      <c r="B597">
        <v>2020</v>
      </c>
      <c r="C597" t="s">
        <v>14</v>
      </c>
      <c r="D597">
        <v>0</v>
      </c>
      <c r="E597">
        <v>9097.1999199999991</v>
      </c>
      <c r="F597">
        <v>80560.647954999979</v>
      </c>
      <c r="G597" s="39">
        <v>44044</v>
      </c>
    </row>
    <row r="598" spans="1:7" x14ac:dyDescent="0.25">
      <c r="A598" t="s">
        <v>29</v>
      </c>
      <c r="B598">
        <v>2020</v>
      </c>
      <c r="C598" t="s">
        <v>15</v>
      </c>
      <c r="D598">
        <v>18415.55</v>
      </c>
      <c r="E598">
        <v>13404.691338000001</v>
      </c>
      <c r="F598">
        <v>85571.506616999977</v>
      </c>
      <c r="G598" s="39">
        <v>44075</v>
      </c>
    </row>
    <row r="599" spans="1:7" x14ac:dyDescent="0.25">
      <c r="A599" t="s">
        <v>29</v>
      </c>
      <c r="B599">
        <v>2020</v>
      </c>
      <c r="C599" t="s">
        <v>16</v>
      </c>
      <c r="D599">
        <v>0</v>
      </c>
      <c r="E599">
        <v>25346.142490999999</v>
      </c>
      <c r="F599">
        <v>60225.364125999979</v>
      </c>
      <c r="G599" s="39">
        <v>44105</v>
      </c>
    </row>
    <row r="600" spans="1:7" x14ac:dyDescent="0.25">
      <c r="A600" t="s">
        <v>29</v>
      </c>
      <c r="B600">
        <v>2020</v>
      </c>
      <c r="C600" t="s">
        <v>17</v>
      </c>
      <c r="D600">
        <v>2405.1999999999998</v>
      </c>
      <c r="E600">
        <v>875.59794199999999</v>
      </c>
      <c r="F600">
        <v>61754.966183999975</v>
      </c>
      <c r="G600" s="39">
        <v>44136</v>
      </c>
    </row>
    <row r="601" spans="1:7" x14ac:dyDescent="0.25">
      <c r="A601" t="s">
        <v>29</v>
      </c>
      <c r="B601">
        <v>2020</v>
      </c>
      <c r="C601" t="s">
        <v>18</v>
      </c>
      <c r="D601">
        <v>34690.199999999997</v>
      </c>
      <c r="E601">
        <v>26528.418153999999</v>
      </c>
      <c r="F601">
        <v>69916.748029999973</v>
      </c>
      <c r="G601" s="39">
        <v>44166</v>
      </c>
    </row>
    <row r="602" spans="1:7" x14ac:dyDescent="0.25">
      <c r="A602" t="s">
        <v>29</v>
      </c>
      <c r="B602">
        <v>2021</v>
      </c>
      <c r="C602" t="s">
        <v>7</v>
      </c>
      <c r="D602">
        <v>0</v>
      </c>
      <c r="E602">
        <v>8572.221947</v>
      </c>
      <c r="F602">
        <v>61344.526082999975</v>
      </c>
      <c r="G602" s="39">
        <v>44197</v>
      </c>
    </row>
    <row r="603" spans="1:7" x14ac:dyDescent="0.25">
      <c r="A603" t="s">
        <v>29</v>
      </c>
      <c r="B603">
        <v>2021</v>
      </c>
      <c r="C603" t="s">
        <v>8</v>
      </c>
      <c r="D603">
        <v>34542.78</v>
      </c>
      <c r="E603">
        <v>18494.188098999999</v>
      </c>
      <c r="F603">
        <v>77393.117983999982</v>
      </c>
      <c r="G603" s="39">
        <v>44228</v>
      </c>
    </row>
    <row r="604" spans="1:7" x14ac:dyDescent="0.25">
      <c r="A604" t="s">
        <v>29</v>
      </c>
      <c r="B604">
        <v>2021</v>
      </c>
      <c r="C604" t="s">
        <v>9</v>
      </c>
      <c r="D604">
        <v>0</v>
      </c>
      <c r="E604">
        <v>6393.7090559999997</v>
      </c>
      <c r="F604">
        <v>70999.40892799999</v>
      </c>
      <c r="G604" s="39">
        <v>44256</v>
      </c>
    </row>
    <row r="605" spans="1:7" x14ac:dyDescent="0.25">
      <c r="A605" t="s">
        <v>29</v>
      </c>
      <c r="B605">
        <v>2021</v>
      </c>
      <c r="C605" t="s">
        <v>10</v>
      </c>
      <c r="D605">
        <v>53827.6</v>
      </c>
      <c r="E605">
        <v>4984.5387199999996</v>
      </c>
      <c r="F605">
        <v>119842.470208</v>
      </c>
      <c r="G605" s="39">
        <v>44287</v>
      </c>
    </row>
    <row r="606" spans="1:7" x14ac:dyDescent="0.25">
      <c r="A606" t="s">
        <v>29</v>
      </c>
      <c r="B606">
        <v>2021</v>
      </c>
      <c r="C606" t="s">
        <v>11</v>
      </c>
      <c r="D606">
        <v>0</v>
      </c>
      <c r="E606">
        <v>9073.0196730000007</v>
      </c>
      <c r="F606">
        <v>110769.450535</v>
      </c>
      <c r="G606" s="39">
        <v>44317</v>
      </c>
    </row>
    <row r="607" spans="1:7" x14ac:dyDescent="0.25">
      <c r="A607" t="s">
        <v>29</v>
      </c>
      <c r="B607">
        <v>2021</v>
      </c>
      <c r="C607" t="s">
        <v>12</v>
      </c>
      <c r="D607">
        <v>0</v>
      </c>
      <c r="E607">
        <v>7896.9082010000002</v>
      </c>
      <c r="F607">
        <v>102872.542334</v>
      </c>
      <c r="G607" s="39">
        <v>44348</v>
      </c>
    </row>
    <row r="608" spans="1:7" x14ac:dyDescent="0.25">
      <c r="A608" t="s">
        <v>29</v>
      </c>
      <c r="B608">
        <v>2021</v>
      </c>
      <c r="C608" t="s">
        <v>13</v>
      </c>
      <c r="D608">
        <v>0</v>
      </c>
      <c r="E608">
        <v>5739.3843230000002</v>
      </c>
      <c r="F608">
        <v>97133.158010999992</v>
      </c>
      <c r="G608" s="39">
        <v>44378</v>
      </c>
    </row>
    <row r="609" spans="1:7" x14ac:dyDescent="0.25">
      <c r="A609" t="s">
        <v>29</v>
      </c>
      <c r="B609">
        <v>2021</v>
      </c>
      <c r="C609" t="s">
        <v>14</v>
      </c>
      <c r="D609">
        <v>53.32</v>
      </c>
      <c r="E609">
        <v>14566.852369</v>
      </c>
      <c r="F609">
        <v>82619.625641999999</v>
      </c>
      <c r="G609" s="39">
        <v>44409</v>
      </c>
    </row>
    <row r="610" spans="1:7" x14ac:dyDescent="0.25">
      <c r="A610" t="s">
        <v>29</v>
      </c>
      <c r="B610">
        <v>2021</v>
      </c>
      <c r="C610" t="s">
        <v>15</v>
      </c>
      <c r="D610">
        <v>36.18</v>
      </c>
      <c r="E610">
        <v>2642.4221419999999</v>
      </c>
      <c r="F610">
        <v>80013.383499999996</v>
      </c>
      <c r="G610" s="39">
        <v>44440</v>
      </c>
    </row>
    <row r="611" spans="1:7" x14ac:dyDescent="0.25">
      <c r="A611" t="s">
        <v>29</v>
      </c>
      <c r="B611">
        <v>2021</v>
      </c>
      <c r="C611" t="s">
        <v>16</v>
      </c>
      <c r="D611">
        <v>88423.7</v>
      </c>
      <c r="E611">
        <v>62663.485613999997</v>
      </c>
      <c r="F611">
        <v>105773.597886</v>
      </c>
      <c r="G611" s="39">
        <v>44470</v>
      </c>
    </row>
    <row r="612" spans="1:7" x14ac:dyDescent="0.25">
      <c r="A612" t="s">
        <v>29</v>
      </c>
      <c r="B612">
        <v>2021</v>
      </c>
      <c r="C612" t="s">
        <v>17</v>
      </c>
      <c r="D612">
        <v>0</v>
      </c>
      <c r="E612">
        <v>4485.1148270000003</v>
      </c>
      <c r="F612">
        <v>101288.48305900001</v>
      </c>
      <c r="G612" s="39">
        <v>44501</v>
      </c>
    </row>
    <row r="613" spans="1:7" x14ac:dyDescent="0.25">
      <c r="A613" t="s">
        <v>29</v>
      </c>
      <c r="B613">
        <v>2021</v>
      </c>
      <c r="C613" t="s">
        <v>18</v>
      </c>
      <c r="D613">
        <v>0</v>
      </c>
      <c r="E613">
        <v>248.11979099999999</v>
      </c>
      <c r="F613">
        <v>101040.363268</v>
      </c>
      <c r="G613" s="39">
        <v>44531</v>
      </c>
    </row>
    <row r="614" spans="1:7" x14ac:dyDescent="0.25">
      <c r="A614" t="s">
        <v>29</v>
      </c>
      <c r="B614">
        <v>2022</v>
      </c>
      <c r="C614" t="s">
        <v>7</v>
      </c>
      <c r="D614">
        <v>0</v>
      </c>
      <c r="E614">
        <v>909.41269599999998</v>
      </c>
      <c r="F614">
        <v>100130.950572</v>
      </c>
      <c r="G614" s="39">
        <v>44562</v>
      </c>
    </row>
    <row r="615" spans="1:7" x14ac:dyDescent="0.25">
      <c r="A615" t="s">
        <v>29</v>
      </c>
      <c r="B615">
        <v>2022</v>
      </c>
      <c r="C615" t="s">
        <v>8</v>
      </c>
      <c r="D615">
        <v>0</v>
      </c>
      <c r="E615">
        <v>472.985905</v>
      </c>
      <c r="F615">
        <v>99657.964667000007</v>
      </c>
      <c r="G615" s="39">
        <v>44593</v>
      </c>
    </row>
    <row r="616" spans="1:7" x14ac:dyDescent="0.25">
      <c r="A616" t="s">
        <v>29</v>
      </c>
      <c r="B616">
        <v>2022</v>
      </c>
      <c r="C616" t="s">
        <v>9</v>
      </c>
      <c r="D616">
        <v>0</v>
      </c>
      <c r="E616">
        <v>-505.24990500000001</v>
      </c>
      <c r="F616">
        <v>100163.21457200001</v>
      </c>
      <c r="G616" s="39">
        <v>44621</v>
      </c>
    </row>
    <row r="617" spans="1:7" x14ac:dyDescent="0.25">
      <c r="A617" t="s">
        <v>29</v>
      </c>
      <c r="B617">
        <v>2022</v>
      </c>
      <c r="C617" t="s">
        <v>10</v>
      </c>
      <c r="D617">
        <v>0</v>
      </c>
      <c r="E617">
        <v>279.33900499999999</v>
      </c>
      <c r="F617">
        <v>99883.87556700001</v>
      </c>
      <c r="G617" s="39">
        <v>44652</v>
      </c>
    </row>
    <row r="618" spans="1:7" x14ac:dyDescent="0.25">
      <c r="A618" t="s">
        <v>29</v>
      </c>
      <c r="B618">
        <v>2022</v>
      </c>
      <c r="C618" t="s">
        <v>11</v>
      </c>
      <c r="D618">
        <v>0</v>
      </c>
      <c r="E618">
        <v>446.61786699999999</v>
      </c>
      <c r="F618">
        <v>99437.257700000016</v>
      </c>
      <c r="G618" s="39">
        <v>44682</v>
      </c>
    </row>
    <row r="619" spans="1:7" x14ac:dyDescent="0.25">
      <c r="A619" t="s">
        <v>29</v>
      </c>
      <c r="B619">
        <v>2022</v>
      </c>
      <c r="C619" t="s">
        <v>12</v>
      </c>
      <c r="D619">
        <v>0</v>
      </c>
      <c r="E619">
        <v>-904.82856300000003</v>
      </c>
      <c r="F619">
        <v>100342.08626300002</v>
      </c>
      <c r="G619" s="39">
        <v>44713</v>
      </c>
    </row>
    <row r="620" spans="1:7" x14ac:dyDescent="0.25">
      <c r="A620" t="s">
        <v>29</v>
      </c>
      <c r="B620">
        <v>2022</v>
      </c>
      <c r="C620" t="s">
        <v>13</v>
      </c>
      <c r="D620">
        <v>0</v>
      </c>
      <c r="E620">
        <v>922.15085399999998</v>
      </c>
      <c r="F620">
        <v>99419.935409000012</v>
      </c>
      <c r="G620" s="39">
        <v>44743</v>
      </c>
    </row>
    <row r="621" spans="1:7" x14ac:dyDescent="0.25">
      <c r="A621" t="s">
        <v>29</v>
      </c>
      <c r="B621">
        <v>2022</v>
      </c>
      <c r="C621" t="s">
        <v>14</v>
      </c>
      <c r="D621">
        <v>0</v>
      </c>
      <c r="E621">
        <v>76.946149000000005</v>
      </c>
      <c r="F621">
        <v>99342.989260000017</v>
      </c>
      <c r="G621" s="39">
        <v>44774</v>
      </c>
    </row>
    <row r="622" spans="1:7" x14ac:dyDescent="0.25">
      <c r="A622" t="s">
        <v>29</v>
      </c>
      <c r="B622">
        <v>2022</v>
      </c>
      <c r="C622" t="s">
        <v>15</v>
      </c>
      <c r="D622">
        <v>0</v>
      </c>
      <c r="E622">
        <v>1071.933436</v>
      </c>
      <c r="F622">
        <v>98271.05582400001</v>
      </c>
      <c r="G622" s="39">
        <v>44805</v>
      </c>
    </row>
    <row r="623" spans="1:7" x14ac:dyDescent="0.25">
      <c r="A623" t="s">
        <v>29</v>
      </c>
      <c r="B623">
        <v>2022</v>
      </c>
      <c r="C623" t="s">
        <v>16</v>
      </c>
      <c r="D623">
        <v>0</v>
      </c>
      <c r="E623">
        <v>736.11002199999996</v>
      </c>
      <c r="F623">
        <v>97534.945802000017</v>
      </c>
      <c r="G623" s="39">
        <v>44835</v>
      </c>
    </row>
    <row r="624" spans="1:7" x14ac:dyDescent="0.25">
      <c r="A624" t="s">
        <v>29</v>
      </c>
      <c r="B624">
        <v>2022</v>
      </c>
      <c r="C624" t="s">
        <v>17</v>
      </c>
      <c r="D624">
        <v>0</v>
      </c>
      <c r="E624">
        <v>1125.162959</v>
      </c>
      <c r="F624">
        <v>96409.782843000023</v>
      </c>
      <c r="G624" s="39">
        <v>44866</v>
      </c>
    </row>
    <row r="625" spans="1:7" x14ac:dyDescent="0.25">
      <c r="A625" t="s">
        <v>29</v>
      </c>
      <c r="B625">
        <v>2022</v>
      </c>
      <c r="C625" t="s">
        <v>18</v>
      </c>
      <c r="D625">
        <v>0</v>
      </c>
      <c r="E625">
        <v>186.93688900000001</v>
      </c>
      <c r="F625">
        <v>96222.845954000019</v>
      </c>
      <c r="G625" s="39">
        <v>44896</v>
      </c>
    </row>
    <row r="626" spans="1:7" x14ac:dyDescent="0.25">
      <c r="A626" t="s">
        <v>29</v>
      </c>
      <c r="B626">
        <v>2023</v>
      </c>
      <c r="C626" t="s">
        <v>7</v>
      </c>
      <c r="D626">
        <v>0</v>
      </c>
      <c r="E626">
        <v>310.11708099999998</v>
      </c>
      <c r="F626">
        <v>95912.728873000015</v>
      </c>
      <c r="G626" s="39">
        <v>44927</v>
      </c>
    </row>
    <row r="627" spans="1:7" x14ac:dyDescent="0.25">
      <c r="A627" t="s">
        <v>29</v>
      </c>
      <c r="B627">
        <v>2023</v>
      </c>
      <c r="C627" t="s">
        <v>8</v>
      </c>
      <c r="D627">
        <v>0</v>
      </c>
      <c r="E627">
        <v>1303.6148720000001</v>
      </c>
      <c r="F627">
        <v>94609.114001000009</v>
      </c>
      <c r="G627" s="39">
        <v>44958</v>
      </c>
    </row>
    <row r="628" spans="1:7" x14ac:dyDescent="0.25">
      <c r="A628" t="s">
        <v>29</v>
      </c>
      <c r="B628">
        <v>2023</v>
      </c>
      <c r="C628" t="s">
        <v>9</v>
      </c>
      <c r="D628">
        <v>0</v>
      </c>
      <c r="E628">
        <v>3308.5606539999999</v>
      </c>
      <c r="F628">
        <v>91300.553347000008</v>
      </c>
      <c r="G628" s="39">
        <v>44986</v>
      </c>
    </row>
    <row r="629" spans="1:7" x14ac:dyDescent="0.25">
      <c r="A629" t="s">
        <v>29</v>
      </c>
      <c r="B629">
        <v>2023</v>
      </c>
      <c r="C629" t="s">
        <v>10</v>
      </c>
      <c r="D629">
        <v>0</v>
      </c>
      <c r="E629">
        <v>3511.9990240000002</v>
      </c>
      <c r="F629">
        <v>87788.554323000004</v>
      </c>
      <c r="G629" s="39">
        <v>45017</v>
      </c>
    </row>
    <row r="630" spans="1:7" x14ac:dyDescent="0.25">
      <c r="A630" t="s">
        <v>29</v>
      </c>
      <c r="B630">
        <v>2023</v>
      </c>
      <c r="C630" t="s">
        <v>11</v>
      </c>
      <c r="D630">
        <v>705.61</v>
      </c>
      <c r="E630">
        <v>6796.2311250000002</v>
      </c>
      <c r="F630">
        <v>81697.933197999999</v>
      </c>
      <c r="G630" s="39">
        <v>45047</v>
      </c>
    </row>
    <row r="631" spans="1:7" x14ac:dyDescent="0.25">
      <c r="A631" t="s">
        <v>29</v>
      </c>
      <c r="B631">
        <v>2023</v>
      </c>
      <c r="C631" t="s">
        <v>12</v>
      </c>
      <c r="D631">
        <v>384.5</v>
      </c>
      <c r="E631">
        <v>2528.6073390000001</v>
      </c>
      <c r="F631">
        <v>79553.825859000004</v>
      </c>
      <c r="G631" s="39">
        <v>45078</v>
      </c>
    </row>
    <row r="632" spans="1:7" x14ac:dyDescent="0.25">
      <c r="A632" t="s">
        <v>29</v>
      </c>
      <c r="B632">
        <v>2023</v>
      </c>
      <c r="C632" t="s">
        <v>13</v>
      </c>
      <c r="D632">
        <v>0</v>
      </c>
      <c r="E632">
        <v>571.19468400000005</v>
      </c>
      <c r="F632">
        <v>78982.631175000002</v>
      </c>
      <c r="G632" s="39">
        <v>45108</v>
      </c>
    </row>
    <row r="633" spans="1:7" x14ac:dyDescent="0.25">
      <c r="A633" t="s">
        <v>29</v>
      </c>
      <c r="B633">
        <v>2023</v>
      </c>
      <c r="C633" t="s">
        <v>14</v>
      </c>
      <c r="D633">
        <v>0</v>
      </c>
      <c r="E633">
        <v>519.57902100000001</v>
      </c>
      <c r="F633">
        <v>78463.052154000005</v>
      </c>
      <c r="G633" s="39">
        <v>45139</v>
      </c>
    </row>
    <row r="634" spans="1:7" x14ac:dyDescent="0.25">
      <c r="A634" t="s">
        <v>29</v>
      </c>
      <c r="B634">
        <v>2023</v>
      </c>
      <c r="C634" t="s">
        <v>15</v>
      </c>
      <c r="D634">
        <v>0</v>
      </c>
      <c r="E634">
        <v>366.20159999999998</v>
      </c>
      <c r="F634">
        <v>78096.850554000004</v>
      </c>
      <c r="G634" s="39">
        <v>45170</v>
      </c>
    </row>
    <row r="635" spans="1:7" x14ac:dyDescent="0.25">
      <c r="A635" t="s">
        <v>29</v>
      </c>
      <c r="B635">
        <v>2023</v>
      </c>
      <c r="C635" t="s">
        <v>16</v>
      </c>
      <c r="D635">
        <v>0</v>
      </c>
      <c r="E635">
        <v>29.110185000000001</v>
      </c>
      <c r="F635">
        <v>78067.740369000006</v>
      </c>
      <c r="G635" s="39">
        <v>45200</v>
      </c>
    </row>
    <row r="636" spans="1:7" x14ac:dyDescent="0.25">
      <c r="A636" t="s">
        <v>29</v>
      </c>
      <c r="B636">
        <v>2023</v>
      </c>
      <c r="C636" t="s">
        <v>17</v>
      </c>
      <c r="D636">
        <v>0</v>
      </c>
      <c r="E636">
        <v>259.75977799999998</v>
      </c>
      <c r="F636">
        <v>77807.980591</v>
      </c>
      <c r="G636" s="39">
        <v>45231</v>
      </c>
    </row>
    <row r="637" spans="1:7" x14ac:dyDescent="0.25">
      <c r="A637" t="s">
        <v>29</v>
      </c>
      <c r="B637">
        <v>2023</v>
      </c>
      <c r="C637" t="s">
        <v>18</v>
      </c>
      <c r="D637">
        <v>0</v>
      </c>
      <c r="E637">
        <v>34.061293999999997</v>
      </c>
      <c r="F637">
        <v>77773.919297</v>
      </c>
      <c r="G637" s="39">
        <v>45261</v>
      </c>
    </row>
    <row r="638" spans="1:7" x14ac:dyDescent="0.25">
      <c r="A638" t="s">
        <v>29</v>
      </c>
      <c r="B638">
        <v>2024</v>
      </c>
      <c r="C638" t="s">
        <v>7</v>
      </c>
      <c r="F638">
        <v>77773.919297</v>
      </c>
      <c r="G638" s="39">
        <v>45292</v>
      </c>
    </row>
    <row r="639" spans="1:7" x14ac:dyDescent="0.25">
      <c r="A639" t="s">
        <v>29</v>
      </c>
      <c r="B639">
        <v>2024</v>
      </c>
      <c r="C639" t="s">
        <v>8</v>
      </c>
      <c r="F639">
        <v>77773.919297</v>
      </c>
      <c r="G639" s="39">
        <v>45323</v>
      </c>
    </row>
    <row r="640" spans="1:7" x14ac:dyDescent="0.25">
      <c r="A640" t="s">
        <v>29</v>
      </c>
      <c r="B640">
        <v>2024</v>
      </c>
      <c r="C640" t="s">
        <v>9</v>
      </c>
      <c r="F640">
        <v>77773.919297</v>
      </c>
      <c r="G640" s="39">
        <v>45352</v>
      </c>
    </row>
    <row r="641" spans="1:7" x14ac:dyDescent="0.25">
      <c r="A641" t="s">
        <v>29</v>
      </c>
      <c r="B641">
        <v>2024</v>
      </c>
      <c r="C641" t="s">
        <v>10</v>
      </c>
      <c r="F641">
        <v>77773.919297</v>
      </c>
      <c r="G641" s="39">
        <v>45383</v>
      </c>
    </row>
    <row r="642" spans="1:7" x14ac:dyDescent="0.25">
      <c r="A642" t="s">
        <v>29</v>
      </c>
      <c r="B642">
        <v>2024</v>
      </c>
      <c r="C642" t="s">
        <v>11</v>
      </c>
      <c r="F642">
        <v>77773.919297</v>
      </c>
      <c r="G642" s="39">
        <v>45413</v>
      </c>
    </row>
    <row r="643" spans="1:7" x14ac:dyDescent="0.25">
      <c r="A643" t="s">
        <v>29</v>
      </c>
      <c r="B643">
        <v>2024</v>
      </c>
      <c r="C643" t="s">
        <v>12</v>
      </c>
      <c r="F643">
        <v>77773.919297</v>
      </c>
      <c r="G643" s="39">
        <v>45444</v>
      </c>
    </row>
    <row r="644" spans="1:7" x14ac:dyDescent="0.25">
      <c r="A644" t="s">
        <v>29</v>
      </c>
      <c r="B644">
        <v>2024</v>
      </c>
      <c r="C644" t="s">
        <v>13</v>
      </c>
      <c r="F644">
        <v>77773.919297</v>
      </c>
      <c r="G644" s="39">
        <v>45474</v>
      </c>
    </row>
    <row r="645" spans="1:7" x14ac:dyDescent="0.25">
      <c r="A645" t="s">
        <v>29</v>
      </c>
      <c r="B645">
        <v>2024</v>
      </c>
      <c r="C645" t="s">
        <v>14</v>
      </c>
      <c r="F645">
        <v>77773.919297</v>
      </c>
      <c r="G645" s="39">
        <v>45505</v>
      </c>
    </row>
    <row r="646" spans="1:7" x14ac:dyDescent="0.25">
      <c r="A646" t="s">
        <v>29</v>
      </c>
      <c r="B646">
        <v>2024</v>
      </c>
      <c r="C646" t="s">
        <v>15</v>
      </c>
      <c r="F646">
        <v>77773.919297</v>
      </c>
      <c r="G646" s="39">
        <v>45536</v>
      </c>
    </row>
    <row r="647" spans="1:7" x14ac:dyDescent="0.25">
      <c r="A647" t="s">
        <v>29</v>
      </c>
      <c r="B647">
        <v>2024</v>
      </c>
      <c r="C647" t="s">
        <v>16</v>
      </c>
      <c r="F647">
        <v>77773.919297</v>
      </c>
      <c r="G647" s="39">
        <v>45566</v>
      </c>
    </row>
    <row r="648" spans="1:7" x14ac:dyDescent="0.25">
      <c r="A648" t="s">
        <v>29</v>
      </c>
      <c r="B648">
        <v>2024</v>
      </c>
      <c r="C648" t="s">
        <v>17</v>
      </c>
      <c r="F648">
        <v>77773.919297</v>
      </c>
      <c r="G648" s="39">
        <v>45597</v>
      </c>
    </row>
    <row r="649" spans="1:7" x14ac:dyDescent="0.25">
      <c r="A649" t="s">
        <v>29</v>
      </c>
      <c r="B649">
        <v>2024</v>
      </c>
      <c r="C649" t="s">
        <v>18</v>
      </c>
      <c r="F649">
        <v>77773.919297</v>
      </c>
      <c r="G649" s="39">
        <v>45627</v>
      </c>
    </row>
    <row r="650" spans="1:7" x14ac:dyDescent="0.25">
      <c r="A650" t="s">
        <v>30</v>
      </c>
      <c r="B650">
        <v>2019</v>
      </c>
      <c r="C650" t="s">
        <v>7</v>
      </c>
      <c r="F650">
        <v>0</v>
      </c>
      <c r="G650" s="39">
        <v>43466</v>
      </c>
    </row>
    <row r="651" spans="1:7" x14ac:dyDescent="0.25">
      <c r="A651" t="s">
        <v>30</v>
      </c>
      <c r="B651">
        <v>2019</v>
      </c>
      <c r="C651" t="s">
        <v>8</v>
      </c>
      <c r="F651">
        <v>0</v>
      </c>
      <c r="G651" s="39">
        <v>43497</v>
      </c>
    </row>
    <row r="652" spans="1:7" x14ac:dyDescent="0.25">
      <c r="A652" t="s">
        <v>30</v>
      </c>
      <c r="B652">
        <v>2019</v>
      </c>
      <c r="C652" t="s">
        <v>9</v>
      </c>
      <c r="F652">
        <v>0</v>
      </c>
      <c r="G652" s="39">
        <v>43525</v>
      </c>
    </row>
    <row r="653" spans="1:7" x14ac:dyDescent="0.25">
      <c r="A653" t="s">
        <v>30</v>
      </c>
      <c r="B653">
        <v>2019</v>
      </c>
      <c r="C653" t="s">
        <v>10</v>
      </c>
      <c r="F653">
        <v>0</v>
      </c>
      <c r="G653" s="39">
        <v>43556</v>
      </c>
    </row>
    <row r="654" spans="1:7" x14ac:dyDescent="0.25">
      <c r="A654" t="s">
        <v>30</v>
      </c>
      <c r="B654">
        <v>2019</v>
      </c>
      <c r="C654" t="s">
        <v>11</v>
      </c>
      <c r="F654">
        <v>0</v>
      </c>
      <c r="G654" s="39">
        <v>43586</v>
      </c>
    </row>
    <row r="655" spans="1:7" x14ac:dyDescent="0.25">
      <c r="A655" t="s">
        <v>30</v>
      </c>
      <c r="B655">
        <v>2019</v>
      </c>
      <c r="C655" t="s">
        <v>12</v>
      </c>
      <c r="F655">
        <v>0</v>
      </c>
      <c r="G655" s="39">
        <v>43617</v>
      </c>
    </row>
    <row r="656" spans="1:7" x14ac:dyDescent="0.25">
      <c r="A656" t="s">
        <v>30</v>
      </c>
      <c r="B656">
        <v>2019</v>
      </c>
      <c r="C656" t="s">
        <v>13</v>
      </c>
      <c r="F656">
        <v>0</v>
      </c>
      <c r="G656" s="39">
        <v>43647</v>
      </c>
    </row>
    <row r="657" spans="1:7" x14ac:dyDescent="0.25">
      <c r="A657" t="s">
        <v>30</v>
      </c>
      <c r="B657">
        <v>2019</v>
      </c>
      <c r="C657" t="s">
        <v>14</v>
      </c>
      <c r="F657">
        <v>0</v>
      </c>
      <c r="G657" s="39">
        <v>43678</v>
      </c>
    </row>
    <row r="658" spans="1:7" x14ac:dyDescent="0.25">
      <c r="A658" t="s">
        <v>30</v>
      </c>
      <c r="B658">
        <v>2019</v>
      </c>
      <c r="C658" t="s">
        <v>15</v>
      </c>
      <c r="F658">
        <v>0</v>
      </c>
      <c r="G658" s="39">
        <v>43709</v>
      </c>
    </row>
    <row r="659" spans="1:7" x14ac:dyDescent="0.25">
      <c r="A659" t="s">
        <v>30</v>
      </c>
      <c r="B659">
        <v>2019</v>
      </c>
      <c r="C659" t="s">
        <v>16</v>
      </c>
      <c r="F659">
        <v>0</v>
      </c>
      <c r="G659" s="39">
        <v>43739</v>
      </c>
    </row>
    <row r="660" spans="1:7" x14ac:dyDescent="0.25">
      <c r="A660" t="s">
        <v>30</v>
      </c>
      <c r="B660">
        <v>2019</v>
      </c>
      <c r="C660" t="s">
        <v>17</v>
      </c>
      <c r="F660">
        <v>0</v>
      </c>
      <c r="G660" s="39">
        <v>43770</v>
      </c>
    </row>
    <row r="661" spans="1:7" x14ac:dyDescent="0.25">
      <c r="A661" t="s">
        <v>30</v>
      </c>
      <c r="B661">
        <v>2019</v>
      </c>
      <c r="C661" t="s">
        <v>18</v>
      </c>
      <c r="F661">
        <v>0</v>
      </c>
      <c r="G661" s="39">
        <v>43800</v>
      </c>
    </row>
    <row r="662" spans="1:7" x14ac:dyDescent="0.25">
      <c r="A662" t="s">
        <v>30</v>
      </c>
      <c r="B662">
        <v>2020</v>
      </c>
      <c r="C662" t="s">
        <v>7</v>
      </c>
      <c r="F662">
        <v>0</v>
      </c>
      <c r="G662" s="39">
        <v>43831</v>
      </c>
    </row>
    <row r="663" spans="1:7" x14ac:dyDescent="0.25">
      <c r="A663" t="s">
        <v>30</v>
      </c>
      <c r="B663">
        <v>2020</v>
      </c>
      <c r="C663" t="s">
        <v>8</v>
      </c>
      <c r="F663">
        <v>0</v>
      </c>
      <c r="G663" s="39">
        <v>43862</v>
      </c>
    </row>
    <row r="664" spans="1:7" x14ac:dyDescent="0.25">
      <c r="A664" t="s">
        <v>30</v>
      </c>
      <c r="B664">
        <v>2020</v>
      </c>
      <c r="C664" t="s">
        <v>9</v>
      </c>
      <c r="F664">
        <v>0</v>
      </c>
      <c r="G664" s="39">
        <v>43891</v>
      </c>
    </row>
    <row r="665" spans="1:7" x14ac:dyDescent="0.25">
      <c r="A665" t="s">
        <v>30</v>
      </c>
      <c r="B665">
        <v>2020</v>
      </c>
      <c r="C665" t="s">
        <v>10</v>
      </c>
      <c r="F665">
        <v>0</v>
      </c>
      <c r="G665" s="39">
        <v>43922</v>
      </c>
    </row>
    <row r="666" spans="1:7" x14ac:dyDescent="0.25">
      <c r="A666" t="s">
        <v>30</v>
      </c>
      <c r="B666">
        <v>2020</v>
      </c>
      <c r="C666" t="s">
        <v>11</v>
      </c>
      <c r="F666">
        <v>0</v>
      </c>
      <c r="G666" s="39">
        <v>43952</v>
      </c>
    </row>
    <row r="667" spans="1:7" x14ac:dyDescent="0.25">
      <c r="A667" t="s">
        <v>30</v>
      </c>
      <c r="B667">
        <v>2020</v>
      </c>
      <c r="C667" t="s">
        <v>12</v>
      </c>
      <c r="F667">
        <v>0</v>
      </c>
      <c r="G667" s="39">
        <v>43983</v>
      </c>
    </row>
    <row r="668" spans="1:7" x14ac:dyDescent="0.25">
      <c r="A668" t="s">
        <v>30</v>
      </c>
      <c r="B668">
        <v>2020</v>
      </c>
      <c r="C668" t="s">
        <v>13</v>
      </c>
      <c r="F668">
        <v>0</v>
      </c>
      <c r="G668" s="39">
        <v>44013</v>
      </c>
    </row>
    <row r="669" spans="1:7" x14ac:dyDescent="0.25">
      <c r="A669" t="s">
        <v>30</v>
      </c>
      <c r="B669">
        <v>2020</v>
      </c>
      <c r="C669" t="s">
        <v>14</v>
      </c>
      <c r="F669">
        <v>0</v>
      </c>
      <c r="G669" s="39">
        <v>44044</v>
      </c>
    </row>
    <row r="670" spans="1:7" x14ac:dyDescent="0.25">
      <c r="A670" t="s">
        <v>30</v>
      </c>
      <c r="B670">
        <v>2020</v>
      </c>
      <c r="C670" t="s">
        <v>15</v>
      </c>
      <c r="F670">
        <v>0</v>
      </c>
      <c r="G670" s="39">
        <v>44075</v>
      </c>
    </row>
    <row r="671" spans="1:7" x14ac:dyDescent="0.25">
      <c r="A671" t="s">
        <v>30</v>
      </c>
      <c r="B671">
        <v>2020</v>
      </c>
      <c r="C671" t="s">
        <v>16</v>
      </c>
      <c r="F671">
        <v>0</v>
      </c>
      <c r="G671" s="39">
        <v>44105</v>
      </c>
    </row>
    <row r="672" spans="1:7" x14ac:dyDescent="0.25">
      <c r="A672" t="s">
        <v>30</v>
      </c>
      <c r="B672">
        <v>2020</v>
      </c>
      <c r="C672" t="s">
        <v>17</v>
      </c>
      <c r="F672">
        <v>0</v>
      </c>
      <c r="G672" s="39">
        <v>44136</v>
      </c>
    </row>
    <row r="673" spans="1:7" x14ac:dyDescent="0.25">
      <c r="A673" t="s">
        <v>30</v>
      </c>
      <c r="B673">
        <v>2020</v>
      </c>
      <c r="C673" t="s">
        <v>18</v>
      </c>
      <c r="F673">
        <v>0</v>
      </c>
      <c r="G673" s="39">
        <v>44166</v>
      </c>
    </row>
    <row r="674" spans="1:7" x14ac:dyDescent="0.25">
      <c r="A674" t="s">
        <v>30</v>
      </c>
      <c r="B674">
        <v>2021</v>
      </c>
      <c r="C674" t="s">
        <v>7</v>
      </c>
      <c r="F674">
        <v>0</v>
      </c>
      <c r="G674" s="39">
        <v>44197</v>
      </c>
    </row>
    <row r="675" spans="1:7" x14ac:dyDescent="0.25">
      <c r="A675" t="s">
        <v>30</v>
      </c>
      <c r="B675">
        <v>2021</v>
      </c>
      <c r="C675" t="s">
        <v>8</v>
      </c>
      <c r="D675">
        <v>10802.64</v>
      </c>
      <c r="E675">
        <v>21.644334000000001</v>
      </c>
      <c r="F675">
        <v>10780.995665999999</v>
      </c>
      <c r="G675" s="39">
        <v>44228</v>
      </c>
    </row>
    <row r="676" spans="1:7" x14ac:dyDescent="0.25">
      <c r="A676" t="s">
        <v>30</v>
      </c>
      <c r="B676">
        <v>2021</v>
      </c>
      <c r="C676" t="s">
        <v>9</v>
      </c>
      <c r="D676">
        <v>9399.9699999999993</v>
      </c>
      <c r="E676">
        <v>2450.1320879999998</v>
      </c>
      <c r="F676">
        <v>17730.833577999998</v>
      </c>
      <c r="G676" s="39">
        <v>44256</v>
      </c>
    </row>
    <row r="677" spans="1:7" x14ac:dyDescent="0.25">
      <c r="A677" t="s">
        <v>30</v>
      </c>
      <c r="B677">
        <v>2021</v>
      </c>
      <c r="C677" t="s">
        <v>10</v>
      </c>
      <c r="D677">
        <v>0</v>
      </c>
      <c r="E677">
        <v>3634.760816</v>
      </c>
      <c r="F677">
        <v>14096.072761999998</v>
      </c>
      <c r="G677" s="39">
        <v>44287</v>
      </c>
    </row>
    <row r="678" spans="1:7" x14ac:dyDescent="0.25">
      <c r="A678" t="s">
        <v>30</v>
      </c>
      <c r="B678">
        <v>2021</v>
      </c>
      <c r="C678" t="s">
        <v>11</v>
      </c>
      <c r="D678">
        <v>23535.02</v>
      </c>
      <c r="E678">
        <v>2515.6526410000001</v>
      </c>
      <c r="F678">
        <v>35115.440121</v>
      </c>
      <c r="G678" s="39">
        <v>44317</v>
      </c>
    </row>
    <row r="679" spans="1:7" x14ac:dyDescent="0.25">
      <c r="A679" t="s">
        <v>30</v>
      </c>
      <c r="B679">
        <v>2021</v>
      </c>
      <c r="C679" t="s">
        <v>12</v>
      </c>
      <c r="D679">
        <v>0</v>
      </c>
      <c r="E679">
        <v>2995.7797220000002</v>
      </c>
      <c r="F679">
        <v>32119.660399</v>
      </c>
      <c r="G679" s="39">
        <v>44348</v>
      </c>
    </row>
    <row r="680" spans="1:7" x14ac:dyDescent="0.25">
      <c r="A680" t="s">
        <v>30</v>
      </c>
      <c r="B680">
        <v>2021</v>
      </c>
      <c r="C680" t="s">
        <v>13</v>
      </c>
      <c r="D680">
        <v>0</v>
      </c>
      <c r="E680">
        <v>2808.0713820000001</v>
      </c>
      <c r="F680">
        <v>29311.589016999998</v>
      </c>
      <c r="G680" s="39">
        <v>44378</v>
      </c>
    </row>
    <row r="681" spans="1:7" x14ac:dyDescent="0.25">
      <c r="A681" t="s">
        <v>30</v>
      </c>
      <c r="B681">
        <v>2021</v>
      </c>
      <c r="C681" t="s">
        <v>14</v>
      </c>
      <c r="D681">
        <v>20970.03</v>
      </c>
      <c r="E681">
        <v>10570.748417999999</v>
      </c>
      <c r="F681">
        <v>39710.870599000002</v>
      </c>
      <c r="G681" s="39">
        <v>44409</v>
      </c>
    </row>
    <row r="682" spans="1:7" x14ac:dyDescent="0.25">
      <c r="A682" t="s">
        <v>30</v>
      </c>
      <c r="B682">
        <v>2021</v>
      </c>
      <c r="C682" t="s">
        <v>15</v>
      </c>
      <c r="D682">
        <v>9267.57</v>
      </c>
      <c r="E682">
        <v>2931.5993130000002</v>
      </c>
      <c r="F682">
        <v>46046.841286000003</v>
      </c>
      <c r="G682" s="39">
        <v>44440</v>
      </c>
    </row>
    <row r="683" spans="1:7" x14ac:dyDescent="0.25">
      <c r="A683" t="s">
        <v>30</v>
      </c>
      <c r="B683">
        <v>2021</v>
      </c>
      <c r="C683" t="s">
        <v>16</v>
      </c>
      <c r="D683">
        <v>64707.66</v>
      </c>
      <c r="E683">
        <v>23320.181322</v>
      </c>
      <c r="F683">
        <v>87434.319964000009</v>
      </c>
      <c r="G683" s="39">
        <v>44470</v>
      </c>
    </row>
    <row r="684" spans="1:7" x14ac:dyDescent="0.25">
      <c r="A684" t="s">
        <v>30</v>
      </c>
      <c r="B684">
        <v>2021</v>
      </c>
      <c r="C684" t="s">
        <v>17</v>
      </c>
      <c r="D684">
        <v>0</v>
      </c>
      <c r="E684">
        <v>1907.15588</v>
      </c>
      <c r="F684">
        <v>85527.164084000004</v>
      </c>
      <c r="G684" s="39">
        <v>44501</v>
      </c>
    </row>
    <row r="685" spans="1:7" x14ac:dyDescent="0.25">
      <c r="A685" t="s">
        <v>30</v>
      </c>
      <c r="B685">
        <v>2021</v>
      </c>
      <c r="C685" t="s">
        <v>18</v>
      </c>
      <c r="D685">
        <v>0</v>
      </c>
      <c r="E685">
        <v>3546.333701</v>
      </c>
      <c r="F685">
        <v>81980.830383000008</v>
      </c>
      <c r="G685" s="39">
        <v>44531</v>
      </c>
    </row>
    <row r="686" spans="1:7" x14ac:dyDescent="0.25">
      <c r="A686" t="s">
        <v>30</v>
      </c>
      <c r="B686">
        <v>2022</v>
      </c>
      <c r="C686" t="s">
        <v>7</v>
      </c>
      <c r="D686">
        <v>0</v>
      </c>
      <c r="E686">
        <v>2262.6358070000001</v>
      </c>
      <c r="F686">
        <v>79718.194576000009</v>
      </c>
      <c r="G686" s="39">
        <v>44562</v>
      </c>
    </row>
    <row r="687" spans="1:7" x14ac:dyDescent="0.25">
      <c r="A687" t="s">
        <v>30</v>
      </c>
      <c r="B687">
        <v>2022</v>
      </c>
      <c r="C687" t="s">
        <v>8</v>
      </c>
      <c r="D687">
        <v>6118.15</v>
      </c>
      <c r="E687">
        <v>2996.1723809999999</v>
      </c>
      <c r="F687">
        <v>82840.172195000006</v>
      </c>
      <c r="G687" s="39">
        <v>44593</v>
      </c>
    </row>
    <row r="688" spans="1:7" x14ac:dyDescent="0.25">
      <c r="A688" t="s">
        <v>30</v>
      </c>
      <c r="B688">
        <v>2022</v>
      </c>
      <c r="C688" t="s">
        <v>9</v>
      </c>
      <c r="D688">
        <v>0</v>
      </c>
      <c r="E688">
        <v>4060.1870939999999</v>
      </c>
      <c r="F688">
        <v>78779.985101000013</v>
      </c>
      <c r="G688" s="39">
        <v>44621</v>
      </c>
    </row>
    <row r="689" spans="1:7" x14ac:dyDescent="0.25">
      <c r="A689" t="s">
        <v>30</v>
      </c>
      <c r="B689">
        <v>2022</v>
      </c>
      <c r="C689" t="s">
        <v>10</v>
      </c>
      <c r="D689">
        <v>0</v>
      </c>
      <c r="E689">
        <v>4621.7003629999999</v>
      </c>
      <c r="F689">
        <v>74158.284738000017</v>
      </c>
      <c r="G689" s="39">
        <v>44652</v>
      </c>
    </row>
    <row r="690" spans="1:7" x14ac:dyDescent="0.25">
      <c r="A690" t="s">
        <v>30</v>
      </c>
      <c r="B690">
        <v>2022</v>
      </c>
      <c r="C690" t="s">
        <v>11</v>
      </c>
      <c r="D690">
        <v>12969.81</v>
      </c>
      <c r="E690">
        <v>1985.6338940000001</v>
      </c>
      <c r="F690">
        <v>85142.460844000016</v>
      </c>
      <c r="G690" s="39">
        <v>44682</v>
      </c>
    </row>
    <row r="691" spans="1:7" x14ac:dyDescent="0.25">
      <c r="A691" t="s">
        <v>30</v>
      </c>
      <c r="B691">
        <v>2022</v>
      </c>
      <c r="C691" t="s">
        <v>12</v>
      </c>
      <c r="D691">
        <v>0</v>
      </c>
      <c r="E691">
        <v>4012.632251</v>
      </c>
      <c r="F691">
        <v>81129.828593000013</v>
      </c>
      <c r="G691" s="39">
        <v>44713</v>
      </c>
    </row>
    <row r="692" spans="1:7" x14ac:dyDescent="0.25">
      <c r="A692" t="s">
        <v>30</v>
      </c>
      <c r="B692">
        <v>2022</v>
      </c>
      <c r="C692" t="s">
        <v>13</v>
      </c>
      <c r="D692">
        <v>0</v>
      </c>
      <c r="E692">
        <v>3306.107966</v>
      </c>
      <c r="F692">
        <v>77823.720627000017</v>
      </c>
      <c r="G692" s="39">
        <v>44743</v>
      </c>
    </row>
    <row r="693" spans="1:7" x14ac:dyDescent="0.25">
      <c r="A693" t="s">
        <v>30</v>
      </c>
      <c r="B693">
        <v>2022</v>
      </c>
      <c r="C693" t="s">
        <v>14</v>
      </c>
      <c r="D693">
        <v>11091.66</v>
      </c>
      <c r="E693">
        <v>3284.8275180000001</v>
      </c>
      <c r="F693">
        <v>85630.553109000015</v>
      </c>
      <c r="G693" s="39">
        <v>44774</v>
      </c>
    </row>
    <row r="694" spans="1:7" x14ac:dyDescent="0.25">
      <c r="A694" t="s">
        <v>30</v>
      </c>
      <c r="B694">
        <v>2022</v>
      </c>
      <c r="C694" t="s">
        <v>15</v>
      </c>
      <c r="D694">
        <v>0</v>
      </c>
      <c r="E694">
        <v>4230.8836460000002</v>
      </c>
      <c r="F694">
        <v>81399.669463000013</v>
      </c>
      <c r="G694" s="39">
        <v>44805</v>
      </c>
    </row>
    <row r="695" spans="1:7" x14ac:dyDescent="0.25">
      <c r="A695" t="s">
        <v>30</v>
      </c>
      <c r="B695">
        <v>2022</v>
      </c>
      <c r="C695" t="s">
        <v>16</v>
      </c>
      <c r="D695">
        <v>0</v>
      </c>
      <c r="E695">
        <v>3604.0973309999999</v>
      </c>
      <c r="F695">
        <v>77795.572132000016</v>
      </c>
      <c r="G695" s="39">
        <v>44835</v>
      </c>
    </row>
    <row r="696" spans="1:7" x14ac:dyDescent="0.25">
      <c r="A696" t="s">
        <v>30</v>
      </c>
      <c r="B696">
        <v>2022</v>
      </c>
      <c r="C696" t="s">
        <v>17</v>
      </c>
      <c r="D696">
        <v>0</v>
      </c>
      <c r="E696">
        <v>3805.5161739999999</v>
      </c>
      <c r="F696">
        <v>73990.055958000012</v>
      </c>
      <c r="G696" s="39">
        <v>44866</v>
      </c>
    </row>
    <row r="697" spans="1:7" x14ac:dyDescent="0.25">
      <c r="A697" t="s">
        <v>30</v>
      </c>
      <c r="B697">
        <v>2022</v>
      </c>
      <c r="C697" t="s">
        <v>18</v>
      </c>
      <c r="D697">
        <v>0</v>
      </c>
      <c r="E697">
        <v>2409.1810620000001</v>
      </c>
      <c r="F697">
        <v>71580.874896000008</v>
      </c>
      <c r="G697" s="39">
        <v>44896</v>
      </c>
    </row>
    <row r="698" spans="1:7" x14ac:dyDescent="0.25">
      <c r="A698" t="s">
        <v>30</v>
      </c>
      <c r="B698">
        <v>2023</v>
      </c>
      <c r="C698" t="s">
        <v>7</v>
      </c>
      <c r="D698">
        <v>11591.14</v>
      </c>
      <c r="E698">
        <v>1356.7271840000001</v>
      </c>
      <c r="F698">
        <v>81815.287712000005</v>
      </c>
      <c r="G698" s="39">
        <v>44927</v>
      </c>
    </row>
    <row r="699" spans="1:7" x14ac:dyDescent="0.25">
      <c r="A699" t="s">
        <v>30</v>
      </c>
      <c r="B699">
        <v>2023</v>
      </c>
      <c r="C699" t="s">
        <v>8</v>
      </c>
      <c r="D699">
        <v>0</v>
      </c>
      <c r="E699">
        <v>3574.3874340000002</v>
      </c>
      <c r="F699">
        <v>78240.900278000001</v>
      </c>
      <c r="G699" s="39">
        <v>44958</v>
      </c>
    </row>
    <row r="700" spans="1:7" x14ac:dyDescent="0.25">
      <c r="A700" t="s">
        <v>30</v>
      </c>
      <c r="B700">
        <v>2023</v>
      </c>
      <c r="C700" t="s">
        <v>9</v>
      </c>
      <c r="D700">
        <v>0</v>
      </c>
      <c r="E700">
        <v>4463.9775380000001</v>
      </c>
      <c r="F700">
        <v>73776.922739999995</v>
      </c>
      <c r="G700" s="39">
        <v>44986</v>
      </c>
    </row>
    <row r="701" spans="1:7" x14ac:dyDescent="0.25">
      <c r="A701" t="s">
        <v>30</v>
      </c>
      <c r="B701">
        <v>2023</v>
      </c>
      <c r="C701" t="s">
        <v>10</v>
      </c>
      <c r="D701">
        <v>0</v>
      </c>
      <c r="E701">
        <v>1351.8657619999999</v>
      </c>
      <c r="F701">
        <v>72425.056977999993</v>
      </c>
      <c r="G701" s="39">
        <v>45017</v>
      </c>
    </row>
    <row r="702" spans="1:7" x14ac:dyDescent="0.25">
      <c r="A702" t="s">
        <v>30</v>
      </c>
      <c r="B702">
        <v>2023</v>
      </c>
      <c r="C702" t="s">
        <v>11</v>
      </c>
      <c r="D702">
        <v>0</v>
      </c>
      <c r="E702">
        <v>3604.3471629999999</v>
      </c>
      <c r="F702">
        <v>68820.709814999995</v>
      </c>
      <c r="G702" s="39">
        <v>45047</v>
      </c>
    </row>
    <row r="703" spans="1:7" x14ac:dyDescent="0.25">
      <c r="A703" t="s">
        <v>30</v>
      </c>
      <c r="B703">
        <v>2023</v>
      </c>
      <c r="C703" t="s">
        <v>12</v>
      </c>
      <c r="D703">
        <v>12953.19</v>
      </c>
      <c r="E703">
        <v>2901.5733770000002</v>
      </c>
      <c r="F703">
        <v>78872.326438000004</v>
      </c>
      <c r="G703" s="39">
        <v>45078</v>
      </c>
    </row>
    <row r="704" spans="1:7" x14ac:dyDescent="0.25">
      <c r="A704" t="s">
        <v>30</v>
      </c>
      <c r="B704">
        <v>2023</v>
      </c>
      <c r="C704" t="s">
        <v>13</v>
      </c>
      <c r="D704">
        <v>0</v>
      </c>
      <c r="E704">
        <v>5156.7715150000004</v>
      </c>
      <c r="F704">
        <v>73715.554923000003</v>
      </c>
      <c r="G704" s="39">
        <v>45108</v>
      </c>
    </row>
    <row r="705" spans="1:7" x14ac:dyDescent="0.25">
      <c r="A705" t="s">
        <v>30</v>
      </c>
      <c r="B705">
        <v>2023</v>
      </c>
      <c r="C705" t="s">
        <v>14</v>
      </c>
      <c r="D705">
        <v>0</v>
      </c>
      <c r="E705">
        <v>2685.767805</v>
      </c>
      <c r="F705">
        <v>71029.787118000007</v>
      </c>
      <c r="G705" s="39">
        <v>45139</v>
      </c>
    </row>
    <row r="706" spans="1:7" x14ac:dyDescent="0.25">
      <c r="A706" t="s">
        <v>30</v>
      </c>
      <c r="B706">
        <v>2023</v>
      </c>
      <c r="C706" t="s">
        <v>15</v>
      </c>
      <c r="D706">
        <v>16140.36</v>
      </c>
      <c r="E706">
        <v>2691.1113919999998</v>
      </c>
      <c r="F706">
        <v>84479.035726000002</v>
      </c>
      <c r="G706" s="39">
        <v>45170</v>
      </c>
    </row>
    <row r="707" spans="1:7" x14ac:dyDescent="0.25">
      <c r="A707" t="s">
        <v>30</v>
      </c>
      <c r="B707">
        <v>2023</v>
      </c>
      <c r="C707" t="s">
        <v>16</v>
      </c>
      <c r="D707">
        <v>0</v>
      </c>
      <c r="E707">
        <v>5511.1219069999997</v>
      </c>
      <c r="F707">
        <v>78967.913819000009</v>
      </c>
      <c r="G707" s="39">
        <v>45200</v>
      </c>
    </row>
    <row r="708" spans="1:7" x14ac:dyDescent="0.25">
      <c r="A708" t="s">
        <v>30</v>
      </c>
      <c r="B708">
        <v>2023</v>
      </c>
      <c r="C708" t="s">
        <v>17</v>
      </c>
      <c r="D708">
        <v>0</v>
      </c>
      <c r="E708">
        <v>4255.9341869999998</v>
      </c>
      <c r="F708">
        <v>74711.979632000002</v>
      </c>
      <c r="G708" s="39">
        <v>45231</v>
      </c>
    </row>
    <row r="709" spans="1:7" x14ac:dyDescent="0.25">
      <c r="A709" t="s">
        <v>30</v>
      </c>
      <c r="B709">
        <v>2023</v>
      </c>
      <c r="C709" t="s">
        <v>18</v>
      </c>
      <c r="D709">
        <v>0</v>
      </c>
      <c r="E709">
        <v>3842.5706970000001</v>
      </c>
      <c r="F709">
        <v>70869.408934999999</v>
      </c>
      <c r="G709" s="39">
        <v>45261</v>
      </c>
    </row>
    <row r="710" spans="1:7" x14ac:dyDescent="0.25">
      <c r="A710" t="s">
        <v>30</v>
      </c>
      <c r="B710">
        <v>2024</v>
      </c>
      <c r="C710" t="s">
        <v>7</v>
      </c>
      <c r="F710">
        <v>70869.408934999999</v>
      </c>
      <c r="G710" s="39">
        <v>45292</v>
      </c>
    </row>
    <row r="711" spans="1:7" x14ac:dyDescent="0.25">
      <c r="A711" t="s">
        <v>30</v>
      </c>
      <c r="B711">
        <v>2024</v>
      </c>
      <c r="C711" t="s">
        <v>8</v>
      </c>
      <c r="F711">
        <v>70869.408934999999</v>
      </c>
      <c r="G711" s="39">
        <v>45323</v>
      </c>
    </row>
    <row r="712" spans="1:7" x14ac:dyDescent="0.25">
      <c r="A712" t="s">
        <v>30</v>
      </c>
      <c r="B712">
        <v>2024</v>
      </c>
      <c r="C712" t="s">
        <v>9</v>
      </c>
      <c r="F712">
        <v>70869.408934999999</v>
      </c>
      <c r="G712" s="39">
        <v>45352</v>
      </c>
    </row>
    <row r="713" spans="1:7" x14ac:dyDescent="0.25">
      <c r="A713" t="s">
        <v>30</v>
      </c>
      <c r="B713">
        <v>2024</v>
      </c>
      <c r="C713" t="s">
        <v>10</v>
      </c>
      <c r="F713">
        <v>70869.408934999999</v>
      </c>
      <c r="G713" s="39">
        <v>45383</v>
      </c>
    </row>
    <row r="714" spans="1:7" x14ac:dyDescent="0.25">
      <c r="A714" t="s">
        <v>30</v>
      </c>
      <c r="B714">
        <v>2024</v>
      </c>
      <c r="C714" t="s">
        <v>11</v>
      </c>
      <c r="F714">
        <v>70869.408934999999</v>
      </c>
      <c r="G714" s="39">
        <v>45413</v>
      </c>
    </row>
    <row r="715" spans="1:7" x14ac:dyDescent="0.25">
      <c r="A715" t="s">
        <v>30</v>
      </c>
      <c r="B715">
        <v>2024</v>
      </c>
      <c r="C715" t="s">
        <v>12</v>
      </c>
      <c r="F715">
        <v>70869.408934999999</v>
      </c>
      <c r="G715" s="39">
        <v>45444</v>
      </c>
    </row>
    <row r="716" spans="1:7" x14ac:dyDescent="0.25">
      <c r="A716" t="s">
        <v>30</v>
      </c>
      <c r="B716">
        <v>2024</v>
      </c>
      <c r="C716" t="s">
        <v>13</v>
      </c>
      <c r="F716">
        <v>70869.408934999999</v>
      </c>
      <c r="G716" s="39">
        <v>45474</v>
      </c>
    </row>
    <row r="717" spans="1:7" x14ac:dyDescent="0.25">
      <c r="A717" t="s">
        <v>30</v>
      </c>
      <c r="B717">
        <v>2024</v>
      </c>
      <c r="C717" t="s">
        <v>14</v>
      </c>
      <c r="F717">
        <v>70869.408934999999</v>
      </c>
      <c r="G717" s="39">
        <v>45505</v>
      </c>
    </row>
    <row r="718" spans="1:7" x14ac:dyDescent="0.25">
      <c r="A718" t="s">
        <v>30</v>
      </c>
      <c r="B718">
        <v>2024</v>
      </c>
      <c r="C718" t="s">
        <v>15</v>
      </c>
      <c r="F718">
        <v>70869.408934999999</v>
      </c>
      <c r="G718" s="39">
        <v>45536</v>
      </c>
    </row>
    <row r="719" spans="1:7" x14ac:dyDescent="0.25">
      <c r="A719" t="s">
        <v>30</v>
      </c>
      <c r="B719">
        <v>2024</v>
      </c>
      <c r="C719" t="s">
        <v>16</v>
      </c>
      <c r="F719">
        <v>70869.408934999999</v>
      </c>
      <c r="G719" s="39">
        <v>45566</v>
      </c>
    </row>
    <row r="720" spans="1:7" x14ac:dyDescent="0.25">
      <c r="A720" t="s">
        <v>30</v>
      </c>
      <c r="B720">
        <v>2024</v>
      </c>
      <c r="C720" t="s">
        <v>17</v>
      </c>
      <c r="F720">
        <v>70869.408934999999</v>
      </c>
      <c r="G720" s="39">
        <v>45597</v>
      </c>
    </row>
    <row r="721" spans="1:7" x14ac:dyDescent="0.25">
      <c r="A721" t="s">
        <v>30</v>
      </c>
      <c r="B721">
        <v>2024</v>
      </c>
      <c r="C721" t="s">
        <v>18</v>
      </c>
      <c r="F721">
        <v>70869.408934999999</v>
      </c>
      <c r="G721" s="39">
        <v>45627</v>
      </c>
    </row>
    <row r="722" spans="1:7" x14ac:dyDescent="0.25">
      <c r="A722" t="s">
        <v>31</v>
      </c>
      <c r="B722">
        <v>2019</v>
      </c>
      <c r="C722" t="s">
        <v>7</v>
      </c>
      <c r="F722">
        <v>0</v>
      </c>
      <c r="G722" s="39">
        <v>43466</v>
      </c>
    </row>
    <row r="723" spans="1:7" x14ac:dyDescent="0.25">
      <c r="A723" t="s">
        <v>31</v>
      </c>
      <c r="B723">
        <v>2019</v>
      </c>
      <c r="C723" t="s">
        <v>8</v>
      </c>
      <c r="F723">
        <v>0</v>
      </c>
      <c r="G723" s="39">
        <v>43497</v>
      </c>
    </row>
    <row r="724" spans="1:7" x14ac:dyDescent="0.25">
      <c r="A724" t="s">
        <v>31</v>
      </c>
      <c r="B724">
        <v>2019</v>
      </c>
      <c r="C724" t="s">
        <v>9</v>
      </c>
      <c r="F724">
        <v>0</v>
      </c>
      <c r="G724" s="39">
        <v>43525</v>
      </c>
    </row>
    <row r="725" spans="1:7" x14ac:dyDescent="0.25">
      <c r="A725" t="s">
        <v>31</v>
      </c>
      <c r="B725">
        <v>2019</v>
      </c>
      <c r="C725" t="s">
        <v>10</v>
      </c>
      <c r="F725">
        <v>0</v>
      </c>
      <c r="G725" s="39">
        <v>43556</v>
      </c>
    </row>
    <row r="726" spans="1:7" x14ac:dyDescent="0.25">
      <c r="A726" t="s">
        <v>31</v>
      </c>
      <c r="B726">
        <v>2019</v>
      </c>
      <c r="C726" t="s">
        <v>11</v>
      </c>
      <c r="F726">
        <v>0</v>
      </c>
      <c r="G726" s="39">
        <v>43586</v>
      </c>
    </row>
    <row r="727" spans="1:7" x14ac:dyDescent="0.25">
      <c r="A727" t="s">
        <v>31</v>
      </c>
      <c r="B727">
        <v>2019</v>
      </c>
      <c r="C727" t="s">
        <v>12</v>
      </c>
      <c r="F727">
        <v>0</v>
      </c>
      <c r="G727" s="39">
        <v>43617</v>
      </c>
    </row>
    <row r="728" spans="1:7" x14ac:dyDescent="0.25">
      <c r="A728" t="s">
        <v>31</v>
      </c>
      <c r="B728">
        <v>2019</v>
      </c>
      <c r="C728" t="s">
        <v>13</v>
      </c>
      <c r="F728">
        <v>0</v>
      </c>
      <c r="G728" s="39">
        <v>43647</v>
      </c>
    </row>
    <row r="729" spans="1:7" x14ac:dyDescent="0.25">
      <c r="A729" t="s">
        <v>31</v>
      </c>
      <c r="B729">
        <v>2019</v>
      </c>
      <c r="C729" t="s">
        <v>14</v>
      </c>
      <c r="F729">
        <v>0</v>
      </c>
      <c r="G729" s="39">
        <v>43678</v>
      </c>
    </row>
    <row r="730" spans="1:7" x14ac:dyDescent="0.25">
      <c r="A730" t="s">
        <v>31</v>
      </c>
      <c r="B730">
        <v>2019</v>
      </c>
      <c r="C730" t="s">
        <v>15</v>
      </c>
      <c r="F730">
        <v>0</v>
      </c>
      <c r="G730" s="39">
        <v>43709</v>
      </c>
    </row>
    <row r="731" spans="1:7" x14ac:dyDescent="0.25">
      <c r="A731" t="s">
        <v>31</v>
      </c>
      <c r="B731">
        <v>2019</v>
      </c>
      <c r="C731" t="s">
        <v>16</v>
      </c>
      <c r="F731">
        <v>0</v>
      </c>
      <c r="G731" s="39">
        <v>43739</v>
      </c>
    </row>
    <row r="732" spans="1:7" x14ac:dyDescent="0.25">
      <c r="A732" t="s">
        <v>31</v>
      </c>
      <c r="B732">
        <v>2019</v>
      </c>
      <c r="C732" t="s">
        <v>17</v>
      </c>
      <c r="F732">
        <v>0</v>
      </c>
      <c r="G732" s="39">
        <v>43770</v>
      </c>
    </row>
    <row r="733" spans="1:7" x14ac:dyDescent="0.25">
      <c r="A733" t="s">
        <v>31</v>
      </c>
      <c r="B733">
        <v>2019</v>
      </c>
      <c r="C733" t="s">
        <v>18</v>
      </c>
      <c r="F733">
        <v>0</v>
      </c>
      <c r="G733" s="39">
        <v>43800</v>
      </c>
    </row>
    <row r="734" spans="1:7" x14ac:dyDescent="0.25">
      <c r="A734" t="s">
        <v>31</v>
      </c>
      <c r="B734">
        <v>2020</v>
      </c>
      <c r="C734" t="s">
        <v>7</v>
      </c>
      <c r="F734">
        <v>0</v>
      </c>
      <c r="G734" s="39">
        <v>43831</v>
      </c>
    </row>
    <row r="735" spans="1:7" x14ac:dyDescent="0.25">
      <c r="A735" t="s">
        <v>31</v>
      </c>
      <c r="B735">
        <v>2020</v>
      </c>
      <c r="C735" t="s">
        <v>8</v>
      </c>
      <c r="F735">
        <v>0</v>
      </c>
      <c r="G735" s="39">
        <v>43862</v>
      </c>
    </row>
    <row r="736" spans="1:7" x14ac:dyDescent="0.25">
      <c r="A736" t="s">
        <v>31</v>
      </c>
      <c r="B736">
        <v>2020</v>
      </c>
      <c r="C736" t="s">
        <v>9</v>
      </c>
      <c r="F736">
        <v>0</v>
      </c>
      <c r="G736" s="39">
        <v>43891</v>
      </c>
    </row>
    <row r="737" spans="1:7" x14ac:dyDescent="0.25">
      <c r="A737" t="s">
        <v>31</v>
      </c>
      <c r="B737">
        <v>2020</v>
      </c>
      <c r="C737" t="s">
        <v>10</v>
      </c>
      <c r="F737">
        <v>0</v>
      </c>
      <c r="G737" s="39">
        <v>43922</v>
      </c>
    </row>
    <row r="738" spans="1:7" x14ac:dyDescent="0.25">
      <c r="A738" t="s">
        <v>31</v>
      </c>
      <c r="B738">
        <v>2020</v>
      </c>
      <c r="C738" t="s">
        <v>11</v>
      </c>
      <c r="F738">
        <v>0</v>
      </c>
      <c r="G738" s="39">
        <v>43952</v>
      </c>
    </row>
    <row r="739" spans="1:7" x14ac:dyDescent="0.25">
      <c r="A739" t="s">
        <v>31</v>
      </c>
      <c r="B739">
        <v>2020</v>
      </c>
      <c r="C739" t="s">
        <v>12</v>
      </c>
      <c r="F739">
        <v>0</v>
      </c>
      <c r="G739" s="39">
        <v>43983</v>
      </c>
    </row>
    <row r="740" spans="1:7" x14ac:dyDescent="0.25">
      <c r="A740" t="s">
        <v>31</v>
      </c>
      <c r="B740">
        <v>2020</v>
      </c>
      <c r="C740" t="s">
        <v>13</v>
      </c>
      <c r="F740">
        <v>0</v>
      </c>
      <c r="G740" s="39">
        <v>44013</v>
      </c>
    </row>
    <row r="741" spans="1:7" x14ac:dyDescent="0.25">
      <c r="A741" t="s">
        <v>31</v>
      </c>
      <c r="B741">
        <v>2020</v>
      </c>
      <c r="C741" t="s">
        <v>14</v>
      </c>
      <c r="F741">
        <v>0</v>
      </c>
      <c r="G741" s="39">
        <v>44044</v>
      </c>
    </row>
    <row r="742" spans="1:7" x14ac:dyDescent="0.25">
      <c r="A742" t="s">
        <v>31</v>
      </c>
      <c r="B742">
        <v>2020</v>
      </c>
      <c r="C742" t="s">
        <v>15</v>
      </c>
      <c r="F742">
        <v>0</v>
      </c>
      <c r="G742" s="39">
        <v>44075</v>
      </c>
    </row>
    <row r="743" spans="1:7" x14ac:dyDescent="0.25">
      <c r="A743" t="s">
        <v>31</v>
      </c>
      <c r="B743">
        <v>2020</v>
      </c>
      <c r="C743" t="s">
        <v>16</v>
      </c>
      <c r="F743">
        <v>0</v>
      </c>
      <c r="G743" s="39">
        <v>44105</v>
      </c>
    </row>
    <row r="744" spans="1:7" x14ac:dyDescent="0.25">
      <c r="A744" t="s">
        <v>31</v>
      </c>
      <c r="B744">
        <v>2020</v>
      </c>
      <c r="C744" t="s">
        <v>17</v>
      </c>
      <c r="F744">
        <v>0</v>
      </c>
      <c r="G744" s="39">
        <v>44136</v>
      </c>
    </row>
    <row r="745" spans="1:7" x14ac:dyDescent="0.25">
      <c r="A745" t="s">
        <v>31</v>
      </c>
      <c r="B745">
        <v>2020</v>
      </c>
      <c r="C745" t="s">
        <v>18</v>
      </c>
      <c r="F745">
        <v>0</v>
      </c>
      <c r="G745" s="39">
        <v>44166</v>
      </c>
    </row>
    <row r="746" spans="1:7" x14ac:dyDescent="0.25">
      <c r="A746" t="s">
        <v>31</v>
      </c>
      <c r="B746">
        <v>2021</v>
      </c>
      <c r="C746" t="s">
        <v>7</v>
      </c>
      <c r="F746">
        <v>0</v>
      </c>
      <c r="G746" s="39">
        <v>44197</v>
      </c>
    </row>
    <row r="747" spans="1:7" x14ac:dyDescent="0.25">
      <c r="A747" t="s">
        <v>31</v>
      </c>
      <c r="B747">
        <v>2021</v>
      </c>
      <c r="C747" t="s">
        <v>8</v>
      </c>
      <c r="F747">
        <v>0</v>
      </c>
      <c r="G747" s="39">
        <v>44228</v>
      </c>
    </row>
    <row r="748" spans="1:7" x14ac:dyDescent="0.25">
      <c r="A748" t="s">
        <v>31</v>
      </c>
      <c r="B748">
        <v>2021</v>
      </c>
      <c r="C748" t="s">
        <v>9</v>
      </c>
      <c r="F748">
        <v>0</v>
      </c>
      <c r="G748" s="39">
        <v>44256</v>
      </c>
    </row>
    <row r="749" spans="1:7" x14ac:dyDescent="0.25">
      <c r="A749" t="s">
        <v>31</v>
      </c>
      <c r="B749">
        <v>2021</v>
      </c>
      <c r="C749" t="s">
        <v>10</v>
      </c>
      <c r="D749">
        <v>0</v>
      </c>
      <c r="E749">
        <v>0</v>
      </c>
      <c r="F749">
        <v>0</v>
      </c>
      <c r="G749" s="39">
        <v>44287</v>
      </c>
    </row>
    <row r="750" spans="1:7" x14ac:dyDescent="0.25">
      <c r="A750" t="s">
        <v>31</v>
      </c>
      <c r="B750">
        <v>2021</v>
      </c>
      <c r="C750" t="s">
        <v>11</v>
      </c>
      <c r="D750">
        <v>95565.16</v>
      </c>
      <c r="E750">
        <v>0</v>
      </c>
      <c r="F750">
        <v>95565.16</v>
      </c>
      <c r="G750" s="39">
        <v>44317</v>
      </c>
    </row>
    <row r="751" spans="1:7" x14ac:dyDescent="0.25">
      <c r="A751" t="s">
        <v>31</v>
      </c>
      <c r="B751">
        <v>2021</v>
      </c>
      <c r="C751" t="s">
        <v>12</v>
      </c>
      <c r="D751">
        <v>122481.99</v>
      </c>
      <c r="E751">
        <v>72744.406608999998</v>
      </c>
      <c r="F751">
        <v>145302.74339100003</v>
      </c>
      <c r="G751" s="39">
        <v>44348</v>
      </c>
    </row>
    <row r="752" spans="1:7" x14ac:dyDescent="0.25">
      <c r="A752" t="s">
        <v>31</v>
      </c>
      <c r="B752">
        <v>2021</v>
      </c>
      <c r="C752" t="s">
        <v>13</v>
      </c>
      <c r="D752">
        <v>0</v>
      </c>
      <c r="E752">
        <v>77833.548137000005</v>
      </c>
      <c r="F752">
        <v>67469.19525400002</v>
      </c>
      <c r="G752" s="39">
        <v>44378</v>
      </c>
    </row>
    <row r="753" spans="1:7" x14ac:dyDescent="0.25">
      <c r="A753" t="s">
        <v>31</v>
      </c>
      <c r="B753">
        <v>2021</v>
      </c>
      <c r="C753" t="s">
        <v>14</v>
      </c>
      <c r="D753">
        <v>219295.54</v>
      </c>
      <c r="E753">
        <v>74673.045364999998</v>
      </c>
      <c r="F753">
        <v>212091.68988900006</v>
      </c>
      <c r="G753" s="39">
        <v>44409</v>
      </c>
    </row>
    <row r="754" spans="1:7" x14ac:dyDescent="0.25">
      <c r="A754" t="s">
        <v>31</v>
      </c>
      <c r="B754">
        <v>2021</v>
      </c>
      <c r="C754" t="s">
        <v>15</v>
      </c>
      <c r="D754">
        <v>0</v>
      </c>
      <c r="E754">
        <v>4472.3847519999999</v>
      </c>
      <c r="F754">
        <v>207619.30513700005</v>
      </c>
      <c r="G754" s="39">
        <v>44440</v>
      </c>
    </row>
    <row r="755" spans="1:7" x14ac:dyDescent="0.25">
      <c r="A755" t="s">
        <v>31</v>
      </c>
      <c r="B755">
        <v>2021</v>
      </c>
      <c r="C755" t="s">
        <v>16</v>
      </c>
      <c r="D755">
        <v>218047.15</v>
      </c>
      <c r="E755">
        <v>213690.98133099999</v>
      </c>
      <c r="F755">
        <v>211975.47380600008</v>
      </c>
      <c r="G755" s="39">
        <v>44470</v>
      </c>
    </row>
    <row r="756" spans="1:7" x14ac:dyDescent="0.25">
      <c r="A756" t="s">
        <v>31</v>
      </c>
      <c r="B756">
        <v>2021</v>
      </c>
      <c r="C756" t="s">
        <v>17</v>
      </c>
      <c r="D756">
        <v>219295.54</v>
      </c>
      <c r="E756">
        <v>11560.01878</v>
      </c>
      <c r="F756">
        <v>419710.99502600014</v>
      </c>
      <c r="G756" s="39">
        <v>44501</v>
      </c>
    </row>
    <row r="757" spans="1:7" x14ac:dyDescent="0.25">
      <c r="A757" t="s">
        <v>31</v>
      </c>
      <c r="B757">
        <v>2021</v>
      </c>
      <c r="C757" t="s">
        <v>18</v>
      </c>
      <c r="D757">
        <v>142208.73000000001</v>
      </c>
      <c r="E757">
        <v>64079.590708000003</v>
      </c>
      <c r="F757">
        <v>497840.13431800017</v>
      </c>
      <c r="G757" s="39">
        <v>44531</v>
      </c>
    </row>
    <row r="758" spans="1:7" x14ac:dyDescent="0.25">
      <c r="A758" t="s">
        <v>31</v>
      </c>
      <c r="B758">
        <v>2022</v>
      </c>
      <c r="C758" t="s">
        <v>7</v>
      </c>
      <c r="D758">
        <v>130912.04</v>
      </c>
      <c r="E758">
        <v>29078.150944000001</v>
      </c>
      <c r="F758">
        <v>599674.02337400021</v>
      </c>
      <c r="G758" s="39">
        <v>44562</v>
      </c>
    </row>
    <row r="759" spans="1:7" x14ac:dyDescent="0.25">
      <c r="A759" t="s">
        <v>31</v>
      </c>
      <c r="B759">
        <v>2022</v>
      </c>
      <c r="C759" t="s">
        <v>8</v>
      </c>
      <c r="D759">
        <v>344665.81</v>
      </c>
      <c r="E759">
        <v>157525.665041</v>
      </c>
      <c r="F759">
        <v>786814.16833300015</v>
      </c>
      <c r="G759" s="39">
        <v>44593</v>
      </c>
    </row>
    <row r="760" spans="1:7" x14ac:dyDescent="0.25">
      <c r="A760" t="s">
        <v>31</v>
      </c>
      <c r="B760">
        <v>2022</v>
      </c>
      <c r="C760" t="s">
        <v>9</v>
      </c>
      <c r="D760">
        <v>164893.84</v>
      </c>
      <c r="E760">
        <v>127321.03460699999</v>
      </c>
      <c r="F760">
        <v>824386.97372600017</v>
      </c>
      <c r="G760" s="39">
        <v>44621</v>
      </c>
    </row>
    <row r="761" spans="1:7" x14ac:dyDescent="0.25">
      <c r="A761" t="s">
        <v>31</v>
      </c>
      <c r="B761">
        <v>2022</v>
      </c>
      <c r="C761" t="s">
        <v>10</v>
      </c>
      <c r="D761">
        <v>347729.86</v>
      </c>
      <c r="E761">
        <v>174151.636612</v>
      </c>
      <c r="F761">
        <v>997965.1971140001</v>
      </c>
      <c r="G761" s="39">
        <v>44652</v>
      </c>
    </row>
    <row r="762" spans="1:7" x14ac:dyDescent="0.25">
      <c r="A762" t="s">
        <v>31</v>
      </c>
      <c r="B762">
        <v>2022</v>
      </c>
      <c r="C762" t="s">
        <v>11</v>
      </c>
      <c r="D762">
        <v>166000.99</v>
      </c>
      <c r="E762">
        <v>244451.31247</v>
      </c>
      <c r="F762">
        <v>919514.87464400008</v>
      </c>
      <c r="G762" s="39">
        <v>44682</v>
      </c>
    </row>
    <row r="763" spans="1:7" x14ac:dyDescent="0.25">
      <c r="A763" t="s">
        <v>31</v>
      </c>
      <c r="B763">
        <v>2022</v>
      </c>
      <c r="C763" t="s">
        <v>12</v>
      </c>
      <c r="D763">
        <v>218238.33</v>
      </c>
      <c r="E763">
        <v>166593.68257199999</v>
      </c>
      <c r="F763">
        <v>971159.5220720002</v>
      </c>
      <c r="G763" s="39">
        <v>44713</v>
      </c>
    </row>
    <row r="764" spans="1:7" x14ac:dyDescent="0.25">
      <c r="A764" t="s">
        <v>31</v>
      </c>
      <c r="B764">
        <v>2022</v>
      </c>
      <c r="C764" t="s">
        <v>13</v>
      </c>
      <c r="D764">
        <v>215833.44</v>
      </c>
      <c r="E764">
        <v>262433.54361599998</v>
      </c>
      <c r="F764">
        <v>924559.41845600016</v>
      </c>
      <c r="G764" s="39">
        <v>44743</v>
      </c>
    </row>
    <row r="765" spans="1:7" x14ac:dyDescent="0.25">
      <c r="A765" t="s">
        <v>31</v>
      </c>
      <c r="B765">
        <v>2022</v>
      </c>
      <c r="C765" t="s">
        <v>14</v>
      </c>
      <c r="D765">
        <v>208338.49</v>
      </c>
      <c r="E765">
        <v>319673.051912</v>
      </c>
      <c r="F765">
        <v>813224.8565440001</v>
      </c>
      <c r="G765" s="39">
        <v>44774</v>
      </c>
    </row>
    <row r="766" spans="1:7" x14ac:dyDescent="0.25">
      <c r="A766" t="s">
        <v>31</v>
      </c>
      <c r="B766">
        <v>2022</v>
      </c>
      <c r="C766" t="s">
        <v>15</v>
      </c>
      <c r="D766">
        <v>214985.56</v>
      </c>
      <c r="E766">
        <v>307986.82527799997</v>
      </c>
      <c r="F766">
        <v>720223.59126600018</v>
      </c>
      <c r="G766" s="39">
        <v>44805</v>
      </c>
    </row>
    <row r="767" spans="1:7" x14ac:dyDescent="0.25">
      <c r="A767" t="s">
        <v>31</v>
      </c>
      <c r="B767">
        <v>2022</v>
      </c>
      <c r="C767" t="s">
        <v>16</v>
      </c>
      <c r="D767">
        <v>347184.61</v>
      </c>
      <c r="E767">
        <v>270403.53736199997</v>
      </c>
      <c r="F767">
        <v>797004.66390400007</v>
      </c>
      <c r="G767" s="39">
        <v>44835</v>
      </c>
    </row>
    <row r="768" spans="1:7" x14ac:dyDescent="0.25">
      <c r="A768" t="s">
        <v>31</v>
      </c>
      <c r="B768">
        <v>2022</v>
      </c>
      <c r="C768" t="s">
        <v>17</v>
      </c>
      <c r="D768">
        <v>380907.7</v>
      </c>
      <c r="E768">
        <v>278090.19790600002</v>
      </c>
      <c r="F768">
        <v>899822.16599799995</v>
      </c>
      <c r="G768" s="39">
        <v>44866</v>
      </c>
    </row>
    <row r="769" spans="1:7" x14ac:dyDescent="0.25">
      <c r="A769" t="s">
        <v>31</v>
      </c>
      <c r="B769">
        <v>2022</v>
      </c>
      <c r="C769" t="s">
        <v>18</v>
      </c>
      <c r="D769">
        <v>0</v>
      </c>
      <c r="E769">
        <v>218147.274836</v>
      </c>
      <c r="F769">
        <v>681674.8911619999</v>
      </c>
      <c r="G769" s="39">
        <v>44896</v>
      </c>
    </row>
    <row r="770" spans="1:7" x14ac:dyDescent="0.25">
      <c r="A770" t="s">
        <v>31</v>
      </c>
      <c r="B770">
        <v>2023</v>
      </c>
      <c r="C770" t="s">
        <v>7</v>
      </c>
      <c r="D770">
        <v>157024.69</v>
      </c>
      <c r="E770">
        <v>109304.615745</v>
      </c>
      <c r="F770">
        <v>729394.96541699988</v>
      </c>
      <c r="G770" s="39">
        <v>44927</v>
      </c>
    </row>
    <row r="771" spans="1:7" x14ac:dyDescent="0.25">
      <c r="A771" t="s">
        <v>31</v>
      </c>
      <c r="B771">
        <v>2023</v>
      </c>
      <c r="C771" t="s">
        <v>8</v>
      </c>
      <c r="D771">
        <v>156065.32999999999</v>
      </c>
      <c r="E771">
        <v>192224.87976099999</v>
      </c>
      <c r="F771">
        <v>693235.41565599991</v>
      </c>
      <c r="G771" s="39">
        <v>44958</v>
      </c>
    </row>
    <row r="772" spans="1:7" x14ac:dyDescent="0.25">
      <c r="A772" t="s">
        <v>31</v>
      </c>
      <c r="B772">
        <v>2023</v>
      </c>
      <c r="C772" t="s">
        <v>9</v>
      </c>
      <c r="D772">
        <v>299228.09000000003</v>
      </c>
      <c r="E772">
        <v>234840.201565</v>
      </c>
      <c r="F772">
        <v>757623.304091</v>
      </c>
      <c r="G772" s="39">
        <v>44986</v>
      </c>
    </row>
    <row r="773" spans="1:7" x14ac:dyDescent="0.25">
      <c r="A773" t="s">
        <v>31</v>
      </c>
      <c r="B773">
        <v>2023</v>
      </c>
      <c r="C773" t="s">
        <v>10</v>
      </c>
      <c r="D773">
        <v>163075.51</v>
      </c>
      <c r="E773">
        <v>299599.44547400001</v>
      </c>
      <c r="F773">
        <v>621099.36861700006</v>
      </c>
      <c r="G773" s="39">
        <v>45017</v>
      </c>
    </row>
    <row r="774" spans="1:7" x14ac:dyDescent="0.25">
      <c r="A774" t="s">
        <v>31</v>
      </c>
      <c r="B774">
        <v>2023</v>
      </c>
      <c r="C774" t="s">
        <v>11</v>
      </c>
      <c r="D774">
        <v>497849.86</v>
      </c>
      <c r="E774">
        <v>271874.98008000001</v>
      </c>
      <c r="F774">
        <v>847074.24853699992</v>
      </c>
      <c r="G774" s="39">
        <v>45047</v>
      </c>
    </row>
    <row r="775" spans="1:7" x14ac:dyDescent="0.25">
      <c r="A775" t="s">
        <v>31</v>
      </c>
      <c r="B775">
        <v>2023</v>
      </c>
      <c r="C775" t="s">
        <v>12</v>
      </c>
      <c r="D775">
        <v>316648.42</v>
      </c>
      <c r="E775">
        <v>443501.512628</v>
      </c>
      <c r="F775">
        <v>720221.15590899996</v>
      </c>
      <c r="G775" s="39">
        <v>45078</v>
      </c>
    </row>
    <row r="776" spans="1:7" x14ac:dyDescent="0.25">
      <c r="A776" t="s">
        <v>31</v>
      </c>
      <c r="B776">
        <v>2023</v>
      </c>
      <c r="C776" t="s">
        <v>13</v>
      </c>
      <c r="D776">
        <v>351640.36</v>
      </c>
      <c r="E776">
        <v>392520.11839800002</v>
      </c>
      <c r="F776">
        <v>679341.39751099981</v>
      </c>
      <c r="G776" s="39">
        <v>45108</v>
      </c>
    </row>
    <row r="777" spans="1:7" x14ac:dyDescent="0.25">
      <c r="A777" t="s">
        <v>31</v>
      </c>
      <c r="B777">
        <v>2023</v>
      </c>
      <c r="C777" t="s">
        <v>14</v>
      </c>
      <c r="D777">
        <v>317928.88</v>
      </c>
      <c r="E777">
        <v>281169.07825199998</v>
      </c>
      <c r="F777">
        <v>716101.1992589999</v>
      </c>
      <c r="G777" s="39">
        <v>45139</v>
      </c>
    </row>
    <row r="778" spans="1:7" x14ac:dyDescent="0.25">
      <c r="A778" t="s">
        <v>31</v>
      </c>
      <c r="B778">
        <v>2023</v>
      </c>
      <c r="C778" t="s">
        <v>15</v>
      </c>
      <c r="D778">
        <v>886350.25</v>
      </c>
      <c r="E778">
        <v>857516.71496699995</v>
      </c>
      <c r="F778">
        <v>744934.73429199995</v>
      </c>
      <c r="G778" s="39">
        <v>45170</v>
      </c>
    </row>
    <row r="779" spans="1:7" x14ac:dyDescent="0.25">
      <c r="A779" t="s">
        <v>31</v>
      </c>
      <c r="B779">
        <v>2023</v>
      </c>
      <c r="C779" t="s">
        <v>16</v>
      </c>
      <c r="D779">
        <v>530622.19999999995</v>
      </c>
      <c r="E779">
        <v>590930.31525099999</v>
      </c>
      <c r="F779">
        <v>684626.61904099979</v>
      </c>
      <c r="G779" s="39">
        <v>45200</v>
      </c>
    </row>
    <row r="780" spans="1:7" x14ac:dyDescent="0.25">
      <c r="A780" t="s">
        <v>31</v>
      </c>
      <c r="B780">
        <v>2023</v>
      </c>
      <c r="C780" t="s">
        <v>17</v>
      </c>
      <c r="D780">
        <v>500472.28</v>
      </c>
      <c r="E780">
        <v>304434.42344500002</v>
      </c>
      <c r="F780">
        <v>880664.47559599974</v>
      </c>
      <c r="G780" s="39">
        <v>45231</v>
      </c>
    </row>
    <row r="781" spans="1:7" x14ac:dyDescent="0.25">
      <c r="A781" t="s">
        <v>31</v>
      </c>
      <c r="B781">
        <v>2023</v>
      </c>
      <c r="C781" t="s">
        <v>18</v>
      </c>
      <c r="D781">
        <v>176895.55</v>
      </c>
      <c r="E781">
        <v>191025.619687</v>
      </c>
      <c r="F781">
        <v>866534.40590899973</v>
      </c>
      <c r="G781" s="39">
        <v>45261</v>
      </c>
    </row>
    <row r="782" spans="1:7" x14ac:dyDescent="0.25">
      <c r="A782" t="s">
        <v>31</v>
      </c>
      <c r="B782">
        <v>2024</v>
      </c>
      <c r="C782" t="s">
        <v>7</v>
      </c>
      <c r="F782">
        <v>866534.40590899973</v>
      </c>
      <c r="G782" s="39">
        <v>45292</v>
      </c>
    </row>
    <row r="783" spans="1:7" x14ac:dyDescent="0.25">
      <c r="A783" t="s">
        <v>31</v>
      </c>
      <c r="B783">
        <v>2024</v>
      </c>
      <c r="C783" t="s">
        <v>8</v>
      </c>
      <c r="F783">
        <v>866534.40590899973</v>
      </c>
      <c r="G783" s="39">
        <v>45323</v>
      </c>
    </row>
    <row r="784" spans="1:7" x14ac:dyDescent="0.25">
      <c r="A784" t="s">
        <v>31</v>
      </c>
      <c r="B784">
        <v>2024</v>
      </c>
      <c r="C784" t="s">
        <v>9</v>
      </c>
      <c r="F784">
        <v>866534.40590899973</v>
      </c>
      <c r="G784" s="39">
        <v>45352</v>
      </c>
    </row>
    <row r="785" spans="1:7" x14ac:dyDescent="0.25">
      <c r="A785" t="s">
        <v>31</v>
      </c>
      <c r="B785">
        <v>2024</v>
      </c>
      <c r="C785" t="s">
        <v>10</v>
      </c>
      <c r="F785">
        <v>866534.40590899973</v>
      </c>
      <c r="G785" s="39">
        <v>45383</v>
      </c>
    </row>
    <row r="786" spans="1:7" x14ac:dyDescent="0.25">
      <c r="A786" t="s">
        <v>31</v>
      </c>
      <c r="B786">
        <v>2024</v>
      </c>
      <c r="C786" t="s">
        <v>11</v>
      </c>
      <c r="F786">
        <v>866534.40590899973</v>
      </c>
      <c r="G786" s="39">
        <v>45413</v>
      </c>
    </row>
    <row r="787" spans="1:7" x14ac:dyDescent="0.25">
      <c r="A787" t="s">
        <v>31</v>
      </c>
      <c r="B787">
        <v>2024</v>
      </c>
      <c r="C787" t="s">
        <v>12</v>
      </c>
      <c r="F787">
        <v>866534.40590899973</v>
      </c>
      <c r="G787" s="39">
        <v>45444</v>
      </c>
    </row>
    <row r="788" spans="1:7" x14ac:dyDescent="0.25">
      <c r="A788" t="s">
        <v>31</v>
      </c>
      <c r="B788">
        <v>2024</v>
      </c>
      <c r="C788" t="s">
        <v>13</v>
      </c>
      <c r="F788">
        <v>866534.40590899973</v>
      </c>
      <c r="G788" s="39">
        <v>45474</v>
      </c>
    </row>
    <row r="789" spans="1:7" x14ac:dyDescent="0.25">
      <c r="A789" t="s">
        <v>31</v>
      </c>
      <c r="B789">
        <v>2024</v>
      </c>
      <c r="C789" t="s">
        <v>14</v>
      </c>
      <c r="F789">
        <v>866534.40590899973</v>
      </c>
      <c r="G789" s="39">
        <v>45505</v>
      </c>
    </row>
    <row r="790" spans="1:7" x14ac:dyDescent="0.25">
      <c r="A790" t="s">
        <v>31</v>
      </c>
      <c r="B790">
        <v>2024</v>
      </c>
      <c r="C790" t="s">
        <v>15</v>
      </c>
      <c r="F790">
        <v>866534.40590899973</v>
      </c>
      <c r="G790" s="39">
        <v>45536</v>
      </c>
    </row>
    <row r="791" spans="1:7" x14ac:dyDescent="0.25">
      <c r="A791" t="s">
        <v>31</v>
      </c>
      <c r="B791">
        <v>2024</v>
      </c>
      <c r="C791" t="s">
        <v>16</v>
      </c>
      <c r="F791">
        <v>866534.40590899973</v>
      </c>
      <c r="G791" s="39">
        <v>45566</v>
      </c>
    </row>
    <row r="792" spans="1:7" x14ac:dyDescent="0.25">
      <c r="A792" t="s">
        <v>31</v>
      </c>
      <c r="B792">
        <v>2024</v>
      </c>
      <c r="C792" t="s">
        <v>17</v>
      </c>
      <c r="F792">
        <v>866534.40590899973</v>
      </c>
      <c r="G792" s="39">
        <v>45597</v>
      </c>
    </row>
    <row r="793" spans="1:7" x14ac:dyDescent="0.25">
      <c r="A793" t="s">
        <v>31</v>
      </c>
      <c r="B793">
        <v>2024</v>
      </c>
      <c r="C793" t="s">
        <v>18</v>
      </c>
      <c r="F793">
        <v>866534.40590899973</v>
      </c>
      <c r="G793" s="39">
        <v>45627</v>
      </c>
    </row>
    <row r="794" spans="1:7" x14ac:dyDescent="0.25">
      <c r="A794" t="s">
        <v>32</v>
      </c>
      <c r="B794">
        <v>2019</v>
      </c>
      <c r="C794" t="s">
        <v>7</v>
      </c>
      <c r="F794">
        <v>0</v>
      </c>
      <c r="G794" s="39">
        <v>43466</v>
      </c>
    </row>
    <row r="795" spans="1:7" x14ac:dyDescent="0.25">
      <c r="A795" t="s">
        <v>32</v>
      </c>
      <c r="B795">
        <v>2019</v>
      </c>
      <c r="C795" t="s">
        <v>8</v>
      </c>
      <c r="F795">
        <v>0</v>
      </c>
      <c r="G795" s="39">
        <v>43497</v>
      </c>
    </row>
    <row r="796" spans="1:7" x14ac:dyDescent="0.25">
      <c r="A796" t="s">
        <v>32</v>
      </c>
      <c r="B796">
        <v>2019</v>
      </c>
      <c r="C796" t="s">
        <v>9</v>
      </c>
      <c r="F796">
        <v>0</v>
      </c>
      <c r="G796" s="39">
        <v>43525</v>
      </c>
    </row>
    <row r="797" spans="1:7" x14ac:dyDescent="0.25">
      <c r="A797" t="s">
        <v>32</v>
      </c>
      <c r="B797">
        <v>2019</v>
      </c>
      <c r="C797" t="s">
        <v>10</v>
      </c>
      <c r="F797">
        <v>0</v>
      </c>
      <c r="G797" s="39">
        <v>43556</v>
      </c>
    </row>
    <row r="798" spans="1:7" x14ac:dyDescent="0.25">
      <c r="A798" t="s">
        <v>32</v>
      </c>
      <c r="B798">
        <v>2019</v>
      </c>
      <c r="C798" t="s">
        <v>11</v>
      </c>
      <c r="F798">
        <v>0</v>
      </c>
      <c r="G798" s="39">
        <v>43586</v>
      </c>
    </row>
    <row r="799" spans="1:7" x14ac:dyDescent="0.25">
      <c r="A799" t="s">
        <v>32</v>
      </c>
      <c r="B799">
        <v>2019</v>
      </c>
      <c r="C799" t="s">
        <v>12</v>
      </c>
      <c r="F799">
        <v>0</v>
      </c>
      <c r="G799" s="39">
        <v>43617</v>
      </c>
    </row>
    <row r="800" spans="1:7" x14ac:dyDescent="0.25">
      <c r="A800" t="s">
        <v>32</v>
      </c>
      <c r="B800">
        <v>2019</v>
      </c>
      <c r="C800" t="s">
        <v>13</v>
      </c>
      <c r="F800">
        <v>0</v>
      </c>
      <c r="G800" s="39">
        <v>43647</v>
      </c>
    </row>
    <row r="801" spans="1:7" x14ac:dyDescent="0.25">
      <c r="A801" t="s">
        <v>32</v>
      </c>
      <c r="B801">
        <v>2019</v>
      </c>
      <c r="C801" t="s">
        <v>14</v>
      </c>
      <c r="D801">
        <v>3816.79</v>
      </c>
      <c r="E801">
        <v>0</v>
      </c>
      <c r="F801">
        <v>3816.79</v>
      </c>
      <c r="G801" s="39">
        <v>43678</v>
      </c>
    </row>
    <row r="802" spans="1:7" x14ac:dyDescent="0.25">
      <c r="A802" t="s">
        <v>32</v>
      </c>
      <c r="B802">
        <v>2019</v>
      </c>
      <c r="C802" t="s">
        <v>15</v>
      </c>
      <c r="D802">
        <v>0</v>
      </c>
      <c r="E802">
        <v>0</v>
      </c>
      <c r="F802">
        <v>3816.79</v>
      </c>
      <c r="G802" s="39">
        <v>43709</v>
      </c>
    </row>
    <row r="803" spans="1:7" x14ac:dyDescent="0.25">
      <c r="A803" t="s">
        <v>32</v>
      </c>
      <c r="B803">
        <v>2019</v>
      </c>
      <c r="C803" t="s">
        <v>16</v>
      </c>
      <c r="D803">
        <v>1684.35</v>
      </c>
      <c r="E803">
        <v>0</v>
      </c>
      <c r="F803">
        <v>5501.1399999999994</v>
      </c>
      <c r="G803" s="39">
        <v>43739</v>
      </c>
    </row>
    <row r="804" spans="1:7" x14ac:dyDescent="0.25">
      <c r="A804" t="s">
        <v>32</v>
      </c>
      <c r="B804">
        <v>2019</v>
      </c>
      <c r="C804" t="s">
        <v>17</v>
      </c>
      <c r="D804">
        <v>0</v>
      </c>
      <c r="E804">
        <v>0</v>
      </c>
      <c r="F804">
        <v>5501.1399999999994</v>
      </c>
      <c r="G804" s="39">
        <v>43770</v>
      </c>
    </row>
    <row r="805" spans="1:7" x14ac:dyDescent="0.25">
      <c r="A805" t="s">
        <v>32</v>
      </c>
      <c r="B805">
        <v>2019</v>
      </c>
      <c r="C805" t="s">
        <v>18</v>
      </c>
      <c r="D805">
        <v>0</v>
      </c>
      <c r="E805">
        <v>0</v>
      </c>
      <c r="F805">
        <v>5501.1399999999994</v>
      </c>
      <c r="G805" s="39">
        <v>43800</v>
      </c>
    </row>
    <row r="806" spans="1:7" x14ac:dyDescent="0.25">
      <c r="A806" t="s">
        <v>32</v>
      </c>
      <c r="B806">
        <v>2020</v>
      </c>
      <c r="C806" t="s">
        <v>7</v>
      </c>
      <c r="D806">
        <v>0</v>
      </c>
      <c r="E806">
        <v>0</v>
      </c>
      <c r="F806">
        <v>5501.1399999999994</v>
      </c>
      <c r="G806" s="39">
        <v>43831</v>
      </c>
    </row>
    <row r="807" spans="1:7" x14ac:dyDescent="0.25">
      <c r="A807" t="s">
        <v>32</v>
      </c>
      <c r="B807">
        <v>2020</v>
      </c>
      <c r="C807" t="s">
        <v>8</v>
      </c>
      <c r="D807">
        <v>0</v>
      </c>
      <c r="E807">
        <v>0</v>
      </c>
      <c r="F807">
        <v>5501.1399999999994</v>
      </c>
      <c r="G807" s="39">
        <v>43862</v>
      </c>
    </row>
    <row r="808" spans="1:7" x14ac:dyDescent="0.25">
      <c r="A808" t="s">
        <v>32</v>
      </c>
      <c r="B808">
        <v>2020</v>
      </c>
      <c r="C808" t="s">
        <v>9</v>
      </c>
      <c r="D808">
        <v>0</v>
      </c>
      <c r="E808">
        <v>0</v>
      </c>
      <c r="F808">
        <v>5501.1399999999994</v>
      </c>
      <c r="G808" s="39">
        <v>43891</v>
      </c>
    </row>
    <row r="809" spans="1:7" x14ac:dyDescent="0.25">
      <c r="A809" t="s">
        <v>32</v>
      </c>
      <c r="B809">
        <v>2020</v>
      </c>
      <c r="C809" t="s">
        <v>10</v>
      </c>
      <c r="D809">
        <v>0</v>
      </c>
      <c r="E809">
        <v>0</v>
      </c>
      <c r="F809">
        <v>5501.1399999999994</v>
      </c>
      <c r="G809" s="39">
        <v>43922</v>
      </c>
    </row>
    <row r="810" spans="1:7" x14ac:dyDescent="0.25">
      <c r="A810" t="s">
        <v>32</v>
      </c>
      <c r="B810">
        <v>2020</v>
      </c>
      <c r="C810" t="s">
        <v>11</v>
      </c>
      <c r="D810">
        <v>0</v>
      </c>
      <c r="E810">
        <v>0</v>
      </c>
      <c r="F810">
        <v>5501.1399999999994</v>
      </c>
      <c r="G810" s="39">
        <v>43952</v>
      </c>
    </row>
    <row r="811" spans="1:7" x14ac:dyDescent="0.25">
      <c r="A811" t="s">
        <v>32</v>
      </c>
      <c r="B811">
        <v>2020</v>
      </c>
      <c r="C811" t="s">
        <v>12</v>
      </c>
      <c r="D811">
        <v>0</v>
      </c>
      <c r="E811">
        <v>0</v>
      </c>
      <c r="F811">
        <v>5501.1399999999994</v>
      </c>
      <c r="G811" s="39">
        <v>43983</v>
      </c>
    </row>
    <row r="812" spans="1:7" x14ac:dyDescent="0.25">
      <c r="A812" t="s">
        <v>32</v>
      </c>
      <c r="B812">
        <v>2020</v>
      </c>
      <c r="C812" t="s">
        <v>13</v>
      </c>
      <c r="D812">
        <v>0</v>
      </c>
      <c r="E812">
        <v>0</v>
      </c>
      <c r="F812">
        <v>5501.1399999999994</v>
      </c>
      <c r="G812" s="39">
        <v>44013</v>
      </c>
    </row>
    <row r="813" spans="1:7" x14ac:dyDescent="0.25">
      <c r="A813" t="s">
        <v>32</v>
      </c>
      <c r="B813">
        <v>2020</v>
      </c>
      <c r="C813" t="s">
        <v>14</v>
      </c>
      <c r="D813">
        <v>0</v>
      </c>
      <c r="E813">
        <v>0</v>
      </c>
      <c r="F813">
        <v>5501.1399999999994</v>
      </c>
      <c r="G813" s="39">
        <v>44044</v>
      </c>
    </row>
    <row r="814" spans="1:7" x14ac:dyDescent="0.25">
      <c r="A814" t="s">
        <v>32</v>
      </c>
      <c r="B814">
        <v>2020</v>
      </c>
      <c r="C814" t="s">
        <v>15</v>
      </c>
      <c r="D814">
        <v>0</v>
      </c>
      <c r="E814">
        <v>0</v>
      </c>
      <c r="F814">
        <v>5501.1399999999994</v>
      </c>
      <c r="G814" s="39">
        <v>44075</v>
      </c>
    </row>
    <row r="815" spans="1:7" x14ac:dyDescent="0.25">
      <c r="A815" t="s">
        <v>32</v>
      </c>
      <c r="B815">
        <v>2020</v>
      </c>
      <c r="C815" t="s">
        <v>16</v>
      </c>
      <c r="D815">
        <v>0</v>
      </c>
      <c r="E815">
        <v>0</v>
      </c>
      <c r="F815">
        <v>5501.1399999999994</v>
      </c>
      <c r="G815" s="39">
        <v>44105</v>
      </c>
    </row>
    <row r="816" spans="1:7" x14ac:dyDescent="0.25">
      <c r="A816" t="s">
        <v>32</v>
      </c>
      <c r="B816">
        <v>2020</v>
      </c>
      <c r="C816" t="s">
        <v>17</v>
      </c>
      <c r="D816">
        <v>0</v>
      </c>
      <c r="E816">
        <v>0</v>
      </c>
      <c r="F816">
        <v>5501.1399999999994</v>
      </c>
      <c r="G816" s="39">
        <v>44136</v>
      </c>
    </row>
    <row r="817" spans="1:7" x14ac:dyDescent="0.25">
      <c r="A817" t="s">
        <v>32</v>
      </c>
      <c r="B817">
        <v>2020</v>
      </c>
      <c r="C817" t="s">
        <v>18</v>
      </c>
      <c r="D817">
        <v>0</v>
      </c>
      <c r="E817">
        <v>0</v>
      </c>
      <c r="F817">
        <v>5501.1399999999994</v>
      </c>
      <c r="G817" s="39">
        <v>44166</v>
      </c>
    </row>
    <row r="818" spans="1:7" x14ac:dyDescent="0.25">
      <c r="A818" t="s">
        <v>32</v>
      </c>
      <c r="B818">
        <v>2021</v>
      </c>
      <c r="C818" t="s">
        <v>7</v>
      </c>
      <c r="D818">
        <v>0</v>
      </c>
      <c r="E818">
        <v>0</v>
      </c>
      <c r="F818">
        <v>5501.1399999999994</v>
      </c>
      <c r="G818" s="39">
        <v>44197</v>
      </c>
    </row>
    <row r="819" spans="1:7" x14ac:dyDescent="0.25">
      <c r="A819" t="s">
        <v>32</v>
      </c>
      <c r="B819">
        <v>2021</v>
      </c>
      <c r="C819" t="s">
        <v>8</v>
      </c>
      <c r="D819">
        <v>0</v>
      </c>
      <c r="E819">
        <v>0</v>
      </c>
      <c r="F819">
        <v>5501.1399999999994</v>
      </c>
      <c r="G819" s="39">
        <v>44228</v>
      </c>
    </row>
    <row r="820" spans="1:7" x14ac:dyDescent="0.25">
      <c r="A820" t="s">
        <v>32</v>
      </c>
      <c r="B820">
        <v>2021</v>
      </c>
      <c r="C820" t="s">
        <v>9</v>
      </c>
      <c r="D820">
        <v>0</v>
      </c>
      <c r="E820">
        <v>0</v>
      </c>
      <c r="F820">
        <v>5501.1399999999994</v>
      </c>
      <c r="G820" s="39">
        <v>44256</v>
      </c>
    </row>
    <row r="821" spans="1:7" x14ac:dyDescent="0.25">
      <c r="A821" t="s">
        <v>32</v>
      </c>
      <c r="B821">
        <v>2021</v>
      </c>
      <c r="C821" t="s">
        <v>10</v>
      </c>
      <c r="D821">
        <v>0</v>
      </c>
      <c r="E821">
        <v>0</v>
      </c>
      <c r="F821">
        <v>5501.1399999999994</v>
      </c>
      <c r="G821" s="39">
        <v>44287</v>
      </c>
    </row>
    <row r="822" spans="1:7" x14ac:dyDescent="0.25">
      <c r="A822" t="s">
        <v>32</v>
      </c>
      <c r="B822">
        <v>2021</v>
      </c>
      <c r="C822" t="s">
        <v>11</v>
      </c>
      <c r="D822">
        <v>0</v>
      </c>
      <c r="E822">
        <v>0</v>
      </c>
      <c r="F822">
        <v>5501.1399999999994</v>
      </c>
      <c r="G822" s="39">
        <v>44317</v>
      </c>
    </row>
    <row r="823" spans="1:7" x14ac:dyDescent="0.25">
      <c r="A823" t="s">
        <v>32</v>
      </c>
      <c r="B823">
        <v>2021</v>
      </c>
      <c r="C823" t="s">
        <v>12</v>
      </c>
      <c r="D823">
        <v>0</v>
      </c>
      <c r="E823">
        <v>0</v>
      </c>
      <c r="F823">
        <v>5501.1399999999994</v>
      </c>
      <c r="G823" s="39">
        <v>44348</v>
      </c>
    </row>
    <row r="824" spans="1:7" x14ac:dyDescent="0.25">
      <c r="A824" t="s">
        <v>32</v>
      </c>
      <c r="B824">
        <v>2021</v>
      </c>
      <c r="C824" t="s">
        <v>13</v>
      </c>
      <c r="D824">
        <v>0</v>
      </c>
      <c r="E824">
        <v>0</v>
      </c>
      <c r="F824">
        <v>5501.1399999999994</v>
      </c>
      <c r="G824" s="39">
        <v>44378</v>
      </c>
    </row>
    <row r="825" spans="1:7" x14ac:dyDescent="0.25">
      <c r="A825" t="s">
        <v>32</v>
      </c>
      <c r="B825">
        <v>2021</v>
      </c>
      <c r="C825" t="s">
        <v>14</v>
      </c>
      <c r="D825">
        <v>0</v>
      </c>
      <c r="E825">
        <v>0</v>
      </c>
      <c r="F825">
        <v>5501.1399999999994</v>
      </c>
      <c r="G825" s="39">
        <v>44409</v>
      </c>
    </row>
    <row r="826" spans="1:7" x14ac:dyDescent="0.25">
      <c r="A826" t="s">
        <v>32</v>
      </c>
      <c r="B826">
        <v>2021</v>
      </c>
      <c r="C826" t="s">
        <v>15</v>
      </c>
      <c r="D826">
        <v>0</v>
      </c>
      <c r="E826">
        <v>0</v>
      </c>
      <c r="F826">
        <v>5501.1399999999994</v>
      </c>
      <c r="G826" s="39">
        <v>44440</v>
      </c>
    </row>
    <row r="827" spans="1:7" x14ac:dyDescent="0.25">
      <c r="A827" t="s">
        <v>32</v>
      </c>
      <c r="B827">
        <v>2021</v>
      </c>
      <c r="C827" t="s">
        <v>16</v>
      </c>
      <c r="D827">
        <v>0</v>
      </c>
      <c r="E827">
        <v>0</v>
      </c>
      <c r="F827">
        <v>5501.1399999999994</v>
      </c>
      <c r="G827" s="39">
        <v>44470</v>
      </c>
    </row>
    <row r="828" spans="1:7" x14ac:dyDescent="0.25">
      <c r="A828" t="s">
        <v>32</v>
      </c>
      <c r="B828">
        <v>2021</v>
      </c>
      <c r="C828" t="s">
        <v>17</v>
      </c>
      <c r="D828">
        <v>0</v>
      </c>
      <c r="E828">
        <v>0</v>
      </c>
      <c r="F828">
        <v>5501.1399999999994</v>
      </c>
      <c r="G828" s="39">
        <v>44501</v>
      </c>
    </row>
    <row r="829" spans="1:7" x14ac:dyDescent="0.25">
      <c r="A829" t="s">
        <v>32</v>
      </c>
      <c r="B829">
        <v>2021</v>
      </c>
      <c r="C829" t="s">
        <v>18</v>
      </c>
      <c r="D829">
        <v>0</v>
      </c>
      <c r="E829">
        <v>0</v>
      </c>
      <c r="F829">
        <v>5501.1399999999994</v>
      </c>
      <c r="G829" s="39">
        <v>44531</v>
      </c>
    </row>
    <row r="830" spans="1:7" x14ac:dyDescent="0.25">
      <c r="A830" t="s">
        <v>32</v>
      </c>
      <c r="B830">
        <v>2022</v>
      </c>
      <c r="C830" t="s">
        <v>7</v>
      </c>
      <c r="D830">
        <v>0</v>
      </c>
      <c r="E830">
        <v>0</v>
      </c>
      <c r="F830">
        <v>5501.1399999999994</v>
      </c>
      <c r="G830" s="39">
        <v>44562</v>
      </c>
    </row>
    <row r="831" spans="1:7" x14ac:dyDescent="0.25">
      <c r="A831" t="s">
        <v>32</v>
      </c>
      <c r="B831">
        <v>2022</v>
      </c>
      <c r="C831" t="s">
        <v>8</v>
      </c>
      <c r="D831">
        <v>0</v>
      </c>
      <c r="E831">
        <v>0</v>
      </c>
      <c r="F831">
        <v>5501.1399999999994</v>
      </c>
      <c r="G831" s="39">
        <v>44593</v>
      </c>
    </row>
    <row r="832" spans="1:7" x14ac:dyDescent="0.25">
      <c r="A832" t="s">
        <v>32</v>
      </c>
      <c r="B832">
        <v>2022</v>
      </c>
      <c r="C832" t="s">
        <v>9</v>
      </c>
      <c r="D832">
        <v>0</v>
      </c>
      <c r="E832">
        <v>0</v>
      </c>
      <c r="F832">
        <v>5501.1399999999994</v>
      </c>
      <c r="G832" s="39">
        <v>44621</v>
      </c>
    </row>
    <row r="833" spans="1:7" x14ac:dyDescent="0.25">
      <c r="A833" t="s">
        <v>32</v>
      </c>
      <c r="B833">
        <v>2022</v>
      </c>
      <c r="C833" t="s">
        <v>10</v>
      </c>
      <c r="D833">
        <v>0</v>
      </c>
      <c r="E833">
        <v>0</v>
      </c>
      <c r="F833">
        <v>5501.1399999999994</v>
      </c>
      <c r="G833" s="39">
        <v>44652</v>
      </c>
    </row>
    <row r="834" spans="1:7" x14ac:dyDescent="0.25">
      <c r="A834" t="s">
        <v>32</v>
      </c>
      <c r="B834">
        <v>2022</v>
      </c>
      <c r="C834" t="s">
        <v>11</v>
      </c>
      <c r="D834">
        <v>0</v>
      </c>
      <c r="E834">
        <v>0</v>
      </c>
      <c r="F834">
        <v>5501.1399999999994</v>
      </c>
      <c r="G834" s="39">
        <v>44682</v>
      </c>
    </row>
    <row r="835" spans="1:7" x14ac:dyDescent="0.25">
      <c r="A835" t="s">
        <v>32</v>
      </c>
      <c r="B835">
        <v>2022</v>
      </c>
      <c r="C835" t="s">
        <v>12</v>
      </c>
      <c r="D835">
        <v>0</v>
      </c>
      <c r="E835">
        <v>0</v>
      </c>
      <c r="F835">
        <v>5501.1399999999994</v>
      </c>
      <c r="G835" s="39">
        <v>44713</v>
      </c>
    </row>
    <row r="836" spans="1:7" x14ac:dyDescent="0.25">
      <c r="A836" t="s">
        <v>32</v>
      </c>
      <c r="B836">
        <v>2022</v>
      </c>
      <c r="C836" t="s">
        <v>13</v>
      </c>
      <c r="D836">
        <v>0</v>
      </c>
      <c r="E836">
        <v>0</v>
      </c>
      <c r="F836">
        <v>5501.1399999999994</v>
      </c>
      <c r="G836" s="39">
        <v>44743</v>
      </c>
    </row>
    <row r="837" spans="1:7" x14ac:dyDescent="0.25">
      <c r="A837" t="s">
        <v>32</v>
      </c>
      <c r="B837">
        <v>2022</v>
      </c>
      <c r="C837" t="s">
        <v>14</v>
      </c>
      <c r="D837">
        <v>0</v>
      </c>
      <c r="E837">
        <v>0</v>
      </c>
      <c r="F837">
        <v>5501.1399999999994</v>
      </c>
      <c r="G837" s="39">
        <v>44774</v>
      </c>
    </row>
    <row r="838" spans="1:7" x14ac:dyDescent="0.25">
      <c r="A838" t="s">
        <v>32</v>
      </c>
      <c r="B838">
        <v>2022</v>
      </c>
      <c r="C838" t="s">
        <v>15</v>
      </c>
      <c r="D838">
        <v>0</v>
      </c>
      <c r="E838">
        <v>0</v>
      </c>
      <c r="F838">
        <v>5501.1399999999994</v>
      </c>
      <c r="G838" s="39">
        <v>44805</v>
      </c>
    </row>
    <row r="839" spans="1:7" x14ac:dyDescent="0.25">
      <c r="A839" t="s">
        <v>32</v>
      </c>
      <c r="B839">
        <v>2022</v>
      </c>
      <c r="C839" t="s">
        <v>16</v>
      </c>
      <c r="D839">
        <v>0</v>
      </c>
      <c r="E839">
        <v>0</v>
      </c>
      <c r="F839">
        <v>5501.1399999999994</v>
      </c>
      <c r="G839" s="39">
        <v>44835</v>
      </c>
    </row>
    <row r="840" spans="1:7" x14ac:dyDescent="0.25">
      <c r="A840" t="s">
        <v>32</v>
      </c>
      <c r="B840">
        <v>2022</v>
      </c>
      <c r="C840" t="s">
        <v>17</v>
      </c>
      <c r="D840">
        <v>0</v>
      </c>
      <c r="E840">
        <v>0</v>
      </c>
      <c r="F840">
        <v>5501.1399999999994</v>
      </c>
      <c r="G840" s="39">
        <v>44866</v>
      </c>
    </row>
    <row r="841" spans="1:7" x14ac:dyDescent="0.25">
      <c r="A841" t="s">
        <v>32</v>
      </c>
      <c r="B841">
        <v>2022</v>
      </c>
      <c r="C841" t="s">
        <v>18</v>
      </c>
      <c r="D841">
        <v>0</v>
      </c>
      <c r="E841">
        <v>0</v>
      </c>
      <c r="F841">
        <v>5501.1399999999994</v>
      </c>
      <c r="G841" s="39">
        <v>44896</v>
      </c>
    </row>
    <row r="842" spans="1:7" x14ac:dyDescent="0.25">
      <c r="A842" t="s">
        <v>32</v>
      </c>
      <c r="B842">
        <v>2023</v>
      </c>
      <c r="C842" t="s">
        <v>7</v>
      </c>
      <c r="D842">
        <v>0</v>
      </c>
      <c r="E842">
        <v>0</v>
      </c>
      <c r="F842">
        <v>5501.1399999999994</v>
      </c>
      <c r="G842" s="39">
        <v>44927</v>
      </c>
    </row>
    <row r="843" spans="1:7" x14ac:dyDescent="0.25">
      <c r="A843" t="s">
        <v>32</v>
      </c>
      <c r="B843">
        <v>2023</v>
      </c>
      <c r="C843" t="s">
        <v>8</v>
      </c>
      <c r="D843">
        <v>0</v>
      </c>
      <c r="E843">
        <v>0</v>
      </c>
      <c r="F843">
        <v>5501.1399999999994</v>
      </c>
      <c r="G843" s="39">
        <v>44958</v>
      </c>
    </row>
    <row r="844" spans="1:7" x14ac:dyDescent="0.25">
      <c r="A844" t="s">
        <v>32</v>
      </c>
      <c r="B844">
        <v>2023</v>
      </c>
      <c r="C844" t="s">
        <v>9</v>
      </c>
      <c r="D844">
        <v>0</v>
      </c>
      <c r="E844">
        <v>0</v>
      </c>
      <c r="F844">
        <v>5501.1399999999994</v>
      </c>
      <c r="G844" s="39">
        <v>44986</v>
      </c>
    </row>
    <row r="845" spans="1:7" x14ac:dyDescent="0.25">
      <c r="A845" t="s">
        <v>32</v>
      </c>
      <c r="B845">
        <v>2023</v>
      </c>
      <c r="C845" t="s">
        <v>10</v>
      </c>
      <c r="D845">
        <v>0</v>
      </c>
      <c r="E845">
        <v>0</v>
      </c>
      <c r="F845">
        <v>5501.1399999999994</v>
      </c>
      <c r="G845" s="39">
        <v>45017</v>
      </c>
    </row>
    <row r="846" spans="1:7" x14ac:dyDescent="0.25">
      <c r="A846" t="s">
        <v>32</v>
      </c>
      <c r="B846">
        <v>2023</v>
      </c>
      <c r="C846" t="s">
        <v>11</v>
      </c>
      <c r="D846">
        <v>0</v>
      </c>
      <c r="E846">
        <v>0</v>
      </c>
      <c r="F846">
        <v>5501.1399999999994</v>
      </c>
      <c r="G846" s="39">
        <v>45047</v>
      </c>
    </row>
    <row r="847" spans="1:7" x14ac:dyDescent="0.25">
      <c r="A847" t="s">
        <v>32</v>
      </c>
      <c r="B847">
        <v>2023</v>
      </c>
      <c r="C847" t="s">
        <v>12</v>
      </c>
      <c r="D847">
        <v>0</v>
      </c>
      <c r="E847">
        <v>0</v>
      </c>
      <c r="F847">
        <v>5501.1399999999994</v>
      </c>
      <c r="G847" s="39">
        <v>45078</v>
      </c>
    </row>
    <row r="848" spans="1:7" x14ac:dyDescent="0.25">
      <c r="A848" t="s">
        <v>32</v>
      </c>
      <c r="B848">
        <v>2023</v>
      </c>
      <c r="C848" t="s">
        <v>13</v>
      </c>
      <c r="D848">
        <v>0</v>
      </c>
      <c r="E848">
        <v>0</v>
      </c>
      <c r="F848">
        <v>5501.1399999999994</v>
      </c>
      <c r="G848" s="39">
        <v>45108</v>
      </c>
    </row>
    <row r="849" spans="1:7" x14ac:dyDescent="0.25">
      <c r="A849" t="s">
        <v>32</v>
      </c>
      <c r="B849">
        <v>2023</v>
      </c>
      <c r="C849" t="s">
        <v>14</v>
      </c>
      <c r="D849">
        <v>0</v>
      </c>
      <c r="E849">
        <v>0</v>
      </c>
      <c r="F849">
        <v>5501.1399999999994</v>
      </c>
      <c r="G849" s="39">
        <v>45139</v>
      </c>
    </row>
    <row r="850" spans="1:7" x14ac:dyDescent="0.25">
      <c r="A850" t="s">
        <v>32</v>
      </c>
      <c r="B850">
        <v>2023</v>
      </c>
      <c r="C850" t="s">
        <v>15</v>
      </c>
      <c r="D850">
        <v>0</v>
      </c>
      <c r="E850">
        <v>0</v>
      </c>
      <c r="F850">
        <v>5501.1399999999994</v>
      </c>
      <c r="G850" s="39">
        <v>45170</v>
      </c>
    </row>
    <row r="851" spans="1:7" x14ac:dyDescent="0.25">
      <c r="A851" t="s">
        <v>32</v>
      </c>
      <c r="B851">
        <v>2023</v>
      </c>
      <c r="C851" t="s">
        <v>16</v>
      </c>
      <c r="D851">
        <v>0</v>
      </c>
      <c r="E851">
        <v>0</v>
      </c>
      <c r="F851">
        <v>5501.1399999999994</v>
      </c>
      <c r="G851" s="39">
        <v>45200</v>
      </c>
    </row>
    <row r="852" spans="1:7" x14ac:dyDescent="0.25">
      <c r="A852" t="s">
        <v>32</v>
      </c>
      <c r="B852">
        <v>2023</v>
      </c>
      <c r="C852" t="s">
        <v>17</v>
      </c>
      <c r="D852">
        <v>0</v>
      </c>
      <c r="E852">
        <v>0</v>
      </c>
      <c r="F852">
        <v>5501.1399999999994</v>
      </c>
      <c r="G852" s="39">
        <v>45231</v>
      </c>
    </row>
    <row r="853" spans="1:7" x14ac:dyDescent="0.25">
      <c r="A853" t="s">
        <v>32</v>
      </c>
      <c r="B853">
        <v>2023</v>
      </c>
      <c r="C853" t="s">
        <v>18</v>
      </c>
      <c r="D853">
        <v>0</v>
      </c>
      <c r="E853">
        <v>0</v>
      </c>
      <c r="F853">
        <v>5501.1399999999994</v>
      </c>
      <c r="G853" s="39">
        <v>45261</v>
      </c>
    </row>
    <row r="854" spans="1:7" x14ac:dyDescent="0.25">
      <c r="A854" t="s">
        <v>32</v>
      </c>
      <c r="B854">
        <v>2024</v>
      </c>
      <c r="C854" t="s">
        <v>7</v>
      </c>
      <c r="F854">
        <v>5501.1399999999994</v>
      </c>
      <c r="G854" s="39">
        <v>45292</v>
      </c>
    </row>
    <row r="855" spans="1:7" x14ac:dyDescent="0.25">
      <c r="A855" t="s">
        <v>32</v>
      </c>
      <c r="B855">
        <v>2024</v>
      </c>
      <c r="C855" t="s">
        <v>8</v>
      </c>
      <c r="F855">
        <v>5501.1399999999994</v>
      </c>
      <c r="G855" s="39">
        <v>45323</v>
      </c>
    </row>
    <row r="856" spans="1:7" x14ac:dyDescent="0.25">
      <c r="A856" t="s">
        <v>32</v>
      </c>
      <c r="B856">
        <v>2024</v>
      </c>
      <c r="C856" t="s">
        <v>9</v>
      </c>
      <c r="F856">
        <v>5501.1399999999994</v>
      </c>
      <c r="G856" s="39">
        <v>45352</v>
      </c>
    </row>
    <row r="857" spans="1:7" x14ac:dyDescent="0.25">
      <c r="A857" t="s">
        <v>32</v>
      </c>
      <c r="B857">
        <v>2024</v>
      </c>
      <c r="C857" t="s">
        <v>10</v>
      </c>
      <c r="F857">
        <v>5501.1399999999994</v>
      </c>
      <c r="G857" s="39">
        <v>45383</v>
      </c>
    </row>
    <row r="858" spans="1:7" x14ac:dyDescent="0.25">
      <c r="A858" t="s">
        <v>32</v>
      </c>
      <c r="B858">
        <v>2024</v>
      </c>
      <c r="C858" t="s">
        <v>11</v>
      </c>
      <c r="F858">
        <v>5501.1399999999994</v>
      </c>
      <c r="G858" s="39">
        <v>45413</v>
      </c>
    </row>
    <row r="859" spans="1:7" x14ac:dyDescent="0.25">
      <c r="A859" t="s">
        <v>32</v>
      </c>
      <c r="B859">
        <v>2024</v>
      </c>
      <c r="C859" t="s">
        <v>12</v>
      </c>
      <c r="F859">
        <v>5501.1399999999994</v>
      </c>
      <c r="G859" s="39">
        <v>45444</v>
      </c>
    </row>
    <row r="860" spans="1:7" x14ac:dyDescent="0.25">
      <c r="A860" t="s">
        <v>32</v>
      </c>
      <c r="B860">
        <v>2024</v>
      </c>
      <c r="C860" t="s">
        <v>13</v>
      </c>
      <c r="F860">
        <v>5501.1399999999994</v>
      </c>
      <c r="G860" s="39">
        <v>45474</v>
      </c>
    </row>
    <row r="861" spans="1:7" x14ac:dyDescent="0.25">
      <c r="A861" t="s">
        <v>32</v>
      </c>
      <c r="B861">
        <v>2024</v>
      </c>
      <c r="C861" t="s">
        <v>14</v>
      </c>
      <c r="F861">
        <v>5501.1399999999994</v>
      </c>
      <c r="G861" s="39">
        <v>45505</v>
      </c>
    </row>
    <row r="862" spans="1:7" x14ac:dyDescent="0.25">
      <c r="A862" t="s">
        <v>32</v>
      </c>
      <c r="B862">
        <v>2024</v>
      </c>
      <c r="C862" t="s">
        <v>15</v>
      </c>
      <c r="F862">
        <v>5501.1399999999994</v>
      </c>
      <c r="G862" s="39">
        <v>45536</v>
      </c>
    </row>
    <row r="863" spans="1:7" x14ac:dyDescent="0.25">
      <c r="A863" t="s">
        <v>32</v>
      </c>
      <c r="B863">
        <v>2024</v>
      </c>
      <c r="C863" t="s">
        <v>16</v>
      </c>
      <c r="F863">
        <v>5501.1399999999994</v>
      </c>
      <c r="G863" s="39">
        <v>45566</v>
      </c>
    </row>
    <row r="864" spans="1:7" x14ac:dyDescent="0.25">
      <c r="A864" t="s">
        <v>32</v>
      </c>
      <c r="B864">
        <v>2024</v>
      </c>
      <c r="C864" t="s">
        <v>17</v>
      </c>
      <c r="F864">
        <v>5501.1399999999994</v>
      </c>
      <c r="G864" s="39">
        <v>45597</v>
      </c>
    </row>
    <row r="865" spans="1:7" x14ac:dyDescent="0.25">
      <c r="A865" t="s">
        <v>32</v>
      </c>
      <c r="B865">
        <v>2024</v>
      </c>
      <c r="C865" t="s">
        <v>18</v>
      </c>
      <c r="F865">
        <v>5501.1399999999994</v>
      </c>
      <c r="G865" s="39">
        <v>45627</v>
      </c>
    </row>
    <row r="866" spans="1:7" x14ac:dyDescent="0.25">
      <c r="A866" t="s">
        <v>33</v>
      </c>
      <c r="B866">
        <v>2019</v>
      </c>
      <c r="C866" t="s">
        <v>7</v>
      </c>
      <c r="F866">
        <v>0</v>
      </c>
      <c r="G866" s="39">
        <v>43466</v>
      </c>
    </row>
    <row r="867" spans="1:7" x14ac:dyDescent="0.25">
      <c r="A867" t="s">
        <v>33</v>
      </c>
      <c r="B867">
        <v>2019</v>
      </c>
      <c r="C867" t="s">
        <v>8</v>
      </c>
      <c r="F867">
        <v>0</v>
      </c>
      <c r="G867" s="39">
        <v>43497</v>
      </c>
    </row>
    <row r="868" spans="1:7" x14ac:dyDescent="0.25">
      <c r="A868" t="s">
        <v>33</v>
      </c>
      <c r="B868">
        <v>2019</v>
      </c>
      <c r="C868" t="s">
        <v>9</v>
      </c>
      <c r="F868">
        <v>0</v>
      </c>
      <c r="G868" s="39">
        <v>43525</v>
      </c>
    </row>
    <row r="869" spans="1:7" x14ac:dyDescent="0.25">
      <c r="A869" t="s">
        <v>33</v>
      </c>
      <c r="B869">
        <v>2019</v>
      </c>
      <c r="C869" t="s">
        <v>10</v>
      </c>
      <c r="F869">
        <v>0</v>
      </c>
      <c r="G869" s="39">
        <v>43556</v>
      </c>
    </row>
    <row r="870" spans="1:7" x14ac:dyDescent="0.25">
      <c r="A870" t="s">
        <v>33</v>
      </c>
      <c r="B870">
        <v>2019</v>
      </c>
      <c r="C870" t="s">
        <v>11</v>
      </c>
      <c r="F870">
        <v>0</v>
      </c>
      <c r="G870" s="39">
        <v>43586</v>
      </c>
    </row>
    <row r="871" spans="1:7" x14ac:dyDescent="0.25">
      <c r="A871" t="s">
        <v>33</v>
      </c>
      <c r="B871">
        <v>2019</v>
      </c>
      <c r="C871" t="s">
        <v>12</v>
      </c>
      <c r="F871">
        <v>0</v>
      </c>
      <c r="G871" s="39">
        <v>43617</v>
      </c>
    </row>
    <row r="872" spans="1:7" x14ac:dyDescent="0.25">
      <c r="A872" t="s">
        <v>33</v>
      </c>
      <c r="B872">
        <v>2019</v>
      </c>
      <c r="C872" t="s">
        <v>13</v>
      </c>
      <c r="F872">
        <v>0</v>
      </c>
      <c r="G872" s="39">
        <v>43647</v>
      </c>
    </row>
    <row r="873" spans="1:7" x14ac:dyDescent="0.25">
      <c r="A873" t="s">
        <v>33</v>
      </c>
      <c r="B873">
        <v>2019</v>
      </c>
      <c r="C873" t="s">
        <v>14</v>
      </c>
      <c r="F873">
        <v>0</v>
      </c>
      <c r="G873" s="39">
        <v>43678</v>
      </c>
    </row>
    <row r="874" spans="1:7" x14ac:dyDescent="0.25">
      <c r="A874" t="s">
        <v>33</v>
      </c>
      <c r="B874">
        <v>2019</v>
      </c>
      <c r="C874" t="s">
        <v>15</v>
      </c>
      <c r="F874">
        <v>0</v>
      </c>
      <c r="G874" s="39">
        <v>43709</v>
      </c>
    </row>
    <row r="875" spans="1:7" x14ac:dyDescent="0.25">
      <c r="A875" t="s">
        <v>33</v>
      </c>
      <c r="B875">
        <v>2019</v>
      </c>
      <c r="C875" t="s">
        <v>16</v>
      </c>
      <c r="F875">
        <v>0</v>
      </c>
      <c r="G875" s="39">
        <v>43739</v>
      </c>
    </row>
    <row r="876" spans="1:7" x14ac:dyDescent="0.25">
      <c r="A876" t="s">
        <v>33</v>
      </c>
      <c r="B876">
        <v>2019</v>
      </c>
      <c r="C876" t="s">
        <v>17</v>
      </c>
      <c r="F876">
        <v>0</v>
      </c>
      <c r="G876" s="39">
        <v>43770</v>
      </c>
    </row>
    <row r="877" spans="1:7" x14ac:dyDescent="0.25">
      <c r="A877" t="s">
        <v>33</v>
      </c>
      <c r="B877">
        <v>2019</v>
      </c>
      <c r="C877" t="s">
        <v>18</v>
      </c>
      <c r="F877">
        <v>0</v>
      </c>
      <c r="G877" s="39">
        <v>43800</v>
      </c>
    </row>
    <row r="878" spans="1:7" x14ac:dyDescent="0.25">
      <c r="A878" t="s">
        <v>33</v>
      </c>
      <c r="B878">
        <v>2020</v>
      </c>
      <c r="C878" t="s">
        <v>7</v>
      </c>
      <c r="F878">
        <v>0</v>
      </c>
      <c r="G878" s="39">
        <v>43831</v>
      </c>
    </row>
    <row r="879" spans="1:7" x14ac:dyDescent="0.25">
      <c r="A879" t="s">
        <v>33</v>
      </c>
      <c r="B879">
        <v>2020</v>
      </c>
      <c r="C879" t="s">
        <v>8</v>
      </c>
      <c r="F879">
        <v>0</v>
      </c>
      <c r="G879" s="39">
        <v>43862</v>
      </c>
    </row>
    <row r="880" spans="1:7" x14ac:dyDescent="0.25">
      <c r="A880" t="s">
        <v>33</v>
      </c>
      <c r="B880">
        <v>2020</v>
      </c>
      <c r="C880" t="s">
        <v>9</v>
      </c>
      <c r="F880">
        <v>0</v>
      </c>
      <c r="G880" s="39">
        <v>43891</v>
      </c>
    </row>
    <row r="881" spans="1:7" x14ac:dyDescent="0.25">
      <c r="A881" t="s">
        <v>33</v>
      </c>
      <c r="B881">
        <v>2020</v>
      </c>
      <c r="C881" t="s">
        <v>10</v>
      </c>
      <c r="F881">
        <v>0</v>
      </c>
      <c r="G881" s="39">
        <v>43922</v>
      </c>
    </row>
    <row r="882" spans="1:7" x14ac:dyDescent="0.25">
      <c r="A882" t="s">
        <v>33</v>
      </c>
      <c r="B882">
        <v>2020</v>
      </c>
      <c r="C882" t="s">
        <v>11</v>
      </c>
      <c r="F882">
        <v>0</v>
      </c>
      <c r="G882" s="39">
        <v>43952</v>
      </c>
    </row>
    <row r="883" spans="1:7" x14ac:dyDescent="0.25">
      <c r="A883" t="s">
        <v>33</v>
      </c>
      <c r="B883">
        <v>2020</v>
      </c>
      <c r="C883" t="s">
        <v>12</v>
      </c>
      <c r="F883">
        <v>0</v>
      </c>
      <c r="G883" s="39">
        <v>43983</v>
      </c>
    </row>
    <row r="884" spans="1:7" x14ac:dyDescent="0.25">
      <c r="A884" t="s">
        <v>33</v>
      </c>
      <c r="B884">
        <v>2020</v>
      </c>
      <c r="C884" t="s">
        <v>13</v>
      </c>
      <c r="F884">
        <v>0</v>
      </c>
      <c r="G884" s="39">
        <v>44013</v>
      </c>
    </row>
    <row r="885" spans="1:7" x14ac:dyDescent="0.25">
      <c r="A885" t="s">
        <v>33</v>
      </c>
      <c r="B885">
        <v>2020</v>
      </c>
      <c r="C885" t="s">
        <v>14</v>
      </c>
      <c r="F885">
        <v>0</v>
      </c>
      <c r="G885" s="39">
        <v>44044</v>
      </c>
    </row>
    <row r="886" spans="1:7" x14ac:dyDescent="0.25">
      <c r="A886" t="s">
        <v>33</v>
      </c>
      <c r="B886">
        <v>2020</v>
      </c>
      <c r="C886" t="s">
        <v>15</v>
      </c>
      <c r="D886">
        <v>627.89</v>
      </c>
      <c r="E886">
        <v>0</v>
      </c>
      <c r="F886">
        <v>627.89</v>
      </c>
      <c r="G886" s="39">
        <v>44075</v>
      </c>
    </row>
    <row r="887" spans="1:7" x14ac:dyDescent="0.25">
      <c r="A887" t="s">
        <v>33</v>
      </c>
      <c r="B887">
        <v>2020</v>
      </c>
      <c r="C887" t="s">
        <v>16</v>
      </c>
      <c r="D887">
        <v>0</v>
      </c>
      <c r="E887">
        <v>0</v>
      </c>
      <c r="F887">
        <v>627.89</v>
      </c>
      <c r="G887" s="39">
        <v>44105</v>
      </c>
    </row>
    <row r="888" spans="1:7" x14ac:dyDescent="0.25">
      <c r="A888" t="s">
        <v>33</v>
      </c>
      <c r="B888">
        <v>2020</v>
      </c>
      <c r="C888" t="s">
        <v>17</v>
      </c>
      <c r="D888">
        <v>0</v>
      </c>
      <c r="E888">
        <v>0</v>
      </c>
      <c r="F888">
        <v>627.89</v>
      </c>
      <c r="G888" s="39">
        <v>44136</v>
      </c>
    </row>
    <row r="889" spans="1:7" x14ac:dyDescent="0.25">
      <c r="A889" t="s">
        <v>33</v>
      </c>
      <c r="B889">
        <v>2020</v>
      </c>
      <c r="C889" t="s">
        <v>18</v>
      </c>
      <c r="D889">
        <v>0</v>
      </c>
      <c r="E889">
        <v>0</v>
      </c>
      <c r="F889">
        <v>627.89</v>
      </c>
      <c r="G889" s="39">
        <v>44166</v>
      </c>
    </row>
    <row r="890" spans="1:7" x14ac:dyDescent="0.25">
      <c r="A890" t="s">
        <v>33</v>
      </c>
      <c r="B890">
        <v>2021</v>
      </c>
      <c r="C890" t="s">
        <v>7</v>
      </c>
      <c r="D890">
        <v>0</v>
      </c>
      <c r="E890">
        <v>0</v>
      </c>
      <c r="F890">
        <v>627.89</v>
      </c>
      <c r="G890" s="39">
        <v>44197</v>
      </c>
    </row>
    <row r="891" spans="1:7" x14ac:dyDescent="0.25">
      <c r="A891" t="s">
        <v>33</v>
      </c>
      <c r="B891">
        <v>2021</v>
      </c>
      <c r="C891" t="s">
        <v>8</v>
      </c>
      <c r="D891">
        <v>0</v>
      </c>
      <c r="E891">
        <v>0</v>
      </c>
      <c r="F891">
        <v>627.89</v>
      </c>
      <c r="G891" s="39">
        <v>44228</v>
      </c>
    </row>
    <row r="892" spans="1:7" x14ac:dyDescent="0.25">
      <c r="A892" t="s">
        <v>33</v>
      </c>
      <c r="B892">
        <v>2021</v>
      </c>
      <c r="C892" t="s">
        <v>9</v>
      </c>
      <c r="D892">
        <v>146075.70999500001</v>
      </c>
      <c r="E892">
        <v>0</v>
      </c>
      <c r="F892">
        <v>146703.59999500003</v>
      </c>
      <c r="G892" s="39">
        <v>44256</v>
      </c>
    </row>
    <row r="893" spans="1:7" x14ac:dyDescent="0.25">
      <c r="A893" t="s">
        <v>33</v>
      </c>
      <c r="B893">
        <v>2021</v>
      </c>
      <c r="C893" t="s">
        <v>10</v>
      </c>
      <c r="D893">
        <v>0</v>
      </c>
      <c r="E893">
        <v>5679.1703710000002</v>
      </c>
      <c r="F893">
        <v>141024.42962400004</v>
      </c>
      <c r="G893" s="39">
        <v>44287</v>
      </c>
    </row>
    <row r="894" spans="1:7" x14ac:dyDescent="0.25">
      <c r="A894" t="s">
        <v>33</v>
      </c>
      <c r="B894">
        <v>2021</v>
      </c>
      <c r="C894" t="s">
        <v>11</v>
      </c>
      <c r="D894">
        <v>0</v>
      </c>
      <c r="E894">
        <v>11311.790161999999</v>
      </c>
      <c r="F894">
        <v>129712.63946200004</v>
      </c>
      <c r="G894" s="39">
        <v>44317</v>
      </c>
    </row>
    <row r="895" spans="1:7" x14ac:dyDescent="0.25">
      <c r="A895" t="s">
        <v>33</v>
      </c>
      <c r="B895">
        <v>2021</v>
      </c>
      <c r="C895" t="s">
        <v>12</v>
      </c>
      <c r="D895">
        <v>0</v>
      </c>
      <c r="E895">
        <v>10427.329213000001</v>
      </c>
      <c r="F895">
        <v>119285.31024900003</v>
      </c>
      <c r="G895" s="39">
        <v>44348</v>
      </c>
    </row>
    <row r="896" spans="1:7" x14ac:dyDescent="0.25">
      <c r="A896" t="s">
        <v>33</v>
      </c>
      <c r="B896">
        <v>2021</v>
      </c>
      <c r="C896" t="s">
        <v>13</v>
      </c>
      <c r="D896">
        <v>0</v>
      </c>
      <c r="E896">
        <v>18852.983636000001</v>
      </c>
      <c r="F896">
        <v>100432.32661300003</v>
      </c>
      <c r="G896" s="39">
        <v>44378</v>
      </c>
    </row>
    <row r="897" spans="1:7" x14ac:dyDescent="0.25">
      <c r="A897" t="s">
        <v>33</v>
      </c>
      <c r="B897">
        <v>2021</v>
      </c>
      <c r="C897" t="s">
        <v>14</v>
      </c>
      <c r="D897">
        <v>0</v>
      </c>
      <c r="E897">
        <v>98175.166435000006</v>
      </c>
      <c r="F897">
        <v>2257.1601780000201</v>
      </c>
      <c r="G897" s="39">
        <v>44409</v>
      </c>
    </row>
    <row r="898" spans="1:7" x14ac:dyDescent="0.25">
      <c r="A898" t="s">
        <v>33</v>
      </c>
      <c r="B898">
        <v>2021</v>
      </c>
      <c r="C898" t="s">
        <v>15</v>
      </c>
      <c r="D898">
        <v>0</v>
      </c>
      <c r="E898">
        <v>18573.680133000002</v>
      </c>
      <c r="F898">
        <v>-16316.519954999982</v>
      </c>
      <c r="G898" s="39">
        <v>44440</v>
      </c>
    </row>
    <row r="899" spans="1:7" x14ac:dyDescent="0.25">
      <c r="A899" t="s">
        <v>33</v>
      </c>
      <c r="B899">
        <v>2021</v>
      </c>
      <c r="C899" t="s">
        <v>16</v>
      </c>
      <c r="D899">
        <v>146075.70999500001</v>
      </c>
      <c r="E899">
        <v>144399.88923999999</v>
      </c>
      <c r="F899">
        <v>-14640.699199999959</v>
      </c>
      <c r="G899" s="39">
        <v>44470</v>
      </c>
    </row>
    <row r="900" spans="1:7" x14ac:dyDescent="0.25">
      <c r="A900" t="s">
        <v>33</v>
      </c>
      <c r="B900">
        <v>2021</v>
      </c>
      <c r="C900" t="s">
        <v>17</v>
      </c>
      <c r="D900">
        <v>0</v>
      </c>
      <c r="E900">
        <v>46.550576999999997</v>
      </c>
      <c r="F900">
        <v>-14687.249776999959</v>
      </c>
      <c r="G900" s="39">
        <v>44501</v>
      </c>
    </row>
    <row r="901" spans="1:7" x14ac:dyDescent="0.25">
      <c r="A901" t="s">
        <v>33</v>
      </c>
      <c r="B901">
        <v>2021</v>
      </c>
      <c r="C901" t="s">
        <v>18</v>
      </c>
      <c r="D901">
        <v>0</v>
      </c>
      <c r="E901">
        <v>465.50576899999999</v>
      </c>
      <c r="F901">
        <v>-15152.755545999958</v>
      </c>
      <c r="G901" s="39">
        <v>44531</v>
      </c>
    </row>
    <row r="902" spans="1:7" x14ac:dyDescent="0.25">
      <c r="A902" t="s">
        <v>33</v>
      </c>
      <c r="B902">
        <v>2022</v>
      </c>
      <c r="C902" t="s">
        <v>7</v>
      </c>
      <c r="D902">
        <v>205469.85998400001</v>
      </c>
      <c r="E902">
        <v>1320.4420540000001</v>
      </c>
      <c r="F902">
        <v>188996.66238400002</v>
      </c>
      <c r="G902" s="39">
        <v>44562</v>
      </c>
    </row>
    <row r="903" spans="1:7" x14ac:dyDescent="0.25">
      <c r="A903" t="s">
        <v>33</v>
      </c>
      <c r="B903">
        <v>2022</v>
      </c>
      <c r="C903" t="s">
        <v>8</v>
      </c>
      <c r="D903">
        <v>0</v>
      </c>
      <c r="E903">
        <v>14633.307360000001</v>
      </c>
      <c r="F903">
        <v>174363.35502400002</v>
      </c>
      <c r="G903" s="39">
        <v>44593</v>
      </c>
    </row>
    <row r="904" spans="1:7" x14ac:dyDescent="0.25">
      <c r="A904" t="s">
        <v>33</v>
      </c>
      <c r="B904">
        <v>2022</v>
      </c>
      <c r="C904" t="s">
        <v>9</v>
      </c>
      <c r="D904">
        <v>0</v>
      </c>
      <c r="E904">
        <v>27832.371351000002</v>
      </c>
      <c r="F904">
        <v>146530.98367300001</v>
      </c>
      <c r="G904" s="39">
        <v>44621</v>
      </c>
    </row>
    <row r="905" spans="1:7" x14ac:dyDescent="0.25">
      <c r="A905" t="s">
        <v>33</v>
      </c>
      <c r="B905">
        <v>2022</v>
      </c>
      <c r="C905" t="s">
        <v>10</v>
      </c>
      <c r="D905">
        <v>0</v>
      </c>
      <c r="E905">
        <v>21018.591903</v>
      </c>
      <c r="F905">
        <v>125512.39177000002</v>
      </c>
      <c r="G905" s="39">
        <v>44652</v>
      </c>
    </row>
    <row r="906" spans="1:7" x14ac:dyDescent="0.25">
      <c r="A906" t="s">
        <v>33</v>
      </c>
      <c r="B906">
        <v>2022</v>
      </c>
      <c r="C906" t="s">
        <v>11</v>
      </c>
      <c r="D906">
        <v>0</v>
      </c>
      <c r="E906">
        <v>12255.354525999999</v>
      </c>
      <c r="F906">
        <v>113257.03724400002</v>
      </c>
      <c r="G906" s="39">
        <v>44682</v>
      </c>
    </row>
    <row r="907" spans="1:7" x14ac:dyDescent="0.25">
      <c r="A907" t="s">
        <v>33</v>
      </c>
      <c r="B907">
        <v>2022</v>
      </c>
      <c r="C907" t="s">
        <v>12</v>
      </c>
      <c r="D907">
        <v>0</v>
      </c>
      <c r="E907">
        <v>34921.171500999997</v>
      </c>
      <c r="F907">
        <v>78335.865743000031</v>
      </c>
      <c r="G907" s="39">
        <v>44713</v>
      </c>
    </row>
    <row r="908" spans="1:7" x14ac:dyDescent="0.25">
      <c r="A908" t="s">
        <v>33</v>
      </c>
      <c r="B908">
        <v>2022</v>
      </c>
      <c r="C908" t="s">
        <v>13</v>
      </c>
      <c r="D908">
        <v>0</v>
      </c>
      <c r="E908">
        <v>56993.987448</v>
      </c>
      <c r="F908">
        <v>21341.878295000031</v>
      </c>
      <c r="G908" s="39">
        <v>44743</v>
      </c>
    </row>
    <row r="909" spans="1:7" x14ac:dyDescent="0.25">
      <c r="A909" t="s">
        <v>33</v>
      </c>
      <c r="B909">
        <v>2022</v>
      </c>
      <c r="C909" t="s">
        <v>14</v>
      </c>
      <c r="D909">
        <v>0</v>
      </c>
      <c r="E909">
        <v>33801.058449999997</v>
      </c>
      <c r="F909">
        <v>-12459.180154999965</v>
      </c>
      <c r="G909" s="39">
        <v>44774</v>
      </c>
    </row>
    <row r="910" spans="1:7" x14ac:dyDescent="0.25">
      <c r="A910" t="s">
        <v>33</v>
      </c>
      <c r="B910">
        <v>2022</v>
      </c>
      <c r="C910" t="s">
        <v>15</v>
      </c>
      <c r="D910">
        <v>0</v>
      </c>
      <c r="E910">
        <v>-65.889003000000002</v>
      </c>
      <c r="F910">
        <v>-12393.291151999965</v>
      </c>
      <c r="G910" s="39">
        <v>44805</v>
      </c>
    </row>
    <row r="911" spans="1:7" x14ac:dyDescent="0.25">
      <c r="A911" t="s">
        <v>33</v>
      </c>
      <c r="B911">
        <v>2022</v>
      </c>
      <c r="C911" t="s">
        <v>16</v>
      </c>
      <c r="D911">
        <v>0</v>
      </c>
      <c r="E911">
        <v>0</v>
      </c>
      <c r="F911">
        <v>-12393.291151999965</v>
      </c>
      <c r="G911" s="39">
        <v>44835</v>
      </c>
    </row>
    <row r="912" spans="1:7" x14ac:dyDescent="0.25">
      <c r="A912" t="s">
        <v>33</v>
      </c>
      <c r="B912">
        <v>2022</v>
      </c>
      <c r="C912" t="s">
        <v>17</v>
      </c>
      <c r="D912">
        <v>0</v>
      </c>
      <c r="E912">
        <v>0</v>
      </c>
      <c r="F912">
        <v>-12393.291151999965</v>
      </c>
      <c r="G912" s="39">
        <v>44866</v>
      </c>
    </row>
    <row r="913" spans="1:7" x14ac:dyDescent="0.25">
      <c r="A913" t="s">
        <v>33</v>
      </c>
      <c r="B913">
        <v>2022</v>
      </c>
      <c r="C913" t="s">
        <v>18</v>
      </c>
      <c r="D913">
        <v>0</v>
      </c>
      <c r="E913">
        <v>0</v>
      </c>
      <c r="F913">
        <v>-12393.291151999965</v>
      </c>
      <c r="G913" s="39">
        <v>44896</v>
      </c>
    </row>
    <row r="914" spans="1:7" x14ac:dyDescent="0.25">
      <c r="A914" t="s">
        <v>33</v>
      </c>
      <c r="B914">
        <v>2023</v>
      </c>
      <c r="C914" t="s">
        <v>7</v>
      </c>
      <c r="D914">
        <v>0</v>
      </c>
      <c r="E914">
        <v>65.889003000000002</v>
      </c>
      <c r="F914">
        <v>-12459.180154999965</v>
      </c>
      <c r="G914" s="39">
        <v>44927</v>
      </c>
    </row>
    <row r="915" spans="1:7" x14ac:dyDescent="0.25">
      <c r="A915" t="s">
        <v>33</v>
      </c>
      <c r="B915">
        <v>2023</v>
      </c>
      <c r="C915" t="s">
        <v>8</v>
      </c>
      <c r="D915">
        <v>207563.97999699999</v>
      </c>
      <c r="E915">
        <v>329.44501400000001</v>
      </c>
      <c r="F915">
        <v>194775.35482800001</v>
      </c>
      <c r="G915" s="39">
        <v>44958</v>
      </c>
    </row>
    <row r="916" spans="1:7" x14ac:dyDescent="0.25">
      <c r="A916" t="s">
        <v>33</v>
      </c>
      <c r="B916">
        <v>2023</v>
      </c>
      <c r="C916" t="s">
        <v>9</v>
      </c>
      <c r="D916">
        <v>0</v>
      </c>
      <c r="E916">
        <v>13244.537106</v>
      </c>
      <c r="F916">
        <v>181530.81772200001</v>
      </c>
      <c r="G916" s="39">
        <v>44986</v>
      </c>
    </row>
    <row r="917" spans="1:7" x14ac:dyDescent="0.25">
      <c r="A917" t="s">
        <v>33</v>
      </c>
      <c r="B917">
        <v>2023</v>
      </c>
      <c r="C917" t="s">
        <v>10</v>
      </c>
      <c r="D917">
        <v>0</v>
      </c>
      <c r="E917">
        <v>21679.329826000001</v>
      </c>
      <c r="F917">
        <v>159851.48789600001</v>
      </c>
      <c r="G917" s="39">
        <v>45017</v>
      </c>
    </row>
    <row r="918" spans="1:7" x14ac:dyDescent="0.25">
      <c r="A918" t="s">
        <v>33</v>
      </c>
      <c r="B918">
        <v>2023</v>
      </c>
      <c r="C918" t="s">
        <v>11</v>
      </c>
      <c r="D918">
        <v>0</v>
      </c>
      <c r="E918">
        <v>30666.715478999999</v>
      </c>
      <c r="F918">
        <v>129184.772417</v>
      </c>
      <c r="G918" s="39">
        <v>45047</v>
      </c>
    </row>
    <row r="919" spans="1:7" x14ac:dyDescent="0.25">
      <c r="A919" t="s">
        <v>33</v>
      </c>
      <c r="B919">
        <v>2023</v>
      </c>
      <c r="C919" t="s">
        <v>12</v>
      </c>
      <c r="D919">
        <v>0</v>
      </c>
      <c r="E919">
        <v>27582.946677</v>
      </c>
      <c r="F919">
        <v>101601.82574</v>
      </c>
      <c r="G919" s="39">
        <v>45078</v>
      </c>
    </row>
    <row r="920" spans="1:7" x14ac:dyDescent="0.25">
      <c r="A920" t="s">
        <v>33</v>
      </c>
      <c r="B920">
        <v>2023</v>
      </c>
      <c r="C920" t="s">
        <v>13</v>
      </c>
      <c r="D920">
        <v>0</v>
      </c>
      <c r="E920">
        <v>15451.985183000001</v>
      </c>
      <c r="F920">
        <v>86149.840557000003</v>
      </c>
      <c r="G920" s="39">
        <v>45108</v>
      </c>
    </row>
    <row r="921" spans="1:7" x14ac:dyDescent="0.25">
      <c r="A921" t="s">
        <v>33</v>
      </c>
      <c r="B921">
        <v>2023</v>
      </c>
      <c r="C921" t="s">
        <v>14</v>
      </c>
      <c r="D921">
        <v>0</v>
      </c>
      <c r="E921">
        <v>15405.859850000001</v>
      </c>
      <c r="F921">
        <v>70743.98070700001</v>
      </c>
      <c r="G921" s="39">
        <v>45139</v>
      </c>
    </row>
    <row r="922" spans="1:7" x14ac:dyDescent="0.25">
      <c r="A922" t="s">
        <v>33</v>
      </c>
      <c r="B922">
        <v>2023</v>
      </c>
      <c r="C922" t="s">
        <v>15</v>
      </c>
      <c r="D922">
        <v>0</v>
      </c>
      <c r="E922">
        <v>32702.858183</v>
      </c>
      <c r="F922">
        <v>38041.122524000006</v>
      </c>
      <c r="G922" s="39">
        <v>45170</v>
      </c>
    </row>
    <row r="923" spans="1:7" x14ac:dyDescent="0.25">
      <c r="A923" t="s">
        <v>33</v>
      </c>
      <c r="B923">
        <v>2023</v>
      </c>
      <c r="C923" t="s">
        <v>16</v>
      </c>
      <c r="D923">
        <v>0</v>
      </c>
      <c r="E923">
        <v>21309.901948999999</v>
      </c>
      <c r="F923">
        <v>16731.220575000007</v>
      </c>
      <c r="G923" s="39">
        <v>45200</v>
      </c>
    </row>
    <row r="924" spans="1:7" x14ac:dyDescent="0.25">
      <c r="A924" t="s">
        <v>33</v>
      </c>
      <c r="B924">
        <v>2023</v>
      </c>
      <c r="C924" t="s">
        <v>17</v>
      </c>
      <c r="D924">
        <v>0</v>
      </c>
      <c r="E924">
        <v>27260.069351999999</v>
      </c>
      <c r="F924">
        <v>-10528.848776999992</v>
      </c>
      <c r="G924" s="39">
        <v>45231</v>
      </c>
    </row>
    <row r="925" spans="1:7" x14ac:dyDescent="0.25">
      <c r="A925" t="s">
        <v>33</v>
      </c>
      <c r="B925">
        <v>2023</v>
      </c>
      <c r="C925" t="s">
        <v>18</v>
      </c>
      <c r="D925">
        <v>0</v>
      </c>
      <c r="E925">
        <v>1291.5092099999999</v>
      </c>
      <c r="F925">
        <v>-11820.357986999992</v>
      </c>
      <c r="G925" s="39">
        <v>45261</v>
      </c>
    </row>
    <row r="926" spans="1:7" x14ac:dyDescent="0.25">
      <c r="A926" t="s">
        <v>33</v>
      </c>
      <c r="B926">
        <v>2024</v>
      </c>
      <c r="C926" t="s">
        <v>7</v>
      </c>
      <c r="F926">
        <v>-11820.357986999992</v>
      </c>
      <c r="G926" s="39">
        <v>45292</v>
      </c>
    </row>
    <row r="927" spans="1:7" x14ac:dyDescent="0.25">
      <c r="A927" t="s">
        <v>33</v>
      </c>
      <c r="B927">
        <v>2024</v>
      </c>
      <c r="C927" t="s">
        <v>8</v>
      </c>
      <c r="F927">
        <v>-11820.357986999992</v>
      </c>
      <c r="G927" s="39">
        <v>45323</v>
      </c>
    </row>
    <row r="928" spans="1:7" x14ac:dyDescent="0.25">
      <c r="A928" t="s">
        <v>33</v>
      </c>
      <c r="B928">
        <v>2024</v>
      </c>
      <c r="C928" t="s">
        <v>9</v>
      </c>
      <c r="F928">
        <v>-11820.357986999992</v>
      </c>
      <c r="G928" s="39">
        <v>45352</v>
      </c>
    </row>
    <row r="929" spans="1:7" x14ac:dyDescent="0.25">
      <c r="A929" t="s">
        <v>33</v>
      </c>
      <c r="B929">
        <v>2024</v>
      </c>
      <c r="C929" t="s">
        <v>10</v>
      </c>
      <c r="F929">
        <v>-11820.357986999992</v>
      </c>
      <c r="G929" s="39">
        <v>45383</v>
      </c>
    </row>
    <row r="930" spans="1:7" x14ac:dyDescent="0.25">
      <c r="A930" t="s">
        <v>33</v>
      </c>
      <c r="B930">
        <v>2024</v>
      </c>
      <c r="C930" t="s">
        <v>11</v>
      </c>
      <c r="F930">
        <v>-11820.357986999992</v>
      </c>
      <c r="G930" s="39">
        <v>45413</v>
      </c>
    </row>
    <row r="931" spans="1:7" x14ac:dyDescent="0.25">
      <c r="A931" t="s">
        <v>33</v>
      </c>
      <c r="B931">
        <v>2024</v>
      </c>
      <c r="C931" t="s">
        <v>12</v>
      </c>
      <c r="F931">
        <v>-11820.357986999992</v>
      </c>
      <c r="G931" s="39">
        <v>45444</v>
      </c>
    </row>
    <row r="932" spans="1:7" x14ac:dyDescent="0.25">
      <c r="A932" t="s">
        <v>33</v>
      </c>
      <c r="B932">
        <v>2024</v>
      </c>
      <c r="C932" t="s">
        <v>13</v>
      </c>
      <c r="F932">
        <v>-11820.357986999992</v>
      </c>
      <c r="G932" s="39">
        <v>45474</v>
      </c>
    </row>
    <row r="933" spans="1:7" x14ac:dyDescent="0.25">
      <c r="A933" t="s">
        <v>33</v>
      </c>
      <c r="B933">
        <v>2024</v>
      </c>
      <c r="C933" t="s">
        <v>14</v>
      </c>
      <c r="F933">
        <v>-11820.357986999992</v>
      </c>
      <c r="G933" s="39">
        <v>45505</v>
      </c>
    </row>
    <row r="934" spans="1:7" x14ac:dyDescent="0.25">
      <c r="A934" t="s">
        <v>33</v>
      </c>
      <c r="B934">
        <v>2024</v>
      </c>
      <c r="C934" t="s">
        <v>15</v>
      </c>
      <c r="F934">
        <v>-11820.357986999992</v>
      </c>
      <c r="G934" s="39">
        <v>45536</v>
      </c>
    </row>
    <row r="935" spans="1:7" x14ac:dyDescent="0.25">
      <c r="A935" t="s">
        <v>33</v>
      </c>
      <c r="B935">
        <v>2024</v>
      </c>
      <c r="C935" t="s">
        <v>16</v>
      </c>
      <c r="F935">
        <v>-11820.357986999992</v>
      </c>
      <c r="G935" s="39">
        <v>45566</v>
      </c>
    </row>
    <row r="936" spans="1:7" x14ac:dyDescent="0.25">
      <c r="A936" t="s">
        <v>33</v>
      </c>
      <c r="B936">
        <v>2024</v>
      </c>
      <c r="C936" t="s">
        <v>17</v>
      </c>
      <c r="F936">
        <v>-11820.357986999992</v>
      </c>
      <c r="G936" s="39">
        <v>45597</v>
      </c>
    </row>
    <row r="937" spans="1:7" x14ac:dyDescent="0.25">
      <c r="A937" t="s">
        <v>33</v>
      </c>
      <c r="B937">
        <v>2024</v>
      </c>
      <c r="C937" t="s">
        <v>18</v>
      </c>
      <c r="F937">
        <v>-11820.357986999992</v>
      </c>
      <c r="G937" s="39">
        <v>45627</v>
      </c>
    </row>
    <row r="938" spans="1:7" x14ac:dyDescent="0.25">
      <c r="A938" t="s">
        <v>34</v>
      </c>
      <c r="B938">
        <v>2019</v>
      </c>
      <c r="C938" t="s">
        <v>7</v>
      </c>
      <c r="F938">
        <v>0</v>
      </c>
      <c r="G938" s="39">
        <v>43466</v>
      </c>
    </row>
    <row r="939" spans="1:7" x14ac:dyDescent="0.25">
      <c r="A939" t="s">
        <v>34</v>
      </c>
      <c r="B939">
        <v>2019</v>
      </c>
      <c r="C939" t="s">
        <v>8</v>
      </c>
      <c r="F939">
        <v>0</v>
      </c>
      <c r="G939" s="39">
        <v>43497</v>
      </c>
    </row>
    <row r="940" spans="1:7" x14ac:dyDescent="0.25">
      <c r="A940" t="s">
        <v>34</v>
      </c>
      <c r="B940">
        <v>2019</v>
      </c>
      <c r="C940" t="s">
        <v>9</v>
      </c>
      <c r="F940">
        <v>0</v>
      </c>
      <c r="G940" s="39">
        <v>43525</v>
      </c>
    </row>
    <row r="941" spans="1:7" x14ac:dyDescent="0.25">
      <c r="A941" t="s">
        <v>34</v>
      </c>
      <c r="B941">
        <v>2019</v>
      </c>
      <c r="C941" t="s">
        <v>10</v>
      </c>
      <c r="F941">
        <v>0</v>
      </c>
      <c r="G941" s="39">
        <v>43556</v>
      </c>
    </row>
    <row r="942" spans="1:7" x14ac:dyDescent="0.25">
      <c r="A942" t="s">
        <v>34</v>
      </c>
      <c r="B942">
        <v>2019</v>
      </c>
      <c r="C942" t="s">
        <v>11</v>
      </c>
      <c r="F942">
        <v>0</v>
      </c>
      <c r="G942" s="39">
        <v>43586</v>
      </c>
    </row>
    <row r="943" spans="1:7" x14ac:dyDescent="0.25">
      <c r="A943" t="s">
        <v>34</v>
      </c>
      <c r="B943">
        <v>2019</v>
      </c>
      <c r="C943" t="s">
        <v>12</v>
      </c>
      <c r="F943">
        <v>0</v>
      </c>
      <c r="G943" s="39">
        <v>43617</v>
      </c>
    </row>
    <row r="944" spans="1:7" x14ac:dyDescent="0.25">
      <c r="A944" t="s">
        <v>34</v>
      </c>
      <c r="B944">
        <v>2019</v>
      </c>
      <c r="C944" t="s">
        <v>13</v>
      </c>
      <c r="F944">
        <v>0</v>
      </c>
      <c r="G944" s="39">
        <v>43647</v>
      </c>
    </row>
    <row r="945" spans="1:7" x14ac:dyDescent="0.25">
      <c r="A945" t="s">
        <v>34</v>
      </c>
      <c r="B945">
        <v>2019</v>
      </c>
      <c r="C945" t="s">
        <v>14</v>
      </c>
      <c r="F945">
        <v>0</v>
      </c>
      <c r="G945" s="39">
        <v>43678</v>
      </c>
    </row>
    <row r="946" spans="1:7" x14ac:dyDescent="0.25">
      <c r="A946" t="s">
        <v>34</v>
      </c>
      <c r="B946">
        <v>2019</v>
      </c>
      <c r="C946" t="s">
        <v>15</v>
      </c>
      <c r="F946">
        <v>0</v>
      </c>
      <c r="G946" s="39">
        <v>43709</v>
      </c>
    </row>
    <row r="947" spans="1:7" x14ac:dyDescent="0.25">
      <c r="A947" t="s">
        <v>34</v>
      </c>
      <c r="B947">
        <v>2019</v>
      </c>
      <c r="C947" t="s">
        <v>16</v>
      </c>
      <c r="F947">
        <v>0</v>
      </c>
      <c r="G947" s="39">
        <v>43739</v>
      </c>
    </row>
    <row r="948" spans="1:7" x14ac:dyDescent="0.25">
      <c r="A948" t="s">
        <v>34</v>
      </c>
      <c r="B948">
        <v>2019</v>
      </c>
      <c r="C948" t="s">
        <v>17</v>
      </c>
      <c r="F948">
        <v>0</v>
      </c>
      <c r="G948" s="39">
        <v>43770</v>
      </c>
    </row>
    <row r="949" spans="1:7" x14ac:dyDescent="0.25">
      <c r="A949" t="s">
        <v>34</v>
      </c>
      <c r="B949">
        <v>2019</v>
      </c>
      <c r="C949" t="s">
        <v>18</v>
      </c>
      <c r="F949">
        <v>0</v>
      </c>
      <c r="G949" s="39">
        <v>43800</v>
      </c>
    </row>
    <row r="950" spans="1:7" x14ac:dyDescent="0.25">
      <c r="A950" t="s">
        <v>34</v>
      </c>
      <c r="B950">
        <v>2020</v>
      </c>
      <c r="C950" t="s">
        <v>7</v>
      </c>
      <c r="F950">
        <v>0</v>
      </c>
      <c r="G950" s="39">
        <v>43831</v>
      </c>
    </row>
    <row r="951" spans="1:7" x14ac:dyDescent="0.25">
      <c r="A951" t="s">
        <v>34</v>
      </c>
      <c r="B951">
        <v>2020</v>
      </c>
      <c r="C951" t="s">
        <v>8</v>
      </c>
      <c r="F951">
        <v>0</v>
      </c>
      <c r="G951" s="39">
        <v>43862</v>
      </c>
    </row>
    <row r="952" spans="1:7" x14ac:dyDescent="0.25">
      <c r="A952" t="s">
        <v>34</v>
      </c>
      <c r="B952">
        <v>2020</v>
      </c>
      <c r="C952" t="s">
        <v>9</v>
      </c>
      <c r="F952">
        <v>0</v>
      </c>
      <c r="G952" s="39">
        <v>43891</v>
      </c>
    </row>
    <row r="953" spans="1:7" x14ac:dyDescent="0.25">
      <c r="A953" t="s">
        <v>34</v>
      </c>
      <c r="B953">
        <v>2020</v>
      </c>
      <c r="C953" t="s">
        <v>10</v>
      </c>
      <c r="F953">
        <v>0</v>
      </c>
      <c r="G953" s="39">
        <v>43922</v>
      </c>
    </row>
    <row r="954" spans="1:7" x14ac:dyDescent="0.25">
      <c r="A954" t="s">
        <v>34</v>
      </c>
      <c r="B954">
        <v>2020</v>
      </c>
      <c r="C954" t="s">
        <v>11</v>
      </c>
      <c r="F954">
        <v>0</v>
      </c>
      <c r="G954" s="39">
        <v>43952</v>
      </c>
    </row>
    <row r="955" spans="1:7" x14ac:dyDescent="0.25">
      <c r="A955" t="s">
        <v>34</v>
      </c>
      <c r="B955">
        <v>2020</v>
      </c>
      <c r="C955" t="s">
        <v>12</v>
      </c>
      <c r="F955">
        <v>0</v>
      </c>
      <c r="G955" s="39">
        <v>43983</v>
      </c>
    </row>
    <row r="956" spans="1:7" x14ac:dyDescent="0.25">
      <c r="A956" t="s">
        <v>34</v>
      </c>
      <c r="B956">
        <v>2020</v>
      </c>
      <c r="C956" t="s">
        <v>13</v>
      </c>
      <c r="F956">
        <v>0</v>
      </c>
      <c r="G956" s="39">
        <v>44013</v>
      </c>
    </row>
    <row r="957" spans="1:7" x14ac:dyDescent="0.25">
      <c r="A957" t="s">
        <v>34</v>
      </c>
      <c r="B957">
        <v>2020</v>
      </c>
      <c r="C957" t="s">
        <v>14</v>
      </c>
      <c r="F957">
        <v>0</v>
      </c>
      <c r="G957" s="39">
        <v>44044</v>
      </c>
    </row>
    <row r="958" spans="1:7" x14ac:dyDescent="0.25">
      <c r="A958" t="s">
        <v>34</v>
      </c>
      <c r="B958">
        <v>2020</v>
      </c>
      <c r="C958" t="s">
        <v>15</v>
      </c>
      <c r="F958">
        <v>0</v>
      </c>
      <c r="G958" s="39">
        <v>44075</v>
      </c>
    </row>
    <row r="959" spans="1:7" x14ac:dyDescent="0.25">
      <c r="A959" t="s">
        <v>34</v>
      </c>
      <c r="B959">
        <v>2020</v>
      </c>
      <c r="C959" t="s">
        <v>16</v>
      </c>
      <c r="F959">
        <v>0</v>
      </c>
      <c r="G959" s="39">
        <v>44105</v>
      </c>
    </row>
    <row r="960" spans="1:7" x14ac:dyDescent="0.25">
      <c r="A960" t="s">
        <v>34</v>
      </c>
      <c r="B960">
        <v>2020</v>
      </c>
      <c r="C960" t="s">
        <v>17</v>
      </c>
      <c r="F960">
        <v>0</v>
      </c>
      <c r="G960" s="39">
        <v>44136</v>
      </c>
    </row>
    <row r="961" spans="1:7" x14ac:dyDescent="0.25">
      <c r="A961" t="s">
        <v>34</v>
      </c>
      <c r="B961">
        <v>2020</v>
      </c>
      <c r="C961" t="s">
        <v>18</v>
      </c>
      <c r="F961">
        <v>0</v>
      </c>
      <c r="G961" s="39">
        <v>44166</v>
      </c>
    </row>
    <row r="962" spans="1:7" x14ac:dyDescent="0.25">
      <c r="A962" t="s">
        <v>34</v>
      </c>
      <c r="B962">
        <v>2021</v>
      </c>
      <c r="C962" t="s">
        <v>7</v>
      </c>
      <c r="F962">
        <v>0</v>
      </c>
      <c r="G962" s="39">
        <v>44197</v>
      </c>
    </row>
    <row r="963" spans="1:7" x14ac:dyDescent="0.25">
      <c r="A963" t="s">
        <v>34</v>
      </c>
      <c r="B963">
        <v>2021</v>
      </c>
      <c r="C963" t="s">
        <v>8</v>
      </c>
      <c r="F963">
        <v>0</v>
      </c>
      <c r="G963" s="39">
        <v>44228</v>
      </c>
    </row>
    <row r="964" spans="1:7" x14ac:dyDescent="0.25">
      <c r="A964" t="s">
        <v>34</v>
      </c>
      <c r="B964">
        <v>2021</v>
      </c>
      <c r="C964" t="s">
        <v>9</v>
      </c>
      <c r="F964">
        <v>0</v>
      </c>
      <c r="G964" s="39">
        <v>44256</v>
      </c>
    </row>
    <row r="965" spans="1:7" x14ac:dyDescent="0.25">
      <c r="A965" t="s">
        <v>34</v>
      </c>
      <c r="B965">
        <v>2021</v>
      </c>
      <c r="C965" t="s">
        <v>10</v>
      </c>
      <c r="F965">
        <v>0</v>
      </c>
      <c r="G965" s="39">
        <v>44287</v>
      </c>
    </row>
    <row r="966" spans="1:7" x14ac:dyDescent="0.25">
      <c r="A966" t="s">
        <v>34</v>
      </c>
      <c r="B966">
        <v>2021</v>
      </c>
      <c r="C966" t="s">
        <v>11</v>
      </c>
      <c r="F966">
        <v>0</v>
      </c>
      <c r="G966" s="39">
        <v>44317</v>
      </c>
    </row>
    <row r="967" spans="1:7" x14ac:dyDescent="0.25">
      <c r="A967" t="s">
        <v>34</v>
      </c>
      <c r="B967">
        <v>2021</v>
      </c>
      <c r="C967" t="s">
        <v>12</v>
      </c>
      <c r="F967">
        <v>0</v>
      </c>
      <c r="G967" s="39">
        <v>44348</v>
      </c>
    </row>
    <row r="968" spans="1:7" x14ac:dyDescent="0.25">
      <c r="A968" t="s">
        <v>34</v>
      </c>
      <c r="B968">
        <v>2021</v>
      </c>
      <c r="C968" t="s">
        <v>13</v>
      </c>
      <c r="F968">
        <v>0</v>
      </c>
      <c r="G968" s="39">
        <v>44378</v>
      </c>
    </row>
    <row r="969" spans="1:7" x14ac:dyDescent="0.25">
      <c r="A969" t="s">
        <v>34</v>
      </c>
      <c r="B969">
        <v>2021</v>
      </c>
      <c r="C969" t="s">
        <v>14</v>
      </c>
      <c r="F969">
        <v>0</v>
      </c>
      <c r="G969" s="39">
        <v>44409</v>
      </c>
    </row>
    <row r="970" spans="1:7" x14ac:dyDescent="0.25">
      <c r="A970" t="s">
        <v>34</v>
      </c>
      <c r="B970">
        <v>2021</v>
      </c>
      <c r="C970" t="s">
        <v>15</v>
      </c>
      <c r="F970">
        <v>0</v>
      </c>
      <c r="G970" s="39">
        <v>44440</v>
      </c>
    </row>
    <row r="971" spans="1:7" x14ac:dyDescent="0.25">
      <c r="A971" t="s">
        <v>34</v>
      </c>
      <c r="B971">
        <v>2021</v>
      </c>
      <c r="C971" t="s">
        <v>16</v>
      </c>
      <c r="F971">
        <v>0</v>
      </c>
      <c r="G971" s="39">
        <v>44470</v>
      </c>
    </row>
    <row r="972" spans="1:7" x14ac:dyDescent="0.25">
      <c r="A972" t="s">
        <v>34</v>
      </c>
      <c r="B972">
        <v>2021</v>
      </c>
      <c r="C972" t="s">
        <v>17</v>
      </c>
      <c r="F972">
        <v>0</v>
      </c>
      <c r="G972" s="39">
        <v>44501</v>
      </c>
    </row>
    <row r="973" spans="1:7" x14ac:dyDescent="0.25">
      <c r="A973" t="s">
        <v>34</v>
      </c>
      <c r="B973">
        <v>2021</v>
      </c>
      <c r="C973" t="s">
        <v>18</v>
      </c>
      <c r="F973">
        <v>0</v>
      </c>
      <c r="G973" s="39">
        <v>44531</v>
      </c>
    </row>
    <row r="974" spans="1:7" x14ac:dyDescent="0.25">
      <c r="A974" t="s">
        <v>34</v>
      </c>
      <c r="B974">
        <v>2022</v>
      </c>
      <c r="C974" t="s">
        <v>7</v>
      </c>
      <c r="F974">
        <v>0</v>
      </c>
      <c r="G974" s="39">
        <v>44562</v>
      </c>
    </row>
    <row r="975" spans="1:7" x14ac:dyDescent="0.25">
      <c r="A975" t="s">
        <v>34</v>
      </c>
      <c r="B975">
        <v>2022</v>
      </c>
      <c r="C975" t="s">
        <v>8</v>
      </c>
      <c r="F975">
        <v>0</v>
      </c>
      <c r="G975" s="39">
        <v>44593</v>
      </c>
    </row>
    <row r="976" spans="1:7" x14ac:dyDescent="0.25">
      <c r="A976" t="s">
        <v>34</v>
      </c>
      <c r="B976">
        <v>2022</v>
      </c>
      <c r="C976" t="s">
        <v>9</v>
      </c>
      <c r="F976">
        <v>0</v>
      </c>
      <c r="G976" s="39">
        <v>44621</v>
      </c>
    </row>
    <row r="977" spans="1:7" x14ac:dyDescent="0.25">
      <c r="A977" t="s">
        <v>34</v>
      </c>
      <c r="B977">
        <v>2022</v>
      </c>
      <c r="C977" t="s">
        <v>10</v>
      </c>
      <c r="F977">
        <v>0</v>
      </c>
      <c r="G977" s="39">
        <v>44652</v>
      </c>
    </row>
    <row r="978" spans="1:7" x14ac:dyDescent="0.25">
      <c r="A978" t="s">
        <v>34</v>
      </c>
      <c r="B978">
        <v>2022</v>
      </c>
      <c r="C978" t="s">
        <v>11</v>
      </c>
      <c r="F978">
        <v>0</v>
      </c>
      <c r="G978" s="39">
        <v>44682</v>
      </c>
    </row>
    <row r="979" spans="1:7" x14ac:dyDescent="0.25">
      <c r="A979" t="s">
        <v>34</v>
      </c>
      <c r="B979">
        <v>2022</v>
      </c>
      <c r="C979" t="s">
        <v>12</v>
      </c>
      <c r="F979">
        <v>0</v>
      </c>
      <c r="G979" s="39">
        <v>44713</v>
      </c>
    </row>
    <row r="980" spans="1:7" x14ac:dyDescent="0.25">
      <c r="A980" t="s">
        <v>34</v>
      </c>
      <c r="B980">
        <v>2022</v>
      </c>
      <c r="C980" t="s">
        <v>13</v>
      </c>
      <c r="F980">
        <v>0</v>
      </c>
      <c r="G980" s="39">
        <v>44743</v>
      </c>
    </row>
    <row r="981" spans="1:7" x14ac:dyDescent="0.25">
      <c r="A981" t="s">
        <v>34</v>
      </c>
      <c r="B981">
        <v>2022</v>
      </c>
      <c r="C981" t="s">
        <v>14</v>
      </c>
      <c r="D981">
        <v>1</v>
      </c>
      <c r="E981">
        <v>0</v>
      </c>
      <c r="F981">
        <v>1</v>
      </c>
      <c r="G981" s="39">
        <v>44774</v>
      </c>
    </row>
    <row r="982" spans="1:7" x14ac:dyDescent="0.25">
      <c r="A982" t="s">
        <v>34</v>
      </c>
      <c r="B982">
        <v>2022</v>
      </c>
      <c r="C982" t="s">
        <v>15</v>
      </c>
      <c r="D982">
        <v>0</v>
      </c>
      <c r="E982">
        <v>0</v>
      </c>
      <c r="F982">
        <v>1</v>
      </c>
      <c r="G982" s="39">
        <v>44805</v>
      </c>
    </row>
    <row r="983" spans="1:7" x14ac:dyDescent="0.25">
      <c r="A983" t="s">
        <v>34</v>
      </c>
      <c r="B983">
        <v>2022</v>
      </c>
      <c r="C983" t="s">
        <v>16</v>
      </c>
      <c r="D983">
        <v>0</v>
      </c>
      <c r="E983">
        <v>0</v>
      </c>
      <c r="F983">
        <v>1</v>
      </c>
      <c r="G983" s="39">
        <v>44835</v>
      </c>
    </row>
    <row r="984" spans="1:7" x14ac:dyDescent="0.25">
      <c r="A984" t="s">
        <v>34</v>
      </c>
      <c r="B984">
        <v>2022</v>
      </c>
      <c r="C984" t="s">
        <v>17</v>
      </c>
      <c r="D984">
        <v>0.99</v>
      </c>
      <c r="E984">
        <v>0</v>
      </c>
      <c r="F984">
        <v>1.99</v>
      </c>
      <c r="G984" s="39">
        <v>44866</v>
      </c>
    </row>
    <row r="985" spans="1:7" x14ac:dyDescent="0.25">
      <c r="A985" t="s">
        <v>34</v>
      </c>
      <c r="B985">
        <v>2022</v>
      </c>
      <c r="C985" t="s">
        <v>18</v>
      </c>
      <c r="D985">
        <v>0</v>
      </c>
      <c r="E985">
        <v>0</v>
      </c>
      <c r="F985">
        <v>1.99</v>
      </c>
      <c r="G985" s="39">
        <v>44896</v>
      </c>
    </row>
    <row r="986" spans="1:7" x14ac:dyDescent="0.25">
      <c r="A986" t="s">
        <v>34</v>
      </c>
      <c r="B986">
        <v>2023</v>
      </c>
      <c r="C986" t="s">
        <v>7</v>
      </c>
      <c r="D986">
        <v>0</v>
      </c>
      <c r="E986">
        <v>0</v>
      </c>
      <c r="F986">
        <v>1.99</v>
      </c>
      <c r="G986" s="39">
        <v>44927</v>
      </c>
    </row>
    <row r="987" spans="1:7" x14ac:dyDescent="0.25">
      <c r="A987" t="s">
        <v>34</v>
      </c>
      <c r="B987">
        <v>2023</v>
      </c>
      <c r="C987" t="s">
        <v>8</v>
      </c>
      <c r="D987">
        <v>0</v>
      </c>
      <c r="E987">
        <v>0</v>
      </c>
      <c r="F987">
        <v>1.99</v>
      </c>
      <c r="G987" s="39">
        <v>44958</v>
      </c>
    </row>
    <row r="988" spans="1:7" x14ac:dyDescent="0.25">
      <c r="A988" t="s">
        <v>34</v>
      </c>
      <c r="B988">
        <v>2023</v>
      </c>
      <c r="C988" t="s">
        <v>9</v>
      </c>
      <c r="D988">
        <v>44019.5</v>
      </c>
      <c r="E988">
        <v>5141.4776000000002</v>
      </c>
      <c r="F988">
        <v>38880.0124</v>
      </c>
      <c r="G988" s="39">
        <v>44986</v>
      </c>
    </row>
    <row r="989" spans="1:7" x14ac:dyDescent="0.25">
      <c r="A989" t="s">
        <v>34</v>
      </c>
      <c r="B989">
        <v>2023</v>
      </c>
      <c r="C989" t="s">
        <v>10</v>
      </c>
      <c r="D989">
        <v>0</v>
      </c>
      <c r="E989">
        <v>15283.570400000001</v>
      </c>
      <c r="F989">
        <v>23596.441999999999</v>
      </c>
      <c r="G989" s="39">
        <v>45017</v>
      </c>
    </row>
    <row r="990" spans="1:7" x14ac:dyDescent="0.25">
      <c r="A990" t="s">
        <v>34</v>
      </c>
      <c r="B990">
        <v>2023</v>
      </c>
      <c r="C990" t="s">
        <v>11</v>
      </c>
      <c r="D990">
        <v>29986.15</v>
      </c>
      <c r="E990">
        <v>18499.904870999999</v>
      </c>
      <c r="F990">
        <v>35082.687129000005</v>
      </c>
      <c r="G990" s="39">
        <v>45047</v>
      </c>
    </row>
    <row r="991" spans="1:7" x14ac:dyDescent="0.25">
      <c r="A991" t="s">
        <v>34</v>
      </c>
      <c r="B991">
        <v>2023</v>
      </c>
      <c r="C991" t="s">
        <v>12</v>
      </c>
      <c r="D991">
        <v>0</v>
      </c>
      <c r="E991">
        <v>19372.392230000001</v>
      </c>
      <c r="F991">
        <v>15710.294899000004</v>
      </c>
      <c r="G991" s="39">
        <v>45078</v>
      </c>
    </row>
    <row r="992" spans="1:7" x14ac:dyDescent="0.25">
      <c r="A992" t="s">
        <v>34</v>
      </c>
      <c r="B992">
        <v>2023</v>
      </c>
      <c r="C992" t="s">
        <v>13</v>
      </c>
      <c r="D992">
        <v>33735.07</v>
      </c>
      <c r="E992">
        <v>17657.054898999999</v>
      </c>
      <c r="F992">
        <v>31788.310000000009</v>
      </c>
      <c r="G992" s="39">
        <v>45108</v>
      </c>
    </row>
    <row r="993" spans="1:7" x14ac:dyDescent="0.25">
      <c r="A993" t="s">
        <v>34</v>
      </c>
      <c r="B993">
        <v>2023</v>
      </c>
      <c r="C993" t="s">
        <v>14</v>
      </c>
      <c r="D993">
        <v>55605.27</v>
      </c>
      <c r="E993">
        <v>11050.875183</v>
      </c>
      <c r="F993">
        <v>76342.704817000005</v>
      </c>
      <c r="G993" s="39">
        <v>45139</v>
      </c>
    </row>
    <row r="994" spans="1:7" x14ac:dyDescent="0.25">
      <c r="A994" t="s">
        <v>34</v>
      </c>
      <c r="B994">
        <v>2023</v>
      </c>
      <c r="C994" t="s">
        <v>15</v>
      </c>
      <c r="D994">
        <v>0</v>
      </c>
      <c r="E994">
        <v>11500.605331999999</v>
      </c>
      <c r="F994">
        <v>64842.099485000006</v>
      </c>
      <c r="G994" s="39">
        <v>45170</v>
      </c>
    </row>
    <row r="995" spans="1:7" x14ac:dyDescent="0.25">
      <c r="A995" t="s">
        <v>34</v>
      </c>
      <c r="B995">
        <v>2023</v>
      </c>
      <c r="C995" t="s">
        <v>16</v>
      </c>
      <c r="D995">
        <v>0</v>
      </c>
      <c r="E995">
        <v>21458.1944</v>
      </c>
      <c r="F995">
        <v>43383.905085000006</v>
      </c>
      <c r="G995" s="39">
        <v>45200</v>
      </c>
    </row>
    <row r="996" spans="1:7" x14ac:dyDescent="0.25">
      <c r="A996" t="s">
        <v>34</v>
      </c>
      <c r="B996">
        <v>2023</v>
      </c>
      <c r="C996" t="s">
        <v>17</v>
      </c>
      <c r="D996">
        <v>51806.53</v>
      </c>
      <c r="E996">
        <v>21790.032320999999</v>
      </c>
      <c r="F996">
        <v>73400.402763999999</v>
      </c>
      <c r="G996" s="39">
        <v>45231</v>
      </c>
    </row>
    <row r="997" spans="1:7" x14ac:dyDescent="0.25">
      <c r="A997" t="s">
        <v>34</v>
      </c>
      <c r="B997">
        <v>2023</v>
      </c>
      <c r="C997" t="s">
        <v>18</v>
      </c>
      <c r="D997">
        <v>0</v>
      </c>
      <c r="E997">
        <v>14026.563086</v>
      </c>
      <c r="F997">
        <v>59373.839677999997</v>
      </c>
      <c r="G997" s="39">
        <v>45261</v>
      </c>
    </row>
    <row r="998" spans="1:7" x14ac:dyDescent="0.25">
      <c r="A998" t="s">
        <v>34</v>
      </c>
      <c r="B998">
        <v>2024</v>
      </c>
      <c r="C998" t="s">
        <v>7</v>
      </c>
      <c r="F998">
        <v>59373.839677999997</v>
      </c>
      <c r="G998" s="39">
        <v>45292</v>
      </c>
    </row>
    <row r="999" spans="1:7" x14ac:dyDescent="0.25">
      <c r="A999" t="s">
        <v>34</v>
      </c>
      <c r="B999">
        <v>2024</v>
      </c>
      <c r="C999" t="s">
        <v>8</v>
      </c>
      <c r="F999">
        <v>59373.839677999997</v>
      </c>
      <c r="G999" s="39">
        <v>45323</v>
      </c>
    </row>
    <row r="1000" spans="1:7" x14ac:dyDescent="0.25">
      <c r="A1000" t="s">
        <v>34</v>
      </c>
      <c r="B1000">
        <v>2024</v>
      </c>
      <c r="C1000" t="s">
        <v>9</v>
      </c>
      <c r="F1000">
        <v>59373.839677999997</v>
      </c>
      <c r="G1000" s="39">
        <v>45352</v>
      </c>
    </row>
    <row r="1001" spans="1:7" x14ac:dyDescent="0.25">
      <c r="A1001" t="s">
        <v>34</v>
      </c>
      <c r="B1001">
        <v>2024</v>
      </c>
      <c r="C1001" t="s">
        <v>10</v>
      </c>
      <c r="F1001">
        <v>59373.839677999997</v>
      </c>
      <c r="G1001" s="39">
        <v>45383</v>
      </c>
    </row>
    <row r="1002" spans="1:7" x14ac:dyDescent="0.25">
      <c r="A1002" t="s">
        <v>34</v>
      </c>
      <c r="B1002">
        <v>2024</v>
      </c>
      <c r="C1002" t="s">
        <v>11</v>
      </c>
      <c r="F1002">
        <v>59373.839677999997</v>
      </c>
      <c r="G1002" s="39">
        <v>45413</v>
      </c>
    </row>
    <row r="1003" spans="1:7" x14ac:dyDescent="0.25">
      <c r="A1003" t="s">
        <v>34</v>
      </c>
      <c r="B1003">
        <v>2024</v>
      </c>
      <c r="C1003" t="s">
        <v>12</v>
      </c>
      <c r="F1003">
        <v>59373.839677999997</v>
      </c>
      <c r="G1003" s="39">
        <v>45444</v>
      </c>
    </row>
    <row r="1004" spans="1:7" x14ac:dyDescent="0.25">
      <c r="A1004" t="s">
        <v>34</v>
      </c>
      <c r="B1004">
        <v>2024</v>
      </c>
      <c r="C1004" t="s">
        <v>13</v>
      </c>
      <c r="F1004">
        <v>59373.839677999997</v>
      </c>
      <c r="G1004" s="39">
        <v>45474</v>
      </c>
    </row>
    <row r="1005" spans="1:7" x14ac:dyDescent="0.25">
      <c r="A1005" t="s">
        <v>34</v>
      </c>
      <c r="B1005">
        <v>2024</v>
      </c>
      <c r="C1005" t="s">
        <v>14</v>
      </c>
      <c r="F1005">
        <v>59373.839677999997</v>
      </c>
      <c r="G1005" s="39">
        <v>45505</v>
      </c>
    </row>
    <row r="1006" spans="1:7" x14ac:dyDescent="0.25">
      <c r="A1006" t="s">
        <v>34</v>
      </c>
      <c r="B1006">
        <v>2024</v>
      </c>
      <c r="C1006" t="s">
        <v>15</v>
      </c>
      <c r="F1006">
        <v>59373.839677999997</v>
      </c>
      <c r="G1006" s="39">
        <v>45536</v>
      </c>
    </row>
    <row r="1007" spans="1:7" x14ac:dyDescent="0.25">
      <c r="A1007" t="s">
        <v>34</v>
      </c>
      <c r="B1007">
        <v>2024</v>
      </c>
      <c r="C1007" t="s">
        <v>16</v>
      </c>
      <c r="F1007">
        <v>59373.839677999997</v>
      </c>
      <c r="G1007" s="39">
        <v>45566</v>
      </c>
    </row>
    <row r="1008" spans="1:7" x14ac:dyDescent="0.25">
      <c r="A1008" t="s">
        <v>34</v>
      </c>
      <c r="B1008">
        <v>2024</v>
      </c>
      <c r="C1008" t="s">
        <v>17</v>
      </c>
      <c r="F1008">
        <v>59373.839677999997</v>
      </c>
      <c r="G1008" s="39">
        <v>45597</v>
      </c>
    </row>
    <row r="1009" spans="1:7" x14ac:dyDescent="0.25">
      <c r="A1009" t="s">
        <v>34</v>
      </c>
      <c r="B1009">
        <v>2024</v>
      </c>
      <c r="C1009" t="s">
        <v>18</v>
      </c>
      <c r="F1009">
        <v>59373.839677999997</v>
      </c>
      <c r="G1009" s="39">
        <v>45627</v>
      </c>
    </row>
    <row r="1010" spans="1:7" x14ac:dyDescent="0.25">
      <c r="A1010" t="s">
        <v>35</v>
      </c>
      <c r="B1010">
        <v>2019</v>
      </c>
      <c r="C1010" t="s">
        <v>7</v>
      </c>
      <c r="F1010">
        <v>0</v>
      </c>
      <c r="G1010" s="39">
        <v>43466</v>
      </c>
    </row>
    <row r="1011" spans="1:7" x14ac:dyDescent="0.25">
      <c r="A1011" t="s">
        <v>35</v>
      </c>
      <c r="B1011">
        <v>2019</v>
      </c>
      <c r="C1011" t="s">
        <v>8</v>
      </c>
      <c r="F1011">
        <v>0</v>
      </c>
      <c r="G1011" s="39">
        <v>43497</v>
      </c>
    </row>
    <row r="1012" spans="1:7" x14ac:dyDescent="0.25">
      <c r="A1012" t="s">
        <v>35</v>
      </c>
      <c r="B1012">
        <v>2019</v>
      </c>
      <c r="C1012" t="s">
        <v>9</v>
      </c>
      <c r="F1012">
        <v>0</v>
      </c>
      <c r="G1012" s="39">
        <v>43525</v>
      </c>
    </row>
    <row r="1013" spans="1:7" x14ac:dyDescent="0.25">
      <c r="A1013" t="s">
        <v>35</v>
      </c>
      <c r="B1013">
        <v>2019</v>
      </c>
      <c r="C1013" t="s">
        <v>10</v>
      </c>
      <c r="F1013">
        <v>0</v>
      </c>
      <c r="G1013" s="39">
        <v>43556</v>
      </c>
    </row>
    <row r="1014" spans="1:7" x14ac:dyDescent="0.25">
      <c r="A1014" t="s">
        <v>35</v>
      </c>
      <c r="B1014">
        <v>2019</v>
      </c>
      <c r="C1014" t="s">
        <v>11</v>
      </c>
      <c r="F1014">
        <v>0</v>
      </c>
      <c r="G1014" s="39">
        <v>43586</v>
      </c>
    </row>
    <row r="1015" spans="1:7" x14ac:dyDescent="0.25">
      <c r="A1015" t="s">
        <v>35</v>
      </c>
      <c r="B1015">
        <v>2019</v>
      </c>
      <c r="C1015" t="s">
        <v>12</v>
      </c>
      <c r="F1015">
        <v>0</v>
      </c>
      <c r="G1015" s="39">
        <v>43617</v>
      </c>
    </row>
    <row r="1016" spans="1:7" x14ac:dyDescent="0.25">
      <c r="A1016" t="s">
        <v>35</v>
      </c>
      <c r="B1016">
        <v>2019</v>
      </c>
      <c r="C1016" t="s">
        <v>13</v>
      </c>
      <c r="F1016">
        <v>0</v>
      </c>
      <c r="G1016" s="39">
        <v>43647</v>
      </c>
    </row>
    <row r="1017" spans="1:7" x14ac:dyDescent="0.25">
      <c r="A1017" t="s">
        <v>35</v>
      </c>
      <c r="B1017">
        <v>2019</v>
      </c>
      <c r="C1017" t="s">
        <v>14</v>
      </c>
      <c r="F1017">
        <v>0</v>
      </c>
      <c r="G1017" s="39">
        <v>43678</v>
      </c>
    </row>
    <row r="1018" spans="1:7" x14ac:dyDescent="0.25">
      <c r="A1018" t="s">
        <v>35</v>
      </c>
      <c r="B1018">
        <v>2019</v>
      </c>
      <c r="C1018" t="s">
        <v>15</v>
      </c>
      <c r="F1018">
        <v>0</v>
      </c>
      <c r="G1018" s="39">
        <v>43709</v>
      </c>
    </row>
    <row r="1019" spans="1:7" x14ac:dyDescent="0.25">
      <c r="A1019" t="s">
        <v>35</v>
      </c>
      <c r="B1019">
        <v>2019</v>
      </c>
      <c r="C1019" t="s">
        <v>16</v>
      </c>
      <c r="F1019">
        <v>0</v>
      </c>
      <c r="G1019" s="39">
        <v>43739</v>
      </c>
    </row>
    <row r="1020" spans="1:7" x14ac:dyDescent="0.25">
      <c r="A1020" t="s">
        <v>35</v>
      </c>
      <c r="B1020">
        <v>2019</v>
      </c>
      <c r="C1020" t="s">
        <v>17</v>
      </c>
      <c r="F1020">
        <v>0</v>
      </c>
      <c r="G1020" s="39">
        <v>43770</v>
      </c>
    </row>
    <row r="1021" spans="1:7" x14ac:dyDescent="0.25">
      <c r="A1021" t="s">
        <v>35</v>
      </c>
      <c r="B1021">
        <v>2019</v>
      </c>
      <c r="C1021" t="s">
        <v>18</v>
      </c>
      <c r="F1021">
        <v>0</v>
      </c>
      <c r="G1021" s="39">
        <v>43800</v>
      </c>
    </row>
    <row r="1022" spans="1:7" x14ac:dyDescent="0.25">
      <c r="A1022" t="s">
        <v>35</v>
      </c>
      <c r="B1022">
        <v>2020</v>
      </c>
      <c r="C1022" t="s">
        <v>7</v>
      </c>
      <c r="F1022">
        <v>0</v>
      </c>
      <c r="G1022" s="39">
        <v>43831</v>
      </c>
    </row>
    <row r="1023" spans="1:7" x14ac:dyDescent="0.25">
      <c r="A1023" t="s">
        <v>35</v>
      </c>
      <c r="B1023">
        <v>2020</v>
      </c>
      <c r="C1023" t="s">
        <v>8</v>
      </c>
      <c r="F1023">
        <v>0</v>
      </c>
      <c r="G1023" s="39">
        <v>43862</v>
      </c>
    </row>
    <row r="1024" spans="1:7" x14ac:dyDescent="0.25">
      <c r="A1024" t="s">
        <v>35</v>
      </c>
      <c r="B1024">
        <v>2020</v>
      </c>
      <c r="C1024" t="s">
        <v>9</v>
      </c>
      <c r="F1024">
        <v>0</v>
      </c>
      <c r="G1024" s="39">
        <v>43891</v>
      </c>
    </row>
    <row r="1025" spans="1:7" x14ac:dyDescent="0.25">
      <c r="A1025" t="s">
        <v>35</v>
      </c>
      <c r="B1025">
        <v>2020</v>
      </c>
      <c r="C1025" t="s">
        <v>10</v>
      </c>
      <c r="F1025">
        <v>0</v>
      </c>
      <c r="G1025" s="39">
        <v>43922</v>
      </c>
    </row>
    <row r="1026" spans="1:7" x14ac:dyDescent="0.25">
      <c r="A1026" t="s">
        <v>35</v>
      </c>
      <c r="B1026">
        <v>2020</v>
      </c>
      <c r="C1026" t="s">
        <v>11</v>
      </c>
      <c r="F1026">
        <v>0</v>
      </c>
      <c r="G1026" s="39">
        <v>43952</v>
      </c>
    </row>
    <row r="1027" spans="1:7" x14ac:dyDescent="0.25">
      <c r="A1027" t="s">
        <v>35</v>
      </c>
      <c r="B1027">
        <v>2020</v>
      </c>
      <c r="C1027" t="s">
        <v>12</v>
      </c>
      <c r="F1027">
        <v>0</v>
      </c>
      <c r="G1027" s="39">
        <v>43983</v>
      </c>
    </row>
    <row r="1028" spans="1:7" x14ac:dyDescent="0.25">
      <c r="A1028" t="s">
        <v>35</v>
      </c>
      <c r="B1028">
        <v>2020</v>
      </c>
      <c r="C1028" t="s">
        <v>13</v>
      </c>
      <c r="F1028">
        <v>0</v>
      </c>
      <c r="G1028" s="39">
        <v>44013</v>
      </c>
    </row>
    <row r="1029" spans="1:7" x14ac:dyDescent="0.25">
      <c r="A1029" t="s">
        <v>35</v>
      </c>
      <c r="B1029">
        <v>2020</v>
      </c>
      <c r="C1029" t="s">
        <v>14</v>
      </c>
      <c r="F1029">
        <v>0</v>
      </c>
      <c r="G1029" s="39">
        <v>44044</v>
      </c>
    </row>
    <row r="1030" spans="1:7" x14ac:dyDescent="0.25">
      <c r="A1030" t="s">
        <v>35</v>
      </c>
      <c r="B1030">
        <v>2020</v>
      </c>
      <c r="C1030" t="s">
        <v>15</v>
      </c>
      <c r="F1030">
        <v>0</v>
      </c>
      <c r="G1030" s="39">
        <v>44075</v>
      </c>
    </row>
    <row r="1031" spans="1:7" x14ac:dyDescent="0.25">
      <c r="A1031" t="s">
        <v>35</v>
      </c>
      <c r="B1031">
        <v>2020</v>
      </c>
      <c r="C1031" t="s">
        <v>16</v>
      </c>
      <c r="F1031">
        <v>0</v>
      </c>
      <c r="G1031" s="39">
        <v>44105</v>
      </c>
    </row>
    <row r="1032" spans="1:7" x14ac:dyDescent="0.25">
      <c r="A1032" t="s">
        <v>35</v>
      </c>
      <c r="B1032">
        <v>2020</v>
      </c>
      <c r="C1032" t="s">
        <v>17</v>
      </c>
      <c r="F1032">
        <v>0</v>
      </c>
      <c r="G1032" s="39">
        <v>44136</v>
      </c>
    </row>
    <row r="1033" spans="1:7" x14ac:dyDescent="0.25">
      <c r="A1033" t="s">
        <v>35</v>
      </c>
      <c r="B1033">
        <v>2020</v>
      </c>
      <c r="C1033" t="s">
        <v>18</v>
      </c>
      <c r="F1033">
        <v>0</v>
      </c>
      <c r="G1033" s="39">
        <v>44166</v>
      </c>
    </row>
    <row r="1034" spans="1:7" x14ac:dyDescent="0.25">
      <c r="A1034" t="s">
        <v>35</v>
      </c>
      <c r="B1034">
        <v>2021</v>
      </c>
      <c r="C1034" t="s">
        <v>7</v>
      </c>
      <c r="F1034">
        <v>0</v>
      </c>
      <c r="G1034" s="39">
        <v>44197</v>
      </c>
    </row>
    <row r="1035" spans="1:7" x14ac:dyDescent="0.25">
      <c r="A1035" t="s">
        <v>35</v>
      </c>
      <c r="B1035">
        <v>2021</v>
      </c>
      <c r="C1035" t="s">
        <v>8</v>
      </c>
      <c r="F1035">
        <v>0</v>
      </c>
      <c r="G1035" s="39">
        <v>44228</v>
      </c>
    </row>
    <row r="1036" spans="1:7" x14ac:dyDescent="0.25">
      <c r="A1036" t="s">
        <v>35</v>
      </c>
      <c r="B1036">
        <v>2021</v>
      </c>
      <c r="C1036" t="s">
        <v>9</v>
      </c>
      <c r="F1036">
        <v>0</v>
      </c>
      <c r="G1036" s="39">
        <v>44256</v>
      </c>
    </row>
    <row r="1037" spans="1:7" x14ac:dyDescent="0.25">
      <c r="A1037" t="s">
        <v>35</v>
      </c>
      <c r="B1037">
        <v>2021</v>
      </c>
      <c r="C1037" t="s">
        <v>10</v>
      </c>
      <c r="F1037">
        <v>0</v>
      </c>
      <c r="G1037" s="39">
        <v>44287</v>
      </c>
    </row>
    <row r="1038" spans="1:7" x14ac:dyDescent="0.25">
      <c r="A1038" t="s">
        <v>35</v>
      </c>
      <c r="B1038">
        <v>2021</v>
      </c>
      <c r="C1038" t="s">
        <v>11</v>
      </c>
      <c r="F1038">
        <v>0</v>
      </c>
      <c r="G1038" s="39">
        <v>44317</v>
      </c>
    </row>
    <row r="1039" spans="1:7" x14ac:dyDescent="0.25">
      <c r="A1039" t="s">
        <v>35</v>
      </c>
      <c r="B1039">
        <v>2021</v>
      </c>
      <c r="C1039" t="s">
        <v>12</v>
      </c>
      <c r="F1039">
        <v>0</v>
      </c>
      <c r="G1039" s="39">
        <v>44348</v>
      </c>
    </row>
    <row r="1040" spans="1:7" x14ac:dyDescent="0.25">
      <c r="A1040" t="s">
        <v>35</v>
      </c>
      <c r="B1040">
        <v>2021</v>
      </c>
      <c r="C1040" t="s">
        <v>13</v>
      </c>
      <c r="F1040">
        <v>0</v>
      </c>
      <c r="G1040" s="39">
        <v>44378</v>
      </c>
    </row>
    <row r="1041" spans="1:7" x14ac:dyDescent="0.25">
      <c r="A1041" t="s">
        <v>35</v>
      </c>
      <c r="B1041">
        <v>2021</v>
      </c>
      <c r="C1041" t="s">
        <v>14</v>
      </c>
      <c r="F1041">
        <v>0</v>
      </c>
      <c r="G1041" s="39">
        <v>44409</v>
      </c>
    </row>
    <row r="1042" spans="1:7" x14ac:dyDescent="0.25">
      <c r="A1042" t="s">
        <v>35</v>
      </c>
      <c r="B1042">
        <v>2021</v>
      </c>
      <c r="C1042" t="s">
        <v>15</v>
      </c>
      <c r="F1042">
        <v>0</v>
      </c>
      <c r="G1042" s="39">
        <v>44440</v>
      </c>
    </row>
    <row r="1043" spans="1:7" x14ac:dyDescent="0.25">
      <c r="A1043" t="s">
        <v>35</v>
      </c>
      <c r="B1043">
        <v>2021</v>
      </c>
      <c r="C1043" t="s">
        <v>16</v>
      </c>
      <c r="F1043">
        <v>0</v>
      </c>
      <c r="G1043" s="39">
        <v>44470</v>
      </c>
    </row>
    <row r="1044" spans="1:7" x14ac:dyDescent="0.25">
      <c r="A1044" t="s">
        <v>35</v>
      </c>
      <c r="B1044">
        <v>2021</v>
      </c>
      <c r="C1044" t="s">
        <v>17</v>
      </c>
      <c r="F1044">
        <v>0</v>
      </c>
      <c r="G1044" s="39">
        <v>44501</v>
      </c>
    </row>
    <row r="1045" spans="1:7" x14ac:dyDescent="0.25">
      <c r="A1045" t="s">
        <v>35</v>
      </c>
      <c r="B1045">
        <v>2021</v>
      </c>
      <c r="C1045" t="s">
        <v>18</v>
      </c>
      <c r="F1045">
        <v>0</v>
      </c>
      <c r="G1045" s="39">
        <v>44531</v>
      </c>
    </row>
    <row r="1046" spans="1:7" x14ac:dyDescent="0.25">
      <c r="A1046" t="s">
        <v>35</v>
      </c>
      <c r="B1046">
        <v>2022</v>
      </c>
      <c r="C1046" t="s">
        <v>7</v>
      </c>
      <c r="F1046">
        <v>0</v>
      </c>
      <c r="G1046" s="39">
        <v>44562</v>
      </c>
    </row>
    <row r="1047" spans="1:7" x14ac:dyDescent="0.25">
      <c r="A1047" t="s">
        <v>35</v>
      </c>
      <c r="B1047">
        <v>2022</v>
      </c>
      <c r="C1047" t="s">
        <v>8</v>
      </c>
      <c r="F1047">
        <v>0</v>
      </c>
      <c r="G1047" s="39">
        <v>44593</v>
      </c>
    </row>
    <row r="1048" spans="1:7" x14ac:dyDescent="0.25">
      <c r="A1048" t="s">
        <v>35</v>
      </c>
      <c r="B1048">
        <v>2022</v>
      </c>
      <c r="C1048" t="s">
        <v>9</v>
      </c>
      <c r="F1048">
        <v>0</v>
      </c>
      <c r="G1048" s="39">
        <v>44621</v>
      </c>
    </row>
    <row r="1049" spans="1:7" x14ac:dyDescent="0.25">
      <c r="A1049" t="s">
        <v>35</v>
      </c>
      <c r="B1049">
        <v>2022</v>
      </c>
      <c r="C1049" t="s">
        <v>10</v>
      </c>
      <c r="F1049">
        <v>0</v>
      </c>
      <c r="G1049" s="39">
        <v>44652</v>
      </c>
    </row>
    <row r="1050" spans="1:7" x14ac:dyDescent="0.25">
      <c r="A1050" t="s">
        <v>35</v>
      </c>
      <c r="B1050">
        <v>2022</v>
      </c>
      <c r="C1050" t="s">
        <v>11</v>
      </c>
      <c r="F1050">
        <v>0</v>
      </c>
      <c r="G1050" s="39">
        <v>44682</v>
      </c>
    </row>
    <row r="1051" spans="1:7" x14ac:dyDescent="0.25">
      <c r="A1051" t="s">
        <v>35</v>
      </c>
      <c r="B1051">
        <v>2022</v>
      </c>
      <c r="C1051" t="s">
        <v>12</v>
      </c>
      <c r="F1051">
        <v>0</v>
      </c>
      <c r="G1051" s="39">
        <v>44713</v>
      </c>
    </row>
    <row r="1052" spans="1:7" x14ac:dyDescent="0.25">
      <c r="A1052" t="s">
        <v>35</v>
      </c>
      <c r="B1052">
        <v>2022</v>
      </c>
      <c r="C1052" t="s">
        <v>13</v>
      </c>
      <c r="F1052">
        <v>0</v>
      </c>
      <c r="G1052" s="39">
        <v>44743</v>
      </c>
    </row>
    <row r="1053" spans="1:7" x14ac:dyDescent="0.25">
      <c r="A1053" t="s">
        <v>35</v>
      </c>
      <c r="B1053">
        <v>2022</v>
      </c>
      <c r="C1053" t="s">
        <v>14</v>
      </c>
      <c r="F1053">
        <v>0</v>
      </c>
      <c r="G1053" s="39">
        <v>44774</v>
      </c>
    </row>
    <row r="1054" spans="1:7" x14ac:dyDescent="0.25">
      <c r="A1054" t="s">
        <v>35</v>
      </c>
      <c r="B1054">
        <v>2022</v>
      </c>
      <c r="C1054" t="s">
        <v>15</v>
      </c>
      <c r="F1054">
        <v>0</v>
      </c>
      <c r="G1054" s="39">
        <v>44805</v>
      </c>
    </row>
    <row r="1055" spans="1:7" x14ac:dyDescent="0.25">
      <c r="A1055" t="s">
        <v>35</v>
      </c>
      <c r="B1055">
        <v>2022</v>
      </c>
      <c r="C1055" t="s">
        <v>16</v>
      </c>
      <c r="F1055">
        <v>0</v>
      </c>
      <c r="G1055" s="39">
        <v>44835</v>
      </c>
    </row>
    <row r="1056" spans="1:7" x14ac:dyDescent="0.25">
      <c r="A1056" t="s">
        <v>35</v>
      </c>
      <c r="B1056">
        <v>2022</v>
      </c>
      <c r="C1056" t="s">
        <v>17</v>
      </c>
      <c r="F1056">
        <v>0</v>
      </c>
      <c r="G1056" s="39">
        <v>44866</v>
      </c>
    </row>
    <row r="1057" spans="1:7" x14ac:dyDescent="0.25">
      <c r="A1057" t="s">
        <v>35</v>
      </c>
      <c r="B1057">
        <v>2022</v>
      </c>
      <c r="C1057" t="s">
        <v>18</v>
      </c>
      <c r="F1057">
        <v>0</v>
      </c>
      <c r="G1057" s="39">
        <v>44896</v>
      </c>
    </row>
    <row r="1058" spans="1:7" x14ac:dyDescent="0.25">
      <c r="A1058" t="s">
        <v>35</v>
      </c>
      <c r="B1058">
        <v>2023</v>
      </c>
      <c r="C1058" t="s">
        <v>7</v>
      </c>
      <c r="F1058">
        <v>0</v>
      </c>
      <c r="G1058" s="39">
        <v>44927</v>
      </c>
    </row>
    <row r="1059" spans="1:7" x14ac:dyDescent="0.25">
      <c r="A1059" t="s">
        <v>35</v>
      </c>
      <c r="B1059">
        <v>2023</v>
      </c>
      <c r="C1059" t="s">
        <v>8</v>
      </c>
      <c r="D1059">
        <v>14.81</v>
      </c>
      <c r="E1059">
        <v>0</v>
      </c>
      <c r="F1059">
        <v>14.81</v>
      </c>
      <c r="G1059" s="39">
        <v>44958</v>
      </c>
    </row>
    <row r="1060" spans="1:7" x14ac:dyDescent="0.25">
      <c r="A1060" t="s">
        <v>35</v>
      </c>
      <c r="B1060">
        <v>2023</v>
      </c>
      <c r="C1060" t="s">
        <v>9</v>
      </c>
      <c r="D1060">
        <v>18.29</v>
      </c>
      <c r="E1060">
        <v>0</v>
      </c>
      <c r="F1060">
        <v>33.1</v>
      </c>
      <c r="G1060" s="39">
        <v>44986</v>
      </c>
    </row>
    <row r="1061" spans="1:7" x14ac:dyDescent="0.25">
      <c r="A1061" t="s">
        <v>35</v>
      </c>
      <c r="B1061">
        <v>2023</v>
      </c>
      <c r="C1061" t="s">
        <v>10</v>
      </c>
      <c r="D1061">
        <v>0</v>
      </c>
      <c r="E1061">
        <v>0</v>
      </c>
      <c r="F1061">
        <v>33.1</v>
      </c>
      <c r="G1061" s="39">
        <v>45017</v>
      </c>
    </row>
    <row r="1062" spans="1:7" x14ac:dyDescent="0.25">
      <c r="A1062" t="s">
        <v>35</v>
      </c>
      <c r="B1062">
        <v>2023</v>
      </c>
      <c r="C1062" t="s">
        <v>11</v>
      </c>
      <c r="D1062">
        <v>0</v>
      </c>
      <c r="E1062">
        <v>0</v>
      </c>
      <c r="F1062">
        <v>33.1</v>
      </c>
      <c r="G1062" s="39">
        <v>45047</v>
      </c>
    </row>
    <row r="1063" spans="1:7" x14ac:dyDescent="0.25">
      <c r="A1063" t="s">
        <v>35</v>
      </c>
      <c r="B1063">
        <v>2023</v>
      </c>
      <c r="C1063" t="s">
        <v>12</v>
      </c>
      <c r="D1063">
        <v>0</v>
      </c>
      <c r="E1063">
        <v>0</v>
      </c>
      <c r="F1063">
        <v>33.1</v>
      </c>
      <c r="G1063" s="39">
        <v>45078</v>
      </c>
    </row>
    <row r="1064" spans="1:7" x14ac:dyDescent="0.25">
      <c r="A1064" t="s">
        <v>35</v>
      </c>
      <c r="B1064">
        <v>2023</v>
      </c>
      <c r="C1064" t="s">
        <v>13</v>
      </c>
      <c r="D1064">
        <v>44509.9</v>
      </c>
      <c r="E1064">
        <v>0</v>
      </c>
      <c r="F1064">
        <v>44543</v>
      </c>
      <c r="G1064" s="39">
        <v>45108</v>
      </c>
    </row>
    <row r="1065" spans="1:7" x14ac:dyDescent="0.25">
      <c r="A1065" t="s">
        <v>35</v>
      </c>
      <c r="B1065">
        <v>2023</v>
      </c>
      <c r="C1065" t="s">
        <v>14</v>
      </c>
      <c r="D1065">
        <v>0</v>
      </c>
      <c r="E1065">
        <v>1793.378573</v>
      </c>
      <c r="F1065">
        <v>42749.621426999998</v>
      </c>
      <c r="G1065" s="39">
        <v>45139</v>
      </c>
    </row>
    <row r="1066" spans="1:7" x14ac:dyDescent="0.25">
      <c r="A1066" t="s">
        <v>35</v>
      </c>
      <c r="B1066">
        <v>2023</v>
      </c>
      <c r="C1066" t="s">
        <v>15</v>
      </c>
      <c r="D1066">
        <v>0</v>
      </c>
      <c r="E1066">
        <v>5293.9978330000004</v>
      </c>
      <c r="F1066">
        <v>37455.623593999997</v>
      </c>
      <c r="G1066" s="39">
        <v>45170</v>
      </c>
    </row>
    <row r="1067" spans="1:7" x14ac:dyDescent="0.25">
      <c r="A1067" t="s">
        <v>35</v>
      </c>
      <c r="B1067">
        <v>2023</v>
      </c>
      <c r="C1067" t="s">
        <v>16</v>
      </c>
      <c r="D1067">
        <v>0</v>
      </c>
      <c r="E1067">
        <v>6620.0056430000004</v>
      </c>
      <c r="F1067">
        <v>30835.617950999997</v>
      </c>
      <c r="G1067" s="39">
        <v>45200</v>
      </c>
    </row>
    <row r="1068" spans="1:7" x14ac:dyDescent="0.25">
      <c r="A1068" t="s">
        <v>35</v>
      </c>
      <c r="B1068">
        <v>2023</v>
      </c>
      <c r="C1068" t="s">
        <v>17</v>
      </c>
      <c r="D1068">
        <v>0</v>
      </c>
      <c r="E1068">
        <v>5510.5984420000004</v>
      </c>
      <c r="F1068">
        <v>25325.019508999998</v>
      </c>
      <c r="G1068" s="39">
        <v>45231</v>
      </c>
    </row>
    <row r="1069" spans="1:7" x14ac:dyDescent="0.25">
      <c r="A1069" t="s">
        <v>35</v>
      </c>
      <c r="B1069">
        <v>2023</v>
      </c>
      <c r="C1069" t="s">
        <v>18</v>
      </c>
      <c r="D1069">
        <v>26678.29</v>
      </c>
      <c r="E1069">
        <v>3307.4761699999999</v>
      </c>
      <c r="F1069">
        <v>48695.833338999997</v>
      </c>
      <c r="G1069" s="39">
        <v>45261</v>
      </c>
    </row>
    <row r="1070" spans="1:7" x14ac:dyDescent="0.25">
      <c r="A1070" t="s">
        <v>35</v>
      </c>
      <c r="B1070">
        <v>2024</v>
      </c>
      <c r="C1070" t="s">
        <v>7</v>
      </c>
      <c r="F1070">
        <v>48695.833338999997</v>
      </c>
      <c r="G1070" s="39">
        <v>45292</v>
      </c>
    </row>
    <row r="1071" spans="1:7" x14ac:dyDescent="0.25">
      <c r="A1071" t="s">
        <v>35</v>
      </c>
      <c r="B1071">
        <v>2024</v>
      </c>
      <c r="C1071" t="s">
        <v>8</v>
      </c>
      <c r="F1071">
        <v>48695.833338999997</v>
      </c>
      <c r="G1071" s="39">
        <v>45323</v>
      </c>
    </row>
    <row r="1072" spans="1:7" x14ac:dyDescent="0.25">
      <c r="A1072" t="s">
        <v>35</v>
      </c>
      <c r="B1072">
        <v>2024</v>
      </c>
      <c r="C1072" t="s">
        <v>9</v>
      </c>
      <c r="F1072">
        <v>48695.833338999997</v>
      </c>
      <c r="G1072" s="39">
        <v>45352</v>
      </c>
    </row>
    <row r="1073" spans="1:7" x14ac:dyDescent="0.25">
      <c r="A1073" t="s">
        <v>35</v>
      </c>
      <c r="B1073">
        <v>2024</v>
      </c>
      <c r="C1073" t="s">
        <v>10</v>
      </c>
      <c r="F1073">
        <v>48695.833338999997</v>
      </c>
      <c r="G1073" s="39">
        <v>45383</v>
      </c>
    </row>
    <row r="1074" spans="1:7" x14ac:dyDescent="0.25">
      <c r="A1074" t="s">
        <v>35</v>
      </c>
      <c r="B1074">
        <v>2024</v>
      </c>
      <c r="C1074" t="s">
        <v>11</v>
      </c>
      <c r="F1074">
        <v>48695.833338999997</v>
      </c>
      <c r="G1074" s="39">
        <v>45413</v>
      </c>
    </row>
    <row r="1075" spans="1:7" x14ac:dyDescent="0.25">
      <c r="A1075" t="s">
        <v>35</v>
      </c>
      <c r="B1075">
        <v>2024</v>
      </c>
      <c r="C1075" t="s">
        <v>12</v>
      </c>
      <c r="F1075">
        <v>48695.833338999997</v>
      </c>
      <c r="G1075" s="39">
        <v>45444</v>
      </c>
    </row>
    <row r="1076" spans="1:7" x14ac:dyDescent="0.25">
      <c r="A1076" t="s">
        <v>35</v>
      </c>
      <c r="B1076">
        <v>2024</v>
      </c>
      <c r="C1076" t="s">
        <v>13</v>
      </c>
      <c r="F1076">
        <v>48695.833338999997</v>
      </c>
      <c r="G1076" s="39">
        <v>45474</v>
      </c>
    </row>
    <row r="1077" spans="1:7" x14ac:dyDescent="0.25">
      <c r="A1077" t="s">
        <v>35</v>
      </c>
      <c r="B1077">
        <v>2024</v>
      </c>
      <c r="C1077" t="s">
        <v>14</v>
      </c>
      <c r="F1077">
        <v>48695.833338999997</v>
      </c>
      <c r="G1077" s="39">
        <v>45505</v>
      </c>
    </row>
    <row r="1078" spans="1:7" x14ac:dyDescent="0.25">
      <c r="A1078" t="s">
        <v>35</v>
      </c>
      <c r="B1078">
        <v>2024</v>
      </c>
      <c r="C1078" t="s">
        <v>15</v>
      </c>
      <c r="F1078">
        <v>48695.833338999997</v>
      </c>
      <c r="G1078" s="39">
        <v>45536</v>
      </c>
    </row>
    <row r="1079" spans="1:7" x14ac:dyDescent="0.25">
      <c r="A1079" t="s">
        <v>35</v>
      </c>
      <c r="B1079">
        <v>2024</v>
      </c>
      <c r="C1079" t="s">
        <v>16</v>
      </c>
      <c r="F1079">
        <v>48695.833338999997</v>
      </c>
      <c r="G1079" s="39">
        <v>45566</v>
      </c>
    </row>
    <row r="1080" spans="1:7" x14ac:dyDescent="0.25">
      <c r="A1080" t="s">
        <v>35</v>
      </c>
      <c r="B1080">
        <v>2024</v>
      </c>
      <c r="C1080" t="s">
        <v>17</v>
      </c>
      <c r="F1080">
        <v>48695.833338999997</v>
      </c>
      <c r="G1080" s="39">
        <v>45597</v>
      </c>
    </row>
    <row r="1081" spans="1:7" x14ac:dyDescent="0.25">
      <c r="A1081" t="s">
        <v>35</v>
      </c>
      <c r="B1081">
        <v>2024</v>
      </c>
      <c r="C1081" t="s">
        <v>18</v>
      </c>
      <c r="F1081">
        <v>48695.833338999997</v>
      </c>
      <c r="G1081" s="39">
        <v>45627</v>
      </c>
    </row>
    <row r="1082" spans="1:7" x14ac:dyDescent="0.25">
      <c r="A1082" t="e">
        <v>#N/A</v>
      </c>
      <c r="B1082" t="e">
        <v>#N/A</v>
      </c>
      <c r="C1082" t="e">
        <v>#N/A</v>
      </c>
      <c r="D1082" t="e">
        <v>#N/A</v>
      </c>
      <c r="E1082" t="e">
        <v>#N/A</v>
      </c>
      <c r="F1082" t="e">
        <v>#N/A</v>
      </c>
      <c r="G1082" t="e"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ED0D-0536-4CD5-A27F-C1A44651FA19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8E052-190E-4BCE-9FF2-02DBD45AECBA}">
  <sheetPr codeName="Sheet2"/>
  <dimension ref="A2:I92"/>
  <sheetViews>
    <sheetView topLeftCell="A72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</cols>
  <sheetData>
    <row r="2" spans="1:9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9" x14ac:dyDescent="0.25">
      <c r="A3" s="11"/>
      <c r="B3" s="11"/>
      <c r="C3" s="12"/>
      <c r="D3" s="13"/>
      <c r="E3" s="14"/>
      <c r="F3" s="11"/>
      <c r="G3" s="11"/>
      <c r="H3" s="15"/>
      <c r="I3" s="15"/>
    </row>
    <row r="4" spans="1:9" x14ac:dyDescent="0.25">
      <c r="A4" s="11">
        <v>2019</v>
      </c>
      <c r="B4" s="11" t="s">
        <v>7</v>
      </c>
      <c r="C4" s="12"/>
      <c r="D4" s="13"/>
      <c r="E4" s="14">
        <f>E3+C4-D4</f>
        <v>0</v>
      </c>
      <c r="F4" s="11"/>
      <c r="G4" s="11" t="s">
        <v>7</v>
      </c>
      <c r="H4" s="15"/>
      <c r="I4" s="15"/>
    </row>
    <row r="5" spans="1:9" x14ac:dyDescent="0.25">
      <c r="A5" s="11"/>
      <c r="B5" s="11" t="s">
        <v>8</v>
      </c>
      <c r="C5" s="12"/>
      <c r="D5" s="13"/>
      <c r="E5" s="14">
        <f>E4+C5-D5</f>
        <v>0</v>
      </c>
      <c r="F5" s="11"/>
      <c r="G5" s="11" t="s">
        <v>8</v>
      </c>
      <c r="H5" s="15"/>
      <c r="I5" s="15"/>
    </row>
    <row r="6" spans="1:9" x14ac:dyDescent="0.25">
      <c r="A6" s="11"/>
      <c r="B6" s="11" t="s">
        <v>9</v>
      </c>
      <c r="C6" s="12"/>
      <c r="D6" s="13"/>
      <c r="E6" s="14">
        <f>E5+C6-D6</f>
        <v>0</v>
      </c>
      <c r="F6" s="11"/>
      <c r="G6" s="11" t="s">
        <v>9</v>
      </c>
      <c r="H6" s="15"/>
      <c r="I6" s="15"/>
    </row>
    <row r="7" spans="1:9" x14ac:dyDescent="0.25">
      <c r="A7" s="11"/>
      <c r="B7" s="11" t="s">
        <v>10</v>
      </c>
      <c r="C7" s="12">
        <v>185625.18395499999</v>
      </c>
      <c r="D7" s="13">
        <v>20057.400874999999</v>
      </c>
      <c r="E7" s="14">
        <f>E6+C7-D7</f>
        <v>165567.78307999999</v>
      </c>
      <c r="F7" s="11"/>
      <c r="G7" s="11" t="s">
        <v>10</v>
      </c>
      <c r="H7" s="15"/>
      <c r="I7" s="15"/>
    </row>
    <row r="8" spans="1:9" x14ac:dyDescent="0.25">
      <c r="A8" s="11"/>
      <c r="B8" s="11" t="s">
        <v>11</v>
      </c>
      <c r="C8" s="12">
        <v>19705.439999999999</v>
      </c>
      <c r="D8" s="13">
        <v>69278.997178999998</v>
      </c>
      <c r="E8" s="14">
        <f>E7+C8-D8</f>
        <v>115994.225901</v>
      </c>
      <c r="F8" s="11"/>
      <c r="G8" s="11" t="s">
        <v>11</v>
      </c>
      <c r="H8" s="15"/>
      <c r="I8" s="15"/>
    </row>
    <row r="9" spans="1:9" x14ac:dyDescent="0.25">
      <c r="A9" s="11"/>
      <c r="B9" s="11" t="s">
        <v>12</v>
      </c>
      <c r="C9" s="12">
        <v>190448.42525999999</v>
      </c>
      <c r="D9" s="13">
        <v>87998.139494999996</v>
      </c>
      <c r="E9" s="14">
        <f>E8+C9-D9</f>
        <v>218444.51166600001</v>
      </c>
      <c r="F9" s="11"/>
      <c r="G9" s="11" t="s">
        <v>12</v>
      </c>
      <c r="H9" s="15"/>
      <c r="I9" s="15"/>
    </row>
    <row r="10" spans="1:9" x14ac:dyDescent="0.25">
      <c r="A10" s="11"/>
      <c r="B10" s="11" t="s">
        <v>13</v>
      </c>
      <c r="C10" s="12">
        <v>116249.745544</v>
      </c>
      <c r="D10" s="13">
        <v>120820.278942</v>
      </c>
      <c r="E10" s="14">
        <f>E9+C10-D10</f>
        <v>213873.97826800001</v>
      </c>
      <c r="F10" s="11"/>
      <c r="G10" s="11" t="s">
        <v>13</v>
      </c>
      <c r="H10" s="15"/>
      <c r="I10" s="15"/>
    </row>
    <row r="11" spans="1:9" x14ac:dyDescent="0.25">
      <c r="A11" s="11"/>
      <c r="B11" s="11" t="s">
        <v>14</v>
      </c>
      <c r="C11" s="12">
        <v>99813.036829000004</v>
      </c>
      <c r="D11" s="13">
        <v>113103.57687999999</v>
      </c>
      <c r="E11" s="14">
        <f>E10+C11-D11</f>
        <v>200583.43821699999</v>
      </c>
      <c r="F11" s="11"/>
      <c r="G11" s="11" t="s">
        <v>14</v>
      </c>
      <c r="H11" s="15"/>
      <c r="I11" s="15"/>
    </row>
    <row r="12" spans="1:9" x14ac:dyDescent="0.25">
      <c r="A12" s="11"/>
      <c r="B12" s="11" t="s">
        <v>15</v>
      </c>
      <c r="C12" s="12">
        <v>108115.62</v>
      </c>
      <c r="D12" s="13">
        <v>118259.183839</v>
      </c>
      <c r="E12" s="14">
        <f>E11+C12-D12</f>
        <v>190439.87437799998</v>
      </c>
      <c r="F12" s="11"/>
      <c r="G12" s="11" t="s">
        <v>15</v>
      </c>
      <c r="H12" s="15"/>
      <c r="I12" s="15"/>
    </row>
    <row r="13" spans="1:9" x14ac:dyDescent="0.25">
      <c r="A13" s="11"/>
      <c r="B13" s="11" t="s">
        <v>16</v>
      </c>
      <c r="C13" s="12">
        <v>210031.32053299999</v>
      </c>
      <c r="D13" s="13">
        <v>136473.165996</v>
      </c>
      <c r="E13" s="14">
        <f>E12+C13-D13</f>
        <v>263998.02891499997</v>
      </c>
      <c r="F13" s="11"/>
      <c r="G13" s="11" t="s">
        <v>16</v>
      </c>
      <c r="H13" s="15"/>
      <c r="I13" s="15"/>
    </row>
    <row r="14" spans="1:9" x14ac:dyDescent="0.25">
      <c r="A14" s="11"/>
      <c r="B14" s="11" t="s">
        <v>17</v>
      </c>
      <c r="C14" s="12">
        <v>61576.046000000002</v>
      </c>
      <c r="D14" s="13">
        <v>148326.06457300001</v>
      </c>
      <c r="E14" s="14">
        <f>E13+C14-D14</f>
        <v>177248.01034199999</v>
      </c>
      <c r="F14" s="11"/>
      <c r="G14" s="11" t="s">
        <v>17</v>
      </c>
      <c r="H14" s="15"/>
      <c r="I14" s="15"/>
    </row>
    <row r="15" spans="1:9" x14ac:dyDescent="0.25">
      <c r="A15" s="16"/>
      <c r="B15" s="16" t="s">
        <v>18</v>
      </c>
      <c r="C15" s="17">
        <v>109576.735231</v>
      </c>
      <c r="D15" s="18">
        <v>83255.190619000001</v>
      </c>
      <c r="E15" s="19">
        <f>E14+C15-D15</f>
        <v>203569.55495399999</v>
      </c>
      <c r="F15" s="16"/>
      <c r="G15" s="16" t="s">
        <v>18</v>
      </c>
      <c r="H15" s="20"/>
      <c r="I15" s="20"/>
    </row>
    <row r="16" spans="1:9" s="2" customFormat="1" x14ac:dyDescent="0.25">
      <c r="A16" s="21"/>
      <c r="B16" s="21" t="s">
        <v>19</v>
      </c>
      <c r="C16" s="22">
        <f>SUM(C4:C15)</f>
        <v>1101141.5533520002</v>
      </c>
      <c r="D16" s="23">
        <f>SUM(D4:D15)</f>
        <v>897571.99839799991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122349.06148355558</v>
      </c>
      <c r="D17" s="23">
        <f>AVERAGE(D4:D15)</f>
        <v>99730.222044222217</v>
      </c>
      <c r="E17" s="24">
        <f>C17/D17-1</f>
        <v>0.22680025147546301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203569.55495399999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-1018.226286</v>
      </c>
      <c r="D19" s="27">
        <v>99130.868390999996</v>
      </c>
      <c r="E19" s="28">
        <f>E18+C19-D19</f>
        <v>103420.46027700001</v>
      </c>
      <c r="F19" s="25"/>
      <c r="G19" s="25" t="s">
        <v>7</v>
      </c>
      <c r="H19" s="29">
        <f>IF(C19="", "", IF(D19="", "",D19-D4))</f>
        <v>99130.868390999996</v>
      </c>
      <c r="I19" s="29">
        <f>IF(D19="", "", IF(E19="", "",E19-E4))</f>
        <v>103420.46027700001</v>
      </c>
    </row>
    <row r="20" spans="1:9" x14ac:dyDescent="0.25">
      <c r="A20" s="25"/>
      <c r="B20" s="25" t="s">
        <v>8</v>
      </c>
      <c r="C20" s="26">
        <v>200713.54757</v>
      </c>
      <c r="D20" s="27">
        <v>125374.457247</v>
      </c>
      <c r="E20" s="28">
        <f>E19+C20-D20</f>
        <v>178759.55060000002</v>
      </c>
      <c r="F20" s="25"/>
      <c r="G20" s="25" t="s">
        <v>8</v>
      </c>
      <c r="H20" s="29">
        <f>IF(C20="", "", IF(D20="", "",D20-D5))</f>
        <v>125374.457247</v>
      </c>
      <c r="I20" s="29">
        <f>IF(D20="", "", IF(E20="", "",E20-E5))</f>
        <v>178759.55060000002</v>
      </c>
    </row>
    <row r="21" spans="1:9" x14ac:dyDescent="0.25">
      <c r="A21" s="25"/>
      <c r="B21" s="25" t="s">
        <v>9</v>
      </c>
      <c r="C21" s="26">
        <v>320138.98</v>
      </c>
      <c r="D21" s="27">
        <v>126734.29416799999</v>
      </c>
      <c r="E21" s="28">
        <f>E20+C21-D21</f>
        <v>372164.23643200001</v>
      </c>
      <c r="F21" s="25"/>
      <c r="G21" s="25" t="s">
        <v>9</v>
      </c>
      <c r="H21" s="29">
        <f>IF(C21="", "", IF(D21="", "",D21-D6))</f>
        <v>126734.29416799999</v>
      </c>
      <c r="I21" s="29">
        <f>IF(D21="", "", IF(E21="", "",E21-E6))</f>
        <v>372164.23643200001</v>
      </c>
    </row>
    <row r="22" spans="1:9" x14ac:dyDescent="0.25">
      <c r="A22" s="25"/>
      <c r="B22" s="25" t="s">
        <v>10</v>
      </c>
      <c r="C22" s="26">
        <v>-704.33918500000004</v>
      </c>
      <c r="D22" s="27">
        <v>102005.350852</v>
      </c>
      <c r="E22" s="28">
        <f>E21+C22-D22</f>
        <v>269454.54639500001</v>
      </c>
      <c r="F22" s="25"/>
      <c r="G22" s="25" t="s">
        <v>10</v>
      </c>
      <c r="H22" s="29">
        <f>IF(C22="", "", IF(D22="", "",D22-D7))</f>
        <v>81947.949977000011</v>
      </c>
      <c r="I22" s="29">
        <f>IF(D22="", "", IF(E22="", "",E22-E7))</f>
        <v>103886.76331500002</v>
      </c>
    </row>
    <row r="23" spans="1:9" x14ac:dyDescent="0.25">
      <c r="A23" s="25"/>
      <c r="B23" s="25" t="s">
        <v>11</v>
      </c>
      <c r="C23" s="26">
        <v>95470.242643000005</v>
      </c>
      <c r="D23" s="27">
        <v>125069.01796500001</v>
      </c>
      <c r="E23" s="28">
        <f>E22+C23-D23</f>
        <v>239855.77107300004</v>
      </c>
      <c r="F23" s="25"/>
      <c r="G23" s="25" t="s">
        <v>11</v>
      </c>
      <c r="H23" s="29">
        <f>IF(C23="", "", IF(D23="", "",D23-D8))</f>
        <v>55790.020786000008</v>
      </c>
      <c r="I23" s="29">
        <f>IF(D23="", "", IF(E23="", "",E23-E8))</f>
        <v>123861.54517200004</v>
      </c>
    </row>
    <row r="24" spans="1:9" x14ac:dyDescent="0.25">
      <c r="A24" s="25"/>
      <c r="B24" s="25" t="s">
        <v>12</v>
      </c>
      <c r="C24" s="26">
        <v>90508.39</v>
      </c>
      <c r="D24" s="27">
        <v>111189.994573</v>
      </c>
      <c r="E24" s="28">
        <f>E23+C24-D24</f>
        <v>219174.16650000005</v>
      </c>
      <c r="F24" s="25"/>
      <c r="G24" s="25" t="s">
        <v>12</v>
      </c>
      <c r="H24" s="29">
        <f>IF(C24="", "", IF(D24="", "",D24-D9))</f>
        <v>23191.855078000008</v>
      </c>
      <c r="I24" s="29">
        <f>IF(D24="", "", IF(E24="", "",E24-E9))</f>
        <v>729.6548340000445</v>
      </c>
    </row>
    <row r="25" spans="1:9" x14ac:dyDescent="0.25">
      <c r="A25" s="25"/>
      <c r="B25" s="25" t="s">
        <v>13</v>
      </c>
      <c r="C25" s="26">
        <v>185955.95100500001</v>
      </c>
      <c r="D25" s="27">
        <v>185800.15043800001</v>
      </c>
      <c r="E25" s="28">
        <f>E24+C25-D25</f>
        <v>219329.96706700008</v>
      </c>
      <c r="F25" s="25"/>
      <c r="G25" s="25" t="s">
        <v>13</v>
      </c>
      <c r="H25" s="29">
        <f>IF(C25="", "", IF(D25="", "",D25-D10))</f>
        <v>64979.871496000007</v>
      </c>
      <c r="I25" s="29">
        <f>IF(D25="", "", IF(E25="", "",E25-E10))</f>
        <v>5455.9887990000716</v>
      </c>
    </row>
    <row r="26" spans="1:9" x14ac:dyDescent="0.25">
      <c r="A26" s="25"/>
      <c r="B26" s="25" t="s">
        <v>14</v>
      </c>
      <c r="C26" s="26">
        <v>272370.876697</v>
      </c>
      <c r="D26" s="27">
        <v>164914.95695299999</v>
      </c>
      <c r="E26" s="28">
        <f>E25+C26-D26</f>
        <v>326785.88681100012</v>
      </c>
      <c r="F26" s="25"/>
      <c r="G26" s="25" t="s">
        <v>14</v>
      </c>
      <c r="H26" s="29">
        <f>IF(C26="", "", IF(D26="", "",D26-D11))</f>
        <v>51811.380072999993</v>
      </c>
      <c r="I26" s="29">
        <f>IF(D26="", "", IF(E26="", "",E26-E11))</f>
        <v>126202.44859400013</v>
      </c>
    </row>
    <row r="27" spans="1:9" x14ac:dyDescent="0.25">
      <c r="A27" s="25"/>
      <c r="B27" s="25" t="s">
        <v>15</v>
      </c>
      <c r="C27" s="26">
        <v>303899.84538499999</v>
      </c>
      <c r="D27" s="27">
        <v>176954.91021</v>
      </c>
      <c r="E27" s="28">
        <f>E26+C27-D27</f>
        <v>453730.82198600017</v>
      </c>
      <c r="F27" s="25"/>
      <c r="G27" s="25" t="s">
        <v>15</v>
      </c>
      <c r="H27" s="29">
        <f>IF(C27="", "", IF(D27="", "",D27-D12))</f>
        <v>58695.726370999997</v>
      </c>
      <c r="I27" s="29">
        <f>IF(D27="", "", IF(E27="", "",E27-E12))</f>
        <v>263290.94760800019</v>
      </c>
    </row>
    <row r="28" spans="1:9" x14ac:dyDescent="0.25">
      <c r="A28" s="25"/>
      <c r="B28" s="25" t="s">
        <v>16</v>
      </c>
      <c r="C28" s="26">
        <v>199754</v>
      </c>
      <c r="D28" s="27">
        <v>195586.31894900001</v>
      </c>
      <c r="E28" s="28">
        <f>E27+C28-D28</f>
        <v>457898.50303700019</v>
      </c>
      <c r="F28" s="25"/>
      <c r="G28" s="25" t="s">
        <v>16</v>
      </c>
      <c r="H28" s="29">
        <f>IF(C28="", "", IF(D28="", "",D28-D13))</f>
        <v>59113.152953000012</v>
      </c>
      <c r="I28" s="29">
        <f>IF(D28="", "", IF(E28="", "",E28-E13))</f>
        <v>193900.47412200022</v>
      </c>
    </row>
    <row r="29" spans="1:9" x14ac:dyDescent="0.25">
      <c r="A29" s="25"/>
      <c r="B29" s="25" t="s">
        <v>17</v>
      </c>
      <c r="C29" s="26">
        <v>117707.989999</v>
      </c>
      <c r="D29" s="27">
        <v>163667.105606</v>
      </c>
      <c r="E29" s="28">
        <f>E28+C29-D29</f>
        <v>411939.38743000018</v>
      </c>
      <c r="F29" s="25"/>
      <c r="G29" s="25" t="s">
        <v>17</v>
      </c>
      <c r="H29" s="29">
        <f>IF(C29="", "", IF(D29="", "",D29-D14))</f>
        <v>15341.041032999987</v>
      </c>
      <c r="I29" s="29">
        <f>IF(D29="", "", IF(E29="", "",E29-E14))</f>
        <v>234691.37708800018</v>
      </c>
    </row>
    <row r="30" spans="1:9" x14ac:dyDescent="0.25">
      <c r="A30" s="30"/>
      <c r="B30" s="30" t="s">
        <v>18</v>
      </c>
      <c r="C30" s="31">
        <v>111729.229507</v>
      </c>
      <c r="D30" s="32">
        <v>109906.088101</v>
      </c>
      <c r="E30" s="33">
        <f>E29+C30-D30</f>
        <v>413762.52883600019</v>
      </c>
      <c r="F30" s="30"/>
      <c r="G30" s="30" t="s">
        <v>18</v>
      </c>
      <c r="H30" s="34">
        <f>IF(C30="", "", IF(D30="", "",D30-D15))</f>
        <v>26650.897482</v>
      </c>
      <c r="I30" s="34">
        <f>IF(D30="", "", IF(E30="", "",E30-E15))</f>
        <v>210192.97388200019</v>
      </c>
    </row>
    <row r="31" spans="1:9" s="2" customFormat="1" x14ac:dyDescent="0.25">
      <c r="A31" s="35"/>
      <c r="B31" s="35" t="s">
        <v>19</v>
      </c>
      <c r="C31" s="36">
        <f>SUM(C19:C30)</f>
        <v>1896526.487335</v>
      </c>
      <c r="D31" s="37">
        <f>SUM(D19:D30)</f>
        <v>1686333.5134529998</v>
      </c>
      <c r="E31" s="28"/>
      <c r="F31" s="35"/>
      <c r="G31" s="35"/>
      <c r="H31" s="28">
        <f>SUMIF(C19:C30,"&gt;=0",H19:H30)</f>
        <v>607682.69668699987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158043.87394458332</v>
      </c>
      <c r="D32" s="37">
        <f>AVERAGE(D19:D30)</f>
        <v>140527.79278774999</v>
      </c>
      <c r="E32" s="38">
        <f>C32/D32-1</f>
        <v>0.12464496032673922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413762.52883600019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53833.88</v>
      </c>
      <c r="D34" s="13">
        <v>160012.13151400001</v>
      </c>
      <c r="E34" s="14">
        <f>E33+C34-D34</f>
        <v>307584.27732200018</v>
      </c>
      <c r="F34" s="11"/>
      <c r="G34" s="11" t="s">
        <v>7</v>
      </c>
      <c r="H34" s="15">
        <f>IF(C34="", "", IF(D34="", "",D34-D19))</f>
        <v>60881.263123000012</v>
      </c>
      <c r="I34" s="15">
        <f>IF(D34="", "", IF(E34="", "",E34-E19))</f>
        <v>204163.81704500018</v>
      </c>
    </row>
    <row r="35" spans="1:9" x14ac:dyDescent="0.25">
      <c r="A35" s="11"/>
      <c r="B35" s="11" t="s">
        <v>8</v>
      </c>
      <c r="C35" s="12">
        <v>303998.65166500001</v>
      </c>
      <c r="D35" s="13">
        <v>261504.83363099999</v>
      </c>
      <c r="E35" s="14">
        <f>E34+C35-D35</f>
        <v>350078.09535600012</v>
      </c>
      <c r="F35" s="11"/>
      <c r="G35" s="11" t="s">
        <v>8</v>
      </c>
      <c r="H35" s="15">
        <f>IF(C35="", "", IF(D35="", "",D35-D20))</f>
        <v>136130.376384</v>
      </c>
      <c r="I35" s="15">
        <f>IF(D35="", "", IF(E35="", "",E35-E20))</f>
        <v>171318.5447560001</v>
      </c>
    </row>
    <row r="36" spans="1:9" x14ac:dyDescent="0.25">
      <c r="A36" s="11"/>
      <c r="B36" s="11" t="s">
        <v>9</v>
      </c>
      <c r="C36" s="12">
        <v>489732.65822300001</v>
      </c>
      <c r="D36" s="13">
        <v>265382.92813100002</v>
      </c>
      <c r="E36" s="14">
        <f>E35+C36-D36</f>
        <v>574427.82544800011</v>
      </c>
      <c r="F36" s="11"/>
      <c r="G36" s="11" t="s">
        <v>9</v>
      </c>
      <c r="H36" s="15">
        <f>IF(C36="", "", IF(D36="", "",D36-D21))</f>
        <v>138648.63396300003</v>
      </c>
      <c r="I36" s="15">
        <f>IF(D36="", "", IF(E36="", "",E36-E21))</f>
        <v>202263.5890160001</v>
      </c>
    </row>
    <row r="37" spans="1:9" x14ac:dyDescent="0.25">
      <c r="A37" s="11"/>
      <c r="B37" s="11" t="s">
        <v>10</v>
      </c>
      <c r="C37" s="12">
        <v>404366.62</v>
      </c>
      <c r="D37" s="13">
        <v>281127.99800299999</v>
      </c>
      <c r="E37" s="14">
        <f>E36+C37-D37</f>
        <v>697666.44744500006</v>
      </c>
      <c r="F37" s="11"/>
      <c r="G37" s="11" t="s">
        <v>10</v>
      </c>
      <c r="H37" s="15">
        <f>IF(C37="", "", IF(D37="", "",D37-D22))</f>
        <v>179122.64715099998</v>
      </c>
      <c r="I37" s="15">
        <f>IF(D37="", "", IF(E37="", "",E37-E22))</f>
        <v>428211.90105000004</v>
      </c>
    </row>
    <row r="38" spans="1:9" x14ac:dyDescent="0.25">
      <c r="A38" s="11"/>
      <c r="B38" s="11" t="s">
        <v>11</v>
      </c>
      <c r="C38" s="12">
        <v>122158.88</v>
      </c>
      <c r="D38" s="13">
        <v>245343.47144299999</v>
      </c>
      <c r="E38" s="14">
        <f>E37+C38-D38</f>
        <v>574481.85600200004</v>
      </c>
      <c r="F38" s="11"/>
      <c r="G38" s="11" t="s">
        <v>11</v>
      </c>
      <c r="H38" s="15">
        <f>IF(C38="", "", IF(D38="", "",D38-D23))</f>
        <v>120274.45347799998</v>
      </c>
      <c r="I38" s="15">
        <f>IF(D38="", "", IF(E38="", "",E38-E23))</f>
        <v>334626.084929</v>
      </c>
    </row>
    <row r="39" spans="1:9" x14ac:dyDescent="0.25">
      <c r="A39" s="11"/>
      <c r="B39" s="11" t="s">
        <v>12</v>
      </c>
      <c r="C39" s="12">
        <v>266993.62183100003</v>
      </c>
      <c r="D39" s="13">
        <v>267655.74258000002</v>
      </c>
      <c r="E39" s="14">
        <f>E38+C39-D39</f>
        <v>573819.73525299993</v>
      </c>
      <c r="F39" s="11"/>
      <c r="G39" s="11" t="s">
        <v>12</v>
      </c>
      <c r="H39" s="15">
        <f>IF(C39="", "", IF(D39="", "",D39-D24))</f>
        <v>156465.74800700002</v>
      </c>
      <c r="I39" s="15">
        <f>IF(D39="", "", IF(E39="", "",E39-E24))</f>
        <v>354645.56875299988</v>
      </c>
    </row>
    <row r="40" spans="1:9" x14ac:dyDescent="0.25">
      <c r="A40" s="11"/>
      <c r="B40" s="11" t="s">
        <v>13</v>
      </c>
      <c r="C40" s="12">
        <v>229674.98</v>
      </c>
      <c r="D40" s="13">
        <v>227194.86780899999</v>
      </c>
      <c r="E40" s="14">
        <f>E39+C40-D40</f>
        <v>576299.84744399996</v>
      </c>
      <c r="F40" s="11"/>
      <c r="G40" s="11" t="s">
        <v>13</v>
      </c>
      <c r="H40" s="15">
        <f>IF(C40="", "", IF(D40="", "",D40-D25))</f>
        <v>41394.717370999977</v>
      </c>
      <c r="I40" s="15">
        <f>IF(D40="", "", IF(E40="", "",E40-E25))</f>
        <v>356969.88037699985</v>
      </c>
    </row>
    <row r="41" spans="1:9" x14ac:dyDescent="0.25">
      <c r="A41" s="11"/>
      <c r="B41" s="11" t="s">
        <v>14</v>
      </c>
      <c r="C41" s="12">
        <v>1180338.8445639999</v>
      </c>
      <c r="D41" s="13">
        <v>1093411.8935740001</v>
      </c>
      <c r="E41" s="14">
        <f>E40+C41-D41</f>
        <v>663226.79843399976</v>
      </c>
      <c r="F41" s="11"/>
      <c r="G41" s="11" t="s">
        <v>14</v>
      </c>
      <c r="H41" s="15">
        <f>IF(C41="", "", IF(D41="", "",D41-D26))</f>
        <v>928496.93662100006</v>
      </c>
      <c r="I41" s="15">
        <f>IF(D41="", "", IF(E41="", "",E41-E26))</f>
        <v>336440.91162299964</v>
      </c>
    </row>
    <row r="42" spans="1:9" x14ac:dyDescent="0.25">
      <c r="A42" s="11"/>
      <c r="B42" s="11" t="s">
        <v>15</v>
      </c>
      <c r="C42" s="12">
        <v>290105.80999500002</v>
      </c>
      <c r="D42" s="13">
        <v>326204.65157799999</v>
      </c>
      <c r="E42" s="14">
        <f>E41+C42-D42</f>
        <v>627127.95685099973</v>
      </c>
      <c r="F42" s="11"/>
      <c r="G42" s="11" t="s">
        <v>15</v>
      </c>
      <c r="H42" s="15">
        <f>IF(C42="", "", IF(D42="", "",D42-D27))</f>
        <v>149249.74136799999</v>
      </c>
      <c r="I42" s="15">
        <f>IF(D42="", "", IF(E42="", "",E42-E27))</f>
        <v>173397.13486499956</v>
      </c>
    </row>
    <row r="43" spans="1:9" x14ac:dyDescent="0.25">
      <c r="A43" s="11"/>
      <c r="B43" s="11" t="s">
        <v>16</v>
      </c>
      <c r="C43" s="12">
        <v>2688264.1862829998</v>
      </c>
      <c r="D43" s="13">
        <v>2428992.6079739998</v>
      </c>
      <c r="E43" s="14">
        <f>E42+C43-D43</f>
        <v>886399.53515999997</v>
      </c>
      <c r="F43" s="11"/>
      <c r="G43" s="11" t="s">
        <v>16</v>
      </c>
      <c r="H43" s="15">
        <f>IF(C43="", "", IF(D43="", "",D43-D28))</f>
        <v>2233406.2890249998</v>
      </c>
      <c r="I43" s="15">
        <f>IF(D43="", "", IF(E43="", "",E43-E28))</f>
        <v>428501.03212299978</v>
      </c>
    </row>
    <row r="44" spans="1:9" x14ac:dyDescent="0.25">
      <c r="A44" s="11"/>
      <c r="B44" s="11" t="s">
        <v>17</v>
      </c>
      <c r="C44" s="12">
        <v>309000.07</v>
      </c>
      <c r="D44" s="13">
        <v>230155.75556300001</v>
      </c>
      <c r="E44" s="14">
        <f>E43+C44-D44</f>
        <v>965243.84959700005</v>
      </c>
      <c r="F44" s="11"/>
      <c r="G44" s="11" t="s">
        <v>17</v>
      </c>
      <c r="H44" s="15">
        <f>IF(C44="", "", IF(D44="", "",D44-D29))</f>
        <v>66488.649957000016</v>
      </c>
      <c r="I44" s="15">
        <f>IF(D44="", "", IF(E44="", "",E44-E29))</f>
        <v>553304.46216699993</v>
      </c>
    </row>
    <row r="45" spans="1:9" x14ac:dyDescent="0.25">
      <c r="A45" s="16"/>
      <c r="B45" s="16" t="s">
        <v>18</v>
      </c>
      <c r="C45" s="17">
        <v>222980.37</v>
      </c>
      <c r="D45" s="18">
        <v>275565.13191400003</v>
      </c>
      <c r="E45" s="19">
        <f>E44+C45-D45</f>
        <v>912659.08768300014</v>
      </c>
      <c r="F45" s="16"/>
      <c r="G45" s="16" t="s">
        <v>18</v>
      </c>
      <c r="H45" s="20">
        <f>IF(C45="", "", IF(D45="", "",D45-D30))</f>
        <v>165659.04381300003</v>
      </c>
      <c r="I45" s="20">
        <f>IF(D45="", "", IF(E45="", "",E45-E30))</f>
        <v>498896.55884699995</v>
      </c>
    </row>
    <row r="46" spans="1:9" s="2" customFormat="1" x14ac:dyDescent="0.25">
      <c r="A46" s="21"/>
      <c r="B46" s="21" t="s">
        <v>19</v>
      </c>
      <c r="C46" s="22">
        <f>SUM(C34:C45)</f>
        <v>6561448.5725610005</v>
      </c>
      <c r="D46" s="23">
        <f>SUM(D34:D45)</f>
        <v>6062552.0137139997</v>
      </c>
      <c r="E46" s="14"/>
      <c r="F46" s="21"/>
      <c r="G46" s="21"/>
      <c r="H46" s="14">
        <f>SUMIF(C34:C45,"&gt;=0",H34:H45)</f>
        <v>4376218.5002610004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546787.38104675</v>
      </c>
      <c r="D47" s="23">
        <f>AVERAGE(D34:D45)</f>
        <v>505212.66780949995</v>
      </c>
      <c r="E47" s="24">
        <f>C47/D47-1</f>
        <v>8.2291509865557444E-2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912659.08768300014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354258.87</v>
      </c>
      <c r="D49" s="27">
        <v>261564.543336</v>
      </c>
      <c r="E49" s="28">
        <f>E48+C49-D49</f>
        <v>1005353.4143470002</v>
      </c>
      <c r="F49" s="25"/>
      <c r="G49" s="25" t="s">
        <v>7</v>
      </c>
      <c r="H49" s="29">
        <f>IF(C49="", "", IF(D49="", "",D49-D34))</f>
        <v>101552.41182199999</v>
      </c>
      <c r="I49" s="29">
        <f>IF(D49="", "", IF(E49="", "",E49-E34))</f>
        <v>697769.13702500006</v>
      </c>
    </row>
    <row r="50" spans="1:9" x14ac:dyDescent="0.25">
      <c r="A50" s="25"/>
      <c r="B50" s="25" t="s">
        <v>8</v>
      </c>
      <c r="C50" s="26">
        <v>371877.13999900001</v>
      </c>
      <c r="D50" s="27">
        <v>356785.02308900002</v>
      </c>
      <c r="E50" s="28">
        <f>E49+C50-D50</f>
        <v>1020445.5312570003</v>
      </c>
      <c r="F50" s="25"/>
      <c r="G50" s="25" t="s">
        <v>8</v>
      </c>
      <c r="H50" s="29">
        <f>IF(C50="", "", IF(D50="", "",D50-D35))</f>
        <v>95280.189458000037</v>
      </c>
      <c r="I50" s="29">
        <f>IF(D50="", "", IF(E50="", "",E50-E35))</f>
        <v>670367.43590100016</v>
      </c>
    </row>
    <row r="51" spans="1:9" x14ac:dyDescent="0.25">
      <c r="A51" s="25"/>
      <c r="B51" s="25" t="s">
        <v>9</v>
      </c>
      <c r="C51" s="26">
        <v>464819.10999899998</v>
      </c>
      <c r="D51" s="27">
        <v>400586.36166200001</v>
      </c>
      <c r="E51" s="28">
        <f>E50+C51-D51</f>
        <v>1084678.2795940004</v>
      </c>
      <c r="F51" s="25"/>
      <c r="G51" s="25" t="s">
        <v>9</v>
      </c>
      <c r="H51" s="29">
        <f>IF(C51="", "", IF(D51="", "",D51-D36))</f>
        <v>135203.43353099999</v>
      </c>
      <c r="I51" s="29">
        <f>IF(D51="", "", IF(E51="", "",E51-E36))</f>
        <v>510250.45414600032</v>
      </c>
    </row>
    <row r="52" spans="1:9" x14ac:dyDescent="0.25">
      <c r="A52" s="25"/>
      <c r="B52" s="25" t="s">
        <v>10</v>
      </c>
      <c r="C52" s="26">
        <v>320284.07</v>
      </c>
      <c r="D52" s="27">
        <v>332181.57838700002</v>
      </c>
      <c r="E52" s="28">
        <f>E51+C52-D52</f>
        <v>1072780.7712070006</v>
      </c>
      <c r="F52" s="25"/>
      <c r="G52" s="25" t="s">
        <v>10</v>
      </c>
      <c r="H52" s="29">
        <f>IF(C52="", "", IF(D52="", "",D52-D37))</f>
        <v>51053.58038400003</v>
      </c>
      <c r="I52" s="29">
        <f>IF(D52="", "", IF(E52="", "",E52-E37))</f>
        <v>375114.32376200054</v>
      </c>
    </row>
    <row r="53" spans="1:9" x14ac:dyDescent="0.25">
      <c r="A53" s="25"/>
      <c r="B53" s="25" t="s">
        <v>11</v>
      </c>
      <c r="C53" s="26">
        <v>478226.199998</v>
      </c>
      <c r="D53" s="27">
        <v>466303.176117</v>
      </c>
      <c r="E53" s="28">
        <f>E52+C53-D53</f>
        <v>1084703.7950880006</v>
      </c>
      <c r="F53" s="25"/>
      <c r="G53" s="25" t="s">
        <v>11</v>
      </c>
      <c r="H53" s="29">
        <f>IF(C53="", "", IF(D53="", "",D53-D38))</f>
        <v>220959.70467400001</v>
      </c>
      <c r="I53" s="29">
        <f>IF(D53="", "", IF(E53="", "",E53-E38))</f>
        <v>510221.93908600055</v>
      </c>
    </row>
    <row r="54" spans="1:9" x14ac:dyDescent="0.25">
      <c r="A54" s="25"/>
      <c r="B54" s="25" t="s">
        <v>12</v>
      </c>
      <c r="C54" s="26">
        <v>739068.10999799997</v>
      </c>
      <c r="D54" s="27">
        <v>598996.07178400003</v>
      </c>
      <c r="E54" s="28">
        <f>E53+C54-D54</f>
        <v>1224775.8333020005</v>
      </c>
      <c r="F54" s="25"/>
      <c r="G54" s="25" t="s">
        <v>12</v>
      </c>
      <c r="H54" s="29">
        <f>IF(C54="", "", IF(D54="", "",D54-D39))</f>
        <v>331340.32920400001</v>
      </c>
      <c r="I54" s="29">
        <f>IF(D54="", "", IF(E54="", "",E54-E39))</f>
        <v>650956.0980490006</v>
      </c>
    </row>
    <row r="55" spans="1:9" x14ac:dyDescent="0.25">
      <c r="A55" s="25"/>
      <c r="B55" s="25" t="s">
        <v>13</v>
      </c>
      <c r="C55" s="26">
        <v>358981.949999</v>
      </c>
      <c r="D55" s="27">
        <v>576173.29991099995</v>
      </c>
      <c r="E55" s="28">
        <f>E54+C55-D55</f>
        <v>1007584.4833900005</v>
      </c>
      <c r="F55" s="25"/>
      <c r="G55" s="25" t="s">
        <v>13</v>
      </c>
      <c r="H55" s="29">
        <f>IF(C55="", "", IF(D55="", "",D55-D40))</f>
        <v>348978.43210199999</v>
      </c>
      <c r="I55" s="29">
        <f>IF(D55="", "", IF(E55="", "",E55-E40))</f>
        <v>431284.63594600058</v>
      </c>
    </row>
    <row r="56" spans="1:9" x14ac:dyDescent="0.25">
      <c r="A56" s="25"/>
      <c r="B56" s="25" t="s">
        <v>14</v>
      </c>
      <c r="C56" s="26">
        <v>465917.25</v>
      </c>
      <c r="D56" s="27">
        <v>443273.43150399998</v>
      </c>
      <c r="E56" s="28">
        <f>E55+C56-D56</f>
        <v>1030228.3018860007</v>
      </c>
      <c r="F56" s="25"/>
      <c r="G56" s="25" t="s">
        <v>14</v>
      </c>
      <c r="H56" s="29">
        <f>IF(C56="", "", IF(D56="", "",D56-D41))</f>
        <v>-650138.46207000013</v>
      </c>
      <c r="I56" s="29">
        <f>IF(D56="", "", IF(E56="", "",E56-E41))</f>
        <v>367001.50345200091</v>
      </c>
    </row>
    <row r="57" spans="1:9" x14ac:dyDescent="0.25">
      <c r="A57" s="25"/>
      <c r="B57" s="25" t="s">
        <v>15</v>
      </c>
      <c r="C57" s="26">
        <v>329980.73999799998</v>
      </c>
      <c r="D57" s="27">
        <v>445744.60989899997</v>
      </c>
      <c r="E57" s="28">
        <f>E56+C57-D57</f>
        <v>914464.43198500061</v>
      </c>
      <c r="F57" s="25"/>
      <c r="G57" s="25" t="s">
        <v>15</v>
      </c>
      <c r="H57" s="29">
        <f>IF(C57="", "", IF(D57="", "",D57-D42))</f>
        <v>119539.95832099998</v>
      </c>
      <c r="I57" s="29">
        <f>IF(D57="", "", IF(E57="", "",E57-E42))</f>
        <v>287336.47513400088</v>
      </c>
    </row>
    <row r="58" spans="1:9" x14ac:dyDescent="0.25">
      <c r="A58" s="25"/>
      <c r="B58" s="25" t="s">
        <v>16</v>
      </c>
      <c r="C58" s="26">
        <v>506196.98999899998</v>
      </c>
      <c r="D58" s="27">
        <v>437328.16269000003</v>
      </c>
      <c r="E58" s="28">
        <f>E57+C58-D58</f>
        <v>983333.25929400057</v>
      </c>
      <c r="F58" s="25"/>
      <c r="G58" s="25" t="s">
        <v>16</v>
      </c>
      <c r="H58" s="29">
        <f>IF(C58="", "", IF(D58="", "",D58-D43))</f>
        <v>-1991664.4452839997</v>
      </c>
      <c r="I58" s="29">
        <f>IF(D58="", "", IF(E58="", "",E58-E43))</f>
        <v>96933.7241340006</v>
      </c>
    </row>
    <row r="59" spans="1:9" x14ac:dyDescent="0.25">
      <c r="A59" s="25"/>
      <c r="B59" s="25" t="s">
        <v>17</v>
      </c>
      <c r="C59" s="26">
        <v>344078.06</v>
      </c>
      <c r="D59" s="27">
        <v>498245.16049600003</v>
      </c>
      <c r="E59" s="28">
        <f>E58+C59-D59</f>
        <v>829166.15879800054</v>
      </c>
      <c r="F59" s="25"/>
      <c r="G59" s="25" t="s">
        <v>17</v>
      </c>
      <c r="H59" s="29">
        <f>IF(C59="", "", IF(D59="", "",D59-D44))</f>
        <v>268089.40493299998</v>
      </c>
      <c r="I59" s="29">
        <f>IF(D59="", "", IF(E59="", "",E59-E44))</f>
        <v>-136077.69079899951</v>
      </c>
    </row>
    <row r="60" spans="1:9" x14ac:dyDescent="0.25">
      <c r="A60" s="30"/>
      <c r="B60" s="30" t="s">
        <v>18</v>
      </c>
      <c r="C60" s="31">
        <v>224374.65</v>
      </c>
      <c r="D60" s="32">
        <v>317938.15155000001</v>
      </c>
      <c r="E60" s="33">
        <f>E59+C60-D60</f>
        <v>735602.65724800038</v>
      </c>
      <c r="F60" s="30"/>
      <c r="G60" s="30" t="s">
        <v>18</v>
      </c>
      <c r="H60" s="34">
        <f>IF(C60="", "", IF(D60="", "",D60-D45))</f>
        <v>42373.019635999983</v>
      </c>
      <c r="I60" s="34">
        <f>IF(D60="", "", IF(E60="", "",E60-E45))</f>
        <v>-177056.43043499975</v>
      </c>
    </row>
    <row r="61" spans="1:9" s="2" customFormat="1" x14ac:dyDescent="0.25">
      <c r="A61" s="35"/>
      <c r="B61" s="35" t="s">
        <v>19</v>
      </c>
      <c r="C61" s="36">
        <f>SUM(C49:C60)</f>
        <v>4958063.1399900001</v>
      </c>
      <c r="D61" s="37">
        <f>SUM(D49:D60)</f>
        <v>5135119.5704249991</v>
      </c>
      <c r="E61" s="28"/>
      <c r="F61" s="35"/>
      <c r="G61" s="35"/>
      <c r="H61" s="28">
        <f>SUMIF(C49:C60,"&gt;=0",H49:H60)</f>
        <v>-927432.44328899984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413171.92833249999</v>
      </c>
      <c r="D62" s="37">
        <f>AVERAGE(D49:D60)</f>
        <v>427926.63086874993</v>
      </c>
      <c r="E62" s="38">
        <f>C62/D62-1</f>
        <v>-3.4479514645526677E-2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735602.65724800038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482458.509999</v>
      </c>
      <c r="D64" s="13">
        <v>245845.65752400001</v>
      </c>
      <c r="E64" s="14">
        <f>E63+C64-D64</f>
        <v>972215.50972300034</v>
      </c>
      <c r="F64" s="11"/>
      <c r="G64" s="11" t="s">
        <v>7</v>
      </c>
      <c r="H64" s="15">
        <f>IF(C64="", "", IF(D64="", "",D64-D49))</f>
        <v>-15718.885811999993</v>
      </c>
      <c r="I64" s="15">
        <f>IF(D64="", "", IF(E64="", "",E64-E49))</f>
        <v>-33137.904623999842</v>
      </c>
    </row>
    <row r="65" spans="1:9" x14ac:dyDescent="0.25">
      <c r="A65" s="11"/>
      <c r="B65" s="11" t="s">
        <v>8</v>
      </c>
      <c r="C65" s="12">
        <v>433479.44</v>
      </c>
      <c r="D65" s="13">
        <v>396917.11582100001</v>
      </c>
      <c r="E65" s="14">
        <f>E64+C65-D65</f>
        <v>1008777.8339020004</v>
      </c>
      <c r="F65" s="11"/>
      <c r="G65" s="11" t="s">
        <v>8</v>
      </c>
      <c r="H65" s="15">
        <f>IF(C65="", "", IF(D65="", "",D65-D50))</f>
        <v>40132.09273199999</v>
      </c>
      <c r="I65" s="15">
        <f>IF(D65="", "", IF(E65="", "",E65-E50))</f>
        <v>-11667.697354999837</v>
      </c>
    </row>
    <row r="66" spans="1:9" x14ac:dyDescent="0.25">
      <c r="A66" s="11"/>
      <c r="B66" s="11" t="s">
        <v>9</v>
      </c>
      <c r="C66" s="12">
        <v>429042.71</v>
      </c>
      <c r="D66" s="13">
        <v>408377.81489199999</v>
      </c>
      <c r="E66" s="14">
        <f>E65+C66-D66</f>
        <v>1029442.7290100004</v>
      </c>
      <c r="F66" s="11"/>
      <c r="G66" s="11" t="s">
        <v>9</v>
      </c>
      <c r="H66" s="15">
        <f>IF(C66="", "", IF(D66="", "",D66-D51))</f>
        <v>7791.4532299999846</v>
      </c>
      <c r="I66" s="15">
        <f>IF(D66="", "", IF(E66="", "",E66-E51))</f>
        <v>-55235.55058400007</v>
      </c>
    </row>
    <row r="67" spans="1:9" x14ac:dyDescent="0.25">
      <c r="A67" s="11"/>
      <c r="B67" s="11" t="s">
        <v>10</v>
      </c>
      <c r="C67" s="12">
        <v>308037.46999999997</v>
      </c>
      <c r="D67" s="13">
        <v>343638.96497899998</v>
      </c>
      <c r="E67" s="14">
        <f>E66+C67-D67</f>
        <v>993841.23403100041</v>
      </c>
      <c r="F67" s="11"/>
      <c r="G67" s="11" t="s">
        <v>10</v>
      </c>
      <c r="H67" s="15">
        <f>IF(C67="", "", IF(D67="", "",D67-D52))</f>
        <v>11457.386591999966</v>
      </c>
      <c r="I67" s="15">
        <f>IF(D67="", "", IF(E67="", "",E67-E52))</f>
        <v>-78939.537176000187</v>
      </c>
    </row>
    <row r="68" spans="1:9" x14ac:dyDescent="0.25">
      <c r="A68" s="11"/>
      <c r="B68" s="11" t="s">
        <v>11</v>
      </c>
      <c r="C68" s="12">
        <v>418482.75</v>
      </c>
      <c r="D68" s="13">
        <v>390395.11813999998</v>
      </c>
      <c r="E68" s="14">
        <f>E67+C68-D68</f>
        <v>1021928.8658910005</v>
      </c>
      <c r="F68" s="11"/>
      <c r="G68" s="11" t="s">
        <v>11</v>
      </c>
      <c r="H68" s="15">
        <f>IF(C68="", "", IF(D68="", "",D68-D53))</f>
        <v>-75908.057977000019</v>
      </c>
      <c r="I68" s="15">
        <f>IF(D68="", "", IF(E68="", "",E68-E53))</f>
        <v>-62774.929197000107</v>
      </c>
    </row>
    <row r="69" spans="1:9" x14ac:dyDescent="0.25">
      <c r="A69" s="11"/>
      <c r="B69" s="11" t="s">
        <v>12</v>
      </c>
      <c r="C69" s="12">
        <v>423544.02999900002</v>
      </c>
      <c r="D69" s="13">
        <v>448398.84087299998</v>
      </c>
      <c r="E69" s="14">
        <f>E68+C69-D69</f>
        <v>997074.05501700053</v>
      </c>
      <c r="F69" s="11"/>
      <c r="G69" s="11" t="s">
        <v>12</v>
      </c>
      <c r="H69" s="15">
        <f>IF(C69="", "", IF(D69="", "",D69-D54))</f>
        <v>-150597.23091100005</v>
      </c>
      <c r="I69" s="15">
        <f>IF(D69="", "", IF(E69="", "",E69-E54))</f>
        <v>-227701.77828500001</v>
      </c>
    </row>
    <row r="70" spans="1:9" x14ac:dyDescent="0.25">
      <c r="A70" s="11"/>
      <c r="B70" s="11" t="s">
        <v>13</v>
      </c>
      <c r="C70" s="12">
        <v>608443.99</v>
      </c>
      <c r="D70" s="13">
        <v>432492.88241899997</v>
      </c>
      <c r="E70" s="14">
        <f>E69+C70-D70</f>
        <v>1173025.1625980006</v>
      </c>
      <c r="F70" s="11"/>
      <c r="G70" s="11" t="s">
        <v>13</v>
      </c>
      <c r="H70" s="15">
        <f>IF(C70="", "", IF(D70="", "",D70-D55))</f>
        <v>-143680.41749199998</v>
      </c>
      <c r="I70" s="15">
        <f>IF(D70="", "", IF(E70="", "",E70-E55))</f>
        <v>165440.67920800007</v>
      </c>
    </row>
    <row r="71" spans="1:9" x14ac:dyDescent="0.25">
      <c r="A71" s="11"/>
      <c r="B71" s="11" t="s">
        <v>14</v>
      </c>
      <c r="C71" s="12">
        <v>532913.38</v>
      </c>
      <c r="D71" s="13">
        <v>627013.55802</v>
      </c>
      <c r="E71" s="14">
        <f>E70+C71-D71</f>
        <v>1078924.9845780008</v>
      </c>
      <c r="F71" s="11"/>
      <c r="G71" s="11" t="s">
        <v>14</v>
      </c>
      <c r="H71" s="15">
        <f>IF(C71="", "", IF(D71="", "",D71-D56))</f>
        <v>183740.12651600002</v>
      </c>
      <c r="I71" s="15">
        <f>IF(D71="", "", IF(E71="", "",E71-E56))</f>
        <v>48696.682692000177</v>
      </c>
    </row>
    <row r="72" spans="1:9" x14ac:dyDescent="0.25">
      <c r="A72" s="11"/>
      <c r="B72" s="11" t="s">
        <v>15</v>
      </c>
      <c r="C72" s="12">
        <v>904820.12999699998</v>
      </c>
      <c r="D72" s="13">
        <v>475948.97313200001</v>
      </c>
      <c r="E72" s="14">
        <f>E71+C72-D72</f>
        <v>1507796.1414430009</v>
      </c>
      <c r="F72" s="11"/>
      <c r="G72" s="11" t="s">
        <v>15</v>
      </c>
      <c r="H72" s="15">
        <f>IF(C72="", "", IF(D72="", "",D72-D57))</f>
        <v>30204.36323300004</v>
      </c>
      <c r="I72" s="15">
        <f>IF(D72="", "", IF(E72="", "",E72-E57))</f>
        <v>593331.70945800026</v>
      </c>
    </row>
    <row r="73" spans="1:9" x14ac:dyDescent="0.25">
      <c r="A73" s="11"/>
      <c r="B73" s="11" t="s">
        <v>16</v>
      </c>
      <c r="C73" s="12">
        <v>604939.13</v>
      </c>
      <c r="D73" s="13">
        <v>662084.62999699998</v>
      </c>
      <c r="E73" s="14">
        <f>E72+C73-D73</f>
        <v>1450650.6414460009</v>
      </c>
      <c r="F73" s="11"/>
      <c r="G73" s="11" t="s">
        <v>16</v>
      </c>
      <c r="H73" s="15">
        <f>IF(C73="", "", IF(D73="", "",D73-D58))</f>
        <v>224756.46730699996</v>
      </c>
      <c r="I73" s="15">
        <f>IF(D73="", "", IF(E73="", "",E73-E58))</f>
        <v>467317.38215200033</v>
      </c>
    </row>
    <row r="74" spans="1:9" x14ac:dyDescent="0.25">
      <c r="A74" s="11"/>
      <c r="B74" s="11" t="s">
        <v>17</v>
      </c>
      <c r="C74" s="12">
        <v>316239.63</v>
      </c>
      <c r="D74" s="13">
        <v>491086.231783</v>
      </c>
      <c r="E74" s="14">
        <f>E73+C74-D74</f>
        <v>1275804.0396630007</v>
      </c>
      <c r="F74" s="11"/>
      <c r="G74" s="11" t="s">
        <v>17</v>
      </c>
      <c r="H74" s="15">
        <f>IF(C74="", "", IF(D74="", "",D74-D59))</f>
        <v>-7158.9287130000303</v>
      </c>
      <c r="I74" s="15">
        <f>IF(D74="", "", IF(E74="", "",E74-E59))</f>
        <v>446637.88086500019</v>
      </c>
    </row>
    <row r="75" spans="1:9" x14ac:dyDescent="0.25">
      <c r="A75" s="16"/>
      <c r="B75" s="16" t="s">
        <v>18</v>
      </c>
      <c r="C75" s="17">
        <v>309371.80999899999</v>
      </c>
      <c r="D75" s="18">
        <v>438714.833965</v>
      </c>
      <c r="E75" s="19">
        <f>E74+C75-D75</f>
        <v>1146461.0156970008</v>
      </c>
      <c r="F75" s="16"/>
      <c r="G75" s="16" t="s">
        <v>18</v>
      </c>
      <c r="H75" s="20">
        <f>IF(C75="", "", IF(D75="", "",D75-D60))</f>
        <v>120776.68241499999</v>
      </c>
      <c r="I75" s="20">
        <f>IF(D75="", "", IF(E75="", "",E75-E60))</f>
        <v>410858.3584490004</v>
      </c>
    </row>
    <row r="76" spans="1:9" s="2" customFormat="1" x14ac:dyDescent="0.25">
      <c r="A76" s="21"/>
      <c r="B76" s="21" t="s">
        <v>19</v>
      </c>
      <c r="C76" s="22">
        <f>SUM(C64:C75)</f>
        <v>5771772.9799939999</v>
      </c>
      <c r="D76" s="23">
        <f>SUM(D64:D75)</f>
        <v>5360914.6215449991</v>
      </c>
      <c r="E76" s="14"/>
      <c r="F76" s="21"/>
      <c r="G76" s="21"/>
      <c r="H76" s="14">
        <f>SUMIF(C64:C75,"&gt;=0",H64:H75)</f>
        <v>225795.0511199999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480981.08166616666</v>
      </c>
      <c r="D77" s="23">
        <f>AVERAGE(D64:D75)</f>
        <v>446742.88512874994</v>
      </c>
      <c r="E77" s="24">
        <f>C77/D77-1</f>
        <v>7.6639601160182647E-2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1146461.0156970008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1146461.0156970008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1146461.0156970008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1146461.0156970008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1146461.0156970008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1146461.0156970008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1146461.0156970008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1146461.0156970008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1146461.0156970008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1146461.0156970008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1146461.0156970008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1146461.0156970008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1146461.0156970008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DDEB6-BB3E-469F-BDE2-7E807786AEC9}">
  <sheetPr codeName="Sheet3"/>
  <dimension ref="A2:I92"/>
  <sheetViews>
    <sheetView topLeftCell="A72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</cols>
  <sheetData>
    <row r="2" spans="1:9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9" x14ac:dyDescent="0.25">
      <c r="A3" s="11"/>
      <c r="B3" s="11"/>
      <c r="C3" s="12"/>
      <c r="D3" s="13"/>
      <c r="E3" s="14"/>
      <c r="F3" s="11"/>
      <c r="G3" s="11"/>
      <c r="H3" s="15"/>
      <c r="I3" s="15"/>
    </row>
    <row r="4" spans="1:9" x14ac:dyDescent="0.25">
      <c r="A4" s="11">
        <v>2019</v>
      </c>
      <c r="B4" s="11" t="s">
        <v>7</v>
      </c>
      <c r="C4" s="12"/>
      <c r="D4" s="13"/>
      <c r="E4" s="14">
        <f>E3+C4-D4</f>
        <v>0</v>
      </c>
      <c r="F4" s="11"/>
      <c r="G4" s="11" t="s">
        <v>7</v>
      </c>
      <c r="H4" s="15"/>
      <c r="I4" s="15"/>
    </row>
    <row r="5" spans="1:9" x14ac:dyDescent="0.25">
      <c r="A5" s="11"/>
      <c r="B5" s="11" t="s">
        <v>8</v>
      </c>
      <c r="C5" s="12"/>
      <c r="D5" s="13"/>
      <c r="E5" s="14">
        <f>E4+C5-D5</f>
        <v>0</v>
      </c>
      <c r="F5" s="11"/>
      <c r="G5" s="11" t="s">
        <v>8</v>
      </c>
      <c r="H5" s="15"/>
      <c r="I5" s="15"/>
    </row>
    <row r="6" spans="1:9" x14ac:dyDescent="0.25">
      <c r="A6" s="11"/>
      <c r="B6" s="11" t="s">
        <v>9</v>
      </c>
      <c r="C6" s="12"/>
      <c r="D6" s="13"/>
      <c r="E6" s="14">
        <f>E5+C6-D6</f>
        <v>0</v>
      </c>
      <c r="F6" s="11"/>
      <c r="G6" s="11" t="s">
        <v>9</v>
      </c>
      <c r="H6" s="15"/>
      <c r="I6" s="15"/>
    </row>
    <row r="7" spans="1:9" x14ac:dyDescent="0.25">
      <c r="A7" s="11"/>
      <c r="B7" s="11" t="s">
        <v>10</v>
      </c>
      <c r="C7" s="12"/>
      <c r="D7" s="13"/>
      <c r="E7" s="14">
        <f>E6+C7-D7</f>
        <v>0</v>
      </c>
      <c r="F7" s="11"/>
      <c r="G7" s="11" t="s">
        <v>10</v>
      </c>
      <c r="H7" s="15"/>
      <c r="I7" s="15"/>
    </row>
    <row r="8" spans="1:9" x14ac:dyDescent="0.25">
      <c r="A8" s="11"/>
      <c r="B8" s="11" t="s">
        <v>11</v>
      </c>
      <c r="C8" s="12"/>
      <c r="D8" s="13"/>
      <c r="E8" s="14">
        <f>E7+C8-D8</f>
        <v>0</v>
      </c>
      <c r="F8" s="11"/>
      <c r="G8" s="11" t="s">
        <v>11</v>
      </c>
      <c r="H8" s="15"/>
      <c r="I8" s="15"/>
    </row>
    <row r="9" spans="1:9" x14ac:dyDescent="0.25">
      <c r="A9" s="11"/>
      <c r="B9" s="11" t="s">
        <v>12</v>
      </c>
      <c r="C9" s="12"/>
      <c r="D9" s="13"/>
      <c r="E9" s="14">
        <f>E8+C9-D9</f>
        <v>0</v>
      </c>
      <c r="F9" s="11"/>
      <c r="G9" s="11" t="s">
        <v>12</v>
      </c>
      <c r="H9" s="15"/>
      <c r="I9" s="15"/>
    </row>
    <row r="10" spans="1:9" x14ac:dyDescent="0.25">
      <c r="A10" s="11"/>
      <c r="B10" s="11" t="s">
        <v>13</v>
      </c>
      <c r="C10" s="12"/>
      <c r="D10" s="13"/>
      <c r="E10" s="14">
        <f>E9+C10-D10</f>
        <v>0</v>
      </c>
      <c r="F10" s="11"/>
      <c r="G10" s="11" t="s">
        <v>13</v>
      </c>
      <c r="H10" s="15"/>
      <c r="I10" s="15"/>
    </row>
    <row r="11" spans="1:9" x14ac:dyDescent="0.25">
      <c r="A11" s="11"/>
      <c r="B11" s="11" t="s">
        <v>14</v>
      </c>
      <c r="C11" s="12"/>
      <c r="D11" s="13"/>
      <c r="E11" s="14">
        <f>E10+C11-D11</f>
        <v>0</v>
      </c>
      <c r="F11" s="11"/>
      <c r="G11" s="11" t="s">
        <v>14</v>
      </c>
      <c r="H11" s="15"/>
      <c r="I11" s="15"/>
    </row>
    <row r="12" spans="1:9" x14ac:dyDescent="0.25">
      <c r="A12" s="11"/>
      <c r="B12" s="11" t="s">
        <v>15</v>
      </c>
      <c r="C12" s="12"/>
      <c r="D12" s="13"/>
      <c r="E12" s="14">
        <f>E11+C12-D12</f>
        <v>0</v>
      </c>
      <c r="F12" s="11"/>
      <c r="G12" s="11" t="s">
        <v>15</v>
      </c>
      <c r="H12" s="15"/>
      <c r="I12" s="15"/>
    </row>
    <row r="13" spans="1:9" x14ac:dyDescent="0.25">
      <c r="A13" s="11"/>
      <c r="B13" s="11" t="s">
        <v>16</v>
      </c>
      <c r="C13" s="12"/>
      <c r="D13" s="13"/>
      <c r="E13" s="14">
        <f>E12+C13-D13</f>
        <v>0</v>
      </c>
      <c r="F13" s="11"/>
      <c r="G13" s="11" t="s">
        <v>16</v>
      </c>
      <c r="H13" s="15"/>
      <c r="I13" s="15"/>
    </row>
    <row r="14" spans="1:9" x14ac:dyDescent="0.25">
      <c r="A14" s="11"/>
      <c r="B14" s="11" t="s">
        <v>17</v>
      </c>
      <c r="C14" s="12"/>
      <c r="D14" s="13"/>
      <c r="E14" s="14">
        <f>E13+C14-D14</f>
        <v>0</v>
      </c>
      <c r="F14" s="11"/>
      <c r="G14" s="11" t="s">
        <v>17</v>
      </c>
      <c r="H14" s="15"/>
      <c r="I14" s="15"/>
    </row>
    <row r="15" spans="1:9" x14ac:dyDescent="0.25">
      <c r="A15" s="16"/>
      <c r="B15" s="16" t="s">
        <v>18</v>
      </c>
      <c r="C15" s="17"/>
      <c r="D15" s="18"/>
      <c r="E15" s="19">
        <f>E14+C15-D15</f>
        <v>0</v>
      </c>
      <c r="F15" s="16"/>
      <c r="G15" s="16" t="s">
        <v>18</v>
      </c>
      <c r="H15" s="20"/>
      <c r="I15" s="20"/>
    </row>
    <row r="16" spans="1:9" s="2" customFormat="1" x14ac:dyDescent="0.25">
      <c r="A16" s="21"/>
      <c r="B16" s="21" t="s">
        <v>19</v>
      </c>
      <c r="C16" s="22">
        <f>SUM(C4:C15)</f>
        <v>0</v>
      </c>
      <c r="D16" s="23">
        <f>SUM(D4:D15)</f>
        <v>0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 t="e">
        <f>AVERAGE(C4:C15)</f>
        <v>#DIV/0!</v>
      </c>
      <c r="D17" s="23" t="e">
        <f>AVERAGE(D4:D15)</f>
        <v>#DIV/0!</v>
      </c>
      <c r="E17" s="24" t="e">
        <f>C17/D17-1</f>
        <v>#DIV/0!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0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/>
      <c r="D19" s="27"/>
      <c r="E19" s="28">
        <f>E18+C19-D19</f>
        <v>0</v>
      </c>
      <c r="F19" s="25"/>
      <c r="G19" s="25" t="s">
        <v>7</v>
      </c>
      <c r="H19" s="29" t="str">
        <f>IF(C19="", "", IF(D19="", "",D19-D4))</f>
        <v/>
      </c>
      <c r="I19" s="29" t="str">
        <f>IF(D19="", "", IF(E19="", "",E19-E4))</f>
        <v/>
      </c>
    </row>
    <row r="20" spans="1:9" x14ac:dyDescent="0.25">
      <c r="A20" s="25"/>
      <c r="B20" s="25" t="s">
        <v>8</v>
      </c>
      <c r="C20" s="26"/>
      <c r="D20" s="27"/>
      <c r="E20" s="28">
        <f>E19+C20-D20</f>
        <v>0</v>
      </c>
      <c r="F20" s="25"/>
      <c r="G20" s="25" t="s">
        <v>8</v>
      </c>
      <c r="H20" s="29" t="str">
        <f>IF(C20="", "", IF(D20="", "",D20-D5))</f>
        <v/>
      </c>
      <c r="I20" s="29" t="str">
        <f>IF(D20="", "", IF(E20="", "",E20-E5))</f>
        <v/>
      </c>
    </row>
    <row r="21" spans="1:9" x14ac:dyDescent="0.25">
      <c r="A21" s="25"/>
      <c r="B21" s="25" t="s">
        <v>9</v>
      </c>
      <c r="C21" s="26">
        <v>222427.5</v>
      </c>
      <c r="D21" s="27">
        <v>0</v>
      </c>
      <c r="E21" s="28">
        <f>E20+C21-D21</f>
        <v>222427.5</v>
      </c>
      <c r="F21" s="25"/>
      <c r="G21" s="25" t="s">
        <v>9</v>
      </c>
      <c r="H21" s="29">
        <f>IF(C21="", "", IF(D21="", "",D21-D6))</f>
        <v>0</v>
      </c>
      <c r="I21" s="29">
        <f>IF(D21="", "", IF(E21="", "",E21-E6))</f>
        <v>222427.5</v>
      </c>
    </row>
    <row r="22" spans="1:9" x14ac:dyDescent="0.25">
      <c r="A22" s="25"/>
      <c r="B22" s="25" t="s">
        <v>10</v>
      </c>
      <c r="C22" s="26">
        <v>0</v>
      </c>
      <c r="D22" s="27">
        <v>1299.8599999999999</v>
      </c>
      <c r="E22" s="28">
        <f>E21+C22-D22</f>
        <v>221127.64</v>
      </c>
      <c r="F22" s="25"/>
      <c r="G22" s="25" t="s">
        <v>10</v>
      </c>
      <c r="H22" s="29">
        <f>IF(C22="", "", IF(D22="", "",D22-D7))</f>
        <v>1299.8599999999999</v>
      </c>
      <c r="I22" s="29">
        <f>IF(D22="", "", IF(E22="", "",E22-E7))</f>
        <v>221127.64</v>
      </c>
    </row>
    <row r="23" spans="1:9" x14ac:dyDescent="0.25">
      <c r="A23" s="25"/>
      <c r="B23" s="25" t="s">
        <v>11</v>
      </c>
      <c r="C23" s="26">
        <v>0</v>
      </c>
      <c r="D23" s="27">
        <v>41259.56</v>
      </c>
      <c r="E23" s="28">
        <f>E22+C23-D23</f>
        <v>179868.08000000002</v>
      </c>
      <c r="F23" s="25"/>
      <c r="G23" s="25" t="s">
        <v>11</v>
      </c>
      <c r="H23" s="29">
        <f>IF(C23="", "", IF(D23="", "",D23-D8))</f>
        <v>41259.56</v>
      </c>
      <c r="I23" s="29">
        <f>IF(D23="", "", IF(E23="", "",E23-E8))</f>
        <v>179868.08000000002</v>
      </c>
    </row>
    <row r="24" spans="1:9" x14ac:dyDescent="0.25">
      <c r="A24" s="25"/>
      <c r="B24" s="25" t="s">
        <v>12</v>
      </c>
      <c r="C24" s="26">
        <v>0</v>
      </c>
      <c r="D24" s="27">
        <v>2994.73</v>
      </c>
      <c r="E24" s="28">
        <f>E23+C24-D24</f>
        <v>176873.35</v>
      </c>
      <c r="F24" s="25"/>
      <c r="G24" s="25" t="s">
        <v>12</v>
      </c>
      <c r="H24" s="29">
        <f>IF(C24="", "", IF(D24="", "",D24-D9))</f>
        <v>2994.73</v>
      </c>
      <c r="I24" s="29">
        <f>IF(D24="", "", IF(E24="", "",E24-E9))</f>
        <v>176873.35</v>
      </c>
    </row>
    <row r="25" spans="1:9" x14ac:dyDescent="0.25">
      <c r="A25" s="25"/>
      <c r="B25" s="25" t="s">
        <v>13</v>
      </c>
      <c r="C25" s="26">
        <v>0</v>
      </c>
      <c r="D25" s="27">
        <v>11913.94</v>
      </c>
      <c r="E25" s="28">
        <f>E24+C25-D25</f>
        <v>164959.41</v>
      </c>
      <c r="F25" s="25"/>
      <c r="G25" s="25" t="s">
        <v>13</v>
      </c>
      <c r="H25" s="29">
        <f>IF(C25="", "", IF(D25="", "",D25-D10))</f>
        <v>11913.94</v>
      </c>
      <c r="I25" s="29">
        <f>IF(D25="", "", IF(E25="", "",E25-E10))</f>
        <v>164959.41</v>
      </c>
    </row>
    <row r="26" spans="1:9" x14ac:dyDescent="0.25">
      <c r="A26" s="25"/>
      <c r="B26" s="25" t="s">
        <v>14</v>
      </c>
      <c r="C26" s="26">
        <v>0</v>
      </c>
      <c r="D26" s="27">
        <v>14363.76</v>
      </c>
      <c r="E26" s="28">
        <f>E25+C26-D26</f>
        <v>150595.65</v>
      </c>
      <c r="F26" s="25"/>
      <c r="G26" s="25" t="s">
        <v>14</v>
      </c>
      <c r="H26" s="29">
        <f>IF(C26="", "", IF(D26="", "",D26-D11))</f>
        <v>14363.76</v>
      </c>
      <c r="I26" s="29">
        <f>IF(D26="", "", IF(E26="", "",E26-E11))</f>
        <v>150595.65</v>
      </c>
    </row>
    <row r="27" spans="1:9" x14ac:dyDescent="0.25">
      <c r="A27" s="25"/>
      <c r="B27" s="25" t="s">
        <v>15</v>
      </c>
      <c r="C27" s="26">
        <v>0</v>
      </c>
      <c r="D27" s="27">
        <v>5288.74</v>
      </c>
      <c r="E27" s="28">
        <f>E26+C27-D27</f>
        <v>145306.91</v>
      </c>
      <c r="F27" s="25"/>
      <c r="G27" s="25" t="s">
        <v>15</v>
      </c>
      <c r="H27" s="29">
        <f>IF(C27="", "", IF(D27="", "",D27-D12))</f>
        <v>5288.74</v>
      </c>
      <c r="I27" s="29">
        <f>IF(D27="", "", IF(E27="", "",E27-E12))</f>
        <v>145306.91</v>
      </c>
    </row>
    <row r="28" spans="1:9" x14ac:dyDescent="0.25">
      <c r="A28" s="25"/>
      <c r="B28" s="25" t="s">
        <v>16</v>
      </c>
      <c r="C28" s="26">
        <v>0</v>
      </c>
      <c r="D28" s="27">
        <v>3159.84</v>
      </c>
      <c r="E28" s="28">
        <f>E27+C28-D28</f>
        <v>142147.07</v>
      </c>
      <c r="F28" s="25"/>
      <c r="G28" s="25" t="s">
        <v>16</v>
      </c>
      <c r="H28" s="29">
        <f>IF(C28="", "", IF(D28="", "",D28-D13))</f>
        <v>3159.84</v>
      </c>
      <c r="I28" s="29">
        <f>IF(D28="", "", IF(E28="", "",E28-E13))</f>
        <v>142147.07</v>
      </c>
    </row>
    <row r="29" spans="1:9" x14ac:dyDescent="0.25">
      <c r="A29" s="25"/>
      <c r="B29" s="25" t="s">
        <v>17</v>
      </c>
      <c r="C29" s="26">
        <v>123241.65</v>
      </c>
      <c r="D29" s="27">
        <v>5698.41</v>
      </c>
      <c r="E29" s="28">
        <f>E28+C29-D29</f>
        <v>259690.30999999997</v>
      </c>
      <c r="F29" s="25"/>
      <c r="G29" s="25" t="s">
        <v>17</v>
      </c>
      <c r="H29" s="29">
        <f>IF(C29="", "", IF(D29="", "",D29-D14))</f>
        <v>5698.41</v>
      </c>
      <c r="I29" s="29">
        <f>IF(D29="", "", IF(E29="", "",E29-E14))</f>
        <v>259690.30999999997</v>
      </c>
    </row>
    <row r="30" spans="1:9" x14ac:dyDescent="0.25">
      <c r="A30" s="30"/>
      <c r="B30" s="30" t="s">
        <v>18</v>
      </c>
      <c r="C30" s="31">
        <v>0</v>
      </c>
      <c r="D30" s="32">
        <v>1145.55</v>
      </c>
      <c r="E30" s="33">
        <f>E29+C30-D30</f>
        <v>258544.75999999998</v>
      </c>
      <c r="F30" s="30"/>
      <c r="G30" s="30" t="s">
        <v>18</v>
      </c>
      <c r="H30" s="34">
        <f>IF(C30="", "", IF(D30="", "",D30-D15))</f>
        <v>1145.55</v>
      </c>
      <c r="I30" s="34">
        <f>IF(D30="", "", IF(E30="", "",E30-E15))</f>
        <v>258544.75999999998</v>
      </c>
    </row>
    <row r="31" spans="1:9" s="2" customFormat="1" x14ac:dyDescent="0.25">
      <c r="A31" s="35"/>
      <c r="B31" s="35" t="s">
        <v>19</v>
      </c>
      <c r="C31" s="36">
        <f>SUM(C19:C30)</f>
        <v>345669.15</v>
      </c>
      <c r="D31" s="37">
        <f>SUM(D19:D30)</f>
        <v>87124.390000000014</v>
      </c>
      <c r="E31" s="28"/>
      <c r="F31" s="35"/>
      <c r="G31" s="35"/>
      <c r="H31" s="28">
        <f>SUMIF(C19:C30,"&gt;=0",H19:H30)</f>
        <v>87124.390000000014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34566.915000000001</v>
      </c>
      <c r="D32" s="37">
        <f>AVERAGE(D19:D30)</f>
        <v>8712.4390000000021</v>
      </c>
      <c r="E32" s="38">
        <f>C32/D32-1</f>
        <v>2.9675359563493062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258544.75999999998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0</v>
      </c>
      <c r="D34" s="13">
        <v>5566.81</v>
      </c>
      <c r="E34" s="14">
        <f>E33+C34-D34</f>
        <v>252977.94999999998</v>
      </c>
      <c r="F34" s="11"/>
      <c r="G34" s="11" t="s">
        <v>7</v>
      </c>
      <c r="H34" s="15">
        <f>IF(C34="", "", IF(D34="", "",D34-D19))</f>
        <v>5566.81</v>
      </c>
      <c r="I34" s="15">
        <f>IF(D34="", "", IF(E34="", "",E34-E19))</f>
        <v>252977.94999999998</v>
      </c>
    </row>
    <row r="35" spans="1:9" x14ac:dyDescent="0.25">
      <c r="A35" s="11"/>
      <c r="B35" s="11" t="s">
        <v>8</v>
      </c>
      <c r="C35" s="12">
        <v>0</v>
      </c>
      <c r="D35" s="13">
        <v>22711.360000000001</v>
      </c>
      <c r="E35" s="14">
        <f>E34+C35-D35</f>
        <v>230266.58999999997</v>
      </c>
      <c r="F35" s="11"/>
      <c r="G35" s="11" t="s">
        <v>8</v>
      </c>
      <c r="H35" s="15">
        <f>IF(C35="", "", IF(D35="", "",D35-D20))</f>
        <v>22711.360000000001</v>
      </c>
      <c r="I35" s="15">
        <f>IF(D35="", "", IF(E35="", "",E35-E20))</f>
        <v>230266.58999999997</v>
      </c>
    </row>
    <row r="36" spans="1:9" x14ac:dyDescent="0.25">
      <c r="A36" s="11"/>
      <c r="B36" s="11" t="s">
        <v>9</v>
      </c>
      <c r="C36" s="12">
        <v>0</v>
      </c>
      <c r="D36" s="13">
        <v>2026.09</v>
      </c>
      <c r="E36" s="14">
        <f>E35+C36-D36</f>
        <v>228240.49999999997</v>
      </c>
      <c r="F36" s="11"/>
      <c r="G36" s="11" t="s">
        <v>9</v>
      </c>
      <c r="H36" s="15">
        <f>IF(C36="", "", IF(D36="", "",D36-D21))</f>
        <v>2026.09</v>
      </c>
      <c r="I36" s="15">
        <f>IF(D36="", "", IF(E36="", "",E36-E21))</f>
        <v>5812.9999999999709</v>
      </c>
    </row>
    <row r="37" spans="1:9" x14ac:dyDescent="0.25">
      <c r="A37" s="11"/>
      <c r="B37" s="11" t="s">
        <v>10</v>
      </c>
      <c r="C37" s="12">
        <v>0</v>
      </c>
      <c r="D37" s="13">
        <v>13034.45</v>
      </c>
      <c r="E37" s="14">
        <f>E36+C37-D37</f>
        <v>215206.04999999996</v>
      </c>
      <c r="F37" s="11"/>
      <c r="G37" s="11" t="s">
        <v>10</v>
      </c>
      <c r="H37" s="15">
        <f>IF(C37="", "", IF(D37="", "",D37-D22))</f>
        <v>11734.59</v>
      </c>
      <c r="I37" s="15">
        <f>IF(D37="", "", IF(E37="", "",E37-E22))</f>
        <v>-5921.5900000000547</v>
      </c>
    </row>
    <row r="38" spans="1:9" x14ac:dyDescent="0.25">
      <c r="A38" s="11"/>
      <c r="B38" s="11" t="s">
        <v>11</v>
      </c>
      <c r="C38" s="12">
        <v>0</v>
      </c>
      <c r="D38" s="13">
        <v>2120.0500000000002</v>
      </c>
      <c r="E38" s="14">
        <f>E37+C38-D38</f>
        <v>213085.99999999997</v>
      </c>
      <c r="F38" s="11"/>
      <c r="G38" s="11" t="s">
        <v>11</v>
      </c>
      <c r="H38" s="15">
        <f>IF(C38="", "", IF(D38="", "",D38-D23))</f>
        <v>-39139.509999999995</v>
      </c>
      <c r="I38" s="15">
        <f>IF(D38="", "", IF(E38="", "",E38-E23))</f>
        <v>33217.919999999955</v>
      </c>
    </row>
    <row r="39" spans="1:9" x14ac:dyDescent="0.25">
      <c r="A39" s="11"/>
      <c r="B39" s="11" t="s">
        <v>12</v>
      </c>
      <c r="C39" s="12">
        <v>0</v>
      </c>
      <c r="D39" s="13">
        <v>2423.1999999999998</v>
      </c>
      <c r="E39" s="14">
        <f>E38+C39-D39</f>
        <v>210662.79999999996</v>
      </c>
      <c r="F39" s="11"/>
      <c r="G39" s="11" t="s">
        <v>12</v>
      </c>
      <c r="H39" s="15">
        <f>IF(C39="", "", IF(D39="", "",D39-D24))</f>
        <v>-571.5300000000002</v>
      </c>
      <c r="I39" s="15">
        <f>IF(D39="", "", IF(E39="", "",E39-E24))</f>
        <v>33789.449999999953</v>
      </c>
    </row>
    <row r="40" spans="1:9" x14ac:dyDescent="0.25">
      <c r="A40" s="11"/>
      <c r="B40" s="11" t="s">
        <v>13</v>
      </c>
      <c r="C40" s="12">
        <v>120834</v>
      </c>
      <c r="D40" s="13">
        <v>8285.59</v>
      </c>
      <c r="E40" s="14">
        <f>E39+C40-D40</f>
        <v>323211.2099999999</v>
      </c>
      <c r="F40" s="11"/>
      <c r="G40" s="11" t="s">
        <v>13</v>
      </c>
      <c r="H40" s="15">
        <f>IF(C40="", "", IF(D40="", "",D40-D25))</f>
        <v>-3628.3500000000004</v>
      </c>
      <c r="I40" s="15">
        <f>IF(D40="", "", IF(E40="", "",E40-E25))</f>
        <v>158251.7999999999</v>
      </c>
    </row>
    <row r="41" spans="1:9" x14ac:dyDescent="0.25">
      <c r="A41" s="11"/>
      <c r="B41" s="11" t="s">
        <v>14</v>
      </c>
      <c r="C41" s="12">
        <v>0</v>
      </c>
      <c r="D41" s="13">
        <v>75525.41</v>
      </c>
      <c r="E41" s="14">
        <f>E40+C41-D41</f>
        <v>247685.7999999999</v>
      </c>
      <c r="F41" s="11"/>
      <c r="G41" s="11" t="s">
        <v>14</v>
      </c>
      <c r="H41" s="15">
        <f>IF(C41="", "", IF(D41="", "",D41-D26))</f>
        <v>61161.65</v>
      </c>
      <c r="I41" s="15">
        <f>IF(D41="", "", IF(E41="", "",E41-E26))</f>
        <v>97090.149999999907</v>
      </c>
    </row>
    <row r="42" spans="1:9" x14ac:dyDescent="0.25">
      <c r="A42" s="11"/>
      <c r="B42" s="11" t="s">
        <v>15</v>
      </c>
      <c r="C42" s="12">
        <v>0</v>
      </c>
      <c r="D42" s="13">
        <v>11377.64</v>
      </c>
      <c r="E42" s="14">
        <f>E41+C42-D42</f>
        <v>236308.15999999992</v>
      </c>
      <c r="F42" s="11"/>
      <c r="G42" s="11" t="s">
        <v>15</v>
      </c>
      <c r="H42" s="15">
        <f>IF(C42="", "", IF(D42="", "",D42-D27))</f>
        <v>6088.9</v>
      </c>
      <c r="I42" s="15">
        <f>IF(D42="", "", IF(E42="", "",E42-E27))</f>
        <v>91001.249999999913</v>
      </c>
    </row>
    <row r="43" spans="1:9" x14ac:dyDescent="0.25">
      <c r="A43" s="11"/>
      <c r="B43" s="11" t="s">
        <v>16</v>
      </c>
      <c r="C43" s="12">
        <v>120834</v>
      </c>
      <c r="D43" s="13">
        <v>108076.97</v>
      </c>
      <c r="E43" s="14">
        <f>E42+C43-D43</f>
        <v>249065.18999999992</v>
      </c>
      <c r="F43" s="11"/>
      <c r="G43" s="11" t="s">
        <v>16</v>
      </c>
      <c r="H43" s="15">
        <f>IF(C43="", "", IF(D43="", "",D43-D28))</f>
        <v>104917.13</v>
      </c>
      <c r="I43" s="15">
        <f>IF(D43="", "", IF(E43="", "",E43-E28))</f>
        <v>106918.11999999991</v>
      </c>
    </row>
    <row r="44" spans="1:9" x14ac:dyDescent="0.25">
      <c r="A44" s="11"/>
      <c r="B44" s="11" t="s">
        <v>17</v>
      </c>
      <c r="C44" s="12">
        <v>0</v>
      </c>
      <c r="D44" s="13">
        <v>18113.8</v>
      </c>
      <c r="E44" s="14">
        <f>E43+C44-D44</f>
        <v>230951.38999999993</v>
      </c>
      <c r="F44" s="11"/>
      <c r="G44" s="11" t="s">
        <v>17</v>
      </c>
      <c r="H44" s="15">
        <f>IF(C44="", "", IF(D44="", "",D44-D29))</f>
        <v>12415.39</v>
      </c>
      <c r="I44" s="15">
        <f>IF(D44="", "", IF(E44="", "",E44-E29))</f>
        <v>-28738.920000000042</v>
      </c>
    </row>
    <row r="45" spans="1:9" x14ac:dyDescent="0.25">
      <c r="A45" s="16"/>
      <c r="B45" s="16" t="s">
        <v>18</v>
      </c>
      <c r="C45" s="17">
        <v>0</v>
      </c>
      <c r="D45" s="18">
        <v>936.24</v>
      </c>
      <c r="E45" s="19">
        <f>E44+C45-D45</f>
        <v>230015.14999999994</v>
      </c>
      <c r="F45" s="16"/>
      <c r="G45" s="16" t="s">
        <v>18</v>
      </c>
      <c r="H45" s="20">
        <f>IF(C45="", "", IF(D45="", "",D45-D30))</f>
        <v>-209.30999999999995</v>
      </c>
      <c r="I45" s="20">
        <f>IF(D45="", "", IF(E45="", "",E45-E30))</f>
        <v>-28529.610000000044</v>
      </c>
    </row>
    <row r="46" spans="1:9" s="2" customFormat="1" x14ac:dyDescent="0.25">
      <c r="A46" s="21"/>
      <c r="B46" s="21" t="s">
        <v>19</v>
      </c>
      <c r="C46" s="22">
        <f>SUM(C34:C45)</f>
        <v>241668</v>
      </c>
      <c r="D46" s="23">
        <f>SUM(D34:D45)</f>
        <v>270197.61000000004</v>
      </c>
      <c r="E46" s="14"/>
      <c r="F46" s="21"/>
      <c r="G46" s="21"/>
      <c r="H46" s="14">
        <f>SUMIF(C34:C45,"&gt;=0",H34:H45)</f>
        <v>183073.22000000003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20139</v>
      </c>
      <c r="D47" s="23">
        <f>AVERAGE(D34:D45)</f>
        <v>22516.467500000002</v>
      </c>
      <c r="E47" s="24">
        <f>C47/D47-1</f>
        <v>-0.10558794357951584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230015.14999999994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0</v>
      </c>
      <c r="D49" s="27">
        <v>14481.68</v>
      </c>
      <c r="E49" s="28">
        <f>E48+C49-D49</f>
        <v>215533.46999999994</v>
      </c>
      <c r="F49" s="25"/>
      <c r="G49" s="25" t="s">
        <v>7</v>
      </c>
      <c r="H49" s="29">
        <f>IF(C49="", "", IF(D49="", "",D49-D34))</f>
        <v>8914.869999999999</v>
      </c>
      <c r="I49" s="29">
        <f>IF(D49="", "", IF(E49="", "",E49-E34))</f>
        <v>-37444.48000000004</v>
      </c>
    </row>
    <row r="50" spans="1:9" x14ac:dyDescent="0.25">
      <c r="A50" s="25"/>
      <c r="B50" s="25" t="s">
        <v>8</v>
      </c>
      <c r="C50" s="26">
        <v>0</v>
      </c>
      <c r="D50" s="27">
        <v>5615.76</v>
      </c>
      <c r="E50" s="28">
        <f>E49+C50-D50</f>
        <v>209917.70999999993</v>
      </c>
      <c r="F50" s="25"/>
      <c r="G50" s="25" t="s">
        <v>8</v>
      </c>
      <c r="H50" s="29">
        <f>IF(C50="", "", IF(D50="", "",D50-D35))</f>
        <v>-17095.599999999999</v>
      </c>
      <c r="I50" s="29">
        <f>IF(D50="", "", IF(E50="", "",E50-E35))</f>
        <v>-20348.880000000034</v>
      </c>
    </row>
    <row r="51" spans="1:9" x14ac:dyDescent="0.25">
      <c r="A51" s="25"/>
      <c r="B51" s="25" t="s">
        <v>9</v>
      </c>
      <c r="C51" s="26">
        <v>0</v>
      </c>
      <c r="D51" s="27">
        <v>11105.78</v>
      </c>
      <c r="E51" s="28">
        <f>E50+C51-D51</f>
        <v>198811.92999999993</v>
      </c>
      <c r="F51" s="25"/>
      <c r="G51" s="25" t="s">
        <v>9</v>
      </c>
      <c r="H51" s="29">
        <f>IF(C51="", "", IF(D51="", "",D51-D36))</f>
        <v>9079.69</v>
      </c>
      <c r="I51" s="29">
        <f>IF(D51="", "", IF(E51="", "",E51-E36))</f>
        <v>-29428.570000000036</v>
      </c>
    </row>
    <row r="52" spans="1:9" x14ac:dyDescent="0.25">
      <c r="A52" s="25"/>
      <c r="B52" s="25" t="s">
        <v>10</v>
      </c>
      <c r="C52" s="26">
        <v>0</v>
      </c>
      <c r="D52" s="27">
        <v>1327.58</v>
      </c>
      <c r="E52" s="28">
        <f>E51+C52-D52</f>
        <v>197484.34999999995</v>
      </c>
      <c r="F52" s="25"/>
      <c r="G52" s="25" t="s">
        <v>10</v>
      </c>
      <c r="H52" s="29">
        <f>IF(C52="", "", IF(D52="", "",D52-D37))</f>
        <v>-11706.87</v>
      </c>
      <c r="I52" s="29">
        <f>IF(D52="", "", IF(E52="", "",E52-E37))</f>
        <v>-17721.700000000012</v>
      </c>
    </row>
    <row r="53" spans="1:9" x14ac:dyDescent="0.25">
      <c r="A53" s="25"/>
      <c r="B53" s="25" t="s">
        <v>11</v>
      </c>
      <c r="C53" s="26">
        <v>0</v>
      </c>
      <c r="D53" s="27">
        <v>4161.24</v>
      </c>
      <c r="E53" s="28">
        <f>E52+C53-D53</f>
        <v>193323.10999999996</v>
      </c>
      <c r="F53" s="25"/>
      <c r="G53" s="25" t="s">
        <v>11</v>
      </c>
      <c r="H53" s="29">
        <f>IF(C53="", "", IF(D53="", "",D53-D38))</f>
        <v>2041.1899999999996</v>
      </c>
      <c r="I53" s="29">
        <f>IF(D53="", "", IF(E53="", "",E53-E38))</f>
        <v>-19762.890000000014</v>
      </c>
    </row>
    <row r="54" spans="1:9" x14ac:dyDescent="0.25">
      <c r="A54" s="25"/>
      <c r="B54" s="25" t="s">
        <v>12</v>
      </c>
      <c r="C54" s="26">
        <v>0</v>
      </c>
      <c r="D54" s="27">
        <v>8782.1200000000008</v>
      </c>
      <c r="E54" s="28">
        <f>E53+C54-D54</f>
        <v>184540.98999999996</v>
      </c>
      <c r="F54" s="25"/>
      <c r="G54" s="25" t="s">
        <v>12</v>
      </c>
      <c r="H54" s="29">
        <f>IF(C54="", "", IF(D54="", "",D54-D39))</f>
        <v>6358.920000000001</v>
      </c>
      <c r="I54" s="29">
        <f>IF(D54="", "", IF(E54="", "",E54-E39))</f>
        <v>-26121.809999999998</v>
      </c>
    </row>
    <row r="55" spans="1:9" x14ac:dyDescent="0.25">
      <c r="A55" s="25"/>
      <c r="B55" s="25" t="s">
        <v>13</v>
      </c>
      <c r="C55" s="26">
        <v>0</v>
      </c>
      <c r="D55" s="27">
        <v>3058.01</v>
      </c>
      <c r="E55" s="28">
        <f>E54+C55-D55</f>
        <v>181482.97999999995</v>
      </c>
      <c r="F55" s="25"/>
      <c r="G55" s="25" t="s">
        <v>13</v>
      </c>
      <c r="H55" s="29">
        <f>IF(C55="", "", IF(D55="", "",D55-D40))</f>
        <v>-5227.58</v>
      </c>
      <c r="I55" s="29">
        <f>IF(D55="", "", IF(E55="", "",E55-E40))</f>
        <v>-141728.22999999995</v>
      </c>
    </row>
    <row r="56" spans="1:9" x14ac:dyDescent="0.25">
      <c r="A56" s="25"/>
      <c r="B56" s="25" t="s">
        <v>14</v>
      </c>
      <c r="C56" s="26">
        <v>0</v>
      </c>
      <c r="D56" s="27">
        <v>5534.69</v>
      </c>
      <c r="E56" s="28">
        <f>E55+C56-D56</f>
        <v>175948.28999999995</v>
      </c>
      <c r="F56" s="25"/>
      <c r="G56" s="25" t="s">
        <v>14</v>
      </c>
      <c r="H56" s="29">
        <f>IF(C56="", "", IF(D56="", "",D56-D41))</f>
        <v>-69990.720000000001</v>
      </c>
      <c r="I56" s="29">
        <f>IF(D56="", "", IF(E56="", "",E56-E41))</f>
        <v>-71737.509999999951</v>
      </c>
    </row>
    <row r="57" spans="1:9" x14ac:dyDescent="0.25">
      <c r="A57" s="25"/>
      <c r="B57" s="25" t="s">
        <v>15</v>
      </c>
      <c r="C57" s="26">
        <v>0</v>
      </c>
      <c r="D57" s="27">
        <v>2934.15</v>
      </c>
      <c r="E57" s="28">
        <f>E56+C57-D57</f>
        <v>173014.13999999996</v>
      </c>
      <c r="F57" s="25"/>
      <c r="G57" s="25" t="s">
        <v>15</v>
      </c>
      <c r="H57" s="29">
        <f>IF(C57="", "", IF(D57="", "",D57-D42))</f>
        <v>-8443.49</v>
      </c>
      <c r="I57" s="29">
        <f>IF(D57="", "", IF(E57="", "",E57-E42))</f>
        <v>-63294.01999999996</v>
      </c>
    </row>
    <row r="58" spans="1:9" x14ac:dyDescent="0.25">
      <c r="A58" s="25"/>
      <c r="B58" s="25" t="s">
        <v>16</v>
      </c>
      <c r="C58" s="26">
        <v>0</v>
      </c>
      <c r="D58" s="27">
        <v>3901.49</v>
      </c>
      <c r="E58" s="28">
        <f>E57+C58-D58</f>
        <v>169112.64999999997</v>
      </c>
      <c r="F58" s="25"/>
      <c r="G58" s="25" t="s">
        <v>16</v>
      </c>
      <c r="H58" s="29">
        <f>IF(C58="", "", IF(D58="", "",D58-D43))</f>
        <v>-104175.48</v>
      </c>
      <c r="I58" s="29">
        <f>IF(D58="", "", IF(E58="", "",E58-E43))</f>
        <v>-79952.53999999995</v>
      </c>
    </row>
    <row r="59" spans="1:9" x14ac:dyDescent="0.25">
      <c r="A59" s="25"/>
      <c r="B59" s="25" t="s">
        <v>17</v>
      </c>
      <c r="C59" s="26">
        <v>8175.6</v>
      </c>
      <c r="D59" s="27">
        <v>1665.1</v>
      </c>
      <c r="E59" s="28">
        <f>E58+C59-D59</f>
        <v>175623.14999999997</v>
      </c>
      <c r="F59" s="25"/>
      <c r="G59" s="25" t="s">
        <v>17</v>
      </c>
      <c r="H59" s="29">
        <f>IF(C59="", "", IF(D59="", "",D59-D44))</f>
        <v>-16448.7</v>
      </c>
      <c r="I59" s="29">
        <f>IF(D59="", "", IF(E59="", "",E59-E44))</f>
        <v>-55328.239999999962</v>
      </c>
    </row>
    <row r="60" spans="1:9" x14ac:dyDescent="0.25">
      <c r="A60" s="30"/>
      <c r="B60" s="30" t="s">
        <v>18</v>
      </c>
      <c r="C60" s="31">
        <v>0</v>
      </c>
      <c r="D60" s="32">
        <v>1915.65</v>
      </c>
      <c r="E60" s="33">
        <f>E59+C60-D60</f>
        <v>173707.49999999997</v>
      </c>
      <c r="F60" s="30"/>
      <c r="G60" s="30" t="s">
        <v>18</v>
      </c>
      <c r="H60" s="34">
        <f>IF(C60="", "", IF(D60="", "",D60-D45))</f>
        <v>979.41000000000008</v>
      </c>
      <c r="I60" s="34">
        <f>IF(D60="", "", IF(E60="", "",E60-E45))</f>
        <v>-56307.649999999965</v>
      </c>
    </row>
    <row r="61" spans="1:9" s="2" customFormat="1" x14ac:dyDescent="0.25">
      <c r="A61" s="35"/>
      <c r="B61" s="35" t="s">
        <v>19</v>
      </c>
      <c r="C61" s="36">
        <f>SUM(C49:C60)</f>
        <v>8175.6</v>
      </c>
      <c r="D61" s="37">
        <f>SUM(D49:D60)</f>
        <v>64483.250000000007</v>
      </c>
      <c r="E61" s="28"/>
      <c r="F61" s="35"/>
      <c r="G61" s="35"/>
      <c r="H61" s="28">
        <f>SUMIF(C49:C60,"&gt;=0",H49:H60)</f>
        <v>-205714.36000000002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681.30000000000007</v>
      </c>
      <c r="D62" s="37">
        <f>AVERAGE(D49:D60)</f>
        <v>5373.604166666667</v>
      </c>
      <c r="E62" s="38">
        <f>C62/D62-1</f>
        <v>-0.87321358647400682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173707.49999999997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0</v>
      </c>
      <c r="D64" s="13">
        <v>3546.68</v>
      </c>
      <c r="E64" s="14">
        <f>E63+C64-D64</f>
        <v>170160.81999999998</v>
      </c>
      <c r="F64" s="11"/>
      <c r="G64" s="11" t="s">
        <v>7</v>
      </c>
      <c r="H64" s="15">
        <f>IF(C64="", "", IF(D64="", "",D64-D49))</f>
        <v>-10935</v>
      </c>
      <c r="I64" s="15">
        <f>IF(D64="", "", IF(E64="", "",E64-E49))</f>
        <v>-45372.649999999965</v>
      </c>
    </row>
    <row r="65" spans="1:9" x14ac:dyDescent="0.25">
      <c r="A65" s="11"/>
      <c r="B65" s="11" t="s">
        <v>8</v>
      </c>
      <c r="C65" s="12">
        <v>0</v>
      </c>
      <c r="D65" s="13">
        <v>758.34</v>
      </c>
      <c r="E65" s="14">
        <f>E64+C65-D65</f>
        <v>169402.47999999998</v>
      </c>
      <c r="F65" s="11"/>
      <c r="G65" s="11" t="s">
        <v>8</v>
      </c>
      <c r="H65" s="15">
        <f>IF(C65="", "", IF(D65="", "",D65-D50))</f>
        <v>-4857.42</v>
      </c>
      <c r="I65" s="15">
        <f>IF(D65="", "", IF(E65="", "",E65-E50))</f>
        <v>-40515.229999999952</v>
      </c>
    </row>
    <row r="66" spans="1:9" x14ac:dyDescent="0.25">
      <c r="A66" s="11"/>
      <c r="B66" s="11" t="s">
        <v>9</v>
      </c>
      <c r="C66" s="12">
        <v>0</v>
      </c>
      <c r="D66" s="13">
        <v>1362.44</v>
      </c>
      <c r="E66" s="14">
        <f>E65+C66-D66</f>
        <v>168040.03999999998</v>
      </c>
      <c r="F66" s="11"/>
      <c r="G66" s="11" t="s">
        <v>9</v>
      </c>
      <c r="H66" s="15">
        <f>IF(C66="", "", IF(D66="", "",D66-D51))</f>
        <v>-9743.34</v>
      </c>
      <c r="I66" s="15">
        <f>IF(D66="", "", IF(E66="", "",E66-E51))</f>
        <v>-30771.889999999956</v>
      </c>
    </row>
    <row r="67" spans="1:9" x14ac:dyDescent="0.25">
      <c r="A67" s="11"/>
      <c r="B67" s="11" t="s">
        <v>10</v>
      </c>
      <c r="C67" s="12">
        <v>0</v>
      </c>
      <c r="D67" s="13">
        <v>4556.01</v>
      </c>
      <c r="E67" s="14">
        <f>E66+C67-D67</f>
        <v>163484.02999999997</v>
      </c>
      <c r="F67" s="11"/>
      <c r="G67" s="11" t="s">
        <v>10</v>
      </c>
      <c r="H67" s="15">
        <f>IF(C67="", "", IF(D67="", "",D67-D52))</f>
        <v>3228.4300000000003</v>
      </c>
      <c r="I67" s="15">
        <f>IF(D67="", "", IF(E67="", "",E67-E52))</f>
        <v>-34000.319999999978</v>
      </c>
    </row>
    <row r="68" spans="1:9" x14ac:dyDescent="0.25">
      <c r="A68" s="11"/>
      <c r="B68" s="11" t="s">
        <v>11</v>
      </c>
      <c r="C68" s="12">
        <v>0</v>
      </c>
      <c r="D68" s="13">
        <v>1351.42</v>
      </c>
      <c r="E68" s="14">
        <f>E67+C68-D68</f>
        <v>162132.60999999996</v>
      </c>
      <c r="F68" s="11"/>
      <c r="G68" s="11" t="s">
        <v>11</v>
      </c>
      <c r="H68" s="15">
        <f>IF(C68="", "", IF(D68="", "",D68-D53))</f>
        <v>-2809.8199999999997</v>
      </c>
      <c r="I68" s="15">
        <f>IF(D68="", "", IF(E68="", "",E68-E53))</f>
        <v>-31190.5</v>
      </c>
    </row>
    <row r="69" spans="1:9" x14ac:dyDescent="0.25">
      <c r="A69" s="11"/>
      <c r="B69" s="11" t="s">
        <v>12</v>
      </c>
      <c r="C69" s="12">
        <v>0</v>
      </c>
      <c r="D69" s="13">
        <v>5067.8100000000004</v>
      </c>
      <c r="E69" s="14">
        <f>E68+C69-D69</f>
        <v>157064.79999999996</v>
      </c>
      <c r="F69" s="11"/>
      <c r="G69" s="11" t="s">
        <v>12</v>
      </c>
      <c r="H69" s="15">
        <f>IF(C69="", "", IF(D69="", "",D69-D54))</f>
        <v>-3714.3100000000004</v>
      </c>
      <c r="I69" s="15">
        <f>IF(D69="", "", IF(E69="", "",E69-E54))</f>
        <v>-27476.190000000002</v>
      </c>
    </row>
    <row r="70" spans="1:9" x14ac:dyDescent="0.25">
      <c r="A70" s="11"/>
      <c r="B70" s="11" t="s">
        <v>13</v>
      </c>
      <c r="C70" s="12">
        <v>0</v>
      </c>
      <c r="D70" s="13">
        <v>988.62</v>
      </c>
      <c r="E70" s="14">
        <f>E69+C70-D70</f>
        <v>156076.17999999996</v>
      </c>
      <c r="F70" s="11"/>
      <c r="G70" s="11" t="s">
        <v>13</v>
      </c>
      <c r="H70" s="15">
        <f>IF(C70="", "", IF(D70="", "",D70-D55))</f>
        <v>-2069.3900000000003</v>
      </c>
      <c r="I70" s="15">
        <f>IF(D70="", "", IF(E70="", "",E70-E55))</f>
        <v>-25406.799999999988</v>
      </c>
    </row>
    <row r="71" spans="1:9" x14ac:dyDescent="0.25">
      <c r="A71" s="11"/>
      <c r="B71" s="11" t="s">
        <v>14</v>
      </c>
      <c r="C71" s="12">
        <v>0</v>
      </c>
      <c r="D71" s="13">
        <v>4961.8</v>
      </c>
      <c r="E71" s="14">
        <f>E70+C71-D71</f>
        <v>151114.37999999998</v>
      </c>
      <c r="F71" s="11"/>
      <c r="G71" s="11" t="s">
        <v>14</v>
      </c>
      <c r="H71" s="15">
        <f>IF(C71="", "", IF(D71="", "",D71-D56))</f>
        <v>-572.88999999999942</v>
      </c>
      <c r="I71" s="15">
        <f>IF(D71="", "", IF(E71="", "",E71-E56))</f>
        <v>-24833.909999999974</v>
      </c>
    </row>
    <row r="72" spans="1:9" x14ac:dyDescent="0.25">
      <c r="A72" s="11"/>
      <c r="B72" s="11" t="s">
        <v>15</v>
      </c>
      <c r="C72" s="12">
        <v>0</v>
      </c>
      <c r="D72" s="13">
        <v>6785.62</v>
      </c>
      <c r="E72" s="14">
        <f>E71+C72-D72</f>
        <v>144328.75999999998</v>
      </c>
      <c r="F72" s="11"/>
      <c r="G72" s="11" t="s">
        <v>15</v>
      </c>
      <c r="H72" s="15">
        <f>IF(C72="", "", IF(D72="", "",D72-D57))</f>
        <v>3851.47</v>
      </c>
      <c r="I72" s="15">
        <f>IF(D72="", "", IF(E72="", "",E72-E57))</f>
        <v>-28685.379999999976</v>
      </c>
    </row>
    <row r="73" spans="1:9" x14ac:dyDescent="0.25">
      <c r="A73" s="11"/>
      <c r="B73" s="11" t="s">
        <v>16</v>
      </c>
      <c r="C73" s="12">
        <v>0</v>
      </c>
      <c r="D73" s="13">
        <v>1132.43</v>
      </c>
      <c r="E73" s="14">
        <f>E72+C73-D73</f>
        <v>143196.32999999999</v>
      </c>
      <c r="F73" s="11"/>
      <c r="G73" s="11" t="s">
        <v>16</v>
      </c>
      <c r="H73" s="15">
        <f>IF(C73="", "", IF(D73="", "",D73-D58))</f>
        <v>-2769.0599999999995</v>
      </c>
      <c r="I73" s="15">
        <f>IF(D73="", "", IF(E73="", "",E73-E58))</f>
        <v>-25916.319999999978</v>
      </c>
    </row>
    <row r="74" spans="1:9" x14ac:dyDescent="0.25">
      <c r="A74" s="11"/>
      <c r="B74" s="11" t="s">
        <v>17</v>
      </c>
      <c r="C74" s="12">
        <v>0</v>
      </c>
      <c r="D74" s="13">
        <v>5814.38</v>
      </c>
      <c r="E74" s="14">
        <f>E73+C74-D74</f>
        <v>137381.94999999998</v>
      </c>
      <c r="F74" s="11"/>
      <c r="G74" s="11" t="s">
        <v>17</v>
      </c>
      <c r="H74" s="15">
        <f>IF(C74="", "", IF(D74="", "",D74-D59))</f>
        <v>4149.2800000000007</v>
      </c>
      <c r="I74" s="15">
        <f>IF(D74="", "", IF(E74="", "",E74-E59))</f>
        <v>-38241.199999999983</v>
      </c>
    </row>
    <row r="75" spans="1:9" x14ac:dyDescent="0.25">
      <c r="A75" s="16"/>
      <c r="B75" s="16" t="s">
        <v>18</v>
      </c>
      <c r="C75" s="17">
        <v>0</v>
      </c>
      <c r="D75" s="18">
        <v>1062.1400000000001</v>
      </c>
      <c r="E75" s="19">
        <f>E74+C75-D75</f>
        <v>136319.80999999997</v>
      </c>
      <c r="F75" s="16"/>
      <c r="G75" s="16" t="s">
        <v>18</v>
      </c>
      <c r="H75" s="20">
        <f>IF(C75="", "", IF(D75="", "",D75-D60))</f>
        <v>-853.51</v>
      </c>
      <c r="I75" s="20">
        <f>IF(D75="", "", IF(E75="", "",E75-E60))</f>
        <v>-37387.69</v>
      </c>
    </row>
    <row r="76" spans="1:9" s="2" customFormat="1" x14ac:dyDescent="0.25">
      <c r="A76" s="21"/>
      <c r="B76" s="21" t="s">
        <v>19</v>
      </c>
      <c r="C76" s="22">
        <f>SUM(C64:C75)</f>
        <v>0</v>
      </c>
      <c r="D76" s="23">
        <f>SUM(D64:D75)</f>
        <v>37387.689999999995</v>
      </c>
      <c r="E76" s="14"/>
      <c r="F76" s="21"/>
      <c r="G76" s="21"/>
      <c r="H76" s="14">
        <f>SUMIF(C64:C75,"&gt;=0",H64:H75)</f>
        <v>-27095.56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0</v>
      </c>
      <c r="D77" s="23">
        <f>AVERAGE(D64:D75)</f>
        <v>3115.6408333333329</v>
      </c>
      <c r="E77" s="24">
        <f>C77/D77-1</f>
        <v>-1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136319.80999999997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136319.80999999997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136319.80999999997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136319.80999999997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136319.80999999997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136319.80999999997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136319.80999999997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136319.80999999997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136319.80999999997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136319.80999999997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136319.80999999997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136319.80999999997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136319.80999999997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CFAB0-514B-4091-820F-355C6B3121F8}">
  <sheetPr codeName="Sheet4"/>
  <dimension ref="A2:I92"/>
  <sheetViews>
    <sheetView topLeftCell="A72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</cols>
  <sheetData>
    <row r="2" spans="1:9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9" x14ac:dyDescent="0.25">
      <c r="A3" s="11"/>
      <c r="B3" s="11"/>
      <c r="C3" s="12"/>
      <c r="D3" s="13"/>
      <c r="E3" s="14">
        <v>16018.047752</v>
      </c>
      <c r="F3" s="11"/>
      <c r="G3" s="11"/>
      <c r="H3" s="15"/>
      <c r="I3" s="15"/>
    </row>
    <row r="4" spans="1:9" x14ac:dyDescent="0.25">
      <c r="A4" s="11">
        <v>2019</v>
      </c>
      <c r="B4" s="11" t="s">
        <v>7</v>
      </c>
      <c r="C4" s="12">
        <v>7396.16</v>
      </c>
      <c r="D4" s="13">
        <v>2149.9549830000001</v>
      </c>
      <c r="E4" s="14">
        <f>E3+C4-D4</f>
        <v>21264.252769000002</v>
      </c>
      <c r="F4" s="11"/>
      <c r="G4" s="11" t="s">
        <v>7</v>
      </c>
      <c r="H4" s="15"/>
      <c r="I4" s="15"/>
    </row>
    <row r="5" spans="1:9" x14ac:dyDescent="0.25">
      <c r="A5" s="11"/>
      <c r="B5" s="11" t="s">
        <v>8</v>
      </c>
      <c r="C5" s="12">
        <v>6871.2592500000001</v>
      </c>
      <c r="D5" s="13">
        <v>6139.1264389999997</v>
      </c>
      <c r="E5" s="14">
        <f>E4+C5-D5</f>
        <v>21996.385580000002</v>
      </c>
      <c r="F5" s="11"/>
      <c r="G5" s="11" t="s">
        <v>8</v>
      </c>
      <c r="H5" s="15"/>
      <c r="I5" s="15"/>
    </row>
    <row r="6" spans="1:9" x14ac:dyDescent="0.25">
      <c r="A6" s="11"/>
      <c r="B6" s="11" t="s">
        <v>9</v>
      </c>
      <c r="C6" s="12">
        <v>19642.939999999999</v>
      </c>
      <c r="D6" s="13">
        <v>15050.095106000001</v>
      </c>
      <c r="E6" s="14">
        <f>E5+C6-D6</f>
        <v>26589.230474000004</v>
      </c>
      <c r="F6" s="11"/>
      <c r="G6" s="11" t="s">
        <v>9</v>
      </c>
      <c r="H6" s="15"/>
      <c r="I6" s="15"/>
    </row>
    <row r="7" spans="1:9" x14ac:dyDescent="0.25">
      <c r="A7" s="11"/>
      <c r="B7" s="11" t="s">
        <v>10</v>
      </c>
      <c r="C7" s="12">
        <v>5322.5410000000002</v>
      </c>
      <c r="D7" s="13">
        <v>8391.1825900000003</v>
      </c>
      <c r="E7" s="14">
        <f>E6+C7-D7</f>
        <v>23520.588884000004</v>
      </c>
      <c r="F7" s="11"/>
      <c r="G7" s="11" t="s">
        <v>10</v>
      </c>
      <c r="H7" s="15"/>
      <c r="I7" s="15"/>
    </row>
    <row r="8" spans="1:9" x14ac:dyDescent="0.25">
      <c r="A8" s="11"/>
      <c r="B8" s="11" t="s">
        <v>11</v>
      </c>
      <c r="C8" s="12">
        <v>9107.7000000000007</v>
      </c>
      <c r="D8" s="13">
        <v>8056.4301349999996</v>
      </c>
      <c r="E8" s="14">
        <f>E7+C8-D8</f>
        <v>24571.858749000006</v>
      </c>
      <c r="F8" s="11"/>
      <c r="G8" s="11" t="s">
        <v>11</v>
      </c>
      <c r="H8" s="15"/>
      <c r="I8" s="15"/>
    </row>
    <row r="9" spans="1:9" x14ac:dyDescent="0.25">
      <c r="A9" s="11"/>
      <c r="B9" s="11" t="s">
        <v>12</v>
      </c>
      <c r="C9" s="12">
        <v>16510.59</v>
      </c>
      <c r="D9" s="13">
        <v>9997.8863939999992</v>
      </c>
      <c r="E9" s="14">
        <f>E8+C9-D9</f>
        <v>31084.562355000002</v>
      </c>
      <c r="F9" s="11"/>
      <c r="G9" s="11" t="s">
        <v>12</v>
      </c>
      <c r="H9" s="15"/>
      <c r="I9" s="15"/>
    </row>
    <row r="10" spans="1:9" x14ac:dyDescent="0.25">
      <c r="A10" s="11"/>
      <c r="B10" s="11" t="s">
        <v>13</v>
      </c>
      <c r="C10" s="12">
        <v>19827.330000000002</v>
      </c>
      <c r="D10" s="13">
        <v>7661.376456</v>
      </c>
      <c r="E10" s="14">
        <f>E9+C10-D10</f>
        <v>43250.515899000005</v>
      </c>
      <c r="F10" s="11"/>
      <c r="G10" s="11" t="s">
        <v>13</v>
      </c>
      <c r="H10" s="15"/>
      <c r="I10" s="15"/>
    </row>
    <row r="11" spans="1:9" x14ac:dyDescent="0.25">
      <c r="A11" s="11"/>
      <c r="B11" s="11" t="s">
        <v>14</v>
      </c>
      <c r="C11" s="12">
        <v>27422.220499999999</v>
      </c>
      <c r="D11" s="13">
        <v>36279.956403999997</v>
      </c>
      <c r="E11" s="14">
        <f>E10+C11-D11</f>
        <v>34392.779995000004</v>
      </c>
      <c r="F11" s="11"/>
      <c r="G11" s="11" t="s">
        <v>14</v>
      </c>
      <c r="H11" s="15"/>
      <c r="I11" s="15"/>
    </row>
    <row r="12" spans="1:9" x14ac:dyDescent="0.25">
      <c r="A12" s="11"/>
      <c r="B12" s="11" t="s">
        <v>15</v>
      </c>
      <c r="C12" s="12">
        <v>0</v>
      </c>
      <c r="D12" s="13">
        <v>11603.075231000001</v>
      </c>
      <c r="E12" s="14">
        <f>E11+C12-D12</f>
        <v>22789.704764000002</v>
      </c>
      <c r="F12" s="11"/>
      <c r="G12" s="11" t="s">
        <v>15</v>
      </c>
      <c r="H12" s="15"/>
      <c r="I12" s="15"/>
    </row>
    <row r="13" spans="1:9" x14ac:dyDescent="0.25">
      <c r="A13" s="11"/>
      <c r="B13" s="11" t="s">
        <v>16</v>
      </c>
      <c r="C13" s="12">
        <v>36359.318528999996</v>
      </c>
      <c r="D13" s="13">
        <v>41606.125334999997</v>
      </c>
      <c r="E13" s="14">
        <f>E12+C13-D13</f>
        <v>17542.897958000001</v>
      </c>
      <c r="F13" s="11"/>
      <c r="G13" s="11" t="s">
        <v>16</v>
      </c>
      <c r="H13" s="15"/>
      <c r="I13" s="15"/>
    </row>
    <row r="14" spans="1:9" x14ac:dyDescent="0.25">
      <c r="A14" s="11"/>
      <c r="B14" s="11" t="s">
        <v>17</v>
      </c>
      <c r="C14" s="12">
        <v>49367.523500000003</v>
      </c>
      <c r="D14" s="13">
        <v>35604.004710000001</v>
      </c>
      <c r="E14" s="14">
        <f>E13+C14-D14</f>
        <v>31306.416747999996</v>
      </c>
      <c r="F14" s="11"/>
      <c r="G14" s="11" t="s">
        <v>17</v>
      </c>
      <c r="H14" s="15"/>
      <c r="I14" s="15"/>
    </row>
    <row r="15" spans="1:9" x14ac:dyDescent="0.25">
      <c r="A15" s="16"/>
      <c r="B15" s="16" t="s">
        <v>18</v>
      </c>
      <c r="C15" s="17">
        <v>27539.292727</v>
      </c>
      <c r="D15" s="18">
        <v>26947.327168</v>
      </c>
      <c r="E15" s="19">
        <f>E14+C15-D15</f>
        <v>31898.382306999996</v>
      </c>
      <c r="F15" s="16"/>
      <c r="G15" s="16" t="s">
        <v>18</v>
      </c>
      <c r="H15" s="20"/>
      <c r="I15" s="20"/>
    </row>
    <row r="16" spans="1:9" s="2" customFormat="1" x14ac:dyDescent="0.25">
      <c r="A16" s="21"/>
      <c r="B16" s="21" t="s">
        <v>19</v>
      </c>
      <c r="C16" s="22">
        <f>SUM(C4:C15)</f>
        <v>225366.87550599998</v>
      </c>
      <c r="D16" s="23">
        <f>SUM(D4:D15)</f>
        <v>209486.54095099997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18780.572958833331</v>
      </c>
      <c r="D17" s="23">
        <f>AVERAGE(D4:D15)</f>
        <v>17457.211745916666</v>
      </c>
      <c r="E17" s="24">
        <f>C17/D17-1</f>
        <v>7.5805989649303962E-2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31898.382306999996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62220.080952999997</v>
      </c>
      <c r="D19" s="27">
        <v>22504.758328</v>
      </c>
      <c r="E19" s="28">
        <f>E18+C19-D19</f>
        <v>71613.704931999993</v>
      </c>
      <c r="F19" s="25"/>
      <c r="G19" s="25" t="s">
        <v>7</v>
      </c>
      <c r="H19" s="29">
        <f>IF(C19="", "", IF(D19="", "",D19-D4))</f>
        <v>20354.803345</v>
      </c>
      <c r="I19" s="29">
        <f>IF(D19="", "", IF(E19="", "",E19-E4))</f>
        <v>50349.452162999994</v>
      </c>
    </row>
    <row r="20" spans="1:9" x14ac:dyDescent="0.25">
      <c r="A20" s="25"/>
      <c r="B20" s="25" t="s">
        <v>8</v>
      </c>
      <c r="C20" s="26">
        <v>54631.171249999999</v>
      </c>
      <c r="D20" s="27">
        <v>44131.460133</v>
      </c>
      <c r="E20" s="28">
        <f>E19+C20-D20</f>
        <v>82113.416048999992</v>
      </c>
      <c r="F20" s="25"/>
      <c r="G20" s="25" t="s">
        <v>8</v>
      </c>
      <c r="H20" s="29">
        <f>IF(C20="", "", IF(D20="", "",D20-D5))</f>
        <v>37992.333694000001</v>
      </c>
      <c r="I20" s="29">
        <f>IF(D20="", "", IF(E20="", "",E20-E5))</f>
        <v>60117.03046899999</v>
      </c>
    </row>
    <row r="21" spans="1:9" x14ac:dyDescent="0.25">
      <c r="A21" s="25"/>
      <c r="B21" s="25" t="s">
        <v>9</v>
      </c>
      <c r="C21" s="26">
        <v>86649.465867000006</v>
      </c>
      <c r="D21" s="27">
        <v>50276.357118</v>
      </c>
      <c r="E21" s="28">
        <f>E20+C21-D21</f>
        <v>118486.52479799998</v>
      </c>
      <c r="F21" s="25"/>
      <c r="G21" s="25" t="s">
        <v>9</v>
      </c>
      <c r="H21" s="29">
        <f>IF(C21="", "", IF(D21="", "",D21-D6))</f>
        <v>35226.262011999999</v>
      </c>
      <c r="I21" s="29">
        <f>IF(D21="", "", IF(E21="", "",E21-E6))</f>
        <v>91897.294323999988</v>
      </c>
    </row>
    <row r="22" spans="1:9" x14ac:dyDescent="0.25">
      <c r="A22" s="25"/>
      <c r="B22" s="25" t="s">
        <v>10</v>
      </c>
      <c r="C22" s="26">
        <v>16555.29</v>
      </c>
      <c r="D22" s="27">
        <v>28687.713572000001</v>
      </c>
      <c r="E22" s="28">
        <f>E21+C22-D22</f>
        <v>106354.10122599997</v>
      </c>
      <c r="F22" s="25"/>
      <c r="G22" s="25" t="s">
        <v>10</v>
      </c>
      <c r="H22" s="29">
        <f>IF(C22="", "", IF(D22="", "",D22-D7))</f>
        <v>20296.530982</v>
      </c>
      <c r="I22" s="29">
        <f>IF(D22="", "", IF(E22="", "",E22-E7))</f>
        <v>82833.512341999973</v>
      </c>
    </row>
    <row r="23" spans="1:9" x14ac:dyDescent="0.25">
      <c r="A23" s="25"/>
      <c r="B23" s="25" t="s">
        <v>11</v>
      </c>
      <c r="C23" s="26">
        <v>25366.85</v>
      </c>
      <c r="D23" s="27">
        <v>81481.148908000003</v>
      </c>
      <c r="E23" s="28">
        <f>E22+C23-D23</f>
        <v>50239.802317999973</v>
      </c>
      <c r="F23" s="25"/>
      <c r="G23" s="25" t="s">
        <v>11</v>
      </c>
      <c r="H23" s="29">
        <f>IF(C23="", "", IF(D23="", "",D23-D8))</f>
        <v>73424.718773000001</v>
      </c>
      <c r="I23" s="29">
        <f>IF(D23="", "", IF(E23="", "",E23-E8))</f>
        <v>25667.943568999966</v>
      </c>
    </row>
    <row r="24" spans="1:9" x14ac:dyDescent="0.25">
      <c r="A24" s="25"/>
      <c r="B24" s="25" t="s">
        <v>12</v>
      </c>
      <c r="C24" s="26">
        <v>74213.919999999998</v>
      </c>
      <c r="D24" s="27">
        <v>40529.514899000002</v>
      </c>
      <c r="E24" s="28">
        <f>E23+C24-D24</f>
        <v>83924.207418999969</v>
      </c>
      <c r="F24" s="25"/>
      <c r="G24" s="25" t="s">
        <v>12</v>
      </c>
      <c r="H24" s="29">
        <f>IF(C24="", "", IF(D24="", "",D24-D9))</f>
        <v>30531.628505000001</v>
      </c>
      <c r="I24" s="29">
        <f>IF(D24="", "", IF(E24="", "",E24-E9))</f>
        <v>52839.645063999968</v>
      </c>
    </row>
    <row r="25" spans="1:9" x14ac:dyDescent="0.25">
      <c r="A25" s="25"/>
      <c r="B25" s="25" t="s">
        <v>13</v>
      </c>
      <c r="C25" s="26">
        <v>133733.64069999999</v>
      </c>
      <c r="D25" s="27">
        <v>68909.467162000001</v>
      </c>
      <c r="E25" s="28">
        <f>E24+C25-D25</f>
        <v>148748.38095699996</v>
      </c>
      <c r="F25" s="25"/>
      <c r="G25" s="25" t="s">
        <v>13</v>
      </c>
      <c r="H25" s="29">
        <f>IF(C25="", "", IF(D25="", "",D25-D10))</f>
        <v>61248.090706000003</v>
      </c>
      <c r="I25" s="29">
        <f>IF(D25="", "", IF(E25="", "",E25-E10))</f>
        <v>105497.86505799995</v>
      </c>
    </row>
    <row r="26" spans="1:9" x14ac:dyDescent="0.25">
      <c r="A26" s="25"/>
      <c r="B26" s="25" t="s">
        <v>14</v>
      </c>
      <c r="C26" s="26">
        <v>111242.44917399999</v>
      </c>
      <c r="D26" s="27">
        <v>99210.869420000003</v>
      </c>
      <c r="E26" s="28">
        <f>E25+C26-D26</f>
        <v>160779.96071099996</v>
      </c>
      <c r="F26" s="25"/>
      <c r="G26" s="25" t="s">
        <v>14</v>
      </c>
      <c r="H26" s="29">
        <f>IF(C26="", "", IF(D26="", "",D26-D11))</f>
        <v>62930.913016000006</v>
      </c>
      <c r="I26" s="29">
        <f>IF(D26="", "", IF(E26="", "",E26-E11))</f>
        <v>126387.18071599996</v>
      </c>
    </row>
    <row r="27" spans="1:9" x14ac:dyDescent="0.25">
      <c r="A27" s="25"/>
      <c r="B27" s="25" t="s">
        <v>15</v>
      </c>
      <c r="C27" s="26">
        <v>72527.903250000003</v>
      </c>
      <c r="D27" s="27">
        <v>66916.947870000004</v>
      </c>
      <c r="E27" s="28">
        <f>E26+C27-D27</f>
        <v>166390.91609099996</v>
      </c>
      <c r="F27" s="25"/>
      <c r="G27" s="25" t="s">
        <v>15</v>
      </c>
      <c r="H27" s="29">
        <f>IF(C27="", "", IF(D27="", "",D27-D12))</f>
        <v>55313.872639000001</v>
      </c>
      <c r="I27" s="29">
        <f>IF(D27="", "", IF(E27="", "",E27-E12))</f>
        <v>143601.21132699997</v>
      </c>
    </row>
    <row r="28" spans="1:9" x14ac:dyDescent="0.25">
      <c r="A28" s="25"/>
      <c r="B28" s="25" t="s">
        <v>16</v>
      </c>
      <c r="C28" s="26">
        <v>95557.171000000002</v>
      </c>
      <c r="D28" s="27">
        <v>104064.25966900001</v>
      </c>
      <c r="E28" s="28">
        <f>E27+C28-D28</f>
        <v>157883.82742199994</v>
      </c>
      <c r="F28" s="25"/>
      <c r="G28" s="25" t="s">
        <v>16</v>
      </c>
      <c r="H28" s="29">
        <f>IF(C28="", "", IF(D28="", "",D28-D13))</f>
        <v>62458.134334000009</v>
      </c>
      <c r="I28" s="29">
        <f>IF(D28="", "", IF(E28="", "",E28-E13))</f>
        <v>140340.92946399993</v>
      </c>
    </row>
    <row r="29" spans="1:9" x14ac:dyDescent="0.25">
      <c r="A29" s="25"/>
      <c r="B29" s="25" t="s">
        <v>17</v>
      </c>
      <c r="C29" s="26">
        <v>121525.086463</v>
      </c>
      <c r="D29" s="27">
        <v>77791.144610999996</v>
      </c>
      <c r="E29" s="28">
        <f>E28+C29-D29</f>
        <v>201617.76927399993</v>
      </c>
      <c r="F29" s="25"/>
      <c r="G29" s="25" t="s">
        <v>17</v>
      </c>
      <c r="H29" s="29">
        <f>IF(C29="", "", IF(D29="", "",D29-D14))</f>
        <v>42187.139900999995</v>
      </c>
      <c r="I29" s="29">
        <f>IF(D29="", "", IF(E29="", "",E29-E14))</f>
        <v>170311.35252599994</v>
      </c>
    </row>
    <row r="30" spans="1:9" x14ac:dyDescent="0.25">
      <c r="A30" s="30"/>
      <c r="B30" s="30" t="s">
        <v>18</v>
      </c>
      <c r="C30" s="31">
        <v>18892.062833</v>
      </c>
      <c r="D30" s="32">
        <v>68586.226330999998</v>
      </c>
      <c r="E30" s="33">
        <f>E29+C30-D30</f>
        <v>151923.60577599995</v>
      </c>
      <c r="F30" s="30"/>
      <c r="G30" s="30" t="s">
        <v>18</v>
      </c>
      <c r="H30" s="34">
        <f>IF(C30="", "", IF(D30="", "",D30-D15))</f>
        <v>41638.899162999995</v>
      </c>
      <c r="I30" s="34">
        <f>IF(D30="", "", IF(E30="", "",E30-E15))</f>
        <v>120025.22346899996</v>
      </c>
    </row>
    <row r="31" spans="1:9" s="2" customFormat="1" x14ac:dyDescent="0.25">
      <c r="A31" s="35"/>
      <c r="B31" s="35" t="s">
        <v>19</v>
      </c>
      <c r="C31" s="36">
        <f>SUM(C19:C30)</f>
        <v>873115.0914899999</v>
      </c>
      <c r="D31" s="37">
        <f>SUM(D19:D30)</f>
        <v>753089.86802100006</v>
      </c>
      <c r="E31" s="28"/>
      <c r="F31" s="35"/>
      <c r="G31" s="35"/>
      <c r="H31" s="28">
        <f>SUMIF(C19:C30,"&gt;=0",H19:H30)</f>
        <v>543603.32707000012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72759.590957499997</v>
      </c>
      <c r="D32" s="37">
        <f>AVERAGE(D19:D30)</f>
        <v>62757.489001750007</v>
      </c>
      <c r="E32" s="38">
        <f>C32/D32-1</f>
        <v>0.1593770259908116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151923.60577599995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115795.521433</v>
      </c>
      <c r="D34" s="13">
        <v>43270.637075999999</v>
      </c>
      <c r="E34" s="14">
        <f>E33+C34-D34</f>
        <v>224448.49013299996</v>
      </c>
      <c r="F34" s="11"/>
      <c r="G34" s="11" t="s">
        <v>7</v>
      </c>
      <c r="H34" s="15">
        <f>IF(C34="", "", IF(D34="", "",D34-D19))</f>
        <v>20765.878747999999</v>
      </c>
      <c r="I34" s="15">
        <f>IF(D34="", "", IF(E34="", "",E34-E19))</f>
        <v>152834.78520099996</v>
      </c>
    </row>
    <row r="35" spans="1:9" x14ac:dyDescent="0.25">
      <c r="A35" s="11"/>
      <c r="B35" s="11" t="s">
        <v>8</v>
      </c>
      <c r="C35" s="12">
        <v>114769.395074</v>
      </c>
      <c r="D35" s="13">
        <v>77859.352786999996</v>
      </c>
      <c r="E35" s="14">
        <f>E34+C35-D35</f>
        <v>261358.53241999994</v>
      </c>
      <c r="F35" s="11"/>
      <c r="G35" s="11" t="s">
        <v>8</v>
      </c>
      <c r="H35" s="15">
        <f>IF(C35="", "", IF(D35="", "",D35-D20))</f>
        <v>33727.892653999996</v>
      </c>
      <c r="I35" s="15">
        <f>IF(D35="", "", IF(E35="", "",E35-E20))</f>
        <v>179245.11637099995</v>
      </c>
    </row>
    <row r="36" spans="1:9" x14ac:dyDescent="0.25">
      <c r="A36" s="11"/>
      <c r="B36" s="11" t="s">
        <v>9</v>
      </c>
      <c r="C36" s="12">
        <v>117041.59390599999</v>
      </c>
      <c r="D36" s="13">
        <v>89385.517968</v>
      </c>
      <c r="E36" s="14">
        <f>E35+C36-D36</f>
        <v>289014.60835799994</v>
      </c>
      <c r="F36" s="11"/>
      <c r="G36" s="11" t="s">
        <v>9</v>
      </c>
      <c r="H36" s="15">
        <f>IF(C36="", "", IF(D36="", "",D36-D21))</f>
        <v>39109.16085</v>
      </c>
      <c r="I36" s="15">
        <f>IF(D36="", "", IF(E36="", "",E36-E21))</f>
        <v>170528.08355999994</v>
      </c>
    </row>
    <row r="37" spans="1:9" x14ac:dyDescent="0.25">
      <c r="A37" s="11"/>
      <c r="B37" s="11" t="s">
        <v>10</v>
      </c>
      <c r="C37" s="12">
        <v>316934.57</v>
      </c>
      <c r="D37" s="13">
        <v>66866.398008000004</v>
      </c>
      <c r="E37" s="14">
        <f>E36+C37-D37</f>
        <v>539082.78035000002</v>
      </c>
      <c r="F37" s="11"/>
      <c r="G37" s="11" t="s">
        <v>10</v>
      </c>
      <c r="H37" s="15">
        <f>IF(C37="", "", IF(D37="", "",D37-D22))</f>
        <v>38178.684436000003</v>
      </c>
      <c r="I37" s="15">
        <f>IF(D37="", "", IF(E37="", "",E37-E22))</f>
        <v>432728.67912400002</v>
      </c>
    </row>
    <row r="38" spans="1:9" x14ac:dyDescent="0.25">
      <c r="A38" s="11"/>
      <c r="B38" s="11" t="s">
        <v>11</v>
      </c>
      <c r="C38" s="12">
        <v>-173.47604999999999</v>
      </c>
      <c r="D38" s="13">
        <v>76589.894923</v>
      </c>
      <c r="E38" s="14">
        <f>E37+C38-D38</f>
        <v>462319.40937699995</v>
      </c>
      <c r="F38" s="11"/>
      <c r="G38" s="11" t="s">
        <v>11</v>
      </c>
      <c r="H38" s="15">
        <f>IF(C38="", "", IF(D38="", "",D38-D23))</f>
        <v>-4891.253985000003</v>
      </c>
      <c r="I38" s="15">
        <f>IF(D38="", "", IF(E38="", "",E38-E23))</f>
        <v>412079.60705899994</v>
      </c>
    </row>
    <row r="39" spans="1:9" x14ac:dyDescent="0.25">
      <c r="A39" s="11"/>
      <c r="B39" s="11" t="s">
        <v>12</v>
      </c>
      <c r="C39" s="12">
        <v>24218.611807000001</v>
      </c>
      <c r="D39" s="13">
        <v>66084.591532999999</v>
      </c>
      <c r="E39" s="14">
        <f>E38+C39-D39</f>
        <v>420453.42965099995</v>
      </c>
      <c r="F39" s="11"/>
      <c r="G39" s="11" t="s">
        <v>12</v>
      </c>
      <c r="H39" s="15">
        <f>IF(C39="", "", IF(D39="", "",D39-D24))</f>
        <v>25555.076633999997</v>
      </c>
      <c r="I39" s="15">
        <f>IF(D39="", "", IF(E39="", "",E39-E24))</f>
        <v>336529.22223199997</v>
      </c>
    </row>
    <row r="40" spans="1:9" x14ac:dyDescent="0.25">
      <c r="A40" s="11"/>
      <c r="B40" s="11" t="s">
        <v>13</v>
      </c>
      <c r="C40" s="12">
        <v>31315.81984</v>
      </c>
      <c r="D40" s="13">
        <v>61175.174768999997</v>
      </c>
      <c r="E40" s="14">
        <f>E39+C40-D40</f>
        <v>390594.07472199999</v>
      </c>
      <c r="F40" s="11"/>
      <c r="G40" s="11" t="s">
        <v>13</v>
      </c>
      <c r="H40" s="15">
        <f>IF(C40="", "", IF(D40="", "",D40-D25))</f>
        <v>-7734.2923930000034</v>
      </c>
      <c r="I40" s="15">
        <f>IF(D40="", "", IF(E40="", "",E40-E25))</f>
        <v>241845.69376500003</v>
      </c>
    </row>
    <row r="41" spans="1:9" x14ac:dyDescent="0.25">
      <c r="A41" s="11"/>
      <c r="B41" s="11" t="s">
        <v>14</v>
      </c>
      <c r="C41" s="12">
        <v>313354.24419900001</v>
      </c>
      <c r="D41" s="13">
        <v>365718.88754999998</v>
      </c>
      <c r="E41" s="14">
        <f>E40+C41-D41</f>
        <v>338229.43137100001</v>
      </c>
      <c r="F41" s="11"/>
      <c r="G41" s="11" t="s">
        <v>14</v>
      </c>
      <c r="H41" s="15">
        <f>IF(C41="", "", IF(D41="", "",D41-D26))</f>
        <v>266508.01812999998</v>
      </c>
      <c r="I41" s="15">
        <f>IF(D41="", "", IF(E41="", "",E41-E26))</f>
        <v>177449.47066000005</v>
      </c>
    </row>
    <row r="42" spans="1:9" x14ac:dyDescent="0.25">
      <c r="A42" s="11"/>
      <c r="B42" s="11" t="s">
        <v>15</v>
      </c>
      <c r="C42" s="12">
        <v>208885.38682499999</v>
      </c>
      <c r="D42" s="13">
        <v>120055.4051</v>
      </c>
      <c r="E42" s="14">
        <f>E41+C42-D42</f>
        <v>427059.41309600009</v>
      </c>
      <c r="F42" s="11"/>
      <c r="G42" s="11" t="s">
        <v>15</v>
      </c>
      <c r="H42" s="15">
        <f>IF(C42="", "", IF(D42="", "",D42-D27))</f>
        <v>53138.45723</v>
      </c>
      <c r="I42" s="15">
        <f>IF(D42="", "", IF(E42="", "",E42-E27))</f>
        <v>260668.49700500013</v>
      </c>
    </row>
    <row r="43" spans="1:9" x14ac:dyDescent="0.25">
      <c r="A43" s="11"/>
      <c r="B43" s="11" t="s">
        <v>16</v>
      </c>
      <c r="C43" s="12">
        <v>901715.46877599997</v>
      </c>
      <c r="D43" s="13">
        <v>757651.31155999994</v>
      </c>
      <c r="E43" s="14">
        <f>E42+C43-D43</f>
        <v>571123.57031200023</v>
      </c>
      <c r="F43" s="11"/>
      <c r="G43" s="11" t="s">
        <v>16</v>
      </c>
      <c r="H43" s="15">
        <f>IF(C43="", "", IF(D43="", "",D43-D28))</f>
        <v>653587.05189099989</v>
      </c>
      <c r="I43" s="15">
        <f>IF(D43="", "", IF(E43="", "",E43-E28))</f>
        <v>413239.74289000029</v>
      </c>
    </row>
    <row r="44" spans="1:9" x14ac:dyDescent="0.25">
      <c r="A44" s="11"/>
      <c r="B44" s="11" t="s">
        <v>17</v>
      </c>
      <c r="C44" s="12">
        <v>15745.29</v>
      </c>
      <c r="D44" s="13">
        <v>48878.651789000003</v>
      </c>
      <c r="E44" s="14">
        <f>E43+C44-D44</f>
        <v>537990.20852300024</v>
      </c>
      <c r="F44" s="11"/>
      <c r="G44" s="11" t="s">
        <v>17</v>
      </c>
      <c r="H44" s="15">
        <f>IF(C44="", "", IF(D44="", "",D44-D29))</f>
        <v>-28912.492821999993</v>
      </c>
      <c r="I44" s="15">
        <f>IF(D44="", "", IF(E44="", "",E44-E29))</f>
        <v>336372.43924900028</v>
      </c>
    </row>
    <row r="45" spans="1:9" x14ac:dyDescent="0.25">
      <c r="A45" s="16"/>
      <c r="B45" s="16" t="s">
        <v>18</v>
      </c>
      <c r="C45" s="17">
        <v>56551.180540000001</v>
      </c>
      <c r="D45" s="18">
        <v>61180.310805000001</v>
      </c>
      <c r="E45" s="19">
        <f>E44+C45-D45</f>
        <v>533361.0782580002</v>
      </c>
      <c r="F45" s="16"/>
      <c r="G45" s="16" t="s">
        <v>18</v>
      </c>
      <c r="H45" s="20">
        <f>IF(C45="", "", IF(D45="", "",D45-D30))</f>
        <v>-7405.915525999997</v>
      </c>
      <c r="I45" s="20">
        <f>IF(D45="", "", IF(E45="", "",E45-E30))</f>
        <v>381437.47248200024</v>
      </c>
    </row>
    <row r="46" spans="1:9" s="2" customFormat="1" x14ac:dyDescent="0.25">
      <c r="A46" s="21"/>
      <c r="B46" s="21" t="s">
        <v>19</v>
      </c>
      <c r="C46" s="22">
        <f>SUM(C34:C45)</f>
        <v>2216153.60635</v>
      </c>
      <c r="D46" s="23">
        <f>SUM(D34:D45)</f>
        <v>1834716.1338679998</v>
      </c>
      <c r="E46" s="14"/>
      <c r="F46" s="21"/>
      <c r="G46" s="21"/>
      <c r="H46" s="14">
        <f>SUMIF(C34:C45,"&gt;=0",H34:H45)</f>
        <v>1086517.5198319997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184679.46719583333</v>
      </c>
      <c r="D47" s="23">
        <f>AVERAGE(D34:D45)</f>
        <v>152893.01115566664</v>
      </c>
      <c r="E47" s="24">
        <f>C47/D47-1</f>
        <v>0.20789999359619915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533361.0782580002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52821.57</v>
      </c>
      <c r="D49" s="27">
        <v>47822.355703000001</v>
      </c>
      <c r="E49" s="28">
        <f>E48+C49-D49</f>
        <v>538360.29255500017</v>
      </c>
      <c r="F49" s="25"/>
      <c r="G49" s="25" t="s">
        <v>7</v>
      </c>
      <c r="H49" s="29">
        <f>IF(C49="", "", IF(D49="", "",D49-D34))</f>
        <v>4551.718627000002</v>
      </c>
      <c r="I49" s="29">
        <f>IF(D49="", "", IF(E49="", "",E49-E34))</f>
        <v>313911.80242200021</v>
      </c>
    </row>
    <row r="50" spans="1:9" x14ac:dyDescent="0.25">
      <c r="A50" s="25"/>
      <c r="B50" s="25" t="s">
        <v>8</v>
      </c>
      <c r="C50" s="26">
        <v>101891.01</v>
      </c>
      <c r="D50" s="27">
        <v>97431.764974999998</v>
      </c>
      <c r="E50" s="28">
        <f>E49+C50-D50</f>
        <v>542819.53758000024</v>
      </c>
      <c r="F50" s="25"/>
      <c r="G50" s="25" t="s">
        <v>8</v>
      </c>
      <c r="H50" s="29">
        <f>IF(C50="", "", IF(D50="", "",D50-D35))</f>
        <v>19572.412188000002</v>
      </c>
      <c r="I50" s="29">
        <f>IF(D50="", "", IF(E50="", "",E50-E35))</f>
        <v>281461.00516000029</v>
      </c>
    </row>
    <row r="51" spans="1:9" x14ac:dyDescent="0.25">
      <c r="A51" s="25"/>
      <c r="B51" s="25" t="s">
        <v>9</v>
      </c>
      <c r="C51" s="26">
        <v>68715.399999999994</v>
      </c>
      <c r="D51" s="27">
        <v>96473.527394999997</v>
      </c>
      <c r="E51" s="28">
        <f>E50+C51-D51</f>
        <v>515061.41018500028</v>
      </c>
      <c r="F51" s="25"/>
      <c r="G51" s="25" t="s">
        <v>9</v>
      </c>
      <c r="H51" s="29">
        <f>IF(C51="", "", IF(D51="", "",D51-D36))</f>
        <v>7088.0094269999972</v>
      </c>
      <c r="I51" s="29">
        <f>IF(D51="", "", IF(E51="", "",E51-E36))</f>
        <v>226046.80182700034</v>
      </c>
    </row>
    <row r="52" spans="1:9" x14ac:dyDescent="0.25">
      <c r="A52" s="25"/>
      <c r="B52" s="25" t="s">
        <v>10</v>
      </c>
      <c r="C52" s="26">
        <v>70090.58</v>
      </c>
      <c r="D52" s="27">
        <v>64483.818583</v>
      </c>
      <c r="E52" s="28">
        <f>E51+C52-D52</f>
        <v>520668.17160200025</v>
      </c>
      <c r="F52" s="25"/>
      <c r="G52" s="25" t="s">
        <v>10</v>
      </c>
      <c r="H52" s="29">
        <f>IF(C52="", "", IF(D52="", "",D52-D37))</f>
        <v>-2382.5794250000035</v>
      </c>
      <c r="I52" s="29">
        <f>IF(D52="", "", IF(E52="", "",E52-E37))</f>
        <v>-18414.608747999766</v>
      </c>
    </row>
    <row r="53" spans="1:9" x14ac:dyDescent="0.25">
      <c r="A53" s="25"/>
      <c r="B53" s="25" t="s">
        <v>11</v>
      </c>
      <c r="C53" s="26">
        <v>50953.17</v>
      </c>
      <c r="D53" s="27">
        <v>65324.578749</v>
      </c>
      <c r="E53" s="28">
        <f>E52+C53-D53</f>
        <v>506296.76285300031</v>
      </c>
      <c r="F53" s="25"/>
      <c r="G53" s="25" t="s">
        <v>11</v>
      </c>
      <c r="H53" s="29">
        <f>IF(C53="", "", IF(D53="", "",D53-D38))</f>
        <v>-11265.316174</v>
      </c>
      <c r="I53" s="29">
        <f>IF(D53="", "", IF(E53="", "",E53-E38))</f>
        <v>43977.353476000368</v>
      </c>
    </row>
    <row r="54" spans="1:9" x14ac:dyDescent="0.25">
      <c r="A54" s="25"/>
      <c r="B54" s="25" t="s">
        <v>12</v>
      </c>
      <c r="C54" s="26">
        <v>39116.379999999997</v>
      </c>
      <c r="D54" s="27">
        <v>53118.412944000003</v>
      </c>
      <c r="E54" s="28">
        <f>E53+C54-D54</f>
        <v>492294.72990900034</v>
      </c>
      <c r="F54" s="25"/>
      <c r="G54" s="25" t="s">
        <v>12</v>
      </c>
      <c r="H54" s="29">
        <f>IF(C54="", "", IF(D54="", "",D54-D39))</f>
        <v>-12966.178588999996</v>
      </c>
      <c r="I54" s="29">
        <f>IF(D54="", "", IF(E54="", "",E54-E39))</f>
        <v>71841.300258000381</v>
      </c>
    </row>
    <row r="55" spans="1:9" x14ac:dyDescent="0.25">
      <c r="A55" s="25"/>
      <c r="B55" s="25" t="s">
        <v>13</v>
      </c>
      <c r="C55" s="26">
        <v>44374.35</v>
      </c>
      <c r="D55" s="27">
        <v>60613.334335</v>
      </c>
      <c r="E55" s="28">
        <f>E54+C55-D55</f>
        <v>476055.74557400029</v>
      </c>
      <c r="F55" s="25"/>
      <c r="G55" s="25" t="s">
        <v>13</v>
      </c>
      <c r="H55" s="29">
        <f>IF(C55="", "", IF(D55="", "",D55-D40))</f>
        <v>-561.84043399999791</v>
      </c>
      <c r="I55" s="29">
        <f>IF(D55="", "", IF(E55="", "",E55-E40))</f>
        <v>85461.670852000301</v>
      </c>
    </row>
    <row r="56" spans="1:9" x14ac:dyDescent="0.25">
      <c r="A56" s="25"/>
      <c r="B56" s="25" t="s">
        <v>14</v>
      </c>
      <c r="C56" s="26">
        <v>66154.33</v>
      </c>
      <c r="D56" s="27">
        <v>80834.720637000006</v>
      </c>
      <c r="E56" s="28">
        <f>E55+C56-D56</f>
        <v>461375.35493700026</v>
      </c>
      <c r="F56" s="25"/>
      <c r="G56" s="25" t="s">
        <v>14</v>
      </c>
      <c r="H56" s="29">
        <f>IF(C56="", "", IF(D56="", "",D56-D41))</f>
        <v>-284884.16691299999</v>
      </c>
      <c r="I56" s="29">
        <f>IF(D56="", "", IF(E56="", "",E56-E41))</f>
        <v>123145.92356600025</v>
      </c>
    </row>
    <row r="57" spans="1:9" x14ac:dyDescent="0.25">
      <c r="A57" s="25"/>
      <c r="B57" s="25" t="s">
        <v>15</v>
      </c>
      <c r="C57" s="26">
        <v>97820.9</v>
      </c>
      <c r="D57" s="27">
        <v>61731.425063000002</v>
      </c>
      <c r="E57" s="28">
        <f>E56+C57-D57</f>
        <v>497464.82987400022</v>
      </c>
      <c r="F57" s="25"/>
      <c r="G57" s="25" t="s">
        <v>15</v>
      </c>
      <c r="H57" s="29">
        <f>IF(C57="", "", IF(D57="", "",D57-D42))</f>
        <v>-58323.980037000001</v>
      </c>
      <c r="I57" s="29">
        <f>IF(D57="", "", IF(E57="", "",E57-E42))</f>
        <v>70405.41677800013</v>
      </c>
    </row>
    <row r="58" spans="1:9" x14ac:dyDescent="0.25">
      <c r="A58" s="25"/>
      <c r="B58" s="25" t="s">
        <v>16</v>
      </c>
      <c r="C58" s="26">
        <v>89553.38</v>
      </c>
      <c r="D58" s="27">
        <v>124788.736972</v>
      </c>
      <c r="E58" s="28">
        <f>E57+C58-D58</f>
        <v>462229.47290200018</v>
      </c>
      <c r="F58" s="25"/>
      <c r="G58" s="25" t="s">
        <v>16</v>
      </c>
      <c r="H58" s="29">
        <f>IF(C58="", "", IF(D58="", "",D58-D43))</f>
        <v>-632862.57458799996</v>
      </c>
      <c r="I58" s="29">
        <f>IF(D58="", "", IF(E58="", "",E58-E43))</f>
        <v>-108894.09741000005</v>
      </c>
    </row>
    <row r="59" spans="1:9" x14ac:dyDescent="0.25">
      <c r="A59" s="25"/>
      <c r="B59" s="25" t="s">
        <v>17</v>
      </c>
      <c r="C59" s="26">
        <v>46853.82</v>
      </c>
      <c r="D59" s="27">
        <v>69201.188238000002</v>
      </c>
      <c r="E59" s="28">
        <f>E58+C59-D59</f>
        <v>439882.10466400022</v>
      </c>
      <c r="F59" s="25"/>
      <c r="G59" s="25" t="s">
        <v>17</v>
      </c>
      <c r="H59" s="29">
        <f>IF(C59="", "", IF(D59="", "",D59-D44))</f>
        <v>20322.536448999999</v>
      </c>
      <c r="I59" s="29">
        <f>IF(D59="", "", IF(E59="", "",E59-E44))</f>
        <v>-98108.103859000024</v>
      </c>
    </row>
    <row r="60" spans="1:9" x14ac:dyDescent="0.25">
      <c r="A60" s="30"/>
      <c r="B60" s="30" t="s">
        <v>18</v>
      </c>
      <c r="C60" s="31">
        <v>14931.8</v>
      </c>
      <c r="D60" s="32">
        <v>38801.625784000003</v>
      </c>
      <c r="E60" s="33">
        <f>E59+C60-D60</f>
        <v>416012.27888000023</v>
      </c>
      <c r="F60" s="30"/>
      <c r="G60" s="30" t="s">
        <v>18</v>
      </c>
      <c r="H60" s="34">
        <f>IF(C60="", "", IF(D60="", "",D60-D45))</f>
        <v>-22378.685020999998</v>
      </c>
      <c r="I60" s="34">
        <f>IF(D60="", "", IF(E60="", "",E60-E45))</f>
        <v>-117348.79937799997</v>
      </c>
    </row>
    <row r="61" spans="1:9" s="2" customFormat="1" x14ac:dyDescent="0.25">
      <c r="A61" s="35"/>
      <c r="B61" s="35" t="s">
        <v>19</v>
      </c>
      <c r="C61" s="36">
        <f>SUM(C49:C60)</f>
        <v>743276.69</v>
      </c>
      <c r="D61" s="37">
        <f>SUM(D49:D60)</f>
        <v>860625.48937800003</v>
      </c>
      <c r="E61" s="28"/>
      <c r="F61" s="35"/>
      <c r="G61" s="35"/>
      <c r="H61" s="28">
        <f>SUMIF(C49:C60,"&gt;=0",H49:H60)</f>
        <v>-974090.64448999998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61939.72416666666</v>
      </c>
      <c r="D62" s="37">
        <f>AVERAGE(D49:D60)</f>
        <v>71718.790781500007</v>
      </c>
      <c r="E62" s="38">
        <f>C62/D62-1</f>
        <v>-0.13635292101656393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416012.27888000023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50619.99</v>
      </c>
      <c r="D64" s="13">
        <v>29817.488805000001</v>
      </c>
      <c r="E64" s="14">
        <f>E63+C64-D64</f>
        <v>436814.78007500025</v>
      </c>
      <c r="F64" s="11"/>
      <c r="G64" s="11" t="s">
        <v>7</v>
      </c>
      <c r="H64" s="15">
        <f>IF(C64="", "", IF(D64="", "",D64-D49))</f>
        <v>-18004.866898</v>
      </c>
      <c r="I64" s="15">
        <f>IF(D64="", "", IF(E64="", "",E64-E49))</f>
        <v>-101545.51247999992</v>
      </c>
    </row>
    <row r="65" spans="1:9" x14ac:dyDescent="0.25">
      <c r="A65" s="11"/>
      <c r="B65" s="11" t="s">
        <v>8</v>
      </c>
      <c r="C65" s="12">
        <v>32999.599999999999</v>
      </c>
      <c r="D65" s="13">
        <v>21981.521236</v>
      </c>
      <c r="E65" s="14">
        <f>E64+C65-D65</f>
        <v>447832.85883900023</v>
      </c>
      <c r="F65" s="11"/>
      <c r="G65" s="11" t="s">
        <v>8</v>
      </c>
      <c r="H65" s="15">
        <f>IF(C65="", "", IF(D65="", "",D65-D50))</f>
        <v>-75450.243738999998</v>
      </c>
      <c r="I65" s="15">
        <f>IF(D65="", "", IF(E65="", "",E65-E50))</f>
        <v>-94986.678741000011</v>
      </c>
    </row>
    <row r="66" spans="1:9" x14ac:dyDescent="0.25">
      <c r="A66" s="11"/>
      <c r="B66" s="11" t="s">
        <v>9</v>
      </c>
      <c r="C66" s="12">
        <v>36130.910000000003</v>
      </c>
      <c r="D66" s="13">
        <v>54636.051934000003</v>
      </c>
      <c r="E66" s="14">
        <f>E65+C66-D66</f>
        <v>429327.71690500027</v>
      </c>
      <c r="F66" s="11"/>
      <c r="G66" s="11" t="s">
        <v>9</v>
      </c>
      <c r="H66" s="15">
        <f>IF(C66="", "", IF(D66="", "",D66-D51))</f>
        <v>-41837.475460999995</v>
      </c>
      <c r="I66" s="15">
        <f>IF(D66="", "", IF(E66="", "",E66-E51))</f>
        <v>-85733.693280000007</v>
      </c>
    </row>
    <row r="67" spans="1:9" x14ac:dyDescent="0.25">
      <c r="A67" s="11"/>
      <c r="B67" s="11" t="s">
        <v>10</v>
      </c>
      <c r="C67" s="12">
        <v>27511.45</v>
      </c>
      <c r="D67" s="13">
        <v>38515.335010000003</v>
      </c>
      <c r="E67" s="14">
        <f>E66+C67-D67</f>
        <v>418323.8318950003</v>
      </c>
      <c r="F67" s="11"/>
      <c r="G67" s="11" t="s">
        <v>10</v>
      </c>
      <c r="H67" s="15">
        <f>IF(C67="", "", IF(D67="", "",D67-D52))</f>
        <v>-25968.483572999998</v>
      </c>
      <c r="I67" s="15">
        <f>IF(D67="", "", IF(E67="", "",E67-E52))</f>
        <v>-102344.33970699995</v>
      </c>
    </row>
    <row r="68" spans="1:9" x14ac:dyDescent="0.25">
      <c r="A68" s="11"/>
      <c r="B68" s="11" t="s">
        <v>11</v>
      </c>
      <c r="C68" s="12">
        <v>64645.3</v>
      </c>
      <c r="D68" s="13">
        <v>64004.828898</v>
      </c>
      <c r="E68" s="14">
        <f>E67+C68-D68</f>
        <v>418964.30299700028</v>
      </c>
      <c r="F68" s="11"/>
      <c r="G68" s="11" t="s">
        <v>11</v>
      </c>
      <c r="H68" s="15">
        <f>IF(C68="", "", IF(D68="", "",D68-D53))</f>
        <v>-1319.7498510000005</v>
      </c>
      <c r="I68" s="15">
        <f>IF(D68="", "", IF(E68="", "",E68-E53))</f>
        <v>-87332.45985600003</v>
      </c>
    </row>
    <row r="69" spans="1:9" x14ac:dyDescent="0.25">
      <c r="A69" s="11"/>
      <c r="B69" s="11" t="s">
        <v>12</v>
      </c>
      <c r="C69" s="12">
        <v>13368.14</v>
      </c>
      <c r="D69" s="13">
        <v>16306.883529999999</v>
      </c>
      <c r="E69" s="14">
        <f>E68+C69-D69</f>
        <v>416025.5594670003</v>
      </c>
      <c r="F69" s="11"/>
      <c r="G69" s="11" t="s">
        <v>12</v>
      </c>
      <c r="H69" s="15">
        <f>IF(C69="", "", IF(D69="", "",D69-D54))</f>
        <v>-36811.529414000004</v>
      </c>
      <c r="I69" s="15">
        <f>IF(D69="", "", IF(E69="", "",E69-E54))</f>
        <v>-76269.170442000031</v>
      </c>
    </row>
    <row r="70" spans="1:9" x14ac:dyDescent="0.25">
      <c r="A70" s="11"/>
      <c r="B70" s="11" t="s">
        <v>13</v>
      </c>
      <c r="C70" s="12">
        <v>22536.9</v>
      </c>
      <c r="D70" s="13">
        <v>14336.327423999999</v>
      </c>
      <c r="E70" s="14">
        <f>E69+C70-D70</f>
        <v>424226.13204300031</v>
      </c>
      <c r="F70" s="11"/>
      <c r="G70" s="11" t="s">
        <v>13</v>
      </c>
      <c r="H70" s="15">
        <f>IF(C70="", "", IF(D70="", "",D70-D55))</f>
        <v>-46277.006911000004</v>
      </c>
      <c r="I70" s="15">
        <f>IF(D70="", "", IF(E70="", "",E70-E55))</f>
        <v>-51829.613530999981</v>
      </c>
    </row>
    <row r="71" spans="1:9" x14ac:dyDescent="0.25">
      <c r="A71" s="11"/>
      <c r="B71" s="11" t="s">
        <v>14</v>
      </c>
      <c r="C71" s="12">
        <v>34243.501400000001</v>
      </c>
      <c r="D71" s="13">
        <v>45692.618756999997</v>
      </c>
      <c r="E71" s="14">
        <f>E70+C71-D71</f>
        <v>412777.0146860003</v>
      </c>
      <c r="F71" s="11"/>
      <c r="G71" s="11" t="s">
        <v>14</v>
      </c>
      <c r="H71" s="15">
        <f>IF(C71="", "", IF(D71="", "",D71-D56))</f>
        <v>-35142.101880000009</v>
      </c>
      <c r="I71" s="15">
        <f>IF(D71="", "", IF(E71="", "",E71-E56))</f>
        <v>-48598.340250999958</v>
      </c>
    </row>
    <row r="72" spans="1:9" x14ac:dyDescent="0.25">
      <c r="A72" s="11"/>
      <c r="B72" s="11" t="s">
        <v>15</v>
      </c>
      <c r="C72" s="12">
        <v>10197.84</v>
      </c>
      <c r="D72" s="13">
        <v>11723.107497000001</v>
      </c>
      <c r="E72" s="14">
        <f>E71+C72-D72</f>
        <v>411251.74718900031</v>
      </c>
      <c r="F72" s="11"/>
      <c r="G72" s="11" t="s">
        <v>15</v>
      </c>
      <c r="H72" s="15">
        <f>IF(C72="", "", IF(D72="", "",D72-D57))</f>
        <v>-50008.317565999998</v>
      </c>
      <c r="I72" s="15">
        <f>IF(D72="", "", IF(E72="", "",E72-E57))</f>
        <v>-86213.082684999914</v>
      </c>
    </row>
    <row r="73" spans="1:9" x14ac:dyDescent="0.25">
      <c r="A73" s="11"/>
      <c r="B73" s="11" t="s">
        <v>16</v>
      </c>
      <c r="C73" s="12">
        <v>27721.24</v>
      </c>
      <c r="D73" s="13">
        <v>26753.871254000001</v>
      </c>
      <c r="E73" s="14">
        <f>E72+C73-D73</f>
        <v>412219.1159350003</v>
      </c>
      <c r="F73" s="11"/>
      <c r="G73" s="11" t="s">
        <v>16</v>
      </c>
      <c r="H73" s="15">
        <f>IF(C73="", "", IF(D73="", "",D73-D58))</f>
        <v>-98034.865718000001</v>
      </c>
      <c r="I73" s="15">
        <f>IF(D73="", "", IF(E73="", "",E73-E58))</f>
        <v>-50010.356966999883</v>
      </c>
    </row>
    <row r="74" spans="1:9" x14ac:dyDescent="0.25">
      <c r="A74" s="11"/>
      <c r="B74" s="11" t="s">
        <v>17</v>
      </c>
      <c r="C74" s="12">
        <v>60220.5648</v>
      </c>
      <c r="D74" s="13">
        <v>62601.795408999998</v>
      </c>
      <c r="E74" s="14">
        <f>E73+C74-D74</f>
        <v>409837.88532600028</v>
      </c>
      <c r="F74" s="11"/>
      <c r="G74" s="11" t="s">
        <v>17</v>
      </c>
      <c r="H74" s="15">
        <f>IF(C74="", "", IF(D74="", "",D74-D59))</f>
        <v>-6599.392829000004</v>
      </c>
      <c r="I74" s="15">
        <f>IF(D74="", "", IF(E74="", "",E74-E59))</f>
        <v>-30044.219337999937</v>
      </c>
    </row>
    <row r="75" spans="1:9" x14ac:dyDescent="0.25">
      <c r="A75" s="16"/>
      <c r="B75" s="16" t="s">
        <v>18</v>
      </c>
      <c r="C75" s="17">
        <v>27606.78</v>
      </c>
      <c r="D75" s="18">
        <v>37708.006453000002</v>
      </c>
      <c r="E75" s="19">
        <f>E74+C75-D75</f>
        <v>399736.6588730003</v>
      </c>
      <c r="F75" s="16"/>
      <c r="G75" s="16" t="s">
        <v>18</v>
      </c>
      <c r="H75" s="20">
        <f>IF(C75="", "", IF(D75="", "",D75-D60))</f>
        <v>-1093.6193310000017</v>
      </c>
      <c r="I75" s="20">
        <f>IF(D75="", "", IF(E75="", "",E75-E60))</f>
        <v>-16275.620006999932</v>
      </c>
    </row>
    <row r="76" spans="1:9" s="2" customFormat="1" x14ac:dyDescent="0.25">
      <c r="A76" s="21"/>
      <c r="B76" s="21" t="s">
        <v>19</v>
      </c>
      <c r="C76" s="22">
        <f>SUM(C64:C75)</f>
        <v>407802.21620000002</v>
      </c>
      <c r="D76" s="23">
        <f>SUM(D64:D75)</f>
        <v>424077.83620700001</v>
      </c>
      <c r="E76" s="14"/>
      <c r="F76" s="21"/>
      <c r="G76" s="21"/>
      <c r="H76" s="14">
        <f>SUMIF(C64:C75,"&gt;=0",H64:H75)</f>
        <v>-436547.65317100007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33983.518016666669</v>
      </c>
      <c r="D77" s="23">
        <f>AVERAGE(D64:D75)</f>
        <v>35339.81968391667</v>
      </c>
      <c r="E77" s="24">
        <f>C77/D77-1</f>
        <v>-3.8378850808547305E-2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399736.6588730003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399736.6588730003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399736.6588730003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399736.6588730003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399736.6588730003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399736.6588730003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399736.6588730003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399736.6588730003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399736.6588730003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399736.6588730003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399736.6588730003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399736.6588730003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399736.6588730003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8F283-B61D-4EBD-B1B3-162853DB366D}">
  <sheetPr codeName="Sheet5"/>
  <dimension ref="A2:I92"/>
  <sheetViews>
    <sheetView topLeftCell="A72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</cols>
  <sheetData>
    <row r="2" spans="1:9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9" x14ac:dyDescent="0.25">
      <c r="A3" s="11"/>
      <c r="B3" s="11"/>
      <c r="C3" s="12"/>
      <c r="D3" s="13"/>
      <c r="E3" s="14"/>
      <c r="F3" s="11"/>
      <c r="G3" s="11"/>
      <c r="H3" s="15"/>
      <c r="I3" s="15"/>
    </row>
    <row r="4" spans="1:9" x14ac:dyDescent="0.25">
      <c r="A4" s="11">
        <v>2019</v>
      </c>
      <c r="B4" s="11" t="s">
        <v>7</v>
      </c>
      <c r="C4" s="12"/>
      <c r="D4" s="13"/>
      <c r="E4" s="14">
        <f>E3+C4-D4</f>
        <v>0</v>
      </c>
      <c r="F4" s="11"/>
      <c r="G4" s="11" t="s">
        <v>7</v>
      </c>
      <c r="H4" s="15"/>
      <c r="I4" s="15"/>
    </row>
    <row r="5" spans="1:9" x14ac:dyDescent="0.25">
      <c r="A5" s="11"/>
      <c r="B5" s="11" t="s">
        <v>8</v>
      </c>
      <c r="C5" s="12"/>
      <c r="D5" s="13"/>
      <c r="E5" s="14">
        <f>E4+C5-D5</f>
        <v>0</v>
      </c>
      <c r="F5" s="11"/>
      <c r="G5" s="11" t="s">
        <v>8</v>
      </c>
      <c r="H5" s="15"/>
      <c r="I5" s="15"/>
    </row>
    <row r="6" spans="1:9" x14ac:dyDescent="0.25">
      <c r="A6" s="11"/>
      <c r="B6" s="11" t="s">
        <v>9</v>
      </c>
      <c r="C6" s="12"/>
      <c r="D6" s="13"/>
      <c r="E6" s="14">
        <f>E5+C6-D6</f>
        <v>0</v>
      </c>
      <c r="F6" s="11"/>
      <c r="G6" s="11" t="s">
        <v>9</v>
      </c>
      <c r="H6" s="15"/>
      <c r="I6" s="15"/>
    </row>
    <row r="7" spans="1:9" x14ac:dyDescent="0.25">
      <c r="A7" s="11"/>
      <c r="B7" s="11" t="s">
        <v>10</v>
      </c>
      <c r="C7" s="12"/>
      <c r="D7" s="13"/>
      <c r="E7" s="14">
        <f>E6+C7-D7</f>
        <v>0</v>
      </c>
      <c r="F7" s="11"/>
      <c r="G7" s="11" t="s">
        <v>10</v>
      </c>
      <c r="H7" s="15"/>
      <c r="I7" s="15"/>
    </row>
    <row r="8" spans="1:9" x14ac:dyDescent="0.25">
      <c r="A8" s="11"/>
      <c r="B8" s="11" t="s">
        <v>11</v>
      </c>
      <c r="C8" s="12"/>
      <c r="D8" s="13"/>
      <c r="E8" s="14">
        <f>E7+C8-D8</f>
        <v>0</v>
      </c>
      <c r="F8" s="11"/>
      <c r="G8" s="11" t="s">
        <v>11</v>
      </c>
      <c r="H8" s="15"/>
      <c r="I8" s="15"/>
    </row>
    <row r="9" spans="1:9" x14ac:dyDescent="0.25">
      <c r="A9" s="11"/>
      <c r="B9" s="11" t="s">
        <v>12</v>
      </c>
      <c r="C9" s="12"/>
      <c r="D9" s="13"/>
      <c r="E9" s="14">
        <f>E8+C9-D9</f>
        <v>0</v>
      </c>
      <c r="F9" s="11"/>
      <c r="G9" s="11" t="s">
        <v>12</v>
      </c>
      <c r="H9" s="15"/>
      <c r="I9" s="15"/>
    </row>
    <row r="10" spans="1:9" x14ac:dyDescent="0.25">
      <c r="A10" s="11"/>
      <c r="B10" s="11" t="s">
        <v>13</v>
      </c>
      <c r="C10" s="12"/>
      <c r="D10" s="13"/>
      <c r="E10" s="14">
        <f>E9+C10-D10</f>
        <v>0</v>
      </c>
      <c r="F10" s="11"/>
      <c r="G10" s="11" t="s">
        <v>13</v>
      </c>
      <c r="H10" s="15"/>
      <c r="I10" s="15"/>
    </row>
    <row r="11" spans="1:9" x14ac:dyDescent="0.25">
      <c r="A11" s="11"/>
      <c r="B11" s="11" t="s">
        <v>14</v>
      </c>
      <c r="C11" s="12">
        <v>99717.799992999993</v>
      </c>
      <c r="D11" s="13">
        <v>289.24993000000001</v>
      </c>
      <c r="E11" s="14">
        <f>E10+C11-D11</f>
        <v>99428.550062999988</v>
      </c>
      <c r="F11" s="11"/>
      <c r="G11" s="11" t="s">
        <v>14</v>
      </c>
      <c r="H11" s="15"/>
      <c r="I11" s="15"/>
    </row>
    <row r="12" spans="1:9" x14ac:dyDescent="0.25">
      <c r="A12" s="11"/>
      <c r="B12" s="11" t="s">
        <v>15</v>
      </c>
      <c r="C12" s="12">
        <v>0</v>
      </c>
      <c r="D12" s="13">
        <v>8338.031943</v>
      </c>
      <c r="E12" s="14">
        <f>E11+C12-D12</f>
        <v>91090.518119999993</v>
      </c>
      <c r="F12" s="11"/>
      <c r="G12" s="11" t="s">
        <v>15</v>
      </c>
      <c r="H12" s="15"/>
      <c r="I12" s="15"/>
    </row>
    <row r="13" spans="1:9" x14ac:dyDescent="0.25">
      <c r="A13" s="11"/>
      <c r="B13" s="11" t="s">
        <v>16</v>
      </c>
      <c r="C13" s="12">
        <v>0</v>
      </c>
      <c r="D13" s="13">
        <v>6099.8394969999999</v>
      </c>
      <c r="E13" s="14">
        <f>E12+C13-D13</f>
        <v>84990.678623</v>
      </c>
      <c r="F13" s="11"/>
      <c r="G13" s="11" t="s">
        <v>16</v>
      </c>
      <c r="H13" s="15"/>
      <c r="I13" s="15"/>
    </row>
    <row r="14" spans="1:9" x14ac:dyDescent="0.25">
      <c r="A14" s="11"/>
      <c r="B14" s="11" t="s">
        <v>17</v>
      </c>
      <c r="C14" s="12">
        <v>0</v>
      </c>
      <c r="D14" s="13">
        <v>5426.898792</v>
      </c>
      <c r="E14" s="14">
        <f>E13+C14-D14</f>
        <v>79563.779830999993</v>
      </c>
      <c r="F14" s="11"/>
      <c r="G14" s="11" t="s">
        <v>17</v>
      </c>
      <c r="H14" s="15"/>
      <c r="I14" s="15"/>
    </row>
    <row r="15" spans="1:9" x14ac:dyDescent="0.25">
      <c r="A15" s="16"/>
      <c r="B15" s="16" t="s">
        <v>18</v>
      </c>
      <c r="C15" s="17">
        <v>0</v>
      </c>
      <c r="D15" s="18">
        <v>3218.005251</v>
      </c>
      <c r="E15" s="19">
        <f>E14+C15-D15</f>
        <v>76345.774579999998</v>
      </c>
      <c r="F15" s="16"/>
      <c r="G15" s="16" t="s">
        <v>18</v>
      </c>
      <c r="H15" s="20"/>
      <c r="I15" s="20"/>
    </row>
    <row r="16" spans="1:9" s="2" customFormat="1" x14ac:dyDescent="0.25">
      <c r="A16" s="21"/>
      <c r="B16" s="21" t="s">
        <v>19</v>
      </c>
      <c r="C16" s="22">
        <f>SUM(C4:C15)</f>
        <v>99717.799992999993</v>
      </c>
      <c r="D16" s="23">
        <f>SUM(D4:D15)</f>
        <v>23372.025412999999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19943.559998599998</v>
      </c>
      <c r="D17" s="23">
        <f>AVERAGE(D4:D15)</f>
        <v>4674.4050826000002</v>
      </c>
      <c r="E17" s="24">
        <f>C17/D17-1</f>
        <v>3.2665450781828644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76345.774579999998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0</v>
      </c>
      <c r="D19" s="27">
        <v>3477.4661660000002</v>
      </c>
      <c r="E19" s="28">
        <f>E18+C19-D19</f>
        <v>72868.308413999999</v>
      </c>
      <c r="F19" s="25"/>
      <c r="G19" s="25" t="s">
        <v>7</v>
      </c>
      <c r="H19" s="29">
        <f>IF(C19="", "", IF(D19="", "",D19-D4))</f>
        <v>3477.4661660000002</v>
      </c>
      <c r="I19" s="29">
        <f>IF(D19="", "", IF(E19="", "",E19-E4))</f>
        <v>72868.308413999999</v>
      </c>
    </row>
    <row r="20" spans="1:9" x14ac:dyDescent="0.25">
      <c r="A20" s="25"/>
      <c r="B20" s="25" t="s">
        <v>8</v>
      </c>
      <c r="C20" s="26">
        <v>0</v>
      </c>
      <c r="D20" s="27">
        <v>9737.3149969999995</v>
      </c>
      <c r="E20" s="28">
        <f>E19+C20-D20</f>
        <v>63130.993416999998</v>
      </c>
      <c r="F20" s="25"/>
      <c r="G20" s="25" t="s">
        <v>8</v>
      </c>
      <c r="H20" s="29">
        <f>IF(C20="", "", IF(D20="", "",D20-D5))</f>
        <v>9737.3149969999995</v>
      </c>
      <c r="I20" s="29">
        <f>IF(D20="", "", IF(E20="", "",E20-E5))</f>
        <v>63130.993416999998</v>
      </c>
    </row>
    <row r="21" spans="1:9" x14ac:dyDescent="0.25">
      <c r="A21" s="25"/>
      <c r="B21" s="25" t="s">
        <v>9</v>
      </c>
      <c r="C21" s="26">
        <v>16866.419999999998</v>
      </c>
      <c r="D21" s="27">
        <v>9002.6424360000001</v>
      </c>
      <c r="E21" s="28">
        <f>E20+C21-D21</f>
        <v>70994.770981000009</v>
      </c>
      <c r="F21" s="25"/>
      <c r="G21" s="25" t="s">
        <v>9</v>
      </c>
      <c r="H21" s="29">
        <f>IF(C21="", "", IF(D21="", "",D21-D6))</f>
        <v>9002.6424360000001</v>
      </c>
      <c r="I21" s="29">
        <f>IF(D21="", "", IF(E21="", "",E21-E6))</f>
        <v>70994.770981000009</v>
      </c>
    </row>
    <row r="22" spans="1:9" x14ac:dyDescent="0.25">
      <c r="A22" s="25"/>
      <c r="B22" s="25" t="s">
        <v>10</v>
      </c>
      <c r="C22" s="26">
        <v>0</v>
      </c>
      <c r="D22" s="27">
        <v>15857.586165000001</v>
      </c>
      <c r="E22" s="28">
        <f>E21+C22-D22</f>
        <v>55137.184816000008</v>
      </c>
      <c r="F22" s="25"/>
      <c r="G22" s="25" t="s">
        <v>10</v>
      </c>
      <c r="H22" s="29">
        <f>IF(C22="", "", IF(D22="", "",D22-D7))</f>
        <v>15857.586165000001</v>
      </c>
      <c r="I22" s="29">
        <f>IF(D22="", "", IF(E22="", "",E22-E7))</f>
        <v>55137.184816000008</v>
      </c>
    </row>
    <row r="23" spans="1:9" x14ac:dyDescent="0.25">
      <c r="A23" s="25"/>
      <c r="B23" s="25" t="s">
        <v>11</v>
      </c>
      <c r="C23" s="26">
        <v>9351.7999999999993</v>
      </c>
      <c r="D23" s="27">
        <v>19281.782103000001</v>
      </c>
      <c r="E23" s="28">
        <f>E22+C23-D23</f>
        <v>45207.202713000006</v>
      </c>
      <c r="F23" s="25"/>
      <c r="G23" s="25" t="s">
        <v>11</v>
      </c>
      <c r="H23" s="29">
        <f>IF(C23="", "", IF(D23="", "",D23-D8))</f>
        <v>19281.782103000001</v>
      </c>
      <c r="I23" s="29">
        <f>IF(D23="", "", IF(E23="", "",E23-E8))</f>
        <v>45207.202713000006</v>
      </c>
    </row>
    <row r="24" spans="1:9" x14ac:dyDescent="0.25">
      <c r="A24" s="25"/>
      <c r="B24" s="25" t="s">
        <v>12</v>
      </c>
      <c r="C24" s="26">
        <v>12880.77</v>
      </c>
      <c r="D24" s="27">
        <v>24714.706948999999</v>
      </c>
      <c r="E24" s="28">
        <f>E23+C24-D24</f>
        <v>33373.265764000011</v>
      </c>
      <c r="F24" s="25"/>
      <c r="G24" s="25" t="s">
        <v>12</v>
      </c>
      <c r="H24" s="29">
        <f>IF(C24="", "", IF(D24="", "",D24-D9))</f>
        <v>24714.706948999999</v>
      </c>
      <c r="I24" s="29">
        <f>IF(D24="", "", IF(E24="", "",E24-E9))</f>
        <v>33373.265764000011</v>
      </c>
    </row>
    <row r="25" spans="1:9" x14ac:dyDescent="0.25">
      <c r="A25" s="25"/>
      <c r="B25" s="25" t="s">
        <v>13</v>
      </c>
      <c r="C25" s="26">
        <v>19060.93</v>
      </c>
      <c r="D25" s="27">
        <v>25512.77505</v>
      </c>
      <c r="E25" s="28">
        <f>E24+C25-D25</f>
        <v>26921.420714000011</v>
      </c>
      <c r="F25" s="25"/>
      <c r="G25" s="25" t="s">
        <v>13</v>
      </c>
      <c r="H25" s="29">
        <f>IF(C25="", "", IF(D25="", "",D25-D10))</f>
        <v>25512.77505</v>
      </c>
      <c r="I25" s="29">
        <f>IF(D25="", "", IF(E25="", "",E25-E10))</f>
        <v>26921.420714000011</v>
      </c>
    </row>
    <row r="26" spans="1:9" x14ac:dyDescent="0.25">
      <c r="A26" s="25"/>
      <c r="B26" s="25" t="s">
        <v>14</v>
      </c>
      <c r="C26" s="26">
        <v>12889.28</v>
      </c>
      <c r="D26" s="27">
        <v>19741.574892000001</v>
      </c>
      <c r="E26" s="28">
        <f>E25+C26-D26</f>
        <v>20069.125822000013</v>
      </c>
      <c r="F26" s="25"/>
      <c r="G26" s="25" t="s">
        <v>14</v>
      </c>
      <c r="H26" s="29">
        <f>IF(C26="", "", IF(D26="", "",D26-D11))</f>
        <v>19452.324961999999</v>
      </c>
      <c r="I26" s="29">
        <f>IF(D26="", "", IF(E26="", "",E26-E11))</f>
        <v>-79359.424240999972</v>
      </c>
    </row>
    <row r="27" spans="1:9" x14ac:dyDescent="0.25">
      <c r="A27" s="25"/>
      <c r="B27" s="25" t="s">
        <v>15</v>
      </c>
      <c r="C27" s="26">
        <v>17176.36</v>
      </c>
      <c r="D27" s="27">
        <v>20191.303124999999</v>
      </c>
      <c r="E27" s="28">
        <f>E26+C27-D27</f>
        <v>17054.182697000018</v>
      </c>
      <c r="F27" s="25"/>
      <c r="G27" s="25" t="s">
        <v>15</v>
      </c>
      <c r="H27" s="29">
        <f>IF(C27="", "", IF(D27="", "",D27-D12))</f>
        <v>11853.271181999999</v>
      </c>
      <c r="I27" s="29">
        <f>IF(D27="", "", IF(E27="", "",E27-E12))</f>
        <v>-74036.335422999982</v>
      </c>
    </row>
    <row r="28" spans="1:9" x14ac:dyDescent="0.25">
      <c r="A28" s="25"/>
      <c r="B28" s="25" t="s">
        <v>16</v>
      </c>
      <c r="C28" s="26">
        <v>23977.54</v>
      </c>
      <c r="D28" s="27">
        <v>26060.490448</v>
      </c>
      <c r="E28" s="28">
        <f>E27+C28-D28</f>
        <v>14971.232249000019</v>
      </c>
      <c r="F28" s="25"/>
      <c r="G28" s="25" t="s">
        <v>16</v>
      </c>
      <c r="H28" s="29">
        <f>IF(C28="", "", IF(D28="", "",D28-D13))</f>
        <v>19960.650951</v>
      </c>
      <c r="I28" s="29">
        <f>IF(D28="", "", IF(E28="", "",E28-E13))</f>
        <v>-70019.446373999977</v>
      </c>
    </row>
    <row r="29" spans="1:9" x14ac:dyDescent="0.25">
      <c r="A29" s="25"/>
      <c r="B29" s="25" t="s">
        <v>17</v>
      </c>
      <c r="C29" s="26">
        <v>86013.56</v>
      </c>
      <c r="D29" s="27">
        <v>24502.116719000001</v>
      </c>
      <c r="E29" s="28">
        <f>E28+C29-D29</f>
        <v>76482.675530000022</v>
      </c>
      <c r="F29" s="25"/>
      <c r="G29" s="25" t="s">
        <v>17</v>
      </c>
      <c r="H29" s="29">
        <f>IF(C29="", "", IF(D29="", "",D29-D14))</f>
        <v>19075.217927000002</v>
      </c>
      <c r="I29" s="29">
        <f>IF(D29="", "", IF(E29="", "",E29-E14))</f>
        <v>-3081.1043009999703</v>
      </c>
    </row>
    <row r="30" spans="1:9" x14ac:dyDescent="0.25">
      <c r="A30" s="30"/>
      <c r="B30" s="30" t="s">
        <v>18</v>
      </c>
      <c r="C30" s="31">
        <v>10581.38</v>
      </c>
      <c r="D30" s="32">
        <v>32655.392018999999</v>
      </c>
      <c r="E30" s="33">
        <f>E29+C30-D30</f>
        <v>54408.663511000028</v>
      </c>
      <c r="F30" s="30"/>
      <c r="G30" s="30" t="s">
        <v>18</v>
      </c>
      <c r="H30" s="34">
        <f>IF(C30="", "", IF(D30="", "",D30-D15))</f>
        <v>29437.386768</v>
      </c>
      <c r="I30" s="34">
        <f>IF(D30="", "", IF(E30="", "",E30-E15))</f>
        <v>-21937.11106899997</v>
      </c>
    </row>
    <row r="31" spans="1:9" s="2" customFormat="1" x14ac:dyDescent="0.25">
      <c r="A31" s="35"/>
      <c r="B31" s="35" t="s">
        <v>19</v>
      </c>
      <c r="C31" s="36">
        <f>SUM(C19:C30)</f>
        <v>208798.04</v>
      </c>
      <c r="D31" s="37">
        <f>SUM(D19:D30)</f>
        <v>230735.15106900001</v>
      </c>
      <c r="E31" s="28"/>
      <c r="F31" s="35"/>
      <c r="G31" s="35"/>
      <c r="H31" s="28">
        <f>SUMIF(C19:C30,"&gt;=0",H19:H30)</f>
        <v>207363.12565599999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17399.836666666666</v>
      </c>
      <c r="D32" s="37">
        <f>AVERAGE(D19:D30)</f>
        <v>19227.929255750001</v>
      </c>
      <c r="E32" s="38">
        <f>C32/D32-1</f>
        <v>-9.5074855163441718E-2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54408.663511000028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12993.46</v>
      </c>
      <c r="D34" s="13">
        <v>26296.102539</v>
      </c>
      <c r="E34" s="14">
        <f>E33+C34-D34</f>
        <v>41106.020972000028</v>
      </c>
      <c r="F34" s="11"/>
      <c r="G34" s="11" t="s">
        <v>7</v>
      </c>
      <c r="H34" s="15">
        <f>IF(C34="", "", IF(D34="", "",D34-D19))</f>
        <v>22818.636373000001</v>
      </c>
      <c r="I34" s="15">
        <f>IF(D34="", "", IF(E34="", "",E34-E19))</f>
        <v>-31762.287441999972</v>
      </c>
    </row>
    <row r="35" spans="1:9" x14ac:dyDescent="0.25">
      <c r="A35" s="11"/>
      <c r="B35" s="11" t="s">
        <v>8</v>
      </c>
      <c r="C35" s="12">
        <v>28278</v>
      </c>
      <c r="D35" s="13">
        <v>26757.488759</v>
      </c>
      <c r="E35" s="14">
        <f>E34+C35-D35</f>
        <v>42626.532213000028</v>
      </c>
      <c r="F35" s="11"/>
      <c r="G35" s="11" t="s">
        <v>8</v>
      </c>
      <c r="H35" s="15">
        <f>IF(C35="", "", IF(D35="", "",D35-D20))</f>
        <v>17020.173761999999</v>
      </c>
      <c r="I35" s="15">
        <f>IF(D35="", "", IF(E35="", "",E35-E20))</f>
        <v>-20504.46120399997</v>
      </c>
    </row>
    <row r="36" spans="1:9" x14ac:dyDescent="0.25">
      <c r="A36" s="11"/>
      <c r="B36" s="11" t="s">
        <v>9</v>
      </c>
      <c r="C36" s="12">
        <v>33588</v>
      </c>
      <c r="D36" s="13">
        <v>46635.178505000003</v>
      </c>
      <c r="E36" s="14">
        <f>E35+C36-D36</f>
        <v>29579.353708000024</v>
      </c>
      <c r="F36" s="11"/>
      <c r="G36" s="11" t="s">
        <v>9</v>
      </c>
      <c r="H36" s="15">
        <f>IF(C36="", "", IF(D36="", "",D36-D21))</f>
        <v>37632.536069000002</v>
      </c>
      <c r="I36" s="15">
        <f>IF(D36="", "", IF(E36="", "",E36-E21))</f>
        <v>-41415.417272999985</v>
      </c>
    </row>
    <row r="37" spans="1:9" x14ac:dyDescent="0.25">
      <c r="A37" s="11"/>
      <c r="B37" s="11" t="s">
        <v>10</v>
      </c>
      <c r="C37" s="12">
        <v>16729.8</v>
      </c>
      <c r="D37" s="13">
        <v>38804.819430000003</v>
      </c>
      <c r="E37" s="14">
        <f>E36+C37-D37</f>
        <v>7504.3342780000239</v>
      </c>
      <c r="F37" s="11"/>
      <c r="G37" s="11" t="s">
        <v>10</v>
      </c>
      <c r="H37" s="15">
        <f>IF(C37="", "", IF(D37="", "",D37-D22))</f>
        <v>22947.233265000003</v>
      </c>
      <c r="I37" s="15">
        <f>IF(D37="", "", IF(E37="", "",E37-E22))</f>
        <v>-47632.850537999984</v>
      </c>
    </row>
    <row r="38" spans="1:9" x14ac:dyDescent="0.25">
      <c r="A38" s="11"/>
      <c r="B38" s="11" t="s">
        <v>11</v>
      </c>
      <c r="C38" s="12">
        <v>7926.6</v>
      </c>
      <c r="D38" s="13">
        <v>24899.388849999999</v>
      </c>
      <c r="E38" s="14">
        <f>E37+C38-D38</f>
        <v>-9468.4545719999751</v>
      </c>
      <c r="F38" s="11"/>
      <c r="G38" s="11" t="s">
        <v>11</v>
      </c>
      <c r="H38" s="15">
        <f>IF(C38="", "", IF(D38="", "",D38-D23))</f>
        <v>5617.606746999998</v>
      </c>
      <c r="I38" s="15">
        <f>IF(D38="", "", IF(E38="", "",E38-E23))</f>
        <v>-54675.657284999979</v>
      </c>
    </row>
    <row r="39" spans="1:9" x14ac:dyDescent="0.25">
      <c r="A39" s="11"/>
      <c r="B39" s="11" t="s">
        <v>12</v>
      </c>
      <c r="C39" s="12">
        <v>186507.36</v>
      </c>
      <c r="D39" s="13">
        <v>18877.673296000001</v>
      </c>
      <c r="E39" s="14">
        <f>E38+C39-D39</f>
        <v>158161.232132</v>
      </c>
      <c r="F39" s="11"/>
      <c r="G39" s="11" t="s">
        <v>12</v>
      </c>
      <c r="H39" s="15">
        <f>IF(C39="", "", IF(D39="", "",D39-D24))</f>
        <v>-5837.0336529999986</v>
      </c>
      <c r="I39" s="15">
        <f>IF(D39="", "", IF(E39="", "",E39-E24))</f>
        <v>124787.96636799999</v>
      </c>
    </row>
    <row r="40" spans="1:9" x14ac:dyDescent="0.25">
      <c r="A40" s="11"/>
      <c r="B40" s="11" t="s">
        <v>13</v>
      </c>
      <c r="C40" s="12">
        <v>16932</v>
      </c>
      <c r="D40" s="13">
        <v>27382.939348</v>
      </c>
      <c r="E40" s="14">
        <f>E39+C40-D40</f>
        <v>147710.29278399999</v>
      </c>
      <c r="F40" s="11"/>
      <c r="G40" s="11" t="s">
        <v>13</v>
      </c>
      <c r="H40" s="15">
        <f>IF(C40="", "", IF(D40="", "",D40-D25))</f>
        <v>1870.1642979999997</v>
      </c>
      <c r="I40" s="15">
        <f>IF(D40="", "", IF(E40="", "",E40-E25))</f>
        <v>120788.87206999998</v>
      </c>
    </row>
    <row r="41" spans="1:9" x14ac:dyDescent="0.25">
      <c r="A41" s="11"/>
      <c r="B41" s="11" t="s">
        <v>14</v>
      </c>
      <c r="C41" s="12">
        <v>66617.39</v>
      </c>
      <c r="D41" s="13">
        <v>122240.59792299999</v>
      </c>
      <c r="E41" s="14">
        <f>E40+C41-D41</f>
        <v>92087.08486100001</v>
      </c>
      <c r="F41" s="11"/>
      <c r="G41" s="11" t="s">
        <v>14</v>
      </c>
      <c r="H41" s="15">
        <f>IF(C41="", "", IF(D41="", "",D41-D26))</f>
        <v>102499.02303099999</v>
      </c>
      <c r="I41" s="15">
        <f>IF(D41="", "", IF(E41="", "",E41-E26))</f>
        <v>72017.959038999994</v>
      </c>
    </row>
    <row r="42" spans="1:9" x14ac:dyDescent="0.25">
      <c r="A42" s="11"/>
      <c r="B42" s="11" t="s">
        <v>15</v>
      </c>
      <c r="C42" s="12">
        <v>17190.53</v>
      </c>
      <c r="D42" s="13">
        <v>31832.109378000001</v>
      </c>
      <c r="E42" s="14">
        <f>E41+C42-D42</f>
        <v>77445.505483000015</v>
      </c>
      <c r="F42" s="11"/>
      <c r="G42" s="11" t="s">
        <v>15</v>
      </c>
      <c r="H42" s="15">
        <f>IF(C42="", "", IF(D42="", "",D42-D27))</f>
        <v>11640.806253000002</v>
      </c>
      <c r="I42" s="15">
        <f>IF(D42="", "", IF(E42="", "",E42-E27))</f>
        <v>60391.322785999997</v>
      </c>
    </row>
    <row r="43" spans="1:9" x14ac:dyDescent="0.25">
      <c r="A43" s="11"/>
      <c r="B43" s="11" t="s">
        <v>16</v>
      </c>
      <c r="C43" s="12">
        <v>345753.04</v>
      </c>
      <c r="D43" s="13">
        <v>275682.23615299998</v>
      </c>
      <c r="E43" s="14">
        <f>E42+C43-D43</f>
        <v>147516.30933000002</v>
      </c>
      <c r="F43" s="11"/>
      <c r="G43" s="11" t="s">
        <v>16</v>
      </c>
      <c r="H43" s="15">
        <f>IF(C43="", "", IF(D43="", "",D43-D28))</f>
        <v>249621.74570499998</v>
      </c>
      <c r="I43" s="15">
        <f>IF(D43="", "", IF(E43="", "",E43-E28))</f>
        <v>132545.077081</v>
      </c>
    </row>
    <row r="44" spans="1:9" x14ac:dyDescent="0.25">
      <c r="A44" s="11"/>
      <c r="B44" s="11" t="s">
        <v>17</v>
      </c>
      <c r="C44" s="12">
        <v>10826.11</v>
      </c>
      <c r="D44" s="13">
        <v>31894.151613999999</v>
      </c>
      <c r="E44" s="14">
        <f>E43+C44-D44</f>
        <v>126448.267716</v>
      </c>
      <c r="F44" s="11"/>
      <c r="G44" s="11" t="s">
        <v>17</v>
      </c>
      <c r="H44" s="15">
        <f>IF(C44="", "", IF(D44="", "",D44-D29))</f>
        <v>7392.0348949999971</v>
      </c>
      <c r="I44" s="15">
        <f>IF(D44="", "", IF(E44="", "",E44-E29))</f>
        <v>49965.59218599998</v>
      </c>
    </row>
    <row r="45" spans="1:9" x14ac:dyDescent="0.25">
      <c r="A45" s="16"/>
      <c r="B45" s="16" t="s">
        <v>18</v>
      </c>
      <c r="C45" s="17">
        <v>10386.9</v>
      </c>
      <c r="D45" s="18">
        <v>41705.738966999998</v>
      </c>
      <c r="E45" s="19">
        <f>E44+C45-D45</f>
        <v>95129.428748999999</v>
      </c>
      <c r="F45" s="16"/>
      <c r="G45" s="16" t="s">
        <v>18</v>
      </c>
      <c r="H45" s="20">
        <f>IF(C45="", "", IF(D45="", "",D45-D30))</f>
        <v>9050.3469479999985</v>
      </c>
      <c r="I45" s="20">
        <f>IF(D45="", "", IF(E45="", "",E45-E30))</f>
        <v>40720.765237999971</v>
      </c>
    </row>
    <row r="46" spans="1:9" s="2" customFormat="1" x14ac:dyDescent="0.25">
      <c r="A46" s="21"/>
      <c r="B46" s="21" t="s">
        <v>19</v>
      </c>
      <c r="C46" s="22">
        <f>SUM(C34:C45)</f>
        <v>753729.19</v>
      </c>
      <c r="D46" s="23">
        <f>SUM(D34:D45)</f>
        <v>713008.42476199998</v>
      </c>
      <c r="E46" s="14"/>
      <c r="F46" s="21"/>
      <c r="G46" s="21"/>
      <c r="H46" s="14">
        <f>SUMIF(C34:C45,"&gt;=0",H34:H45)</f>
        <v>482273.27369300002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62810.765833333331</v>
      </c>
      <c r="D47" s="23">
        <f>AVERAGE(D34:D45)</f>
        <v>59417.368730166665</v>
      </c>
      <c r="E47" s="24">
        <f>C47/D47-1</f>
        <v>5.7111197881837716E-2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95129.428748999999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255923.7</v>
      </c>
      <c r="D49" s="27">
        <v>24496.052273000001</v>
      </c>
      <c r="E49" s="28">
        <f>E48+C49-D49</f>
        <v>326557.07647600002</v>
      </c>
      <c r="F49" s="25"/>
      <c r="G49" s="25" t="s">
        <v>7</v>
      </c>
      <c r="H49" s="29">
        <f>IF(C49="", "", IF(D49="", "",D49-D34))</f>
        <v>-1800.0502659999984</v>
      </c>
      <c r="I49" s="29">
        <f>IF(D49="", "", IF(E49="", "",E49-E34))</f>
        <v>285451.05550399999</v>
      </c>
    </row>
    <row r="50" spans="1:9" x14ac:dyDescent="0.25">
      <c r="A50" s="25"/>
      <c r="B50" s="25" t="s">
        <v>8</v>
      </c>
      <c r="C50" s="26">
        <v>18849.05</v>
      </c>
      <c r="D50" s="27">
        <v>27489.008249999999</v>
      </c>
      <c r="E50" s="28">
        <f>E49+C50-D50</f>
        <v>317917.11822599999</v>
      </c>
      <c r="F50" s="25"/>
      <c r="G50" s="25" t="s">
        <v>8</v>
      </c>
      <c r="H50" s="29">
        <f>IF(C50="", "", IF(D50="", "",D50-D35))</f>
        <v>731.51949099999911</v>
      </c>
      <c r="I50" s="29">
        <f>IF(D50="", "", IF(E50="", "",E50-E35))</f>
        <v>275290.58601299999</v>
      </c>
    </row>
    <row r="51" spans="1:9" x14ac:dyDescent="0.25">
      <c r="A51" s="25"/>
      <c r="B51" s="25" t="s">
        <v>9</v>
      </c>
      <c r="C51" s="26">
        <v>34181.949999999997</v>
      </c>
      <c r="D51" s="27">
        <v>30566.221153999999</v>
      </c>
      <c r="E51" s="28">
        <f>E50+C51-D51</f>
        <v>321532.84707200003</v>
      </c>
      <c r="F51" s="25"/>
      <c r="G51" s="25" t="s">
        <v>9</v>
      </c>
      <c r="H51" s="29">
        <f>IF(C51="", "", IF(D51="", "",D51-D36))</f>
        <v>-16068.957351000005</v>
      </c>
      <c r="I51" s="29">
        <f>IF(D51="", "", IF(E51="", "",E51-E36))</f>
        <v>291953.49336399999</v>
      </c>
    </row>
    <row r="52" spans="1:9" x14ac:dyDescent="0.25">
      <c r="A52" s="25"/>
      <c r="B52" s="25" t="s">
        <v>10</v>
      </c>
      <c r="C52" s="26">
        <v>2696.6779999999999</v>
      </c>
      <c r="D52" s="27">
        <v>36648.232649999998</v>
      </c>
      <c r="E52" s="28">
        <f>E51+C52-D52</f>
        <v>287581.29242200003</v>
      </c>
      <c r="F52" s="25"/>
      <c r="G52" s="25" t="s">
        <v>10</v>
      </c>
      <c r="H52" s="29">
        <f>IF(C52="", "", IF(D52="", "",D52-D37))</f>
        <v>-2156.5867800000051</v>
      </c>
      <c r="I52" s="29">
        <f>IF(D52="", "", IF(E52="", "",E52-E37))</f>
        <v>280076.95814400003</v>
      </c>
    </row>
    <row r="53" spans="1:9" x14ac:dyDescent="0.25">
      <c r="A53" s="25"/>
      <c r="B53" s="25" t="s">
        <v>11</v>
      </c>
      <c r="C53" s="26">
        <v>13045.59</v>
      </c>
      <c r="D53" s="27">
        <v>33217.357088999997</v>
      </c>
      <c r="E53" s="28">
        <f>E52+C53-D53</f>
        <v>267409.52533300006</v>
      </c>
      <c r="F53" s="25"/>
      <c r="G53" s="25" t="s">
        <v>11</v>
      </c>
      <c r="H53" s="29">
        <f>IF(C53="", "", IF(D53="", "",D53-D38))</f>
        <v>8317.968238999998</v>
      </c>
      <c r="I53" s="29">
        <f>IF(D53="", "", IF(E53="", "",E53-E38))</f>
        <v>276877.97990500001</v>
      </c>
    </row>
    <row r="54" spans="1:9" x14ac:dyDescent="0.25">
      <c r="A54" s="25"/>
      <c r="B54" s="25" t="s">
        <v>12</v>
      </c>
      <c r="C54" s="26">
        <v>5348.19</v>
      </c>
      <c r="D54" s="27">
        <v>33547.790395000004</v>
      </c>
      <c r="E54" s="28">
        <f>E53+C54-D54</f>
        <v>239209.92493800004</v>
      </c>
      <c r="F54" s="25"/>
      <c r="G54" s="25" t="s">
        <v>12</v>
      </c>
      <c r="H54" s="29">
        <f>IF(C54="", "", IF(D54="", "",D54-D39))</f>
        <v>14670.117099000003</v>
      </c>
      <c r="I54" s="29">
        <f>IF(D54="", "", IF(E54="", "",E54-E39))</f>
        <v>81048.692806000035</v>
      </c>
    </row>
    <row r="55" spans="1:9" x14ac:dyDescent="0.25">
      <c r="A55" s="25"/>
      <c r="B55" s="25" t="s">
        <v>13</v>
      </c>
      <c r="C55" s="26">
        <v>12778.89</v>
      </c>
      <c r="D55" s="27">
        <v>37990.687700000002</v>
      </c>
      <c r="E55" s="28">
        <f>E54+C55-D55</f>
        <v>213998.12723800004</v>
      </c>
      <c r="F55" s="25"/>
      <c r="G55" s="25" t="s">
        <v>13</v>
      </c>
      <c r="H55" s="29">
        <f>IF(C55="", "", IF(D55="", "",D55-D40))</f>
        <v>10607.748352000002</v>
      </c>
      <c r="I55" s="29">
        <f>IF(D55="", "", IF(E55="", "",E55-E40))</f>
        <v>66287.834454000054</v>
      </c>
    </row>
    <row r="56" spans="1:9" x14ac:dyDescent="0.25">
      <c r="A56" s="25"/>
      <c r="B56" s="25" t="s">
        <v>14</v>
      </c>
      <c r="C56" s="26">
        <v>19175.330000000002</v>
      </c>
      <c r="D56" s="27">
        <v>42980.862316999999</v>
      </c>
      <c r="E56" s="28">
        <f>E55+C56-D56</f>
        <v>190192.59492100007</v>
      </c>
      <c r="F56" s="25"/>
      <c r="G56" s="25" t="s">
        <v>14</v>
      </c>
      <c r="H56" s="29">
        <f>IF(C56="", "", IF(D56="", "",D56-D41))</f>
        <v>-79259.735606000002</v>
      </c>
      <c r="I56" s="29">
        <f>IF(D56="", "", IF(E56="", "",E56-E41))</f>
        <v>98105.510060000059</v>
      </c>
    </row>
    <row r="57" spans="1:9" x14ac:dyDescent="0.25">
      <c r="A57" s="25"/>
      <c r="B57" s="25" t="s">
        <v>15</v>
      </c>
      <c r="C57" s="26">
        <v>22273.89</v>
      </c>
      <c r="D57" s="27">
        <v>34641.849196000003</v>
      </c>
      <c r="E57" s="28">
        <f>E56+C57-D57</f>
        <v>177824.63572500009</v>
      </c>
      <c r="F57" s="25"/>
      <c r="G57" s="25" t="s">
        <v>15</v>
      </c>
      <c r="H57" s="29">
        <f>IF(C57="", "", IF(D57="", "",D57-D42))</f>
        <v>2809.7398180000018</v>
      </c>
      <c r="I57" s="29">
        <f>IF(D57="", "", IF(E57="", "",E57-E42))</f>
        <v>100379.13024200007</v>
      </c>
    </row>
    <row r="58" spans="1:9" x14ac:dyDescent="0.25">
      <c r="A58" s="25"/>
      <c r="B58" s="25" t="s">
        <v>16</v>
      </c>
      <c r="C58" s="26">
        <v>10881.67</v>
      </c>
      <c r="D58" s="27">
        <v>32596.319579999999</v>
      </c>
      <c r="E58" s="28">
        <f>E57+C58-D58</f>
        <v>156109.98614500009</v>
      </c>
      <c r="F58" s="25"/>
      <c r="G58" s="25" t="s">
        <v>16</v>
      </c>
      <c r="H58" s="29">
        <f>IF(C58="", "", IF(D58="", "",D58-D43))</f>
        <v>-243085.91657299997</v>
      </c>
      <c r="I58" s="29">
        <f>IF(D58="", "", IF(E58="", "",E58-E43))</f>
        <v>8593.6768150000717</v>
      </c>
    </row>
    <row r="59" spans="1:9" x14ac:dyDescent="0.25">
      <c r="A59" s="25"/>
      <c r="B59" s="25" t="s">
        <v>17</v>
      </c>
      <c r="C59" s="26">
        <v>19557.45</v>
      </c>
      <c r="D59" s="27">
        <v>37448.285027999998</v>
      </c>
      <c r="E59" s="28">
        <f>E58+C59-D59</f>
        <v>138219.15111700009</v>
      </c>
      <c r="F59" s="25"/>
      <c r="G59" s="25" t="s">
        <v>17</v>
      </c>
      <c r="H59" s="29">
        <f>IF(C59="", "", IF(D59="", "",D59-D44))</f>
        <v>5554.1334139999999</v>
      </c>
      <c r="I59" s="29">
        <f>IF(D59="", "", IF(E59="", "",E59-E44))</f>
        <v>11770.883401000086</v>
      </c>
    </row>
    <row r="60" spans="1:9" x14ac:dyDescent="0.25">
      <c r="A60" s="30"/>
      <c r="B60" s="30" t="s">
        <v>18</v>
      </c>
      <c r="C60" s="31">
        <v>7196.34</v>
      </c>
      <c r="D60" s="32">
        <v>23285.928151</v>
      </c>
      <c r="E60" s="33">
        <f>E59+C60-D60</f>
        <v>122129.56296600008</v>
      </c>
      <c r="F60" s="30"/>
      <c r="G60" s="30" t="s">
        <v>18</v>
      </c>
      <c r="H60" s="34">
        <f>IF(C60="", "", IF(D60="", "",D60-D45))</f>
        <v>-18419.810815999997</v>
      </c>
      <c r="I60" s="34">
        <f>IF(D60="", "", IF(E60="", "",E60-E45))</f>
        <v>27000.134217000086</v>
      </c>
    </row>
    <row r="61" spans="1:9" s="2" customFormat="1" x14ac:dyDescent="0.25">
      <c r="A61" s="35"/>
      <c r="B61" s="35" t="s">
        <v>19</v>
      </c>
      <c r="C61" s="36">
        <f>SUM(C49:C60)</f>
        <v>421908.72800000012</v>
      </c>
      <c r="D61" s="37">
        <f>SUM(D49:D60)</f>
        <v>394908.59378300002</v>
      </c>
      <c r="E61" s="28"/>
      <c r="F61" s="35"/>
      <c r="G61" s="35"/>
      <c r="H61" s="28">
        <f>SUMIF(C49:C60,"&gt;=0",H49:H60)</f>
        <v>-318099.83097899996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35159.060666666679</v>
      </c>
      <c r="D62" s="37">
        <f>AVERAGE(D49:D60)</f>
        <v>32909.049481916671</v>
      </c>
      <c r="E62" s="38">
        <f>C62/D62-1</f>
        <v>6.8370591681366388E-2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122129.56296600008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14371.82</v>
      </c>
      <c r="D64" s="13">
        <v>21779.668726</v>
      </c>
      <c r="E64" s="14">
        <f>E63+C64-D64</f>
        <v>114721.71424000009</v>
      </c>
      <c r="F64" s="11"/>
      <c r="G64" s="11" t="s">
        <v>7</v>
      </c>
      <c r="H64" s="15">
        <f>IF(C64="", "", IF(D64="", "",D64-D49))</f>
        <v>-2716.3835470000013</v>
      </c>
      <c r="I64" s="15">
        <f>IF(D64="", "", IF(E64="", "",E64-E49))</f>
        <v>-211835.36223599993</v>
      </c>
    </row>
    <row r="65" spans="1:9" x14ac:dyDescent="0.25">
      <c r="A65" s="11"/>
      <c r="B65" s="11" t="s">
        <v>8</v>
      </c>
      <c r="C65" s="12">
        <v>16906</v>
      </c>
      <c r="D65" s="13">
        <v>24992.657739999999</v>
      </c>
      <c r="E65" s="14">
        <f>E64+C65-D65</f>
        <v>106635.05650000009</v>
      </c>
      <c r="F65" s="11"/>
      <c r="G65" s="11" t="s">
        <v>8</v>
      </c>
      <c r="H65" s="15">
        <f>IF(C65="", "", IF(D65="", "",D65-D50))</f>
        <v>-2496.3505100000002</v>
      </c>
      <c r="I65" s="15">
        <f>IF(D65="", "", IF(E65="", "",E65-E50))</f>
        <v>-211282.0617259999</v>
      </c>
    </row>
    <row r="66" spans="1:9" x14ac:dyDescent="0.25">
      <c r="A66" s="11"/>
      <c r="B66" s="11" t="s">
        <v>9</v>
      </c>
      <c r="C66" s="12">
        <v>12850.33</v>
      </c>
      <c r="D66" s="13">
        <v>29781.137590999999</v>
      </c>
      <c r="E66" s="14">
        <f>E65+C66-D66</f>
        <v>89704.248909000104</v>
      </c>
      <c r="F66" s="11"/>
      <c r="G66" s="11" t="s">
        <v>9</v>
      </c>
      <c r="H66" s="15">
        <f>IF(C66="", "", IF(D66="", "",D66-D51))</f>
        <v>-785.08356300000014</v>
      </c>
      <c r="I66" s="15">
        <f>IF(D66="", "", IF(E66="", "",E66-E51))</f>
        <v>-231828.59816299993</v>
      </c>
    </row>
    <row r="67" spans="1:9" x14ac:dyDescent="0.25">
      <c r="A67" s="11"/>
      <c r="B67" s="11" t="s">
        <v>10</v>
      </c>
      <c r="C67" s="12">
        <v>14300.58</v>
      </c>
      <c r="D67" s="13">
        <v>28780.158422</v>
      </c>
      <c r="E67" s="14">
        <f>E66+C67-D67</f>
        <v>75224.670487000112</v>
      </c>
      <c r="F67" s="11"/>
      <c r="G67" s="11" t="s">
        <v>10</v>
      </c>
      <c r="H67" s="15">
        <f>IF(C67="", "", IF(D67="", "",D67-D52))</f>
        <v>-7868.0742279999977</v>
      </c>
      <c r="I67" s="15">
        <f>IF(D67="", "", IF(E67="", "",E67-E52))</f>
        <v>-212356.62193499992</v>
      </c>
    </row>
    <row r="68" spans="1:9" x14ac:dyDescent="0.25">
      <c r="A68" s="11"/>
      <c r="B68" s="11" t="s">
        <v>11</v>
      </c>
      <c r="C68" s="12">
        <v>18212.77</v>
      </c>
      <c r="D68" s="13">
        <v>31396.293172000002</v>
      </c>
      <c r="E68" s="14">
        <f>E67+C68-D68</f>
        <v>62041.147315000111</v>
      </c>
      <c r="F68" s="11"/>
      <c r="G68" s="11" t="s">
        <v>11</v>
      </c>
      <c r="H68" s="15">
        <f>IF(C68="", "", IF(D68="", "",D68-D53))</f>
        <v>-1821.0639169999959</v>
      </c>
      <c r="I68" s="15">
        <f>IF(D68="", "", IF(E68="", "",E68-E53))</f>
        <v>-205368.37801799993</v>
      </c>
    </row>
    <row r="69" spans="1:9" x14ac:dyDescent="0.25">
      <c r="A69" s="11"/>
      <c r="B69" s="11" t="s">
        <v>12</v>
      </c>
      <c r="C69" s="12">
        <v>28591.599999999999</v>
      </c>
      <c r="D69" s="13">
        <v>26379.878482</v>
      </c>
      <c r="E69" s="14">
        <f>E68+C69-D69</f>
        <v>64252.868833000102</v>
      </c>
      <c r="F69" s="11"/>
      <c r="G69" s="11" t="s">
        <v>12</v>
      </c>
      <c r="H69" s="15">
        <f>IF(C69="", "", IF(D69="", "",D69-D54))</f>
        <v>-7167.9119130000036</v>
      </c>
      <c r="I69" s="15">
        <f>IF(D69="", "", IF(E69="", "",E69-E54))</f>
        <v>-174957.05610499994</v>
      </c>
    </row>
    <row r="70" spans="1:9" x14ac:dyDescent="0.25">
      <c r="A70" s="11"/>
      <c r="B70" s="11" t="s">
        <v>13</v>
      </c>
      <c r="C70" s="12">
        <v>102979.999994</v>
      </c>
      <c r="D70" s="13">
        <v>23204.791759</v>
      </c>
      <c r="E70" s="14">
        <f>E69+C70-D70</f>
        <v>144028.0770680001</v>
      </c>
      <c r="F70" s="11"/>
      <c r="G70" s="11" t="s">
        <v>13</v>
      </c>
      <c r="H70" s="15">
        <f>IF(C70="", "", IF(D70="", "",D70-D55))</f>
        <v>-14785.895941000002</v>
      </c>
      <c r="I70" s="15">
        <f>IF(D70="", "", IF(E70="", "",E70-E55))</f>
        <v>-69970.050169999944</v>
      </c>
    </row>
    <row r="71" spans="1:9" x14ac:dyDescent="0.25">
      <c r="A71" s="11"/>
      <c r="B71" s="11" t="s">
        <v>14</v>
      </c>
      <c r="C71" s="12">
        <v>11375.89</v>
      </c>
      <c r="D71" s="13">
        <v>30627.291298</v>
      </c>
      <c r="E71" s="14">
        <f>E70+C71-D71</f>
        <v>124776.67577000012</v>
      </c>
      <c r="F71" s="11"/>
      <c r="G71" s="11" t="s">
        <v>14</v>
      </c>
      <c r="H71" s="15">
        <f>IF(C71="", "", IF(D71="", "",D71-D56))</f>
        <v>-12353.571018999999</v>
      </c>
      <c r="I71" s="15">
        <f>IF(D71="", "", IF(E71="", "",E71-E56))</f>
        <v>-65415.919150999951</v>
      </c>
    </row>
    <row r="72" spans="1:9" x14ac:dyDescent="0.25">
      <c r="A72" s="11"/>
      <c r="B72" s="11" t="s">
        <v>15</v>
      </c>
      <c r="C72" s="12">
        <v>16595.61</v>
      </c>
      <c r="D72" s="13">
        <v>23768.960239</v>
      </c>
      <c r="E72" s="14">
        <f>E71+C72-D72</f>
        <v>117603.32553100013</v>
      </c>
      <c r="F72" s="11"/>
      <c r="G72" s="11" t="s">
        <v>15</v>
      </c>
      <c r="H72" s="15">
        <f>IF(C72="", "", IF(D72="", "",D72-D57))</f>
        <v>-10872.888957000003</v>
      </c>
      <c r="I72" s="15">
        <f>IF(D72="", "", IF(E72="", "",E72-E57))</f>
        <v>-60221.310193999961</v>
      </c>
    </row>
    <row r="73" spans="1:9" x14ac:dyDescent="0.25">
      <c r="A73" s="11"/>
      <c r="B73" s="11" t="s">
        <v>16</v>
      </c>
      <c r="C73" s="12">
        <v>19219.23</v>
      </c>
      <c r="D73" s="13">
        <v>31090.826352</v>
      </c>
      <c r="E73" s="14">
        <f>E72+C73-D73</f>
        <v>105731.72917900013</v>
      </c>
      <c r="F73" s="11"/>
      <c r="G73" s="11" t="s">
        <v>16</v>
      </c>
      <c r="H73" s="15">
        <f>IF(C73="", "", IF(D73="", "",D73-D58))</f>
        <v>-1505.4932279999994</v>
      </c>
      <c r="I73" s="15">
        <f>IF(D73="", "", IF(E73="", "",E73-E58))</f>
        <v>-50378.256965999957</v>
      </c>
    </row>
    <row r="74" spans="1:9" x14ac:dyDescent="0.25">
      <c r="A74" s="11"/>
      <c r="B74" s="11" t="s">
        <v>17</v>
      </c>
      <c r="C74" s="12">
        <v>19514.12</v>
      </c>
      <c r="D74" s="13">
        <v>38825.963799999998</v>
      </c>
      <c r="E74" s="14">
        <f>E73+C74-D74</f>
        <v>86419.88537900013</v>
      </c>
      <c r="F74" s="11"/>
      <c r="G74" s="11" t="s">
        <v>17</v>
      </c>
      <c r="H74" s="15">
        <f>IF(C74="", "", IF(D74="", "",D74-D59))</f>
        <v>1377.6787719999993</v>
      </c>
      <c r="I74" s="15">
        <f>IF(D74="", "", IF(E74="", "",E74-E59))</f>
        <v>-51799.265737999958</v>
      </c>
    </row>
    <row r="75" spans="1:9" x14ac:dyDescent="0.25">
      <c r="A75" s="16"/>
      <c r="B75" s="16" t="s">
        <v>18</v>
      </c>
      <c r="C75" s="17">
        <v>13397.88</v>
      </c>
      <c r="D75" s="18">
        <v>17641.204603999999</v>
      </c>
      <c r="E75" s="19">
        <f>E74+C75-D75</f>
        <v>82176.560775000136</v>
      </c>
      <c r="F75" s="16"/>
      <c r="G75" s="16" t="s">
        <v>18</v>
      </c>
      <c r="H75" s="20">
        <f>IF(C75="", "", IF(D75="", "",D75-D60))</f>
        <v>-5644.7235470000014</v>
      </c>
      <c r="I75" s="20">
        <f>IF(D75="", "", IF(E75="", "",E75-E60))</f>
        <v>-39953.002190999949</v>
      </c>
    </row>
    <row r="76" spans="1:9" s="2" customFormat="1" x14ac:dyDescent="0.25">
      <c r="A76" s="21"/>
      <c r="B76" s="21" t="s">
        <v>19</v>
      </c>
      <c r="C76" s="22">
        <f>SUM(C64:C75)</f>
        <v>288315.82999400003</v>
      </c>
      <c r="D76" s="23">
        <f>SUM(D64:D75)</f>
        <v>328268.83218499995</v>
      </c>
      <c r="E76" s="14"/>
      <c r="F76" s="21"/>
      <c r="G76" s="21"/>
      <c r="H76" s="14">
        <f>SUMIF(C64:C75,"&gt;=0",H64:H75)</f>
        <v>-66639.761598000012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24026.319166166668</v>
      </c>
      <c r="D77" s="23">
        <f>AVERAGE(D64:D75)</f>
        <v>27355.736015416664</v>
      </c>
      <c r="E77" s="24">
        <f>C77/D77-1</f>
        <v>-0.12170818022858754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82176.560775000136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82176.560775000136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82176.560775000136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82176.560775000136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82176.560775000136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82176.560775000136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82176.560775000136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82176.560775000136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82176.560775000136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82176.560775000136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82176.560775000136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82176.560775000136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82176.560775000136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3C02-875C-47F5-9120-29AA1C708CD6}">
  <sheetPr codeName="Sheet6"/>
  <dimension ref="A2:I92"/>
  <sheetViews>
    <sheetView topLeftCell="A72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</cols>
  <sheetData>
    <row r="2" spans="1:9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9" x14ac:dyDescent="0.25">
      <c r="A3" s="11"/>
      <c r="B3" s="11"/>
      <c r="C3" s="12"/>
      <c r="D3" s="13"/>
      <c r="E3" s="14">
        <v>0</v>
      </c>
      <c r="F3" s="11"/>
      <c r="G3" s="11"/>
      <c r="H3" s="15"/>
      <c r="I3" s="15"/>
    </row>
    <row r="4" spans="1:9" x14ac:dyDescent="0.25">
      <c r="A4" s="11">
        <v>2019</v>
      </c>
      <c r="B4" s="11" t="s">
        <v>7</v>
      </c>
      <c r="C4" s="12">
        <v>0</v>
      </c>
      <c r="D4" s="13">
        <v>0</v>
      </c>
      <c r="E4" s="14">
        <f>E3+C4-D4</f>
        <v>0</v>
      </c>
      <c r="F4" s="11"/>
      <c r="G4" s="11" t="s">
        <v>7</v>
      </c>
      <c r="H4" s="15"/>
      <c r="I4" s="15"/>
    </row>
    <row r="5" spans="1:9" x14ac:dyDescent="0.25">
      <c r="A5" s="11"/>
      <c r="B5" s="11" t="s">
        <v>8</v>
      </c>
      <c r="C5" s="12">
        <v>0</v>
      </c>
      <c r="D5" s="13">
        <v>0</v>
      </c>
      <c r="E5" s="14">
        <f>E4+C5-D5</f>
        <v>0</v>
      </c>
      <c r="F5" s="11"/>
      <c r="G5" s="11" t="s">
        <v>8</v>
      </c>
      <c r="H5" s="15"/>
      <c r="I5" s="15"/>
    </row>
    <row r="6" spans="1:9" x14ac:dyDescent="0.25">
      <c r="A6" s="11"/>
      <c r="B6" s="11" t="s">
        <v>9</v>
      </c>
      <c r="C6" s="12">
        <v>0</v>
      </c>
      <c r="D6" s="13">
        <v>0</v>
      </c>
      <c r="E6" s="14">
        <f>E5+C6-D6</f>
        <v>0</v>
      </c>
      <c r="F6" s="11"/>
      <c r="G6" s="11" t="s">
        <v>9</v>
      </c>
      <c r="H6" s="15"/>
      <c r="I6" s="15"/>
    </row>
    <row r="7" spans="1:9" x14ac:dyDescent="0.25">
      <c r="A7" s="11"/>
      <c r="B7" s="11" t="s">
        <v>10</v>
      </c>
      <c r="C7" s="12">
        <v>0</v>
      </c>
      <c r="D7" s="13">
        <v>0</v>
      </c>
      <c r="E7" s="14">
        <f>E6+C7-D7</f>
        <v>0</v>
      </c>
      <c r="F7" s="11"/>
      <c r="G7" s="11" t="s">
        <v>10</v>
      </c>
      <c r="H7" s="15"/>
      <c r="I7" s="15"/>
    </row>
    <row r="8" spans="1:9" x14ac:dyDescent="0.25">
      <c r="A8" s="11"/>
      <c r="B8" s="11" t="s">
        <v>11</v>
      </c>
      <c r="C8" s="12">
        <v>0</v>
      </c>
      <c r="D8" s="13">
        <v>0</v>
      </c>
      <c r="E8" s="14">
        <f>E7+C8-D8</f>
        <v>0</v>
      </c>
      <c r="F8" s="11"/>
      <c r="G8" s="11" t="s">
        <v>11</v>
      </c>
      <c r="H8" s="15"/>
      <c r="I8" s="15"/>
    </row>
    <row r="9" spans="1:9" x14ac:dyDescent="0.25">
      <c r="A9" s="11"/>
      <c r="B9" s="11" t="s">
        <v>12</v>
      </c>
      <c r="C9" s="12">
        <v>0</v>
      </c>
      <c r="D9" s="13">
        <v>0</v>
      </c>
      <c r="E9" s="14">
        <f>E8+C9-D9</f>
        <v>0</v>
      </c>
      <c r="F9" s="11"/>
      <c r="G9" s="11" t="s">
        <v>12</v>
      </c>
      <c r="H9" s="15"/>
      <c r="I9" s="15"/>
    </row>
    <row r="10" spans="1:9" x14ac:dyDescent="0.25">
      <c r="A10" s="11"/>
      <c r="B10" s="11" t="s">
        <v>13</v>
      </c>
      <c r="C10" s="12">
        <v>0</v>
      </c>
      <c r="D10" s="13">
        <v>0</v>
      </c>
      <c r="E10" s="14">
        <f>E9+C10-D10</f>
        <v>0</v>
      </c>
      <c r="F10" s="11"/>
      <c r="G10" s="11" t="s">
        <v>13</v>
      </c>
      <c r="H10" s="15"/>
      <c r="I10" s="15"/>
    </row>
    <row r="11" spans="1:9" x14ac:dyDescent="0.25">
      <c r="A11" s="11"/>
      <c r="B11" s="11" t="s">
        <v>14</v>
      </c>
      <c r="C11" s="12">
        <v>0</v>
      </c>
      <c r="D11" s="13">
        <v>0</v>
      </c>
      <c r="E11" s="14">
        <f>E10+C11-D11</f>
        <v>0</v>
      </c>
      <c r="F11" s="11"/>
      <c r="G11" s="11" t="s">
        <v>14</v>
      </c>
      <c r="H11" s="15"/>
      <c r="I11" s="15"/>
    </row>
    <row r="12" spans="1:9" x14ac:dyDescent="0.25">
      <c r="A12" s="11"/>
      <c r="B12" s="11" t="s">
        <v>15</v>
      </c>
      <c r="C12" s="12">
        <v>0</v>
      </c>
      <c r="D12" s="13">
        <v>0</v>
      </c>
      <c r="E12" s="14">
        <f>E11+C12-D12</f>
        <v>0</v>
      </c>
      <c r="F12" s="11"/>
      <c r="G12" s="11" t="s">
        <v>15</v>
      </c>
      <c r="H12" s="15"/>
      <c r="I12" s="15"/>
    </row>
    <row r="13" spans="1:9" x14ac:dyDescent="0.25">
      <c r="A13" s="11"/>
      <c r="B13" s="11" t="s">
        <v>16</v>
      </c>
      <c r="C13" s="12">
        <v>0</v>
      </c>
      <c r="D13" s="13">
        <v>0</v>
      </c>
      <c r="E13" s="14">
        <f>E12+C13-D13</f>
        <v>0</v>
      </c>
      <c r="F13" s="11"/>
      <c r="G13" s="11" t="s">
        <v>16</v>
      </c>
      <c r="H13" s="15"/>
      <c r="I13" s="15"/>
    </row>
    <row r="14" spans="1:9" x14ac:dyDescent="0.25">
      <c r="A14" s="11"/>
      <c r="B14" s="11" t="s">
        <v>17</v>
      </c>
      <c r="C14" s="12">
        <v>0</v>
      </c>
      <c r="D14" s="13">
        <v>0</v>
      </c>
      <c r="E14" s="14">
        <f>E13+C14-D14</f>
        <v>0</v>
      </c>
      <c r="F14" s="11"/>
      <c r="G14" s="11" t="s">
        <v>17</v>
      </c>
      <c r="H14" s="15"/>
      <c r="I14" s="15"/>
    </row>
    <row r="15" spans="1:9" x14ac:dyDescent="0.25">
      <c r="A15" s="16"/>
      <c r="B15" s="16" t="s">
        <v>18</v>
      </c>
      <c r="C15" s="17">
        <v>0</v>
      </c>
      <c r="D15" s="18">
        <v>0</v>
      </c>
      <c r="E15" s="19">
        <f>E14+C15-D15</f>
        <v>0</v>
      </c>
      <c r="F15" s="16"/>
      <c r="G15" s="16" t="s">
        <v>18</v>
      </c>
      <c r="H15" s="20"/>
      <c r="I15" s="20"/>
    </row>
    <row r="16" spans="1:9" s="2" customFormat="1" x14ac:dyDescent="0.25">
      <c r="A16" s="21"/>
      <c r="B16" s="21" t="s">
        <v>19</v>
      </c>
      <c r="C16" s="22">
        <f>SUM(C4:C15)</f>
        <v>0</v>
      </c>
      <c r="D16" s="23">
        <f>SUM(D4:D15)</f>
        <v>0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0</v>
      </c>
      <c r="D17" s="23">
        <f>AVERAGE(D4:D15)</f>
        <v>0</v>
      </c>
      <c r="E17" s="24" t="e">
        <f>C17/D17-1</f>
        <v>#DIV/0!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0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0</v>
      </c>
      <c r="D19" s="27">
        <v>0</v>
      </c>
      <c r="E19" s="28">
        <f>E18+C19-D19</f>
        <v>0</v>
      </c>
      <c r="F19" s="25"/>
      <c r="G19" s="25" t="s">
        <v>7</v>
      </c>
      <c r="H19" s="29">
        <f>IF(C19="", "", IF(D19="", "",D19-D4))</f>
        <v>0</v>
      </c>
      <c r="I19" s="29">
        <f>IF(D19="", "", IF(E19="", "",E19-E4))</f>
        <v>0</v>
      </c>
    </row>
    <row r="20" spans="1:9" x14ac:dyDescent="0.25">
      <c r="A20" s="25"/>
      <c r="B20" s="25" t="s">
        <v>8</v>
      </c>
      <c r="C20" s="26">
        <v>0</v>
      </c>
      <c r="D20" s="27">
        <v>0</v>
      </c>
      <c r="E20" s="28">
        <f>E19+C20-D20</f>
        <v>0</v>
      </c>
      <c r="F20" s="25"/>
      <c r="G20" s="25" t="s">
        <v>8</v>
      </c>
      <c r="H20" s="29">
        <f>IF(C20="", "", IF(D20="", "",D20-D5))</f>
        <v>0</v>
      </c>
      <c r="I20" s="29">
        <f>IF(D20="", "", IF(E20="", "",E20-E5))</f>
        <v>0</v>
      </c>
    </row>
    <row r="21" spans="1:9" x14ac:dyDescent="0.25">
      <c r="A21" s="25"/>
      <c r="B21" s="25" t="s">
        <v>9</v>
      </c>
      <c r="C21" s="26">
        <v>0</v>
      </c>
      <c r="D21" s="27">
        <v>0</v>
      </c>
      <c r="E21" s="28">
        <f>E20+C21-D21</f>
        <v>0</v>
      </c>
      <c r="F21" s="25"/>
      <c r="G21" s="25" t="s">
        <v>9</v>
      </c>
      <c r="H21" s="29">
        <f>IF(C21="", "", IF(D21="", "",D21-D6))</f>
        <v>0</v>
      </c>
      <c r="I21" s="29">
        <f>IF(D21="", "", IF(E21="", "",E21-E6))</f>
        <v>0</v>
      </c>
    </row>
    <row r="22" spans="1:9" x14ac:dyDescent="0.25">
      <c r="A22" s="25"/>
      <c r="B22" s="25" t="s">
        <v>10</v>
      </c>
      <c r="C22" s="26">
        <v>0</v>
      </c>
      <c r="D22" s="27">
        <v>0</v>
      </c>
      <c r="E22" s="28">
        <f>E21+C22-D22</f>
        <v>0</v>
      </c>
      <c r="F22" s="25"/>
      <c r="G22" s="25" t="s">
        <v>10</v>
      </c>
      <c r="H22" s="29">
        <f>IF(C22="", "", IF(D22="", "",D22-D7))</f>
        <v>0</v>
      </c>
      <c r="I22" s="29">
        <f>IF(D22="", "", IF(E22="", "",E22-E7))</f>
        <v>0</v>
      </c>
    </row>
    <row r="23" spans="1:9" x14ac:dyDescent="0.25">
      <c r="A23" s="25"/>
      <c r="B23" s="25" t="s">
        <v>11</v>
      </c>
      <c r="C23" s="26">
        <v>0</v>
      </c>
      <c r="D23" s="27">
        <v>0</v>
      </c>
      <c r="E23" s="28">
        <f>E22+C23-D23</f>
        <v>0</v>
      </c>
      <c r="F23" s="25"/>
      <c r="G23" s="25" t="s">
        <v>11</v>
      </c>
      <c r="H23" s="29">
        <f>IF(C23="", "", IF(D23="", "",D23-D8))</f>
        <v>0</v>
      </c>
      <c r="I23" s="29">
        <f>IF(D23="", "", IF(E23="", "",E23-E8))</f>
        <v>0</v>
      </c>
    </row>
    <row r="24" spans="1:9" x14ac:dyDescent="0.25">
      <c r="A24" s="25"/>
      <c r="B24" s="25" t="s">
        <v>12</v>
      </c>
      <c r="C24" s="26">
        <v>23161.29</v>
      </c>
      <c r="D24" s="27">
        <v>0</v>
      </c>
      <c r="E24" s="28">
        <f>E23+C24-D24</f>
        <v>23161.29</v>
      </c>
      <c r="F24" s="25"/>
      <c r="G24" s="25" t="s">
        <v>12</v>
      </c>
      <c r="H24" s="29">
        <f>IF(C24="", "", IF(D24="", "",D24-D9))</f>
        <v>0</v>
      </c>
      <c r="I24" s="29">
        <f>IF(D24="", "", IF(E24="", "",E24-E9))</f>
        <v>23161.29</v>
      </c>
    </row>
    <row r="25" spans="1:9" x14ac:dyDescent="0.25">
      <c r="A25" s="25"/>
      <c r="B25" s="25" t="s">
        <v>13</v>
      </c>
      <c r="C25" s="26">
        <v>9041.2690000000002</v>
      </c>
      <c r="D25" s="27">
        <v>3147.3438550000001</v>
      </c>
      <c r="E25" s="28">
        <f>E24+C25-D25</f>
        <v>29055.215145000002</v>
      </c>
      <c r="F25" s="25"/>
      <c r="G25" s="25" t="s">
        <v>13</v>
      </c>
      <c r="H25" s="29">
        <f>IF(C25="", "", IF(D25="", "",D25-D10))</f>
        <v>3147.3438550000001</v>
      </c>
      <c r="I25" s="29">
        <f>IF(D25="", "", IF(E25="", "",E25-E10))</f>
        <v>29055.215145000002</v>
      </c>
    </row>
    <row r="26" spans="1:9" x14ac:dyDescent="0.25">
      <c r="A26" s="25"/>
      <c r="B26" s="25" t="s">
        <v>14</v>
      </c>
      <c r="C26" s="26">
        <v>18818.79</v>
      </c>
      <c r="D26" s="27">
        <v>7772.4932140000001</v>
      </c>
      <c r="E26" s="28">
        <f>E25+C26-D26</f>
        <v>40101.511931000001</v>
      </c>
      <c r="F26" s="25"/>
      <c r="G26" s="25" t="s">
        <v>14</v>
      </c>
      <c r="H26" s="29">
        <f>IF(C26="", "", IF(D26="", "",D26-D11))</f>
        <v>7772.4932140000001</v>
      </c>
      <c r="I26" s="29">
        <f>IF(D26="", "", IF(E26="", "",E26-E11))</f>
        <v>40101.511931000001</v>
      </c>
    </row>
    <row r="27" spans="1:9" x14ac:dyDescent="0.25">
      <c r="A27" s="25"/>
      <c r="B27" s="25" t="s">
        <v>15</v>
      </c>
      <c r="C27" s="26">
        <v>10874.26</v>
      </c>
      <c r="D27" s="27">
        <v>13661.399681000001</v>
      </c>
      <c r="E27" s="28">
        <f>E26+C27-D27</f>
        <v>37314.37225</v>
      </c>
      <c r="F27" s="25"/>
      <c r="G27" s="25" t="s">
        <v>15</v>
      </c>
      <c r="H27" s="29">
        <f>IF(C27="", "", IF(D27="", "",D27-D12))</f>
        <v>13661.399681000001</v>
      </c>
      <c r="I27" s="29">
        <f>IF(D27="", "", IF(E27="", "",E27-E12))</f>
        <v>37314.37225</v>
      </c>
    </row>
    <row r="28" spans="1:9" x14ac:dyDescent="0.25">
      <c r="A28" s="25"/>
      <c r="B28" s="25" t="s">
        <v>16</v>
      </c>
      <c r="C28" s="26">
        <v>63329.59</v>
      </c>
      <c r="D28" s="27">
        <v>18217.012256999998</v>
      </c>
      <c r="E28" s="28">
        <f>E27+C28-D28</f>
        <v>82426.949993000002</v>
      </c>
      <c r="F28" s="25"/>
      <c r="G28" s="25" t="s">
        <v>16</v>
      </c>
      <c r="H28" s="29">
        <f>IF(C28="", "", IF(D28="", "",D28-D13))</f>
        <v>18217.012256999998</v>
      </c>
      <c r="I28" s="29">
        <f>IF(D28="", "", IF(E28="", "",E28-E13))</f>
        <v>82426.949993000002</v>
      </c>
    </row>
    <row r="29" spans="1:9" x14ac:dyDescent="0.25">
      <c r="A29" s="25"/>
      <c r="B29" s="25" t="s">
        <v>17</v>
      </c>
      <c r="C29" s="26">
        <v>56805.950666999997</v>
      </c>
      <c r="D29" s="27">
        <v>27346.435047999999</v>
      </c>
      <c r="E29" s="28">
        <f>E28+C29-D29</f>
        <v>111886.46561199999</v>
      </c>
      <c r="F29" s="25"/>
      <c r="G29" s="25" t="s">
        <v>17</v>
      </c>
      <c r="H29" s="29">
        <f>IF(C29="", "", IF(D29="", "",D29-D14))</f>
        <v>27346.435047999999</v>
      </c>
      <c r="I29" s="29">
        <f>IF(D29="", "", IF(E29="", "",E29-E14))</f>
        <v>111886.46561199999</v>
      </c>
    </row>
    <row r="30" spans="1:9" x14ac:dyDescent="0.25">
      <c r="A30" s="30"/>
      <c r="B30" s="30" t="s">
        <v>18</v>
      </c>
      <c r="C30" s="31">
        <v>23834.628916999998</v>
      </c>
      <c r="D30" s="32">
        <v>25959.279995000001</v>
      </c>
      <c r="E30" s="33">
        <f>E29+C30-D30</f>
        <v>109761.81453399999</v>
      </c>
      <c r="F30" s="30"/>
      <c r="G30" s="30" t="s">
        <v>18</v>
      </c>
      <c r="H30" s="34">
        <f>IF(C30="", "", IF(D30="", "",D30-D15))</f>
        <v>25959.279995000001</v>
      </c>
      <c r="I30" s="34">
        <f>IF(D30="", "", IF(E30="", "",E30-E15))</f>
        <v>109761.81453399999</v>
      </c>
    </row>
    <row r="31" spans="1:9" s="2" customFormat="1" x14ac:dyDescent="0.25">
      <c r="A31" s="35"/>
      <c r="B31" s="35" t="s">
        <v>19</v>
      </c>
      <c r="C31" s="36">
        <f>SUM(C19:C30)</f>
        <v>205865.77858399999</v>
      </c>
      <c r="D31" s="37">
        <f>SUM(D19:D30)</f>
        <v>96103.96405000001</v>
      </c>
      <c r="E31" s="28"/>
      <c r="F31" s="35"/>
      <c r="G31" s="35"/>
      <c r="H31" s="28">
        <f>SUMIF(C19:C30,"&gt;=0",H19:H30)</f>
        <v>96103.96405000001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17155.481548666667</v>
      </c>
      <c r="D32" s="37">
        <f>AVERAGE(D19:D30)</f>
        <v>8008.6636708333344</v>
      </c>
      <c r="E32" s="38">
        <f>C32/D32-1</f>
        <v>1.1421153707759046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109761.81453399999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76001.350000000006</v>
      </c>
      <c r="D34" s="13">
        <v>13581.930566000001</v>
      </c>
      <c r="E34" s="14">
        <f>E33+C34-D34</f>
        <v>172181.23396799999</v>
      </c>
      <c r="F34" s="11"/>
      <c r="G34" s="11" t="s">
        <v>7</v>
      </c>
      <c r="H34" s="15">
        <f>IF(C34="", "", IF(D34="", "",D34-D19))</f>
        <v>13581.930566000001</v>
      </c>
      <c r="I34" s="15">
        <f>IF(D34="", "", IF(E34="", "",E34-E19))</f>
        <v>172181.23396799999</v>
      </c>
    </row>
    <row r="35" spans="1:9" x14ac:dyDescent="0.25">
      <c r="A35" s="11"/>
      <c r="B35" s="11" t="s">
        <v>8</v>
      </c>
      <c r="C35" s="12">
        <v>46820.937666999998</v>
      </c>
      <c r="D35" s="13">
        <v>28813.004593000001</v>
      </c>
      <c r="E35" s="14">
        <f>E34+C35-D35</f>
        <v>190189.16704199999</v>
      </c>
      <c r="F35" s="11"/>
      <c r="G35" s="11" t="s">
        <v>8</v>
      </c>
      <c r="H35" s="15">
        <f>IF(C35="", "", IF(D35="", "",D35-D20))</f>
        <v>28813.004593000001</v>
      </c>
      <c r="I35" s="15">
        <f>IF(D35="", "", IF(E35="", "",E35-E20))</f>
        <v>190189.16704199999</v>
      </c>
    </row>
    <row r="36" spans="1:9" x14ac:dyDescent="0.25">
      <c r="A36" s="11"/>
      <c r="B36" s="11" t="s">
        <v>9</v>
      </c>
      <c r="C36" s="12">
        <v>105007.287708</v>
      </c>
      <c r="D36" s="13">
        <v>55151.172167999997</v>
      </c>
      <c r="E36" s="14">
        <f>E35+C36-D36</f>
        <v>240045.28258199999</v>
      </c>
      <c r="F36" s="11"/>
      <c r="G36" s="11" t="s">
        <v>9</v>
      </c>
      <c r="H36" s="15">
        <f>IF(C36="", "", IF(D36="", "",D36-D21))</f>
        <v>55151.172167999997</v>
      </c>
      <c r="I36" s="15">
        <f>IF(D36="", "", IF(E36="", "",E36-E21))</f>
        <v>240045.28258199999</v>
      </c>
    </row>
    <row r="37" spans="1:9" x14ac:dyDescent="0.25">
      <c r="A37" s="11"/>
      <c r="B37" s="11" t="s">
        <v>10</v>
      </c>
      <c r="C37" s="12">
        <v>59688.539799999999</v>
      </c>
      <c r="D37" s="13">
        <v>33209.927037000001</v>
      </c>
      <c r="E37" s="14">
        <f>E36+C37-D37</f>
        <v>266523.89534499997</v>
      </c>
      <c r="F37" s="11"/>
      <c r="G37" s="11" t="s">
        <v>10</v>
      </c>
      <c r="H37" s="15">
        <f>IF(C37="", "", IF(D37="", "",D37-D22))</f>
        <v>33209.927037000001</v>
      </c>
      <c r="I37" s="15">
        <f>IF(D37="", "", IF(E37="", "",E37-E22))</f>
        <v>266523.89534499997</v>
      </c>
    </row>
    <row r="38" spans="1:9" x14ac:dyDescent="0.25">
      <c r="A38" s="11"/>
      <c r="B38" s="11" t="s">
        <v>11</v>
      </c>
      <c r="C38" s="12">
        <v>30620.35</v>
      </c>
      <c r="D38" s="13">
        <v>42346.514008999999</v>
      </c>
      <c r="E38" s="14">
        <f>E37+C38-D38</f>
        <v>254797.73133599994</v>
      </c>
      <c r="F38" s="11"/>
      <c r="G38" s="11" t="s">
        <v>11</v>
      </c>
      <c r="H38" s="15">
        <f>IF(C38="", "", IF(D38="", "",D38-D23))</f>
        <v>42346.514008999999</v>
      </c>
      <c r="I38" s="15">
        <f>IF(D38="", "", IF(E38="", "",E38-E23))</f>
        <v>254797.73133599994</v>
      </c>
    </row>
    <row r="39" spans="1:9" x14ac:dyDescent="0.25">
      <c r="A39" s="11"/>
      <c r="B39" s="11" t="s">
        <v>12</v>
      </c>
      <c r="C39" s="12">
        <v>17569.116399999999</v>
      </c>
      <c r="D39" s="13">
        <v>38746.093309999997</v>
      </c>
      <c r="E39" s="14">
        <f>E38+C39-D39</f>
        <v>233620.75442599997</v>
      </c>
      <c r="F39" s="11"/>
      <c r="G39" s="11" t="s">
        <v>12</v>
      </c>
      <c r="H39" s="15">
        <f>IF(C39="", "", IF(D39="", "",D39-D24))</f>
        <v>38746.093309999997</v>
      </c>
      <c r="I39" s="15">
        <f>IF(D39="", "", IF(E39="", "",E39-E24))</f>
        <v>210459.46442599996</v>
      </c>
    </row>
    <row r="40" spans="1:9" x14ac:dyDescent="0.25">
      <c r="A40" s="11"/>
      <c r="B40" s="11" t="s">
        <v>13</v>
      </c>
      <c r="C40" s="12">
        <v>16394.882571999999</v>
      </c>
      <c r="D40" s="13">
        <v>34362.656973999998</v>
      </c>
      <c r="E40" s="14">
        <f>E39+C40-D40</f>
        <v>215652.98002399999</v>
      </c>
      <c r="F40" s="11"/>
      <c r="G40" s="11" t="s">
        <v>13</v>
      </c>
      <c r="H40" s="15">
        <f>IF(C40="", "", IF(D40="", "",D40-D25))</f>
        <v>31215.313118999999</v>
      </c>
      <c r="I40" s="15">
        <f>IF(D40="", "", IF(E40="", "",E40-E25))</f>
        <v>186597.76487899999</v>
      </c>
    </row>
    <row r="41" spans="1:9" x14ac:dyDescent="0.25">
      <c r="A41" s="11"/>
      <c r="B41" s="11" t="s">
        <v>14</v>
      </c>
      <c r="C41" s="12">
        <v>100991.974115</v>
      </c>
      <c r="D41" s="13">
        <v>116909.94607999999</v>
      </c>
      <c r="E41" s="14">
        <f>E40+C41-D41</f>
        <v>199735.00805899999</v>
      </c>
      <c r="F41" s="11"/>
      <c r="G41" s="11" t="s">
        <v>14</v>
      </c>
      <c r="H41" s="15">
        <f>IF(C41="", "", IF(D41="", "",D41-D26))</f>
        <v>109137.45286599999</v>
      </c>
      <c r="I41" s="15">
        <f>IF(D41="", "", IF(E41="", "",E41-E26))</f>
        <v>159633.49612799997</v>
      </c>
    </row>
    <row r="42" spans="1:9" x14ac:dyDescent="0.25">
      <c r="A42" s="11"/>
      <c r="B42" s="11" t="s">
        <v>15</v>
      </c>
      <c r="C42" s="12">
        <v>18666.944114999998</v>
      </c>
      <c r="D42" s="13">
        <v>26469.689490000001</v>
      </c>
      <c r="E42" s="14">
        <f>E41+C42-D42</f>
        <v>191932.26268399999</v>
      </c>
      <c r="F42" s="11"/>
      <c r="G42" s="11" t="s">
        <v>15</v>
      </c>
      <c r="H42" s="15">
        <f>IF(C42="", "", IF(D42="", "",D42-D27))</f>
        <v>12808.289809</v>
      </c>
      <c r="I42" s="15">
        <f>IF(D42="", "", IF(E42="", "",E42-E27))</f>
        <v>154617.890434</v>
      </c>
    </row>
    <row r="43" spans="1:9" x14ac:dyDescent="0.25">
      <c r="A43" s="11"/>
      <c r="B43" s="11" t="s">
        <v>16</v>
      </c>
      <c r="C43" s="12">
        <v>310561.11826199997</v>
      </c>
      <c r="D43" s="13">
        <v>318123.16402700002</v>
      </c>
      <c r="E43" s="14">
        <f>E42+C43-D43</f>
        <v>184370.21691899997</v>
      </c>
      <c r="F43" s="11"/>
      <c r="G43" s="11" t="s">
        <v>16</v>
      </c>
      <c r="H43" s="15">
        <f>IF(C43="", "", IF(D43="", "",D43-D28))</f>
        <v>299906.15177</v>
      </c>
      <c r="I43" s="15">
        <f>IF(D43="", "", IF(E43="", "",E43-E28))</f>
        <v>101943.26692599997</v>
      </c>
    </row>
    <row r="44" spans="1:9" x14ac:dyDescent="0.25">
      <c r="A44" s="11"/>
      <c r="B44" s="11" t="s">
        <v>17</v>
      </c>
      <c r="C44" s="12">
        <v>66531.97</v>
      </c>
      <c r="D44" s="13">
        <v>31903.370504999999</v>
      </c>
      <c r="E44" s="14">
        <f>E43+C44-D44</f>
        <v>218998.81641399997</v>
      </c>
      <c r="F44" s="11"/>
      <c r="G44" s="11" t="s">
        <v>17</v>
      </c>
      <c r="H44" s="15">
        <f>IF(C44="", "", IF(D44="", "",D44-D29))</f>
        <v>4556.9354569999996</v>
      </c>
      <c r="I44" s="15">
        <f>IF(D44="", "", IF(E44="", "",E44-E29))</f>
        <v>107112.35080199999</v>
      </c>
    </row>
    <row r="45" spans="1:9" x14ac:dyDescent="0.25">
      <c r="A45" s="16"/>
      <c r="B45" s="16" t="s">
        <v>18</v>
      </c>
      <c r="C45" s="17">
        <v>17516.38</v>
      </c>
      <c r="D45" s="18">
        <v>39004.293400000002</v>
      </c>
      <c r="E45" s="19">
        <f>E44+C45-D45</f>
        <v>197510.90301399998</v>
      </c>
      <c r="F45" s="16"/>
      <c r="G45" s="16" t="s">
        <v>18</v>
      </c>
      <c r="H45" s="20">
        <f>IF(C45="", "", IF(D45="", "",D45-D30))</f>
        <v>13045.013405000002</v>
      </c>
      <c r="I45" s="20">
        <f>IF(D45="", "", IF(E45="", "",E45-E30))</f>
        <v>87749.088479999991</v>
      </c>
    </row>
    <row r="46" spans="1:9" s="2" customFormat="1" x14ac:dyDescent="0.25">
      <c r="A46" s="21"/>
      <c r="B46" s="21" t="s">
        <v>19</v>
      </c>
      <c r="C46" s="22">
        <f>SUM(C34:C45)</f>
        <v>866370.85063899995</v>
      </c>
      <c r="D46" s="23">
        <f>SUM(D34:D45)</f>
        <v>778621.76215900003</v>
      </c>
      <c r="E46" s="14"/>
      <c r="F46" s="21"/>
      <c r="G46" s="21"/>
      <c r="H46" s="14">
        <f>SUMIF(C34:C45,"&gt;=0",H34:H45)</f>
        <v>682517.79810899997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72197.570886583329</v>
      </c>
      <c r="D47" s="23">
        <f>AVERAGE(D34:D45)</f>
        <v>64885.146846583339</v>
      </c>
      <c r="E47" s="24">
        <f>C47/D47-1</f>
        <v>0.11269796548799893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197510.90301399998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19306.400000000001</v>
      </c>
      <c r="D49" s="27">
        <v>22601.117170000001</v>
      </c>
      <c r="E49" s="28">
        <f>E48+C49-D49</f>
        <v>194216.18584399996</v>
      </c>
      <c r="F49" s="25"/>
      <c r="G49" s="25" t="s">
        <v>7</v>
      </c>
      <c r="H49" s="29">
        <f>IF(C49="", "", IF(D49="", "",D49-D34))</f>
        <v>9019.1866040000004</v>
      </c>
      <c r="I49" s="29">
        <f>IF(D49="", "", IF(E49="", "",E49-E34))</f>
        <v>22034.951875999977</v>
      </c>
    </row>
    <row r="50" spans="1:9" x14ac:dyDescent="0.25">
      <c r="A50" s="25"/>
      <c r="B50" s="25" t="s">
        <v>8</v>
      </c>
      <c r="C50" s="26">
        <v>83737.119999999995</v>
      </c>
      <c r="D50" s="27">
        <v>51610.872752000003</v>
      </c>
      <c r="E50" s="28">
        <f>E49+C50-D50</f>
        <v>226342.43309199996</v>
      </c>
      <c r="F50" s="25"/>
      <c r="G50" s="25" t="s">
        <v>8</v>
      </c>
      <c r="H50" s="29">
        <f>IF(C50="", "", IF(D50="", "",D50-D35))</f>
        <v>22797.868159000001</v>
      </c>
      <c r="I50" s="29">
        <f>IF(D50="", "", IF(E50="", "",E50-E35))</f>
        <v>36153.266049999977</v>
      </c>
    </row>
    <row r="51" spans="1:9" x14ac:dyDescent="0.25">
      <c r="A51" s="25"/>
      <c r="B51" s="25" t="s">
        <v>9</v>
      </c>
      <c r="C51" s="26">
        <v>10983.02</v>
      </c>
      <c r="D51" s="27">
        <v>37958.825634000001</v>
      </c>
      <c r="E51" s="28">
        <f>E50+C51-D51</f>
        <v>199366.62745799994</v>
      </c>
      <c r="F51" s="25"/>
      <c r="G51" s="25" t="s">
        <v>9</v>
      </c>
      <c r="H51" s="29">
        <f>IF(C51="", "", IF(D51="", "",D51-D36))</f>
        <v>-17192.346533999997</v>
      </c>
      <c r="I51" s="29">
        <f>IF(D51="", "", IF(E51="", "",E51-E36))</f>
        <v>-40678.655124000041</v>
      </c>
    </row>
    <row r="52" spans="1:9" x14ac:dyDescent="0.25">
      <c r="A52" s="25"/>
      <c r="B52" s="25" t="s">
        <v>10</v>
      </c>
      <c r="C52" s="26">
        <v>21170.91</v>
      </c>
      <c r="D52" s="27">
        <v>17451.200558</v>
      </c>
      <c r="E52" s="28">
        <f>E51+C52-D52</f>
        <v>203086.33689999994</v>
      </c>
      <c r="F52" s="25"/>
      <c r="G52" s="25" t="s">
        <v>10</v>
      </c>
      <c r="H52" s="29">
        <f>IF(C52="", "", IF(D52="", "",D52-D37))</f>
        <v>-15758.726479000001</v>
      </c>
      <c r="I52" s="29">
        <f>IF(D52="", "", IF(E52="", "",E52-E37))</f>
        <v>-63437.558445000031</v>
      </c>
    </row>
    <row r="53" spans="1:9" x14ac:dyDescent="0.25">
      <c r="A53" s="25"/>
      <c r="B53" s="25" t="s">
        <v>11</v>
      </c>
      <c r="C53" s="26">
        <v>31627.5</v>
      </c>
      <c r="D53" s="27">
        <v>24901.646628999999</v>
      </c>
      <c r="E53" s="28">
        <f>E52+C53-D53</f>
        <v>209812.19027099994</v>
      </c>
      <c r="F53" s="25"/>
      <c r="G53" s="25" t="s">
        <v>11</v>
      </c>
      <c r="H53" s="29">
        <f>IF(C53="", "", IF(D53="", "",D53-D38))</f>
        <v>-17444.86738</v>
      </c>
      <c r="I53" s="29">
        <f>IF(D53="", "", IF(E53="", "",E53-E38))</f>
        <v>-44985.541064999998</v>
      </c>
    </row>
    <row r="54" spans="1:9" x14ac:dyDescent="0.25">
      <c r="A54" s="25"/>
      <c r="B54" s="25" t="s">
        <v>12</v>
      </c>
      <c r="C54" s="26">
        <v>8516.3799999999992</v>
      </c>
      <c r="D54" s="27">
        <v>33766.445899999999</v>
      </c>
      <c r="E54" s="28">
        <f>E53+C54-D54</f>
        <v>184562.12437099995</v>
      </c>
      <c r="F54" s="25"/>
      <c r="G54" s="25" t="s">
        <v>12</v>
      </c>
      <c r="H54" s="29">
        <f>IF(C54="", "", IF(D54="", "",D54-D39))</f>
        <v>-4979.6474099999978</v>
      </c>
      <c r="I54" s="29">
        <f>IF(D54="", "", IF(E54="", "",E54-E39))</f>
        <v>-49058.630055000016</v>
      </c>
    </row>
    <row r="55" spans="1:9" x14ac:dyDescent="0.25">
      <c r="A55" s="25"/>
      <c r="B55" s="25" t="s">
        <v>13</v>
      </c>
      <c r="C55" s="26">
        <v>206.8</v>
      </c>
      <c r="D55" s="27">
        <v>15171.265269</v>
      </c>
      <c r="E55" s="28">
        <f>E54+C55-D55</f>
        <v>169597.65910199995</v>
      </c>
      <c r="F55" s="25"/>
      <c r="G55" s="25" t="s">
        <v>13</v>
      </c>
      <c r="H55" s="29">
        <f>IF(C55="", "", IF(D55="", "",D55-D40))</f>
        <v>-19191.391704999998</v>
      </c>
      <c r="I55" s="29">
        <f>IF(D55="", "", IF(E55="", "",E55-E40))</f>
        <v>-46055.320922000043</v>
      </c>
    </row>
    <row r="56" spans="1:9" x14ac:dyDescent="0.25">
      <c r="A56" s="25"/>
      <c r="B56" s="25" t="s">
        <v>14</v>
      </c>
      <c r="C56" s="26">
        <v>289.17</v>
      </c>
      <c r="D56" s="27">
        <v>12422.682613000001</v>
      </c>
      <c r="E56" s="28">
        <f>E55+C56-D56</f>
        <v>157464.14648899995</v>
      </c>
      <c r="F56" s="25"/>
      <c r="G56" s="25" t="s">
        <v>14</v>
      </c>
      <c r="H56" s="29">
        <f>IF(C56="", "", IF(D56="", "",D56-D41))</f>
        <v>-104487.263467</v>
      </c>
      <c r="I56" s="29">
        <f>IF(D56="", "", IF(E56="", "",E56-E41))</f>
        <v>-42270.861570000037</v>
      </c>
    </row>
    <row r="57" spans="1:9" x14ac:dyDescent="0.25">
      <c r="A57" s="25"/>
      <c r="B57" s="25" t="s">
        <v>15</v>
      </c>
      <c r="C57" s="26">
        <v>8285.84</v>
      </c>
      <c r="D57" s="27">
        <v>16757.814869999998</v>
      </c>
      <c r="E57" s="28">
        <f>E56+C57-D57</f>
        <v>148992.17161899994</v>
      </c>
      <c r="F57" s="25"/>
      <c r="G57" s="25" t="s">
        <v>15</v>
      </c>
      <c r="H57" s="29">
        <f>IF(C57="", "", IF(D57="", "",D57-D42))</f>
        <v>-9711.8746200000023</v>
      </c>
      <c r="I57" s="29">
        <f>IF(D57="", "", IF(E57="", "",E57-E42))</f>
        <v>-42940.091065000044</v>
      </c>
    </row>
    <row r="58" spans="1:9" x14ac:dyDescent="0.25">
      <c r="A58" s="25"/>
      <c r="B58" s="25" t="s">
        <v>16</v>
      </c>
      <c r="C58" s="26">
        <v>17052.71</v>
      </c>
      <c r="D58" s="27">
        <v>11802.858286999999</v>
      </c>
      <c r="E58" s="28">
        <f>E57+C58-D58</f>
        <v>154242.02333199992</v>
      </c>
      <c r="F58" s="25"/>
      <c r="G58" s="25" t="s">
        <v>16</v>
      </c>
      <c r="H58" s="29">
        <f>IF(C58="", "", IF(D58="", "",D58-D43))</f>
        <v>-306320.30574000004</v>
      </c>
      <c r="I58" s="29">
        <f>IF(D58="", "", IF(E58="", "",E58-E43))</f>
        <v>-30128.193587000045</v>
      </c>
    </row>
    <row r="59" spans="1:9" x14ac:dyDescent="0.25">
      <c r="A59" s="25"/>
      <c r="B59" s="25" t="s">
        <v>17</v>
      </c>
      <c r="C59" s="26">
        <v>7623.21</v>
      </c>
      <c r="D59" s="27">
        <v>21998.732715999999</v>
      </c>
      <c r="E59" s="28">
        <f>E58+C59-D59</f>
        <v>139866.50061599992</v>
      </c>
      <c r="F59" s="25"/>
      <c r="G59" s="25" t="s">
        <v>17</v>
      </c>
      <c r="H59" s="29">
        <f>IF(C59="", "", IF(D59="", "",D59-D44))</f>
        <v>-9904.6377890000003</v>
      </c>
      <c r="I59" s="29">
        <f>IF(D59="", "", IF(E59="", "",E59-E44))</f>
        <v>-79132.315798000054</v>
      </c>
    </row>
    <row r="60" spans="1:9" x14ac:dyDescent="0.25">
      <c r="A60" s="30"/>
      <c r="B60" s="30" t="s">
        <v>18</v>
      </c>
      <c r="C60" s="31">
        <v>12860.8</v>
      </c>
      <c r="D60" s="32">
        <v>18135.164892000001</v>
      </c>
      <c r="E60" s="33">
        <f>E59+C60-D60</f>
        <v>134592.13572399991</v>
      </c>
      <c r="F60" s="30"/>
      <c r="G60" s="30" t="s">
        <v>18</v>
      </c>
      <c r="H60" s="34">
        <f>IF(C60="", "", IF(D60="", "",D60-D45))</f>
        <v>-20869.128508000002</v>
      </c>
      <c r="I60" s="34">
        <f>IF(D60="", "", IF(E60="", "",E60-E45))</f>
        <v>-62918.767290000076</v>
      </c>
    </row>
    <row r="61" spans="1:9" s="2" customFormat="1" x14ac:dyDescent="0.25">
      <c r="A61" s="35"/>
      <c r="B61" s="35" t="s">
        <v>19</v>
      </c>
      <c r="C61" s="36">
        <f>SUM(C49:C60)</f>
        <v>221659.85999999996</v>
      </c>
      <c r="D61" s="37">
        <f>SUM(D49:D60)</f>
        <v>284578.62729000009</v>
      </c>
      <c r="E61" s="28"/>
      <c r="F61" s="35"/>
      <c r="G61" s="35"/>
      <c r="H61" s="28">
        <f>SUMIF(C49:C60,"&gt;=0",H49:H60)</f>
        <v>-494043.13486900006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18471.654999999995</v>
      </c>
      <c r="D62" s="37">
        <f>AVERAGE(D49:D60)</f>
        <v>23714.885607500008</v>
      </c>
      <c r="E62" s="38">
        <f>C62/D62-1</f>
        <v>-0.22109449289697614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134592.13572399991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218.54</v>
      </c>
      <c r="D64" s="13">
        <v>7469.2484139999997</v>
      </c>
      <c r="E64" s="14">
        <f>E63+C64-D64</f>
        <v>127341.42730999991</v>
      </c>
      <c r="F64" s="11"/>
      <c r="G64" s="11" t="s">
        <v>7</v>
      </c>
      <c r="H64" s="15">
        <f>IF(C64="", "", IF(D64="", "",D64-D49))</f>
        <v>-15131.868756000002</v>
      </c>
      <c r="I64" s="15">
        <f>IF(D64="", "", IF(E64="", "",E64-E49))</f>
        <v>-66874.758534000051</v>
      </c>
    </row>
    <row r="65" spans="1:9" x14ac:dyDescent="0.25">
      <c r="A65" s="11"/>
      <c r="B65" s="11" t="s">
        <v>8</v>
      </c>
      <c r="C65" s="12">
        <v>12757.77</v>
      </c>
      <c r="D65" s="13">
        <v>6978.3796609999999</v>
      </c>
      <c r="E65" s="14">
        <f>E64+C65-D65</f>
        <v>133120.81764899989</v>
      </c>
      <c r="F65" s="11"/>
      <c r="G65" s="11" t="s">
        <v>8</v>
      </c>
      <c r="H65" s="15">
        <f>IF(C65="", "", IF(D65="", "",D65-D50))</f>
        <v>-44632.493091000004</v>
      </c>
      <c r="I65" s="15">
        <f>IF(D65="", "", IF(E65="", "",E65-E50))</f>
        <v>-93221.615443000075</v>
      </c>
    </row>
    <row r="66" spans="1:9" x14ac:dyDescent="0.25">
      <c r="A66" s="11"/>
      <c r="B66" s="11" t="s">
        <v>9</v>
      </c>
      <c r="C66" s="12">
        <v>23479.94</v>
      </c>
      <c r="D66" s="13">
        <v>17836.561496999999</v>
      </c>
      <c r="E66" s="14">
        <f>E65+C66-D66</f>
        <v>138764.1961519999</v>
      </c>
      <c r="F66" s="11"/>
      <c r="G66" s="11" t="s">
        <v>9</v>
      </c>
      <c r="H66" s="15">
        <f>IF(C66="", "", IF(D66="", "",D66-D51))</f>
        <v>-20122.264137000002</v>
      </c>
      <c r="I66" s="15">
        <f>IF(D66="", "", IF(E66="", "",E66-E51))</f>
        <v>-60602.431306000042</v>
      </c>
    </row>
    <row r="67" spans="1:9" x14ac:dyDescent="0.25">
      <c r="A67" s="11"/>
      <c r="B67" s="11" t="s">
        <v>10</v>
      </c>
      <c r="C67" s="12">
        <v>5488.43</v>
      </c>
      <c r="D67" s="13">
        <v>12574.215139</v>
      </c>
      <c r="E67" s="14">
        <f>E66+C67-D67</f>
        <v>131678.41101299989</v>
      </c>
      <c r="F67" s="11"/>
      <c r="G67" s="11" t="s">
        <v>10</v>
      </c>
      <c r="H67" s="15">
        <f>IF(C67="", "", IF(D67="", "",D67-D52))</f>
        <v>-4876.9854190000005</v>
      </c>
      <c r="I67" s="15">
        <f>IF(D67="", "", IF(E67="", "",E67-E52))</f>
        <v>-71407.925887000049</v>
      </c>
    </row>
    <row r="68" spans="1:9" x14ac:dyDescent="0.25">
      <c r="A68" s="11"/>
      <c r="B68" s="11" t="s">
        <v>11</v>
      </c>
      <c r="C68" s="12">
        <v>8295.9500000000007</v>
      </c>
      <c r="D68" s="13">
        <v>13256.933756</v>
      </c>
      <c r="E68" s="14">
        <f>E67+C68-D68</f>
        <v>126717.4272569999</v>
      </c>
      <c r="F68" s="11"/>
      <c r="G68" s="11" t="s">
        <v>11</v>
      </c>
      <c r="H68" s="15">
        <f>IF(C68="", "", IF(D68="", "",D68-D53))</f>
        <v>-11644.712872999999</v>
      </c>
      <c r="I68" s="15">
        <f>IF(D68="", "", IF(E68="", "",E68-E53))</f>
        <v>-83094.76301400004</v>
      </c>
    </row>
    <row r="69" spans="1:9" x14ac:dyDescent="0.25">
      <c r="A69" s="11"/>
      <c r="B69" s="11" t="s">
        <v>12</v>
      </c>
      <c r="C69" s="12">
        <v>30854.52</v>
      </c>
      <c r="D69" s="13">
        <v>15507.990320000001</v>
      </c>
      <c r="E69" s="14">
        <f>E68+C69-D69</f>
        <v>142063.95693699989</v>
      </c>
      <c r="F69" s="11"/>
      <c r="G69" s="11" t="s">
        <v>12</v>
      </c>
      <c r="H69" s="15">
        <f>IF(C69="", "", IF(D69="", "",D69-D54))</f>
        <v>-18258.455579999998</v>
      </c>
      <c r="I69" s="15">
        <f>IF(D69="", "", IF(E69="", "",E69-E54))</f>
        <v>-42498.167434000061</v>
      </c>
    </row>
    <row r="70" spans="1:9" x14ac:dyDescent="0.25">
      <c r="A70" s="11"/>
      <c r="B70" s="11" t="s">
        <v>13</v>
      </c>
      <c r="C70" s="12">
        <v>7861.8</v>
      </c>
      <c r="D70" s="13">
        <v>16568.439900000001</v>
      </c>
      <c r="E70" s="14">
        <f>E69+C70-D70</f>
        <v>133357.31703699988</v>
      </c>
      <c r="F70" s="11"/>
      <c r="G70" s="11" t="s">
        <v>13</v>
      </c>
      <c r="H70" s="15">
        <f>IF(C70="", "", IF(D70="", "",D70-D55))</f>
        <v>1397.1746310000017</v>
      </c>
      <c r="I70" s="15">
        <f>IF(D70="", "", IF(E70="", "",E70-E55))</f>
        <v>-36240.342065000063</v>
      </c>
    </row>
    <row r="71" spans="1:9" x14ac:dyDescent="0.25">
      <c r="A71" s="11"/>
      <c r="B71" s="11" t="s">
        <v>14</v>
      </c>
      <c r="C71" s="12">
        <v>10171.530000000001</v>
      </c>
      <c r="D71" s="13">
        <v>17584.921401</v>
      </c>
      <c r="E71" s="14">
        <f>E70+C71-D71</f>
        <v>125943.92563599988</v>
      </c>
      <c r="F71" s="11"/>
      <c r="G71" s="11" t="s">
        <v>14</v>
      </c>
      <c r="H71" s="15">
        <f>IF(C71="", "", IF(D71="", "",D71-D56))</f>
        <v>5162.2387879999987</v>
      </c>
      <c r="I71" s="15">
        <f>IF(D71="", "", IF(E71="", "",E71-E56))</f>
        <v>-31520.220853000064</v>
      </c>
    </row>
    <row r="72" spans="1:9" x14ac:dyDescent="0.25">
      <c r="A72" s="11"/>
      <c r="B72" s="11" t="s">
        <v>15</v>
      </c>
      <c r="C72" s="12">
        <v>15050.82</v>
      </c>
      <c r="D72" s="13">
        <v>9963.6707920000008</v>
      </c>
      <c r="E72" s="14">
        <f>E71+C72-D72</f>
        <v>131031.07484399989</v>
      </c>
      <c r="F72" s="11"/>
      <c r="G72" s="11" t="s">
        <v>15</v>
      </c>
      <c r="H72" s="15">
        <f>IF(C72="", "", IF(D72="", "",D72-D57))</f>
        <v>-6794.1440779999975</v>
      </c>
      <c r="I72" s="15">
        <f>IF(D72="", "", IF(E72="", "",E72-E57))</f>
        <v>-17961.096775000056</v>
      </c>
    </row>
    <row r="73" spans="1:9" x14ac:dyDescent="0.25">
      <c r="A73" s="11"/>
      <c r="B73" s="11" t="s">
        <v>16</v>
      </c>
      <c r="C73" s="12">
        <v>18953.650000000001</v>
      </c>
      <c r="D73" s="13">
        <v>20432.586406999999</v>
      </c>
      <c r="E73" s="14">
        <f>E72+C73-D73</f>
        <v>129552.1384369999</v>
      </c>
      <c r="F73" s="11"/>
      <c r="G73" s="11" t="s">
        <v>16</v>
      </c>
      <c r="H73" s="15">
        <f>IF(C73="", "", IF(D73="", "",D73-D58))</f>
        <v>8629.7281199999998</v>
      </c>
      <c r="I73" s="15">
        <f>IF(D73="", "", IF(E73="", "",E73-E58))</f>
        <v>-24689.884895000025</v>
      </c>
    </row>
    <row r="74" spans="1:9" x14ac:dyDescent="0.25">
      <c r="A74" s="11"/>
      <c r="B74" s="11" t="s">
        <v>17</v>
      </c>
      <c r="C74" s="12">
        <v>15105.09</v>
      </c>
      <c r="D74" s="13">
        <v>14136.453219000001</v>
      </c>
      <c r="E74" s="14">
        <f>E73+C74-D74</f>
        <v>130520.77521799989</v>
      </c>
      <c r="F74" s="11"/>
      <c r="G74" s="11" t="s">
        <v>17</v>
      </c>
      <c r="H74" s="15">
        <f>IF(C74="", "", IF(D74="", "",D74-D59))</f>
        <v>-7862.2794969999977</v>
      </c>
      <c r="I74" s="15">
        <f>IF(D74="", "", IF(E74="", "",E74-E59))</f>
        <v>-9345.7253980000241</v>
      </c>
    </row>
    <row r="75" spans="1:9" x14ac:dyDescent="0.25">
      <c r="A75" s="16"/>
      <c r="B75" s="16" t="s">
        <v>18</v>
      </c>
      <c r="C75" s="17">
        <v>5050.92</v>
      </c>
      <c r="D75" s="18">
        <v>15474.178932000001</v>
      </c>
      <c r="E75" s="19">
        <f>E74+C75-D75</f>
        <v>120097.5162859999</v>
      </c>
      <c r="F75" s="16"/>
      <c r="G75" s="16" t="s">
        <v>18</v>
      </c>
      <c r="H75" s="20">
        <f>IF(C75="", "", IF(D75="", "",D75-D60))</f>
        <v>-2660.98596</v>
      </c>
      <c r="I75" s="20">
        <f>IF(D75="", "", IF(E75="", "",E75-E60))</f>
        <v>-14494.619438000009</v>
      </c>
    </row>
    <row r="76" spans="1:9" s="2" customFormat="1" x14ac:dyDescent="0.25">
      <c r="A76" s="21"/>
      <c r="B76" s="21" t="s">
        <v>19</v>
      </c>
      <c r="C76" s="22">
        <f>SUM(C64:C75)</f>
        <v>153288.96000000002</v>
      </c>
      <c r="D76" s="23">
        <f>SUM(D64:D75)</f>
        <v>167783.57943799999</v>
      </c>
      <c r="E76" s="14"/>
      <c r="F76" s="21"/>
      <c r="G76" s="21"/>
      <c r="H76" s="14">
        <f>SUMIF(C64:C75,"&gt;=0",H64:H75)</f>
        <v>-116795.047852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12774.080000000002</v>
      </c>
      <c r="D77" s="23">
        <f>AVERAGE(D64:D75)</f>
        <v>13981.964953166666</v>
      </c>
      <c r="E77" s="24">
        <f>C77/D77-1</f>
        <v>-8.63887842096972E-2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120097.5162859999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120097.5162859999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120097.5162859999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120097.5162859999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120097.5162859999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120097.5162859999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120097.5162859999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120097.5162859999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120097.5162859999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120097.5162859999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120097.5162859999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120097.5162859999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120097.5162859999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417DB-BDD2-417E-9C74-2671674F5B53}">
  <sheetPr codeName="Sheet7"/>
  <dimension ref="A2:I92"/>
  <sheetViews>
    <sheetView topLeftCell="A72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</cols>
  <sheetData>
    <row r="2" spans="1:9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9" x14ac:dyDescent="0.25">
      <c r="A3" s="11"/>
      <c r="B3" s="11"/>
      <c r="C3" s="12"/>
      <c r="D3" s="13"/>
      <c r="E3" s="14">
        <v>73059.227543999994</v>
      </c>
      <c r="F3" s="11"/>
      <c r="G3" s="11"/>
      <c r="H3" s="15"/>
      <c r="I3" s="15"/>
    </row>
    <row r="4" spans="1:9" x14ac:dyDescent="0.25">
      <c r="A4" s="11">
        <v>2019</v>
      </c>
      <c r="B4" s="11" t="s">
        <v>7</v>
      </c>
      <c r="C4" s="12">
        <v>0</v>
      </c>
      <c r="D4" s="13">
        <v>11486.503203</v>
      </c>
      <c r="E4" s="14">
        <f>E3+C4-D4</f>
        <v>61572.724340999994</v>
      </c>
      <c r="F4" s="11"/>
      <c r="G4" s="11" t="s">
        <v>7</v>
      </c>
      <c r="H4" s="15"/>
      <c r="I4" s="15"/>
    </row>
    <row r="5" spans="1:9" x14ac:dyDescent="0.25">
      <c r="A5" s="11"/>
      <c r="B5" s="11" t="s">
        <v>8</v>
      </c>
      <c r="C5" s="12">
        <v>93305.195030000003</v>
      </c>
      <c r="D5" s="13">
        <v>9526.0085190000009</v>
      </c>
      <c r="E5" s="14">
        <f>E4+C5-D5</f>
        <v>145351.910852</v>
      </c>
      <c r="F5" s="11"/>
      <c r="G5" s="11" t="s">
        <v>8</v>
      </c>
      <c r="H5" s="15"/>
      <c r="I5" s="15"/>
    </row>
    <row r="6" spans="1:9" x14ac:dyDescent="0.25">
      <c r="A6" s="11"/>
      <c r="B6" s="11" t="s">
        <v>9</v>
      </c>
      <c r="C6" s="12">
        <v>0</v>
      </c>
      <c r="D6" s="13">
        <v>15083.851119999999</v>
      </c>
      <c r="E6" s="14">
        <f>E5+C6-D6</f>
        <v>130268.05973199999</v>
      </c>
      <c r="F6" s="11"/>
      <c r="G6" s="11" t="s">
        <v>9</v>
      </c>
      <c r="H6" s="15"/>
      <c r="I6" s="15"/>
    </row>
    <row r="7" spans="1:9" x14ac:dyDescent="0.25">
      <c r="A7" s="11"/>
      <c r="B7" s="11" t="s">
        <v>10</v>
      </c>
      <c r="C7" s="12">
        <v>0</v>
      </c>
      <c r="D7" s="13">
        <v>7500.2252120000003</v>
      </c>
      <c r="E7" s="14">
        <f>E6+C7-D7</f>
        <v>122767.83451999999</v>
      </c>
      <c r="F7" s="11"/>
      <c r="G7" s="11" t="s">
        <v>10</v>
      </c>
      <c r="H7" s="15"/>
      <c r="I7" s="15"/>
    </row>
    <row r="8" spans="1:9" x14ac:dyDescent="0.25">
      <c r="A8" s="11"/>
      <c r="B8" s="11" t="s">
        <v>11</v>
      </c>
      <c r="C8" s="12">
        <v>0</v>
      </c>
      <c r="D8" s="13">
        <v>6586.8158169999997</v>
      </c>
      <c r="E8" s="14">
        <f>E7+C8-D8</f>
        <v>116181.01870299999</v>
      </c>
      <c r="F8" s="11"/>
      <c r="G8" s="11" t="s">
        <v>11</v>
      </c>
      <c r="H8" s="15"/>
      <c r="I8" s="15"/>
    </row>
    <row r="9" spans="1:9" x14ac:dyDescent="0.25">
      <c r="A9" s="11"/>
      <c r="B9" s="11" t="s">
        <v>12</v>
      </c>
      <c r="C9" s="12">
        <v>0</v>
      </c>
      <c r="D9" s="13">
        <v>19432.670596</v>
      </c>
      <c r="E9" s="14">
        <f>E8+C9-D9</f>
        <v>96748.348106999998</v>
      </c>
      <c r="F9" s="11"/>
      <c r="G9" s="11" t="s">
        <v>12</v>
      </c>
      <c r="H9" s="15"/>
      <c r="I9" s="15"/>
    </row>
    <row r="10" spans="1:9" x14ac:dyDescent="0.25">
      <c r="A10" s="11"/>
      <c r="B10" s="11" t="s">
        <v>13</v>
      </c>
      <c r="C10" s="12">
        <v>0</v>
      </c>
      <c r="D10" s="13">
        <v>12893.586482999999</v>
      </c>
      <c r="E10" s="14">
        <f>E9+C10-D10</f>
        <v>83854.761624000006</v>
      </c>
      <c r="F10" s="11"/>
      <c r="G10" s="11" t="s">
        <v>13</v>
      </c>
      <c r="H10" s="15"/>
      <c r="I10" s="15"/>
    </row>
    <row r="11" spans="1:9" x14ac:dyDescent="0.25">
      <c r="A11" s="11"/>
      <c r="B11" s="11" t="s">
        <v>14</v>
      </c>
      <c r="C11" s="12">
        <v>81989.38</v>
      </c>
      <c r="D11" s="13">
        <v>5405.4034080000001</v>
      </c>
      <c r="E11" s="14">
        <f>E10+C11-D11</f>
        <v>160438.738216</v>
      </c>
      <c r="F11" s="11"/>
      <c r="G11" s="11" t="s">
        <v>14</v>
      </c>
      <c r="H11" s="15"/>
      <c r="I11" s="15"/>
    </row>
    <row r="12" spans="1:9" x14ac:dyDescent="0.25">
      <c r="A12" s="11"/>
      <c r="B12" s="11" t="s">
        <v>15</v>
      </c>
      <c r="C12" s="12">
        <v>0</v>
      </c>
      <c r="D12" s="13">
        <v>9603.5990899999997</v>
      </c>
      <c r="E12" s="14">
        <f>E11+C12-D12</f>
        <v>150835.13912599999</v>
      </c>
      <c r="F12" s="11"/>
      <c r="G12" s="11" t="s">
        <v>15</v>
      </c>
      <c r="H12" s="15"/>
      <c r="I12" s="15"/>
    </row>
    <row r="13" spans="1:9" x14ac:dyDescent="0.25">
      <c r="A13" s="11"/>
      <c r="B13" s="11" t="s">
        <v>16</v>
      </c>
      <c r="C13" s="12">
        <v>0</v>
      </c>
      <c r="D13" s="13">
        <v>17144.009128000002</v>
      </c>
      <c r="E13" s="14">
        <f>E12+C13-D13</f>
        <v>133691.12999799999</v>
      </c>
      <c r="F13" s="11"/>
      <c r="G13" s="11" t="s">
        <v>16</v>
      </c>
      <c r="H13" s="15"/>
      <c r="I13" s="15"/>
    </row>
    <row r="14" spans="1:9" x14ac:dyDescent="0.25">
      <c r="A14" s="11"/>
      <c r="B14" s="11" t="s">
        <v>17</v>
      </c>
      <c r="C14" s="12">
        <v>0</v>
      </c>
      <c r="D14" s="13">
        <v>22237.884715</v>
      </c>
      <c r="E14" s="14">
        <f>E13+C14-D14</f>
        <v>111453.245283</v>
      </c>
      <c r="F14" s="11"/>
      <c r="G14" s="11" t="s">
        <v>17</v>
      </c>
      <c r="H14" s="15"/>
      <c r="I14" s="15"/>
    </row>
    <row r="15" spans="1:9" x14ac:dyDescent="0.25">
      <c r="A15" s="16"/>
      <c r="B15" s="16" t="s">
        <v>18</v>
      </c>
      <c r="C15" s="17">
        <v>0</v>
      </c>
      <c r="D15" s="18">
        <v>12602.346874999999</v>
      </c>
      <c r="E15" s="19">
        <f>E14+C15-D15</f>
        <v>98850.898407999994</v>
      </c>
      <c r="F15" s="16"/>
      <c r="G15" s="16" t="s">
        <v>18</v>
      </c>
      <c r="H15" s="20"/>
      <c r="I15" s="20"/>
    </row>
    <row r="16" spans="1:9" s="2" customFormat="1" x14ac:dyDescent="0.25">
      <c r="A16" s="21"/>
      <c r="B16" s="21" t="s">
        <v>19</v>
      </c>
      <c r="C16" s="22">
        <f>SUM(C4:C15)</f>
        <v>175294.57503000001</v>
      </c>
      <c r="D16" s="23">
        <f>SUM(D4:D15)</f>
        <v>149502.90416599999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14607.881252500001</v>
      </c>
      <c r="D17" s="23">
        <f>AVERAGE(D4:D15)</f>
        <v>12458.575347166667</v>
      </c>
      <c r="E17" s="24">
        <f>C17/D17-1</f>
        <v>0.17251618627663801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98850.898407999994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0</v>
      </c>
      <c r="D19" s="27">
        <v>7453.5273530000004</v>
      </c>
      <c r="E19" s="28">
        <f>E18+C19-D19</f>
        <v>91397.371054999996</v>
      </c>
      <c r="F19" s="25"/>
      <c r="G19" s="25" t="s">
        <v>7</v>
      </c>
      <c r="H19" s="29">
        <f>IF(C19="", "", IF(D19="", "",D19-D4))</f>
        <v>-4032.9758499999998</v>
      </c>
      <c r="I19" s="29">
        <f>IF(D19="", "", IF(E19="", "",E19-E4))</f>
        <v>29824.646714000002</v>
      </c>
    </row>
    <row r="20" spans="1:9" x14ac:dyDescent="0.25">
      <c r="A20" s="25"/>
      <c r="B20" s="25" t="s">
        <v>8</v>
      </c>
      <c r="C20" s="26">
        <v>0</v>
      </c>
      <c r="D20" s="27">
        <v>14308.020863</v>
      </c>
      <c r="E20" s="28">
        <f>E19+C20-D20</f>
        <v>77089.350191999998</v>
      </c>
      <c r="F20" s="25"/>
      <c r="G20" s="25" t="s">
        <v>8</v>
      </c>
      <c r="H20" s="29">
        <f>IF(C20="", "", IF(D20="", "",D20-D5))</f>
        <v>4782.0123439999988</v>
      </c>
      <c r="I20" s="29">
        <f>IF(D20="", "", IF(E20="", "",E20-E5))</f>
        <v>-68262.560660000003</v>
      </c>
    </row>
    <row r="21" spans="1:9" x14ac:dyDescent="0.25">
      <c r="A21" s="25"/>
      <c r="B21" s="25" t="s">
        <v>9</v>
      </c>
      <c r="C21" s="26">
        <v>0</v>
      </c>
      <c r="D21" s="27">
        <v>10673.278410999999</v>
      </c>
      <c r="E21" s="28">
        <f>E20+C21-D21</f>
        <v>66416.071781000006</v>
      </c>
      <c r="F21" s="25"/>
      <c r="G21" s="25" t="s">
        <v>9</v>
      </c>
      <c r="H21" s="29">
        <f>IF(C21="", "", IF(D21="", "",D21-D6))</f>
        <v>-4410.572709</v>
      </c>
      <c r="I21" s="29">
        <f>IF(D21="", "", IF(E21="", "",E21-E6))</f>
        <v>-63851.987950999988</v>
      </c>
    </row>
    <row r="22" spans="1:9" x14ac:dyDescent="0.25">
      <c r="A22" s="25"/>
      <c r="B22" s="25" t="s">
        <v>10</v>
      </c>
      <c r="C22" s="26">
        <v>0</v>
      </c>
      <c r="D22" s="27">
        <v>5325.1764309999999</v>
      </c>
      <c r="E22" s="28">
        <f>E21+C22-D22</f>
        <v>61090.895350000006</v>
      </c>
      <c r="F22" s="25"/>
      <c r="G22" s="25" t="s">
        <v>10</v>
      </c>
      <c r="H22" s="29">
        <f>IF(C22="", "", IF(D22="", "",D22-D7))</f>
        <v>-2175.0487810000004</v>
      </c>
      <c r="I22" s="29">
        <f>IF(D22="", "", IF(E22="", "",E22-E7))</f>
        <v>-61676.939169999983</v>
      </c>
    </row>
    <row r="23" spans="1:9" x14ac:dyDescent="0.25">
      <c r="A23" s="25"/>
      <c r="B23" s="25" t="s">
        <v>11</v>
      </c>
      <c r="C23" s="26">
        <v>0</v>
      </c>
      <c r="D23" s="27">
        <v>13029.939666</v>
      </c>
      <c r="E23" s="28">
        <f>E22+C23-D23</f>
        <v>48060.955684000008</v>
      </c>
      <c r="F23" s="25"/>
      <c r="G23" s="25" t="s">
        <v>11</v>
      </c>
      <c r="H23" s="29">
        <f>IF(C23="", "", IF(D23="", "",D23-D8))</f>
        <v>6443.1238490000005</v>
      </c>
      <c r="I23" s="29">
        <f>IF(D23="", "", IF(E23="", "",E23-E8))</f>
        <v>-68120.063018999994</v>
      </c>
    </row>
    <row r="24" spans="1:9" x14ac:dyDescent="0.25">
      <c r="A24" s="25"/>
      <c r="B24" s="25" t="s">
        <v>12</v>
      </c>
      <c r="C24" s="26">
        <v>0</v>
      </c>
      <c r="D24" s="27">
        <v>7419.2500849999997</v>
      </c>
      <c r="E24" s="28">
        <f>E23+C24-D24</f>
        <v>40641.705599000008</v>
      </c>
      <c r="F24" s="25"/>
      <c r="G24" s="25" t="s">
        <v>12</v>
      </c>
      <c r="H24" s="29">
        <f>IF(C24="", "", IF(D24="", "",D24-D9))</f>
        <v>-12013.420511</v>
      </c>
      <c r="I24" s="29">
        <f>IF(D24="", "", IF(E24="", "",E24-E9))</f>
        <v>-56106.64250799999</v>
      </c>
    </row>
    <row r="25" spans="1:9" x14ac:dyDescent="0.25">
      <c r="A25" s="25"/>
      <c r="B25" s="25" t="s">
        <v>13</v>
      </c>
      <c r="C25" s="26">
        <v>0</v>
      </c>
      <c r="D25" s="27">
        <v>2324.5602840000001</v>
      </c>
      <c r="E25" s="28">
        <f>E24+C25-D25</f>
        <v>38317.145315000009</v>
      </c>
      <c r="F25" s="25"/>
      <c r="G25" s="25" t="s">
        <v>13</v>
      </c>
      <c r="H25" s="29">
        <f>IF(C25="", "", IF(D25="", "",D25-D10))</f>
        <v>-10569.026199</v>
      </c>
      <c r="I25" s="29">
        <f>IF(D25="", "", IF(E25="", "",E25-E10))</f>
        <v>-45537.616308999997</v>
      </c>
    </row>
    <row r="26" spans="1:9" x14ac:dyDescent="0.25">
      <c r="A26" s="25"/>
      <c r="B26" s="25" t="s">
        <v>14</v>
      </c>
      <c r="C26" s="26">
        <v>77496.479999999996</v>
      </c>
      <c r="D26" s="27">
        <v>3508.1570040000001</v>
      </c>
      <c r="E26" s="28">
        <f>E25+C26-D26</f>
        <v>112305.46831100002</v>
      </c>
      <c r="F26" s="25"/>
      <c r="G26" s="25" t="s">
        <v>14</v>
      </c>
      <c r="H26" s="29">
        <f>IF(C26="", "", IF(D26="", "",D26-D11))</f>
        <v>-1897.246404</v>
      </c>
      <c r="I26" s="29">
        <f>IF(D26="", "", IF(E26="", "",E26-E11))</f>
        <v>-48133.269904999979</v>
      </c>
    </row>
    <row r="27" spans="1:9" x14ac:dyDescent="0.25">
      <c r="A27" s="25"/>
      <c r="B27" s="25" t="s">
        <v>15</v>
      </c>
      <c r="C27" s="26">
        <v>0</v>
      </c>
      <c r="D27" s="27">
        <v>15721.43721</v>
      </c>
      <c r="E27" s="28">
        <f>E26+C27-D27</f>
        <v>96584.031101000015</v>
      </c>
      <c r="F27" s="25"/>
      <c r="G27" s="25" t="s">
        <v>15</v>
      </c>
      <c r="H27" s="29">
        <f>IF(C27="", "", IF(D27="", "",D27-D12))</f>
        <v>6117.8381200000003</v>
      </c>
      <c r="I27" s="29">
        <f>IF(D27="", "", IF(E27="", "",E27-E12))</f>
        <v>-54251.10802499998</v>
      </c>
    </row>
    <row r="28" spans="1:9" x14ac:dyDescent="0.25">
      <c r="A28" s="25"/>
      <c r="B28" s="25" t="s">
        <v>16</v>
      </c>
      <c r="C28" s="26">
        <v>0</v>
      </c>
      <c r="D28" s="27">
        <v>11117.955791</v>
      </c>
      <c r="E28" s="28">
        <f>E27+C28-D28</f>
        <v>85466.075310000015</v>
      </c>
      <c r="F28" s="25"/>
      <c r="G28" s="25" t="s">
        <v>16</v>
      </c>
      <c r="H28" s="29">
        <f>IF(C28="", "", IF(D28="", "",D28-D13))</f>
        <v>-6026.0533370000012</v>
      </c>
      <c r="I28" s="29">
        <f>IF(D28="", "", IF(E28="", "",E28-E13))</f>
        <v>-48225.054687999975</v>
      </c>
    </row>
    <row r="29" spans="1:9" x14ac:dyDescent="0.25">
      <c r="A29" s="25"/>
      <c r="B29" s="25" t="s">
        <v>17</v>
      </c>
      <c r="C29" s="26">
        <v>0</v>
      </c>
      <c r="D29" s="27">
        <v>11607.568171000001</v>
      </c>
      <c r="E29" s="28">
        <f>E28+C29-D29</f>
        <v>73858.507139000008</v>
      </c>
      <c r="F29" s="25"/>
      <c r="G29" s="25" t="s">
        <v>17</v>
      </c>
      <c r="H29" s="29">
        <f>IF(C29="", "", IF(D29="", "",D29-D14))</f>
        <v>-10630.316543999999</v>
      </c>
      <c r="I29" s="29">
        <f>IF(D29="", "", IF(E29="", "",E29-E14))</f>
        <v>-37594.738143999988</v>
      </c>
    </row>
    <row r="30" spans="1:9" x14ac:dyDescent="0.25">
      <c r="A30" s="30"/>
      <c r="B30" s="30" t="s">
        <v>18</v>
      </c>
      <c r="C30" s="31">
        <v>0</v>
      </c>
      <c r="D30" s="32">
        <v>9525.3278780000001</v>
      </c>
      <c r="E30" s="33">
        <f>E29+C30-D30</f>
        <v>64333.179261000012</v>
      </c>
      <c r="F30" s="30"/>
      <c r="G30" s="30" t="s">
        <v>18</v>
      </c>
      <c r="H30" s="34">
        <f>IF(C30="", "", IF(D30="", "",D30-D15))</f>
        <v>-3077.0189969999992</v>
      </c>
      <c r="I30" s="34">
        <f>IF(D30="", "", IF(E30="", "",E30-E15))</f>
        <v>-34517.719146999982</v>
      </c>
    </row>
    <row r="31" spans="1:9" s="2" customFormat="1" x14ac:dyDescent="0.25">
      <c r="A31" s="35"/>
      <c r="B31" s="35" t="s">
        <v>19</v>
      </c>
      <c r="C31" s="36">
        <f>SUM(C19:C30)</f>
        <v>77496.479999999996</v>
      </c>
      <c r="D31" s="37">
        <f>SUM(D19:D30)</f>
        <v>112014.19914700001</v>
      </c>
      <c r="E31" s="28"/>
      <c r="F31" s="35"/>
      <c r="G31" s="35"/>
      <c r="H31" s="28">
        <f>SUMIF(C19:C30,"&gt;=0",H19:H30)</f>
        <v>-37488.705019000001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6458.04</v>
      </c>
      <c r="D32" s="37">
        <f>AVERAGE(D19:D30)</f>
        <v>9334.5165955833345</v>
      </c>
      <c r="E32" s="38">
        <f>C32/D32-1</f>
        <v>-0.3081548536690536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64333.179261000012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85338.5</v>
      </c>
      <c r="D34" s="13">
        <v>6358.7714290000004</v>
      </c>
      <c r="E34" s="14">
        <f>E33+C34-D34</f>
        <v>143312.907832</v>
      </c>
      <c r="F34" s="11"/>
      <c r="G34" s="11" t="s">
        <v>7</v>
      </c>
      <c r="H34" s="15">
        <f>IF(C34="", "", IF(D34="", "",D34-D19))</f>
        <v>-1094.7559240000001</v>
      </c>
      <c r="I34" s="15">
        <f>IF(D34="", "", IF(E34="", "",E34-E19))</f>
        <v>51915.536777000001</v>
      </c>
    </row>
    <row r="35" spans="1:9" x14ac:dyDescent="0.25">
      <c r="A35" s="11"/>
      <c r="B35" s="11" t="s">
        <v>8</v>
      </c>
      <c r="C35" s="12">
        <v>0</v>
      </c>
      <c r="D35" s="13">
        <v>13528.429812</v>
      </c>
      <c r="E35" s="14">
        <f>E34+C35-D35</f>
        <v>129784.47802</v>
      </c>
      <c r="F35" s="11"/>
      <c r="G35" s="11" t="s">
        <v>8</v>
      </c>
      <c r="H35" s="15">
        <f>IF(C35="", "", IF(D35="", "",D35-D20))</f>
        <v>-779.59105099999942</v>
      </c>
      <c r="I35" s="15">
        <f>IF(D35="", "", IF(E35="", "",E35-E20))</f>
        <v>52695.127827999997</v>
      </c>
    </row>
    <row r="36" spans="1:9" x14ac:dyDescent="0.25">
      <c r="A36" s="11"/>
      <c r="B36" s="11" t="s">
        <v>9</v>
      </c>
      <c r="C36" s="12">
        <v>0</v>
      </c>
      <c r="D36" s="13">
        <v>19425.31565</v>
      </c>
      <c r="E36" s="14">
        <f>E35+C36-D36</f>
        <v>110359.16236999999</v>
      </c>
      <c r="F36" s="11"/>
      <c r="G36" s="11" t="s">
        <v>9</v>
      </c>
      <c r="H36" s="15">
        <f>IF(C36="", "", IF(D36="", "",D36-D21))</f>
        <v>8752.0372390000011</v>
      </c>
      <c r="I36" s="15">
        <f>IF(D36="", "", IF(E36="", "",E36-E21))</f>
        <v>43943.090588999985</v>
      </c>
    </row>
    <row r="37" spans="1:9" x14ac:dyDescent="0.25">
      <c r="A37" s="11"/>
      <c r="B37" s="11" t="s">
        <v>10</v>
      </c>
      <c r="C37" s="12">
        <v>0</v>
      </c>
      <c r="D37" s="13">
        <v>14680.305254000001</v>
      </c>
      <c r="E37" s="14">
        <f>E36+C37-D37</f>
        <v>95678.857115999985</v>
      </c>
      <c r="F37" s="11"/>
      <c r="G37" s="11" t="s">
        <v>10</v>
      </c>
      <c r="H37" s="15">
        <f>IF(C37="", "", IF(D37="", "",D37-D22))</f>
        <v>9355.1288230000009</v>
      </c>
      <c r="I37" s="15">
        <f>IF(D37="", "", IF(E37="", "",E37-E22))</f>
        <v>34587.961765999979</v>
      </c>
    </row>
    <row r="38" spans="1:9" x14ac:dyDescent="0.25">
      <c r="A38" s="11"/>
      <c r="B38" s="11" t="s">
        <v>11</v>
      </c>
      <c r="C38" s="12">
        <v>0</v>
      </c>
      <c r="D38" s="13">
        <v>11751.371069000001</v>
      </c>
      <c r="E38" s="14">
        <f>E37+C38-D38</f>
        <v>83927.486046999984</v>
      </c>
      <c r="F38" s="11"/>
      <c r="G38" s="11" t="s">
        <v>11</v>
      </c>
      <c r="H38" s="15">
        <f>IF(C38="", "", IF(D38="", "",D38-D23))</f>
        <v>-1278.5685969999995</v>
      </c>
      <c r="I38" s="15">
        <f>IF(D38="", "", IF(E38="", "",E38-E23))</f>
        <v>35866.530362999976</v>
      </c>
    </row>
    <row r="39" spans="1:9" x14ac:dyDescent="0.25">
      <c r="A39" s="11"/>
      <c r="B39" s="11" t="s">
        <v>12</v>
      </c>
      <c r="C39" s="12">
        <v>0</v>
      </c>
      <c r="D39" s="13">
        <v>11769.288183000001</v>
      </c>
      <c r="E39" s="14">
        <f>E38+C39-D39</f>
        <v>72158.197863999987</v>
      </c>
      <c r="F39" s="11"/>
      <c r="G39" s="11" t="s">
        <v>12</v>
      </c>
      <c r="H39" s="15">
        <f>IF(C39="", "", IF(D39="", "",D39-D24))</f>
        <v>4350.0380980000009</v>
      </c>
      <c r="I39" s="15">
        <f>IF(D39="", "", IF(E39="", "",E39-E24))</f>
        <v>31516.492264999979</v>
      </c>
    </row>
    <row r="40" spans="1:9" x14ac:dyDescent="0.25">
      <c r="A40" s="11"/>
      <c r="B40" s="11" t="s">
        <v>13</v>
      </c>
      <c r="C40" s="12">
        <v>128194.76</v>
      </c>
      <c r="D40" s="13">
        <v>16253.543011</v>
      </c>
      <c r="E40" s="14">
        <f>E39+C40-D40</f>
        <v>184099.41485299999</v>
      </c>
      <c r="F40" s="11"/>
      <c r="G40" s="11" t="s">
        <v>13</v>
      </c>
      <c r="H40" s="15">
        <f>IF(C40="", "", IF(D40="", "",D40-D25))</f>
        <v>13928.982726999999</v>
      </c>
      <c r="I40" s="15">
        <f>IF(D40="", "", IF(E40="", "",E40-E25))</f>
        <v>145782.26953799999</v>
      </c>
    </row>
    <row r="41" spans="1:9" x14ac:dyDescent="0.25">
      <c r="A41" s="11"/>
      <c r="B41" s="11" t="s">
        <v>14</v>
      </c>
      <c r="C41" s="12">
        <v>0</v>
      </c>
      <c r="D41" s="13">
        <v>53506.978858000002</v>
      </c>
      <c r="E41" s="14">
        <f>E40+C41-D41</f>
        <v>130592.43599499999</v>
      </c>
      <c r="F41" s="11"/>
      <c r="G41" s="11" t="s">
        <v>14</v>
      </c>
      <c r="H41" s="15">
        <f>IF(C41="", "", IF(D41="", "",D41-D26))</f>
        <v>49998.821854000002</v>
      </c>
      <c r="I41" s="15">
        <f>IF(D41="", "", IF(E41="", "",E41-E26))</f>
        <v>18286.967683999974</v>
      </c>
    </row>
    <row r="42" spans="1:9" x14ac:dyDescent="0.25">
      <c r="A42" s="11"/>
      <c r="B42" s="11" t="s">
        <v>15</v>
      </c>
      <c r="C42" s="12">
        <v>0</v>
      </c>
      <c r="D42" s="13">
        <v>6554.523126</v>
      </c>
      <c r="E42" s="14">
        <f>E41+C42-D42</f>
        <v>124037.91286899999</v>
      </c>
      <c r="F42" s="11"/>
      <c r="G42" s="11" t="s">
        <v>15</v>
      </c>
      <c r="H42" s="15">
        <f>IF(C42="", "", IF(D42="", "",D42-D27))</f>
        <v>-9166.914084</v>
      </c>
      <c r="I42" s="15">
        <f>IF(D42="", "", IF(E42="", "",E42-E27))</f>
        <v>27453.881767999977</v>
      </c>
    </row>
    <row r="43" spans="1:9" x14ac:dyDescent="0.25">
      <c r="A43" s="11"/>
      <c r="B43" s="11" t="s">
        <v>16</v>
      </c>
      <c r="C43" s="12">
        <v>128194.76</v>
      </c>
      <c r="D43" s="13">
        <v>127321.88944100001</v>
      </c>
      <c r="E43" s="14">
        <f>E42+C43-D43</f>
        <v>124910.783428</v>
      </c>
      <c r="F43" s="11"/>
      <c r="G43" s="11" t="s">
        <v>16</v>
      </c>
      <c r="H43" s="15">
        <f>IF(C43="", "", IF(D43="", "",D43-D28))</f>
        <v>116203.93365000001</v>
      </c>
      <c r="I43" s="15">
        <f>IF(D43="", "", IF(E43="", "",E43-E28))</f>
        <v>39444.70811799998</v>
      </c>
    </row>
    <row r="44" spans="1:9" x14ac:dyDescent="0.25">
      <c r="A44" s="11"/>
      <c r="B44" s="11" t="s">
        <v>17</v>
      </c>
      <c r="C44" s="12">
        <v>0</v>
      </c>
      <c r="D44" s="13">
        <v>13788.258895999999</v>
      </c>
      <c r="E44" s="14">
        <f>E43+C44-D44</f>
        <v>111122.524532</v>
      </c>
      <c r="F44" s="11"/>
      <c r="G44" s="11" t="s">
        <v>17</v>
      </c>
      <c r="H44" s="15">
        <f>IF(C44="", "", IF(D44="", "",D44-D29))</f>
        <v>2180.6907249999986</v>
      </c>
      <c r="I44" s="15">
        <f>IF(D44="", "", IF(E44="", "",E44-E29))</f>
        <v>37264.017392999987</v>
      </c>
    </row>
    <row r="45" spans="1:9" x14ac:dyDescent="0.25">
      <c r="A45" s="16"/>
      <c r="B45" s="16" t="s">
        <v>18</v>
      </c>
      <c r="C45" s="17">
        <v>0</v>
      </c>
      <c r="D45" s="18">
        <v>19296.707459000001</v>
      </c>
      <c r="E45" s="19">
        <f>E44+C45-D45</f>
        <v>91825.817072999998</v>
      </c>
      <c r="F45" s="16"/>
      <c r="G45" s="16" t="s">
        <v>18</v>
      </c>
      <c r="H45" s="20">
        <f>IF(C45="", "", IF(D45="", "",D45-D30))</f>
        <v>9771.3795810000011</v>
      </c>
      <c r="I45" s="20">
        <f>IF(D45="", "", IF(E45="", "",E45-E30))</f>
        <v>27492.637811999986</v>
      </c>
    </row>
    <row r="46" spans="1:9" s="2" customFormat="1" x14ac:dyDescent="0.25">
      <c r="A46" s="21"/>
      <c r="B46" s="21" t="s">
        <v>19</v>
      </c>
      <c r="C46" s="22">
        <f>SUM(C34:C45)</f>
        <v>341728.02</v>
      </c>
      <c r="D46" s="23">
        <f>SUM(D34:D45)</f>
        <v>314235.38218800002</v>
      </c>
      <c r="E46" s="14"/>
      <c r="F46" s="21"/>
      <c r="G46" s="21"/>
      <c r="H46" s="14">
        <f>SUMIF(C34:C45,"&gt;=0",H34:H45)</f>
        <v>202221.18304099998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28477.335000000003</v>
      </c>
      <c r="D47" s="23">
        <f>AVERAGE(D34:D45)</f>
        <v>26186.281849000003</v>
      </c>
      <c r="E47" s="24">
        <f>C47/D47-1</f>
        <v>8.7490586262344516E-2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91825.817072999998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0</v>
      </c>
      <c r="D49" s="27">
        <v>9884.3038770000003</v>
      </c>
      <c r="E49" s="28">
        <f>E48+C49-D49</f>
        <v>81941.513196</v>
      </c>
      <c r="F49" s="25"/>
      <c r="G49" s="25" t="s">
        <v>7</v>
      </c>
      <c r="H49" s="29">
        <f>IF(C49="", "", IF(D49="", "",D49-D34))</f>
        <v>3525.5324479999999</v>
      </c>
      <c r="I49" s="29">
        <f>IF(D49="", "", IF(E49="", "",E49-E34))</f>
        <v>-61371.394635999997</v>
      </c>
    </row>
    <row r="50" spans="1:9" x14ac:dyDescent="0.25">
      <c r="A50" s="25"/>
      <c r="B50" s="25" t="s">
        <v>8</v>
      </c>
      <c r="C50" s="26">
        <v>0</v>
      </c>
      <c r="D50" s="27">
        <v>12230.417149000001</v>
      </c>
      <c r="E50" s="28">
        <f>E49+C50-D50</f>
        <v>69711.096046999999</v>
      </c>
      <c r="F50" s="25"/>
      <c r="G50" s="25" t="s">
        <v>8</v>
      </c>
      <c r="H50" s="29">
        <f>IF(C50="", "", IF(D50="", "",D50-D35))</f>
        <v>-1298.0126629999995</v>
      </c>
      <c r="I50" s="29">
        <f>IF(D50="", "", IF(E50="", "",E50-E35))</f>
        <v>-60073.381972999996</v>
      </c>
    </row>
    <row r="51" spans="1:9" x14ac:dyDescent="0.25">
      <c r="A51" s="25"/>
      <c r="B51" s="25" t="s">
        <v>9</v>
      </c>
      <c r="C51" s="26">
        <v>0</v>
      </c>
      <c r="D51" s="27">
        <v>19162.597373000001</v>
      </c>
      <c r="E51" s="28">
        <f>E50+C51-D51</f>
        <v>50548.498674000002</v>
      </c>
      <c r="F51" s="25"/>
      <c r="G51" s="25" t="s">
        <v>9</v>
      </c>
      <c r="H51" s="29">
        <f>IF(C51="", "", IF(D51="", "",D51-D36))</f>
        <v>-262.71827699999994</v>
      </c>
      <c r="I51" s="29">
        <f>IF(D51="", "", IF(E51="", "",E51-E36))</f>
        <v>-59810.663695999989</v>
      </c>
    </row>
    <row r="52" spans="1:9" x14ac:dyDescent="0.25">
      <c r="A52" s="25"/>
      <c r="B52" s="25" t="s">
        <v>10</v>
      </c>
      <c r="C52" s="26">
        <v>331.17</v>
      </c>
      <c r="D52" s="27">
        <v>11132.785142999999</v>
      </c>
      <c r="E52" s="28">
        <f>E51+C52-D52</f>
        <v>39746.883530999999</v>
      </c>
      <c r="F52" s="25"/>
      <c r="G52" s="25" t="s">
        <v>10</v>
      </c>
      <c r="H52" s="29">
        <f>IF(C52="", "", IF(D52="", "",D52-D37))</f>
        <v>-3547.5201110000016</v>
      </c>
      <c r="I52" s="29">
        <f>IF(D52="", "", IF(E52="", "",E52-E37))</f>
        <v>-55931.973584999985</v>
      </c>
    </row>
    <row r="53" spans="1:9" x14ac:dyDescent="0.25">
      <c r="A53" s="25"/>
      <c r="B53" s="25" t="s">
        <v>11</v>
      </c>
      <c r="C53" s="26">
        <v>0</v>
      </c>
      <c r="D53" s="27">
        <v>9741.2652720000006</v>
      </c>
      <c r="E53" s="28">
        <f>E52+C53-D53</f>
        <v>30005.618258999999</v>
      </c>
      <c r="F53" s="25"/>
      <c r="G53" s="25" t="s">
        <v>11</v>
      </c>
      <c r="H53" s="29">
        <f>IF(C53="", "", IF(D53="", "",D53-D38))</f>
        <v>-2010.1057970000002</v>
      </c>
      <c r="I53" s="29">
        <f>IF(D53="", "", IF(E53="", "",E53-E38))</f>
        <v>-53921.867787999989</v>
      </c>
    </row>
    <row r="54" spans="1:9" x14ac:dyDescent="0.25">
      <c r="A54" s="25"/>
      <c r="B54" s="25" t="s">
        <v>12</v>
      </c>
      <c r="C54" s="26">
        <v>0</v>
      </c>
      <c r="D54" s="27">
        <v>4447.4182000000001</v>
      </c>
      <c r="E54" s="28">
        <f>E53+C54-D54</f>
        <v>25558.200058999999</v>
      </c>
      <c r="F54" s="25"/>
      <c r="G54" s="25" t="s">
        <v>12</v>
      </c>
      <c r="H54" s="29">
        <f>IF(C54="", "", IF(D54="", "",D54-D39))</f>
        <v>-7321.8699830000005</v>
      </c>
      <c r="I54" s="29">
        <f>IF(D54="", "", IF(E54="", "",E54-E39))</f>
        <v>-46599.997804999992</v>
      </c>
    </row>
    <row r="55" spans="1:9" x14ac:dyDescent="0.25">
      <c r="A55" s="25"/>
      <c r="B55" s="25" t="s">
        <v>13</v>
      </c>
      <c r="C55" s="26">
        <v>0</v>
      </c>
      <c r="D55" s="27">
        <v>3338.663634</v>
      </c>
      <c r="E55" s="28">
        <f>E54+C55-D55</f>
        <v>22219.536424999998</v>
      </c>
      <c r="F55" s="25"/>
      <c r="G55" s="25" t="s">
        <v>13</v>
      </c>
      <c r="H55" s="29">
        <f>IF(C55="", "", IF(D55="", "",D55-D40))</f>
        <v>-12914.879376999999</v>
      </c>
      <c r="I55" s="29">
        <f>IF(D55="", "", IF(E55="", "",E55-E40))</f>
        <v>-161879.878428</v>
      </c>
    </row>
    <row r="56" spans="1:9" x14ac:dyDescent="0.25">
      <c r="A56" s="25"/>
      <c r="B56" s="25" t="s">
        <v>14</v>
      </c>
      <c r="C56" s="26">
        <v>0</v>
      </c>
      <c r="D56" s="27">
        <v>4579.7825999999995</v>
      </c>
      <c r="E56" s="28">
        <f>E55+C56-D56</f>
        <v>17639.753825</v>
      </c>
      <c r="F56" s="25"/>
      <c r="G56" s="25" t="s">
        <v>14</v>
      </c>
      <c r="H56" s="29">
        <f>IF(C56="", "", IF(D56="", "",D56-D41))</f>
        <v>-48927.196258000004</v>
      </c>
      <c r="I56" s="29">
        <f>IF(D56="", "", IF(E56="", "",E56-E41))</f>
        <v>-112952.68216999999</v>
      </c>
    </row>
    <row r="57" spans="1:9" x14ac:dyDescent="0.25">
      <c r="A57" s="25"/>
      <c r="B57" s="25" t="s">
        <v>15</v>
      </c>
      <c r="C57" s="26">
        <v>0</v>
      </c>
      <c r="D57" s="27">
        <v>2112.914362</v>
      </c>
      <c r="E57" s="28">
        <f>E56+C57-D57</f>
        <v>15526.839463</v>
      </c>
      <c r="F57" s="25"/>
      <c r="G57" s="25" t="s">
        <v>15</v>
      </c>
      <c r="H57" s="29">
        <f>IF(C57="", "", IF(D57="", "",D57-D42))</f>
        <v>-4441.6087640000005</v>
      </c>
      <c r="I57" s="29">
        <f>IF(D57="", "", IF(E57="", "",E57-E42))</f>
        <v>-108511.073406</v>
      </c>
    </row>
    <row r="58" spans="1:9" x14ac:dyDescent="0.25">
      <c r="A58" s="25"/>
      <c r="B58" s="25" t="s">
        <v>16</v>
      </c>
      <c r="C58" s="26">
        <v>0</v>
      </c>
      <c r="D58" s="27">
        <v>972.21663999999998</v>
      </c>
      <c r="E58" s="28">
        <f>E57+C58-D58</f>
        <v>14554.622823</v>
      </c>
      <c r="F58" s="25"/>
      <c r="G58" s="25" t="s">
        <v>16</v>
      </c>
      <c r="H58" s="29">
        <f>IF(C58="", "", IF(D58="", "",D58-D43))</f>
        <v>-126349.67280100001</v>
      </c>
      <c r="I58" s="29">
        <f>IF(D58="", "", IF(E58="", "",E58-E43))</f>
        <v>-110356.160605</v>
      </c>
    </row>
    <row r="59" spans="1:9" x14ac:dyDescent="0.25">
      <c r="A59" s="25"/>
      <c r="B59" s="25" t="s">
        <v>17</v>
      </c>
      <c r="C59" s="26">
        <v>0</v>
      </c>
      <c r="D59" s="27">
        <v>3033.3773890000002</v>
      </c>
      <c r="E59" s="28">
        <f>E58+C59-D59</f>
        <v>11521.245434</v>
      </c>
      <c r="F59" s="25"/>
      <c r="G59" s="25" t="s">
        <v>17</v>
      </c>
      <c r="H59" s="29">
        <f>IF(C59="", "", IF(D59="", "",D59-D44))</f>
        <v>-10754.881506999998</v>
      </c>
      <c r="I59" s="29">
        <f>IF(D59="", "", IF(E59="", "",E59-E44))</f>
        <v>-99601.279097999999</v>
      </c>
    </row>
    <row r="60" spans="1:9" x14ac:dyDescent="0.25">
      <c r="A60" s="30"/>
      <c r="B60" s="30" t="s">
        <v>18</v>
      </c>
      <c r="C60" s="31">
        <v>0</v>
      </c>
      <c r="D60" s="32">
        <v>705.274</v>
      </c>
      <c r="E60" s="33">
        <f>E59+C60-D60</f>
        <v>10815.971434000001</v>
      </c>
      <c r="F60" s="30"/>
      <c r="G60" s="30" t="s">
        <v>18</v>
      </c>
      <c r="H60" s="34">
        <f>IF(C60="", "", IF(D60="", "",D60-D45))</f>
        <v>-18591.433459</v>
      </c>
      <c r="I60" s="34">
        <f>IF(D60="", "", IF(E60="", "",E60-E45))</f>
        <v>-81009.845638999992</v>
      </c>
    </row>
    <row r="61" spans="1:9" s="2" customFormat="1" x14ac:dyDescent="0.25">
      <c r="A61" s="35"/>
      <c r="B61" s="35" t="s">
        <v>19</v>
      </c>
      <c r="C61" s="36">
        <f>SUM(C49:C60)</f>
        <v>331.17</v>
      </c>
      <c r="D61" s="37">
        <f>SUM(D49:D60)</f>
        <v>81341.015639000005</v>
      </c>
      <c r="E61" s="28"/>
      <c r="F61" s="35"/>
      <c r="G61" s="35"/>
      <c r="H61" s="28">
        <f>SUMIF(C49:C60,"&gt;=0",H49:H60)</f>
        <v>-232894.366549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27.5975</v>
      </c>
      <c r="D62" s="37">
        <f>AVERAGE(D49:D60)</f>
        <v>6778.4179699166671</v>
      </c>
      <c r="E62" s="38">
        <f>C62/D62-1</f>
        <v>-0.99592862226518331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10815.971434000001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0</v>
      </c>
      <c r="D64" s="13">
        <v>0</v>
      </c>
      <c r="E64" s="14">
        <f>E63+C64-D64</f>
        <v>10815.971434000001</v>
      </c>
      <c r="F64" s="11"/>
      <c r="G64" s="11" t="s">
        <v>7</v>
      </c>
      <c r="H64" s="15">
        <f>IF(C64="", "", IF(D64="", "",D64-D49))</f>
        <v>-9884.3038770000003</v>
      </c>
      <c r="I64" s="15">
        <f>IF(D64="", "", IF(E64="", "",E64-E49))</f>
        <v>-71125.541761999993</v>
      </c>
    </row>
    <row r="65" spans="1:9" x14ac:dyDescent="0.25">
      <c r="A65" s="11"/>
      <c r="B65" s="11" t="s">
        <v>8</v>
      </c>
      <c r="C65" s="12">
        <v>0</v>
      </c>
      <c r="D65" s="13">
        <v>697.798633</v>
      </c>
      <c r="E65" s="14">
        <f>E64+C65-D65</f>
        <v>10118.172801000001</v>
      </c>
      <c r="F65" s="11"/>
      <c r="G65" s="11" t="s">
        <v>8</v>
      </c>
      <c r="H65" s="15">
        <f>IF(C65="", "", IF(D65="", "",D65-D50))</f>
        <v>-11532.618516</v>
      </c>
      <c r="I65" s="15">
        <f>IF(D65="", "", IF(E65="", "",E65-E50))</f>
        <v>-59592.923245999998</v>
      </c>
    </row>
    <row r="66" spans="1:9" x14ac:dyDescent="0.25">
      <c r="A66" s="11"/>
      <c r="B66" s="11" t="s">
        <v>9</v>
      </c>
      <c r="C66" s="12">
        <v>0</v>
      </c>
      <c r="D66" s="13">
        <v>1741.936747</v>
      </c>
      <c r="E66" s="14">
        <f>E65+C66-D66</f>
        <v>8376.2360540000009</v>
      </c>
      <c r="F66" s="11"/>
      <c r="G66" s="11" t="s">
        <v>9</v>
      </c>
      <c r="H66" s="15">
        <f>IF(C66="", "", IF(D66="", "",D66-D51))</f>
        <v>-17420.660626000001</v>
      </c>
      <c r="I66" s="15">
        <f>IF(D66="", "", IF(E66="", "",E66-E51))</f>
        <v>-42172.262620000001</v>
      </c>
    </row>
    <row r="67" spans="1:9" x14ac:dyDescent="0.25">
      <c r="A67" s="11"/>
      <c r="B67" s="11" t="s">
        <v>10</v>
      </c>
      <c r="C67" s="12">
        <v>0</v>
      </c>
      <c r="D67" s="13">
        <v>944.95948799999996</v>
      </c>
      <c r="E67" s="14">
        <f>E66+C67-D67</f>
        <v>7431.2765660000005</v>
      </c>
      <c r="F67" s="11"/>
      <c r="G67" s="11" t="s">
        <v>10</v>
      </c>
      <c r="H67" s="15">
        <f>IF(C67="", "", IF(D67="", "",D67-D52))</f>
        <v>-10187.825654999999</v>
      </c>
      <c r="I67" s="15">
        <f>IF(D67="", "", IF(E67="", "",E67-E52))</f>
        <v>-32315.606964999999</v>
      </c>
    </row>
    <row r="68" spans="1:9" x14ac:dyDescent="0.25">
      <c r="A68" s="11"/>
      <c r="B68" s="11" t="s">
        <v>11</v>
      </c>
      <c r="C68" s="12">
        <v>0</v>
      </c>
      <c r="D68" s="13">
        <v>70.041759999999996</v>
      </c>
      <c r="E68" s="14">
        <f>E67+C68-D68</f>
        <v>7361.2348060000004</v>
      </c>
      <c r="F68" s="11"/>
      <c r="G68" s="11" t="s">
        <v>11</v>
      </c>
      <c r="H68" s="15">
        <f>IF(C68="", "", IF(D68="", "",D68-D53))</f>
        <v>-9671.2235120000005</v>
      </c>
      <c r="I68" s="15">
        <f>IF(D68="", "", IF(E68="", "",E68-E53))</f>
        <v>-22644.383452999999</v>
      </c>
    </row>
    <row r="69" spans="1:9" x14ac:dyDescent="0.25">
      <c r="A69" s="11"/>
      <c r="B69" s="11" t="s">
        <v>12</v>
      </c>
      <c r="C69" s="12">
        <v>0</v>
      </c>
      <c r="D69" s="13">
        <v>138.479499</v>
      </c>
      <c r="E69" s="14">
        <f>E68+C69-D69</f>
        <v>7222.7553070000004</v>
      </c>
      <c r="F69" s="11"/>
      <c r="G69" s="11" t="s">
        <v>12</v>
      </c>
      <c r="H69" s="15">
        <f>IF(C69="", "", IF(D69="", "",D69-D54))</f>
        <v>-4308.938701</v>
      </c>
      <c r="I69" s="15">
        <f>IF(D69="", "", IF(E69="", "",E69-E54))</f>
        <v>-18335.444751999999</v>
      </c>
    </row>
    <row r="70" spans="1:9" x14ac:dyDescent="0.25">
      <c r="A70" s="11"/>
      <c r="B70" s="11" t="s">
        <v>13</v>
      </c>
      <c r="C70" s="12">
        <v>0</v>
      </c>
      <c r="D70" s="13">
        <v>256.65675800000002</v>
      </c>
      <c r="E70" s="14">
        <f>E69+C70-D70</f>
        <v>6966.0985490000003</v>
      </c>
      <c r="F70" s="11"/>
      <c r="G70" s="11" t="s">
        <v>13</v>
      </c>
      <c r="H70" s="15">
        <f>IF(C70="", "", IF(D70="", "",D70-D55))</f>
        <v>-3082.0068759999999</v>
      </c>
      <c r="I70" s="15">
        <f>IF(D70="", "", IF(E70="", "",E70-E55))</f>
        <v>-15253.437875999998</v>
      </c>
    </row>
    <row r="71" spans="1:9" x14ac:dyDescent="0.25">
      <c r="A71" s="11"/>
      <c r="B71" s="11" t="s">
        <v>14</v>
      </c>
      <c r="C71" s="12">
        <v>0</v>
      </c>
      <c r="D71" s="13">
        <v>0</v>
      </c>
      <c r="E71" s="14">
        <f>E70+C71-D71</f>
        <v>6966.0985490000003</v>
      </c>
      <c r="F71" s="11"/>
      <c r="G71" s="11" t="s">
        <v>14</v>
      </c>
      <c r="H71" s="15">
        <f>IF(C71="", "", IF(D71="", "",D71-D56))</f>
        <v>-4579.7825999999995</v>
      </c>
      <c r="I71" s="15">
        <f>IF(D71="", "", IF(E71="", "",E71-E56))</f>
        <v>-10673.655276</v>
      </c>
    </row>
    <row r="72" spans="1:9" x14ac:dyDescent="0.25">
      <c r="A72" s="11"/>
      <c r="B72" s="11" t="s">
        <v>15</v>
      </c>
      <c r="C72" s="12">
        <v>0</v>
      </c>
      <c r="D72" s="13">
        <v>478.15277300000002</v>
      </c>
      <c r="E72" s="14">
        <f>E71+C72-D72</f>
        <v>6487.9457760000005</v>
      </c>
      <c r="F72" s="11"/>
      <c r="G72" s="11" t="s">
        <v>15</v>
      </c>
      <c r="H72" s="15">
        <f>IF(C72="", "", IF(D72="", "",D72-D57))</f>
        <v>-1634.761589</v>
      </c>
      <c r="I72" s="15">
        <f>IF(D72="", "", IF(E72="", "",E72-E57))</f>
        <v>-9038.8936869999998</v>
      </c>
    </row>
    <row r="73" spans="1:9" x14ac:dyDescent="0.25">
      <c r="A73" s="11"/>
      <c r="B73" s="11" t="s">
        <v>16</v>
      </c>
      <c r="C73" s="12">
        <v>0</v>
      </c>
      <c r="D73" s="13">
        <v>0</v>
      </c>
      <c r="E73" s="14">
        <f>E72+C73-D73</f>
        <v>6487.9457760000005</v>
      </c>
      <c r="F73" s="11"/>
      <c r="G73" s="11" t="s">
        <v>16</v>
      </c>
      <c r="H73" s="15">
        <f>IF(C73="", "", IF(D73="", "",D73-D58))</f>
        <v>-972.21663999999998</v>
      </c>
      <c r="I73" s="15">
        <f>IF(D73="", "", IF(E73="", "",E73-E58))</f>
        <v>-8066.6770469999992</v>
      </c>
    </row>
    <row r="74" spans="1:9" x14ac:dyDescent="0.25">
      <c r="A74" s="11"/>
      <c r="B74" s="11" t="s">
        <v>17</v>
      </c>
      <c r="C74" s="12">
        <v>0</v>
      </c>
      <c r="D74" s="13">
        <v>71.886499999999998</v>
      </c>
      <c r="E74" s="14">
        <f>E73+C74-D74</f>
        <v>6416.0592760000009</v>
      </c>
      <c r="F74" s="11"/>
      <c r="G74" s="11" t="s">
        <v>17</v>
      </c>
      <c r="H74" s="15">
        <f>IF(C74="", "", IF(D74="", "",D74-D59))</f>
        <v>-2961.4908890000002</v>
      </c>
      <c r="I74" s="15">
        <f>IF(D74="", "", IF(E74="", "",E74-E59))</f>
        <v>-5105.1861579999995</v>
      </c>
    </row>
    <row r="75" spans="1:9" x14ac:dyDescent="0.25">
      <c r="A75" s="16"/>
      <c r="B75" s="16" t="s">
        <v>18</v>
      </c>
      <c r="C75" s="17">
        <v>0</v>
      </c>
      <c r="D75" s="18">
        <v>352.637</v>
      </c>
      <c r="E75" s="19">
        <f>E74+C75-D75</f>
        <v>6063.4222760000011</v>
      </c>
      <c r="F75" s="16"/>
      <c r="G75" s="16" t="s">
        <v>18</v>
      </c>
      <c r="H75" s="20">
        <f>IF(C75="", "", IF(D75="", "",D75-D60))</f>
        <v>-352.637</v>
      </c>
      <c r="I75" s="20">
        <f>IF(D75="", "", IF(E75="", "",E75-E60))</f>
        <v>-4752.5491579999998</v>
      </c>
    </row>
    <row r="76" spans="1:9" s="2" customFormat="1" x14ac:dyDescent="0.25">
      <c r="A76" s="21"/>
      <c r="B76" s="21" t="s">
        <v>19</v>
      </c>
      <c r="C76" s="22">
        <f>SUM(C64:C75)</f>
        <v>0</v>
      </c>
      <c r="D76" s="23">
        <f>SUM(D64:D75)</f>
        <v>4752.5491579999998</v>
      </c>
      <c r="E76" s="14"/>
      <c r="F76" s="21"/>
      <c r="G76" s="21"/>
      <c r="H76" s="14">
        <f>SUMIF(C64:C75,"&gt;=0",H64:H75)</f>
        <v>-76588.46648100001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0</v>
      </c>
      <c r="D77" s="23">
        <f>AVERAGE(D64:D75)</f>
        <v>396.04576316666663</v>
      </c>
      <c r="E77" s="24">
        <f>C77/D77-1</f>
        <v>-1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6063.4222760000011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6063.4222760000011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6063.4222760000011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6063.4222760000011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6063.4222760000011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6063.4222760000011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6063.4222760000011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6063.4222760000011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6063.4222760000011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6063.4222760000011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6063.4222760000011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6063.4222760000011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6063.4222760000011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80166-B5D4-466F-9869-1E5386AE07EE}">
  <sheetPr codeName="Sheet8"/>
  <dimension ref="A2:I92"/>
  <sheetViews>
    <sheetView topLeftCell="A72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</cols>
  <sheetData>
    <row r="2" spans="1:9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9" x14ac:dyDescent="0.25">
      <c r="A3" s="11"/>
      <c r="B3" s="11"/>
      <c r="C3" s="12"/>
      <c r="D3" s="13"/>
      <c r="E3" s="14"/>
      <c r="F3" s="11"/>
      <c r="G3" s="11"/>
      <c r="H3" s="15"/>
      <c r="I3" s="15"/>
    </row>
    <row r="4" spans="1:9" x14ac:dyDescent="0.25">
      <c r="A4" s="11">
        <v>2019</v>
      </c>
      <c r="B4" s="11" t="s">
        <v>7</v>
      </c>
      <c r="C4" s="12"/>
      <c r="D4" s="13"/>
      <c r="E4" s="14">
        <f>E3+C4-D4</f>
        <v>0</v>
      </c>
      <c r="F4" s="11"/>
      <c r="G4" s="11" t="s">
        <v>7</v>
      </c>
      <c r="H4" s="15"/>
      <c r="I4" s="15"/>
    </row>
    <row r="5" spans="1:9" x14ac:dyDescent="0.25">
      <c r="A5" s="11"/>
      <c r="B5" s="11" t="s">
        <v>8</v>
      </c>
      <c r="C5" s="12"/>
      <c r="D5" s="13"/>
      <c r="E5" s="14">
        <f>E4+C5-D5</f>
        <v>0</v>
      </c>
      <c r="F5" s="11"/>
      <c r="G5" s="11" t="s">
        <v>8</v>
      </c>
      <c r="H5" s="15"/>
      <c r="I5" s="15"/>
    </row>
    <row r="6" spans="1:9" x14ac:dyDescent="0.25">
      <c r="A6" s="11"/>
      <c r="B6" s="11" t="s">
        <v>9</v>
      </c>
      <c r="C6" s="12"/>
      <c r="D6" s="13"/>
      <c r="E6" s="14">
        <f>E5+C6-D6</f>
        <v>0</v>
      </c>
      <c r="F6" s="11"/>
      <c r="G6" s="11" t="s">
        <v>9</v>
      </c>
      <c r="H6" s="15"/>
      <c r="I6" s="15"/>
    </row>
    <row r="7" spans="1:9" x14ac:dyDescent="0.25">
      <c r="A7" s="11"/>
      <c r="B7" s="11" t="s">
        <v>10</v>
      </c>
      <c r="C7" s="12"/>
      <c r="D7" s="13"/>
      <c r="E7" s="14">
        <f>E6+C7-D7</f>
        <v>0</v>
      </c>
      <c r="F7" s="11"/>
      <c r="G7" s="11" t="s">
        <v>10</v>
      </c>
      <c r="H7" s="15"/>
      <c r="I7" s="15"/>
    </row>
    <row r="8" spans="1:9" x14ac:dyDescent="0.25">
      <c r="A8" s="11"/>
      <c r="B8" s="11" t="s">
        <v>11</v>
      </c>
      <c r="C8" s="12"/>
      <c r="D8" s="13"/>
      <c r="E8" s="14">
        <f>E7+C8-D8</f>
        <v>0</v>
      </c>
      <c r="F8" s="11"/>
      <c r="G8" s="11" t="s">
        <v>11</v>
      </c>
      <c r="H8" s="15"/>
      <c r="I8" s="15"/>
    </row>
    <row r="9" spans="1:9" x14ac:dyDescent="0.25">
      <c r="A9" s="11"/>
      <c r="B9" s="11" t="s">
        <v>12</v>
      </c>
      <c r="C9" s="12"/>
      <c r="D9" s="13"/>
      <c r="E9" s="14">
        <f>E8+C9-D9</f>
        <v>0</v>
      </c>
      <c r="F9" s="11"/>
      <c r="G9" s="11" t="s">
        <v>12</v>
      </c>
      <c r="H9" s="15"/>
      <c r="I9" s="15"/>
    </row>
    <row r="10" spans="1:9" x14ac:dyDescent="0.25">
      <c r="A10" s="11"/>
      <c r="B10" s="11" t="s">
        <v>13</v>
      </c>
      <c r="C10" s="12"/>
      <c r="D10" s="13"/>
      <c r="E10" s="14">
        <f>E9+C10-D10</f>
        <v>0</v>
      </c>
      <c r="F10" s="11"/>
      <c r="G10" s="11" t="s">
        <v>13</v>
      </c>
      <c r="H10" s="15"/>
      <c r="I10" s="15"/>
    </row>
    <row r="11" spans="1:9" x14ac:dyDescent="0.25">
      <c r="A11" s="11"/>
      <c r="B11" s="11" t="s">
        <v>14</v>
      </c>
      <c r="C11" s="12"/>
      <c r="D11" s="13"/>
      <c r="E11" s="14">
        <f>E10+C11-D11</f>
        <v>0</v>
      </c>
      <c r="F11" s="11"/>
      <c r="G11" s="11" t="s">
        <v>14</v>
      </c>
      <c r="H11" s="15"/>
      <c r="I11" s="15"/>
    </row>
    <row r="12" spans="1:9" x14ac:dyDescent="0.25">
      <c r="A12" s="11"/>
      <c r="B12" s="11" t="s">
        <v>15</v>
      </c>
      <c r="C12" s="12"/>
      <c r="D12" s="13"/>
      <c r="E12" s="14">
        <f>E11+C12-D12</f>
        <v>0</v>
      </c>
      <c r="F12" s="11"/>
      <c r="G12" s="11" t="s">
        <v>15</v>
      </c>
      <c r="H12" s="15"/>
      <c r="I12" s="15"/>
    </row>
    <row r="13" spans="1:9" x14ac:dyDescent="0.25">
      <c r="A13" s="11"/>
      <c r="B13" s="11" t="s">
        <v>16</v>
      </c>
      <c r="C13" s="12"/>
      <c r="D13" s="13"/>
      <c r="E13" s="14">
        <f>E12+C13-D13</f>
        <v>0</v>
      </c>
      <c r="F13" s="11"/>
      <c r="G13" s="11" t="s">
        <v>16</v>
      </c>
      <c r="H13" s="15"/>
      <c r="I13" s="15"/>
    </row>
    <row r="14" spans="1:9" x14ac:dyDescent="0.25">
      <c r="A14" s="11"/>
      <c r="B14" s="11" t="s">
        <v>17</v>
      </c>
      <c r="C14" s="12"/>
      <c r="D14" s="13"/>
      <c r="E14" s="14">
        <f>E13+C14-D14</f>
        <v>0</v>
      </c>
      <c r="F14" s="11"/>
      <c r="G14" s="11" t="s">
        <v>17</v>
      </c>
      <c r="H14" s="15"/>
      <c r="I14" s="15"/>
    </row>
    <row r="15" spans="1:9" x14ac:dyDescent="0.25">
      <c r="A15" s="16"/>
      <c r="B15" s="16" t="s">
        <v>18</v>
      </c>
      <c r="C15" s="17"/>
      <c r="D15" s="18"/>
      <c r="E15" s="19">
        <f>E14+C15-D15</f>
        <v>0</v>
      </c>
      <c r="F15" s="16"/>
      <c r="G15" s="16" t="s">
        <v>18</v>
      </c>
      <c r="H15" s="20"/>
      <c r="I15" s="20"/>
    </row>
    <row r="16" spans="1:9" s="2" customFormat="1" x14ac:dyDescent="0.25">
      <c r="A16" s="21"/>
      <c r="B16" s="21" t="s">
        <v>19</v>
      </c>
      <c r="C16" s="22">
        <f>SUM(C4:C15)</f>
        <v>0</v>
      </c>
      <c r="D16" s="23">
        <f>SUM(D4:D15)</f>
        <v>0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 t="e">
        <f>AVERAGE(C4:C15)</f>
        <v>#DIV/0!</v>
      </c>
      <c r="D17" s="23" t="e">
        <f>AVERAGE(D4:D15)</f>
        <v>#DIV/0!</v>
      </c>
      <c r="E17" s="24" t="e">
        <f>C17/D17-1</f>
        <v>#DIV/0!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0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/>
      <c r="D19" s="27"/>
      <c r="E19" s="28">
        <f>E18+C19-D19</f>
        <v>0</v>
      </c>
      <c r="F19" s="25"/>
      <c r="G19" s="25" t="s">
        <v>7</v>
      </c>
      <c r="H19" s="29" t="str">
        <f>IF(C19="", "", IF(D19="", "",D19-D4))</f>
        <v/>
      </c>
      <c r="I19" s="29" t="str">
        <f>IF(D19="", "", IF(E19="", "",E19-E4))</f>
        <v/>
      </c>
    </row>
    <row r="20" spans="1:9" x14ac:dyDescent="0.25">
      <c r="A20" s="25"/>
      <c r="B20" s="25" t="s">
        <v>8</v>
      </c>
      <c r="C20" s="26"/>
      <c r="D20" s="27"/>
      <c r="E20" s="28">
        <f>E19+C20-D20</f>
        <v>0</v>
      </c>
      <c r="F20" s="25"/>
      <c r="G20" s="25" t="s">
        <v>8</v>
      </c>
      <c r="H20" s="29" t="str">
        <f>IF(C20="", "", IF(D20="", "",D20-D5))</f>
        <v/>
      </c>
      <c r="I20" s="29" t="str">
        <f>IF(D20="", "", IF(E20="", "",E20-E5))</f>
        <v/>
      </c>
    </row>
    <row r="21" spans="1:9" x14ac:dyDescent="0.25">
      <c r="A21" s="25"/>
      <c r="B21" s="25" t="s">
        <v>9</v>
      </c>
      <c r="C21" s="26"/>
      <c r="D21" s="27"/>
      <c r="E21" s="28">
        <f>E20+C21-D21</f>
        <v>0</v>
      </c>
      <c r="F21" s="25"/>
      <c r="G21" s="25" t="s">
        <v>9</v>
      </c>
      <c r="H21" s="29" t="str">
        <f>IF(C21="", "", IF(D21="", "",D21-D6))</f>
        <v/>
      </c>
      <c r="I21" s="29" t="str">
        <f>IF(D21="", "", IF(E21="", "",E21-E6))</f>
        <v/>
      </c>
    </row>
    <row r="22" spans="1:9" x14ac:dyDescent="0.25">
      <c r="A22" s="25"/>
      <c r="B22" s="25" t="s">
        <v>10</v>
      </c>
      <c r="C22" s="26"/>
      <c r="D22" s="27"/>
      <c r="E22" s="28">
        <f>E21+C22-D22</f>
        <v>0</v>
      </c>
      <c r="F22" s="25"/>
      <c r="G22" s="25" t="s">
        <v>10</v>
      </c>
      <c r="H22" s="29" t="str">
        <f>IF(C22="", "", IF(D22="", "",D22-D7))</f>
        <v/>
      </c>
      <c r="I22" s="29" t="str">
        <f>IF(D22="", "", IF(E22="", "",E22-E7))</f>
        <v/>
      </c>
    </row>
    <row r="23" spans="1:9" x14ac:dyDescent="0.25">
      <c r="A23" s="25"/>
      <c r="B23" s="25" t="s">
        <v>11</v>
      </c>
      <c r="C23" s="26"/>
      <c r="D23" s="27"/>
      <c r="E23" s="28">
        <f>E22+C23-D23</f>
        <v>0</v>
      </c>
      <c r="F23" s="25"/>
      <c r="G23" s="25" t="s">
        <v>11</v>
      </c>
      <c r="H23" s="29" t="str">
        <f>IF(C23="", "", IF(D23="", "",D23-D8))</f>
        <v/>
      </c>
      <c r="I23" s="29" t="str">
        <f>IF(D23="", "", IF(E23="", "",E23-E8))</f>
        <v/>
      </c>
    </row>
    <row r="24" spans="1:9" x14ac:dyDescent="0.25">
      <c r="A24" s="25"/>
      <c r="B24" s="25" t="s">
        <v>12</v>
      </c>
      <c r="C24" s="26"/>
      <c r="D24" s="27"/>
      <c r="E24" s="28">
        <f>E23+C24-D24</f>
        <v>0</v>
      </c>
      <c r="F24" s="25"/>
      <c r="G24" s="25" t="s">
        <v>12</v>
      </c>
      <c r="H24" s="29" t="str">
        <f>IF(C24="", "", IF(D24="", "",D24-D9))</f>
        <v/>
      </c>
      <c r="I24" s="29" t="str">
        <f>IF(D24="", "", IF(E24="", "",E24-E9))</f>
        <v/>
      </c>
    </row>
    <row r="25" spans="1:9" x14ac:dyDescent="0.25">
      <c r="A25" s="25"/>
      <c r="B25" s="25" t="s">
        <v>13</v>
      </c>
      <c r="C25" s="26"/>
      <c r="D25" s="27"/>
      <c r="E25" s="28">
        <f>E24+C25-D25</f>
        <v>0</v>
      </c>
      <c r="F25" s="25"/>
      <c r="G25" s="25" t="s">
        <v>13</v>
      </c>
      <c r="H25" s="29" t="str">
        <f>IF(C25="", "", IF(D25="", "",D25-D10))</f>
        <v/>
      </c>
      <c r="I25" s="29" t="str">
        <f>IF(D25="", "", IF(E25="", "",E25-E10))</f>
        <v/>
      </c>
    </row>
    <row r="26" spans="1:9" x14ac:dyDescent="0.25">
      <c r="A26" s="25"/>
      <c r="B26" s="25" t="s">
        <v>14</v>
      </c>
      <c r="C26" s="26"/>
      <c r="D26" s="27"/>
      <c r="E26" s="28">
        <f>E25+C26-D26</f>
        <v>0</v>
      </c>
      <c r="F26" s="25"/>
      <c r="G26" s="25" t="s">
        <v>14</v>
      </c>
      <c r="H26" s="29" t="str">
        <f>IF(C26="", "", IF(D26="", "",D26-D11))</f>
        <v/>
      </c>
      <c r="I26" s="29" t="str">
        <f>IF(D26="", "", IF(E26="", "",E26-E11))</f>
        <v/>
      </c>
    </row>
    <row r="27" spans="1:9" x14ac:dyDescent="0.25">
      <c r="A27" s="25"/>
      <c r="B27" s="25" t="s">
        <v>15</v>
      </c>
      <c r="C27" s="26"/>
      <c r="D27" s="27"/>
      <c r="E27" s="28">
        <f>E26+C27-D27</f>
        <v>0</v>
      </c>
      <c r="F27" s="25"/>
      <c r="G27" s="25" t="s">
        <v>15</v>
      </c>
      <c r="H27" s="29" t="str">
        <f>IF(C27="", "", IF(D27="", "",D27-D12))</f>
        <v/>
      </c>
      <c r="I27" s="29" t="str">
        <f>IF(D27="", "", IF(E27="", "",E27-E12))</f>
        <v/>
      </c>
    </row>
    <row r="28" spans="1:9" x14ac:dyDescent="0.25">
      <c r="A28" s="25"/>
      <c r="B28" s="25" t="s">
        <v>16</v>
      </c>
      <c r="C28" s="26"/>
      <c r="D28" s="27"/>
      <c r="E28" s="28">
        <f>E27+C28-D28</f>
        <v>0</v>
      </c>
      <c r="F28" s="25"/>
      <c r="G28" s="25" t="s">
        <v>16</v>
      </c>
      <c r="H28" s="29" t="str">
        <f>IF(C28="", "", IF(D28="", "",D28-D13))</f>
        <v/>
      </c>
      <c r="I28" s="29" t="str">
        <f>IF(D28="", "", IF(E28="", "",E28-E13))</f>
        <v/>
      </c>
    </row>
    <row r="29" spans="1:9" x14ac:dyDescent="0.25">
      <c r="A29" s="25"/>
      <c r="B29" s="25" t="s">
        <v>17</v>
      </c>
      <c r="C29" s="26"/>
      <c r="D29" s="27"/>
      <c r="E29" s="28">
        <f>E28+C29-D29</f>
        <v>0</v>
      </c>
      <c r="F29" s="25"/>
      <c r="G29" s="25" t="s">
        <v>17</v>
      </c>
      <c r="H29" s="29" t="str">
        <f>IF(C29="", "", IF(D29="", "",D29-D14))</f>
        <v/>
      </c>
      <c r="I29" s="29" t="str">
        <f>IF(D29="", "", IF(E29="", "",E29-E14))</f>
        <v/>
      </c>
    </row>
    <row r="30" spans="1:9" x14ac:dyDescent="0.25">
      <c r="A30" s="30"/>
      <c r="B30" s="30" t="s">
        <v>18</v>
      </c>
      <c r="C30" s="31"/>
      <c r="D30" s="32"/>
      <c r="E30" s="33">
        <f>E29+C30-D30</f>
        <v>0</v>
      </c>
      <c r="F30" s="30"/>
      <c r="G30" s="30" t="s">
        <v>18</v>
      </c>
      <c r="H30" s="34" t="str">
        <f>IF(C30="", "", IF(D30="", "",D30-D15))</f>
        <v/>
      </c>
      <c r="I30" s="34" t="str">
        <f>IF(D30="", "", IF(E30="", "",E30-E15))</f>
        <v/>
      </c>
    </row>
    <row r="31" spans="1:9" s="2" customFormat="1" x14ac:dyDescent="0.25">
      <c r="A31" s="35"/>
      <c r="B31" s="35" t="s">
        <v>19</v>
      </c>
      <c r="C31" s="36">
        <f>SUM(C19:C30)</f>
        <v>0</v>
      </c>
      <c r="D31" s="37">
        <f>SUM(D19:D30)</f>
        <v>0</v>
      </c>
      <c r="E31" s="28"/>
      <c r="F31" s="35"/>
      <c r="G31" s="35"/>
      <c r="H31" s="28">
        <f>SUMIF(C19:C30,"&gt;=0",H19:H30)</f>
        <v>0</v>
      </c>
      <c r="I31" s="28"/>
    </row>
    <row r="32" spans="1:9" s="2" customFormat="1" x14ac:dyDescent="0.25">
      <c r="A32" s="35"/>
      <c r="B32" s="35" t="s">
        <v>20</v>
      </c>
      <c r="C32" s="36" t="e">
        <f>AVERAGE(C19:C30)</f>
        <v>#DIV/0!</v>
      </c>
      <c r="D32" s="37" t="e">
        <f>AVERAGE(D19:D30)</f>
        <v>#DIV/0!</v>
      </c>
      <c r="E32" s="38" t="e">
        <f>C32/D32-1</f>
        <v>#DIV/0!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0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/>
      <c r="D34" s="13"/>
      <c r="E34" s="14">
        <f>E33+C34-D34</f>
        <v>0</v>
      </c>
      <c r="F34" s="11"/>
      <c r="G34" s="11" t="s">
        <v>7</v>
      </c>
      <c r="H34" s="15" t="str">
        <f>IF(C34="", "", IF(D34="", "",D34-D19))</f>
        <v/>
      </c>
      <c r="I34" s="15" t="str">
        <f>IF(D34="", "", IF(E34="", "",E34-E19))</f>
        <v/>
      </c>
    </row>
    <row r="35" spans="1:9" x14ac:dyDescent="0.25">
      <c r="A35" s="11"/>
      <c r="B35" s="11" t="s">
        <v>8</v>
      </c>
      <c r="C35" s="12"/>
      <c r="D35" s="13"/>
      <c r="E35" s="14">
        <f>E34+C35-D35</f>
        <v>0</v>
      </c>
      <c r="F35" s="11"/>
      <c r="G35" s="11" t="s">
        <v>8</v>
      </c>
      <c r="H35" s="15" t="str">
        <f>IF(C35="", "", IF(D35="", "",D35-D20))</f>
        <v/>
      </c>
      <c r="I35" s="15" t="str">
        <f>IF(D35="", "", IF(E35="", "",E35-E20))</f>
        <v/>
      </c>
    </row>
    <row r="36" spans="1:9" x14ac:dyDescent="0.25">
      <c r="A36" s="11"/>
      <c r="B36" s="11" t="s">
        <v>9</v>
      </c>
      <c r="C36" s="12"/>
      <c r="D36" s="13"/>
      <c r="E36" s="14">
        <f>E35+C36-D36</f>
        <v>0</v>
      </c>
      <c r="F36" s="11"/>
      <c r="G36" s="11" t="s">
        <v>9</v>
      </c>
      <c r="H36" s="15" t="str">
        <f>IF(C36="", "", IF(D36="", "",D36-D21))</f>
        <v/>
      </c>
      <c r="I36" s="15" t="str">
        <f>IF(D36="", "", IF(E36="", "",E36-E21))</f>
        <v/>
      </c>
    </row>
    <row r="37" spans="1:9" x14ac:dyDescent="0.25">
      <c r="A37" s="11"/>
      <c r="B37" s="11" t="s">
        <v>10</v>
      </c>
      <c r="C37" s="12"/>
      <c r="D37" s="13"/>
      <c r="E37" s="14">
        <f>E36+C37-D37</f>
        <v>0</v>
      </c>
      <c r="F37" s="11"/>
      <c r="G37" s="11" t="s">
        <v>10</v>
      </c>
      <c r="H37" s="15" t="str">
        <f>IF(C37="", "", IF(D37="", "",D37-D22))</f>
        <v/>
      </c>
      <c r="I37" s="15" t="str">
        <f>IF(D37="", "", IF(E37="", "",E37-E22))</f>
        <v/>
      </c>
    </row>
    <row r="38" spans="1:9" x14ac:dyDescent="0.25">
      <c r="A38" s="11"/>
      <c r="B38" s="11" t="s">
        <v>11</v>
      </c>
      <c r="C38" s="12"/>
      <c r="D38" s="13"/>
      <c r="E38" s="14">
        <f>E37+C38-D38</f>
        <v>0</v>
      </c>
      <c r="F38" s="11"/>
      <c r="G38" s="11" t="s">
        <v>11</v>
      </c>
      <c r="H38" s="15" t="str">
        <f>IF(C38="", "", IF(D38="", "",D38-D23))</f>
        <v/>
      </c>
      <c r="I38" s="15" t="str">
        <f>IF(D38="", "", IF(E38="", "",E38-E23))</f>
        <v/>
      </c>
    </row>
    <row r="39" spans="1:9" x14ac:dyDescent="0.25">
      <c r="A39" s="11"/>
      <c r="B39" s="11" t="s">
        <v>12</v>
      </c>
      <c r="C39" s="12">
        <v>9683.35</v>
      </c>
      <c r="D39" s="13">
        <v>0</v>
      </c>
      <c r="E39" s="14">
        <f>E38+C39-D39</f>
        <v>9683.35</v>
      </c>
      <c r="F39" s="11"/>
      <c r="G39" s="11" t="s">
        <v>12</v>
      </c>
      <c r="H39" s="15">
        <f>IF(C39="", "", IF(D39="", "",D39-D24))</f>
        <v>0</v>
      </c>
      <c r="I39" s="15">
        <f>IF(D39="", "", IF(E39="", "",E39-E24))</f>
        <v>9683.35</v>
      </c>
    </row>
    <row r="40" spans="1:9" x14ac:dyDescent="0.25">
      <c r="A40" s="11"/>
      <c r="B40" s="11" t="s">
        <v>13</v>
      </c>
      <c r="C40" s="12">
        <v>163090.15</v>
      </c>
      <c r="D40" s="13">
        <v>13393.82</v>
      </c>
      <c r="E40" s="14">
        <f>E39+C40-D40</f>
        <v>159379.68</v>
      </c>
      <c r="F40" s="11"/>
      <c r="G40" s="11" t="s">
        <v>13</v>
      </c>
      <c r="H40" s="15">
        <f>IF(C40="", "", IF(D40="", "",D40-D25))</f>
        <v>13393.82</v>
      </c>
      <c r="I40" s="15">
        <f>IF(D40="", "", IF(E40="", "",E40-E25))</f>
        <v>159379.68</v>
      </c>
    </row>
    <row r="41" spans="1:9" x14ac:dyDescent="0.25">
      <c r="A41" s="11"/>
      <c r="B41" s="11" t="s">
        <v>14</v>
      </c>
      <c r="C41" s="12">
        <v>10934.64</v>
      </c>
      <c r="D41" s="13">
        <v>14041.174477</v>
      </c>
      <c r="E41" s="14">
        <f>E40+C41-D41</f>
        <v>156273.14552300001</v>
      </c>
      <c r="F41" s="11"/>
      <c r="G41" s="11" t="s">
        <v>14</v>
      </c>
      <c r="H41" s="15">
        <f>IF(C41="", "", IF(D41="", "",D41-D26))</f>
        <v>14041.174477</v>
      </c>
      <c r="I41" s="15">
        <f>IF(D41="", "", IF(E41="", "",E41-E26))</f>
        <v>156273.14552300001</v>
      </c>
    </row>
    <row r="42" spans="1:9" x14ac:dyDescent="0.25">
      <c r="A42" s="11"/>
      <c r="B42" s="11" t="s">
        <v>15</v>
      </c>
      <c r="C42" s="12">
        <v>2120.4899999999998</v>
      </c>
      <c r="D42" s="13">
        <v>7035.2815449999998</v>
      </c>
      <c r="E42" s="14">
        <f>E41+C42-D42</f>
        <v>151358.353978</v>
      </c>
      <c r="F42" s="11"/>
      <c r="G42" s="11" t="s">
        <v>15</v>
      </c>
      <c r="H42" s="15">
        <f>IF(C42="", "", IF(D42="", "",D42-D27))</f>
        <v>7035.2815449999998</v>
      </c>
      <c r="I42" s="15">
        <f>IF(D42="", "", IF(E42="", "",E42-E27))</f>
        <v>151358.353978</v>
      </c>
    </row>
    <row r="43" spans="1:9" x14ac:dyDescent="0.25">
      <c r="A43" s="11"/>
      <c r="B43" s="11" t="s">
        <v>16</v>
      </c>
      <c r="C43" s="12">
        <v>183708.14</v>
      </c>
      <c r="D43" s="13">
        <v>21292.182950999999</v>
      </c>
      <c r="E43" s="14">
        <f>E42+C43-D43</f>
        <v>313774.31102700002</v>
      </c>
      <c r="F43" s="11"/>
      <c r="G43" s="11" t="s">
        <v>16</v>
      </c>
      <c r="H43" s="15">
        <f>IF(C43="", "", IF(D43="", "",D43-D28))</f>
        <v>21292.182950999999</v>
      </c>
      <c r="I43" s="15">
        <f>IF(D43="", "", IF(E43="", "",E43-E28))</f>
        <v>313774.31102700002</v>
      </c>
    </row>
    <row r="44" spans="1:9" x14ac:dyDescent="0.25">
      <c r="A44" s="11"/>
      <c r="B44" s="11" t="s">
        <v>17</v>
      </c>
      <c r="C44" s="12">
        <v>0</v>
      </c>
      <c r="D44" s="13">
        <v>6142.8115260000004</v>
      </c>
      <c r="E44" s="14">
        <f>E43+C44-D44</f>
        <v>307631.49950100004</v>
      </c>
      <c r="F44" s="11"/>
      <c r="G44" s="11" t="s">
        <v>17</v>
      </c>
      <c r="H44" s="15">
        <f>IF(C44="", "", IF(D44="", "",D44-D29))</f>
        <v>6142.8115260000004</v>
      </c>
      <c r="I44" s="15">
        <f>IF(D44="", "", IF(E44="", "",E44-E29))</f>
        <v>307631.49950100004</v>
      </c>
    </row>
    <row r="45" spans="1:9" x14ac:dyDescent="0.25">
      <c r="A45" s="16"/>
      <c r="B45" s="16" t="s">
        <v>18</v>
      </c>
      <c r="C45" s="17">
        <v>0</v>
      </c>
      <c r="D45" s="18">
        <v>1738.8489520000001</v>
      </c>
      <c r="E45" s="19">
        <f>E44+C45-D45</f>
        <v>305892.65054900007</v>
      </c>
      <c r="F45" s="16"/>
      <c r="G45" s="16" t="s">
        <v>18</v>
      </c>
      <c r="H45" s="20">
        <f>IF(C45="", "", IF(D45="", "",D45-D30))</f>
        <v>1738.8489520000001</v>
      </c>
      <c r="I45" s="20">
        <f>IF(D45="", "", IF(E45="", "",E45-E30))</f>
        <v>305892.65054900007</v>
      </c>
    </row>
    <row r="46" spans="1:9" s="2" customFormat="1" x14ac:dyDescent="0.25">
      <c r="A46" s="21"/>
      <c r="B46" s="21" t="s">
        <v>19</v>
      </c>
      <c r="C46" s="22">
        <f>SUM(C34:C45)</f>
        <v>369536.77</v>
      </c>
      <c r="D46" s="23">
        <f>SUM(D34:D45)</f>
        <v>63644.119450999999</v>
      </c>
      <c r="E46" s="14"/>
      <c r="F46" s="21"/>
      <c r="G46" s="21"/>
      <c r="H46" s="14">
        <f>SUMIF(C34:C45,"&gt;=0",H34:H45)</f>
        <v>63644.119450999999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52790.967142857146</v>
      </c>
      <c r="D47" s="23">
        <f>AVERAGE(D34:D45)</f>
        <v>9092.0170644285718</v>
      </c>
      <c r="E47" s="24">
        <f>C47/D47-1</f>
        <v>4.8062987309378782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305892.65054900007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0</v>
      </c>
      <c r="D49" s="27">
        <v>1151.1206709999999</v>
      </c>
      <c r="E49" s="28">
        <f>E48+C49-D49</f>
        <v>304741.52987800009</v>
      </c>
      <c r="F49" s="25"/>
      <c r="G49" s="25" t="s">
        <v>7</v>
      </c>
      <c r="H49" s="29">
        <f>IF(C49="", "", IF(D49="", "",D49-D34))</f>
        <v>1151.1206709999999</v>
      </c>
      <c r="I49" s="29">
        <f>IF(D49="", "", IF(E49="", "",E49-E34))</f>
        <v>304741.52987800009</v>
      </c>
    </row>
    <row r="50" spans="1:9" x14ac:dyDescent="0.25">
      <c r="A50" s="25"/>
      <c r="B50" s="25" t="s">
        <v>8</v>
      </c>
      <c r="C50" s="26">
        <v>0</v>
      </c>
      <c r="D50" s="27">
        <v>2297.8103839999999</v>
      </c>
      <c r="E50" s="28">
        <f>E49+C50-D50</f>
        <v>302443.71949400008</v>
      </c>
      <c r="F50" s="25"/>
      <c r="G50" s="25" t="s">
        <v>8</v>
      </c>
      <c r="H50" s="29">
        <f>IF(C50="", "", IF(D50="", "",D50-D35))</f>
        <v>2297.8103839999999</v>
      </c>
      <c r="I50" s="29">
        <f>IF(D50="", "", IF(E50="", "",E50-E35))</f>
        <v>302443.71949400008</v>
      </c>
    </row>
    <row r="51" spans="1:9" x14ac:dyDescent="0.25">
      <c r="A51" s="25"/>
      <c r="B51" s="25" t="s">
        <v>9</v>
      </c>
      <c r="C51" s="26">
        <v>0</v>
      </c>
      <c r="D51" s="27">
        <v>3331.9960930000002</v>
      </c>
      <c r="E51" s="28">
        <f>E50+C51-D51</f>
        <v>299111.72340100008</v>
      </c>
      <c r="F51" s="25"/>
      <c r="G51" s="25" t="s">
        <v>9</v>
      </c>
      <c r="H51" s="29">
        <f>IF(C51="", "", IF(D51="", "",D51-D36))</f>
        <v>3331.9960930000002</v>
      </c>
      <c r="I51" s="29">
        <f>IF(D51="", "", IF(E51="", "",E51-E36))</f>
        <v>299111.72340100008</v>
      </c>
    </row>
    <row r="52" spans="1:9" x14ac:dyDescent="0.25">
      <c r="A52" s="25"/>
      <c r="B52" s="25" t="s">
        <v>10</v>
      </c>
      <c r="C52" s="26">
        <v>0</v>
      </c>
      <c r="D52" s="27">
        <v>1845.8211819999999</v>
      </c>
      <c r="E52" s="28">
        <f>E51+C52-D52</f>
        <v>297265.9022190001</v>
      </c>
      <c r="F52" s="25"/>
      <c r="G52" s="25" t="s">
        <v>10</v>
      </c>
      <c r="H52" s="29">
        <f>IF(C52="", "", IF(D52="", "",D52-D37))</f>
        <v>1845.8211819999999</v>
      </c>
      <c r="I52" s="29">
        <f>IF(D52="", "", IF(E52="", "",E52-E37))</f>
        <v>297265.9022190001</v>
      </c>
    </row>
    <row r="53" spans="1:9" x14ac:dyDescent="0.25">
      <c r="A53" s="25"/>
      <c r="B53" s="25" t="s">
        <v>11</v>
      </c>
      <c r="C53" s="26">
        <v>0</v>
      </c>
      <c r="D53" s="27">
        <v>2188.668506</v>
      </c>
      <c r="E53" s="28">
        <f>E52+C53-D53</f>
        <v>295077.23371300008</v>
      </c>
      <c r="F53" s="25"/>
      <c r="G53" s="25" t="s">
        <v>11</v>
      </c>
      <c r="H53" s="29">
        <f>IF(C53="", "", IF(D53="", "",D53-D38))</f>
        <v>2188.668506</v>
      </c>
      <c r="I53" s="29">
        <f>IF(D53="", "", IF(E53="", "",E53-E38))</f>
        <v>295077.23371300008</v>
      </c>
    </row>
    <row r="54" spans="1:9" x14ac:dyDescent="0.25">
      <c r="A54" s="25"/>
      <c r="B54" s="25" t="s">
        <v>12</v>
      </c>
      <c r="C54" s="26">
        <v>0</v>
      </c>
      <c r="D54" s="27">
        <v>2972.2013980000002</v>
      </c>
      <c r="E54" s="28">
        <f>E53+C54-D54</f>
        <v>292105.03231500008</v>
      </c>
      <c r="F54" s="25"/>
      <c r="G54" s="25" t="s">
        <v>12</v>
      </c>
      <c r="H54" s="29">
        <f>IF(C54="", "", IF(D54="", "",D54-D39))</f>
        <v>2972.2013980000002</v>
      </c>
      <c r="I54" s="29">
        <f>IF(D54="", "", IF(E54="", "",E54-E39))</f>
        <v>282421.6823150001</v>
      </c>
    </row>
    <row r="55" spans="1:9" x14ac:dyDescent="0.25">
      <c r="A55" s="25"/>
      <c r="B55" s="25" t="s">
        <v>13</v>
      </c>
      <c r="C55" s="26">
        <v>0</v>
      </c>
      <c r="D55" s="27">
        <v>2399.5972689999999</v>
      </c>
      <c r="E55" s="28">
        <f>E54+C55-D55</f>
        <v>289705.43504600006</v>
      </c>
      <c r="F55" s="25"/>
      <c r="G55" s="25" t="s">
        <v>13</v>
      </c>
      <c r="H55" s="29">
        <f>IF(C55="", "", IF(D55="", "",D55-D40))</f>
        <v>-10994.222731</v>
      </c>
      <c r="I55" s="29">
        <f>IF(D55="", "", IF(E55="", "",E55-E40))</f>
        <v>130325.75504600006</v>
      </c>
    </row>
    <row r="56" spans="1:9" x14ac:dyDescent="0.25">
      <c r="A56" s="25"/>
      <c r="B56" s="25" t="s">
        <v>14</v>
      </c>
      <c r="C56" s="26">
        <v>21507.65</v>
      </c>
      <c r="D56" s="27">
        <v>35994.785501999999</v>
      </c>
      <c r="E56" s="28">
        <f>E55+C56-D56</f>
        <v>275218.29954400007</v>
      </c>
      <c r="F56" s="25"/>
      <c r="G56" s="25" t="s">
        <v>14</v>
      </c>
      <c r="H56" s="29">
        <f>IF(C56="", "", IF(D56="", "",D56-D41))</f>
        <v>21953.611024999998</v>
      </c>
      <c r="I56" s="29">
        <f>IF(D56="", "", IF(E56="", "",E56-E41))</f>
        <v>118945.15402100005</v>
      </c>
    </row>
    <row r="57" spans="1:9" x14ac:dyDescent="0.25">
      <c r="A57" s="25"/>
      <c r="B57" s="25" t="s">
        <v>15</v>
      </c>
      <c r="C57" s="26">
        <v>0</v>
      </c>
      <c r="D57" s="27">
        <v>26705.051559</v>
      </c>
      <c r="E57" s="28">
        <f>E56+C57-D57</f>
        <v>248513.24798500008</v>
      </c>
      <c r="F57" s="25"/>
      <c r="G57" s="25" t="s">
        <v>15</v>
      </c>
      <c r="H57" s="29">
        <f>IF(C57="", "", IF(D57="", "",D57-D42))</f>
        <v>19669.770014000002</v>
      </c>
      <c r="I57" s="29">
        <f>IF(D57="", "", IF(E57="", "",E57-E42))</f>
        <v>97154.894007000083</v>
      </c>
    </row>
    <row r="58" spans="1:9" x14ac:dyDescent="0.25">
      <c r="A58" s="25"/>
      <c r="B58" s="25" t="s">
        <v>16</v>
      </c>
      <c r="C58" s="26">
        <v>21805.83</v>
      </c>
      <c r="D58" s="27">
        <v>22273.507797999999</v>
      </c>
      <c r="E58" s="28">
        <f>E57+C58-D58</f>
        <v>248045.57018700009</v>
      </c>
      <c r="F58" s="25"/>
      <c r="G58" s="25" t="s">
        <v>16</v>
      </c>
      <c r="H58" s="29">
        <f>IF(C58="", "", IF(D58="", "",D58-D43))</f>
        <v>981.32484699999986</v>
      </c>
      <c r="I58" s="29">
        <f>IF(D58="", "", IF(E58="", "",E58-E43))</f>
        <v>-65728.740839999926</v>
      </c>
    </row>
    <row r="59" spans="1:9" x14ac:dyDescent="0.25">
      <c r="A59" s="25"/>
      <c r="B59" s="25" t="s">
        <v>17</v>
      </c>
      <c r="C59" s="26">
        <v>0</v>
      </c>
      <c r="D59" s="27">
        <v>8898.1617279999991</v>
      </c>
      <c r="E59" s="28">
        <f>E58+C59-D59</f>
        <v>239147.40845900009</v>
      </c>
      <c r="F59" s="25"/>
      <c r="G59" s="25" t="s">
        <v>17</v>
      </c>
      <c r="H59" s="29">
        <f>IF(C59="", "", IF(D59="", "",D59-D44))</f>
        <v>2755.3502019999987</v>
      </c>
      <c r="I59" s="29">
        <f>IF(D59="", "", IF(E59="", "",E59-E44))</f>
        <v>-68484.091041999956</v>
      </c>
    </row>
    <row r="60" spans="1:9" x14ac:dyDescent="0.25">
      <c r="A60" s="30"/>
      <c r="B60" s="30" t="s">
        <v>18</v>
      </c>
      <c r="C60" s="31">
        <v>0</v>
      </c>
      <c r="D60" s="32">
        <v>3721.434041</v>
      </c>
      <c r="E60" s="33">
        <f>E59+C60-D60</f>
        <v>235425.97441800009</v>
      </c>
      <c r="F60" s="30"/>
      <c r="G60" s="30" t="s">
        <v>18</v>
      </c>
      <c r="H60" s="34">
        <f>IF(C60="", "", IF(D60="", "",D60-D45))</f>
        <v>1982.5850889999999</v>
      </c>
      <c r="I60" s="34">
        <f>IF(D60="", "", IF(E60="", "",E60-E45))</f>
        <v>-70466.676130999986</v>
      </c>
    </row>
    <row r="61" spans="1:9" s="2" customFormat="1" x14ac:dyDescent="0.25">
      <c r="A61" s="35"/>
      <c r="B61" s="35" t="s">
        <v>19</v>
      </c>
      <c r="C61" s="36">
        <f>SUM(C49:C60)</f>
        <v>43313.48</v>
      </c>
      <c r="D61" s="37">
        <f>SUM(D49:D60)</f>
        <v>113780.156131</v>
      </c>
      <c r="E61" s="28"/>
      <c r="F61" s="35"/>
      <c r="G61" s="35"/>
      <c r="H61" s="28">
        <f>SUMIF(C49:C60,"&gt;=0",H49:H60)</f>
        <v>50136.036680000005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3609.4566666666669</v>
      </c>
      <c r="D62" s="37">
        <f>AVERAGE(D49:D60)</f>
        <v>9481.6796775833336</v>
      </c>
      <c r="E62" s="38">
        <f>C62/D62-1</f>
        <v>-0.61932307466574987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235425.97441800009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0</v>
      </c>
      <c r="D64" s="13">
        <v>2817.0147900000002</v>
      </c>
      <c r="E64" s="14">
        <f>E63+C64-D64</f>
        <v>232608.9596280001</v>
      </c>
      <c r="F64" s="11"/>
      <c r="G64" s="11" t="s">
        <v>7</v>
      </c>
      <c r="H64" s="15">
        <f>IF(C64="", "", IF(D64="", "",D64-D49))</f>
        <v>1665.8941190000003</v>
      </c>
      <c r="I64" s="15">
        <f>IF(D64="", "", IF(E64="", "",E64-E49))</f>
        <v>-72132.57024999999</v>
      </c>
    </row>
    <row r="65" spans="1:9" x14ac:dyDescent="0.25">
      <c r="A65" s="11"/>
      <c r="B65" s="11" t="s">
        <v>8</v>
      </c>
      <c r="C65" s="12">
        <v>695.88</v>
      </c>
      <c r="D65" s="13">
        <v>2441.1048839999999</v>
      </c>
      <c r="E65" s="14">
        <f>E64+C65-D65</f>
        <v>230863.7347440001</v>
      </c>
      <c r="F65" s="11"/>
      <c r="G65" s="11" t="s">
        <v>8</v>
      </c>
      <c r="H65" s="15">
        <f>IF(C65="", "", IF(D65="", "",D65-D50))</f>
        <v>143.29449999999997</v>
      </c>
      <c r="I65" s="15">
        <f>IF(D65="", "", IF(E65="", "",E65-E50))</f>
        <v>-71579.984749999974</v>
      </c>
    </row>
    <row r="66" spans="1:9" x14ac:dyDescent="0.25">
      <c r="A66" s="11"/>
      <c r="B66" s="11" t="s">
        <v>9</v>
      </c>
      <c r="C66" s="12">
        <v>0</v>
      </c>
      <c r="D66" s="13">
        <v>5470.4308810000002</v>
      </c>
      <c r="E66" s="14">
        <f>E65+C66-D66</f>
        <v>225393.3038630001</v>
      </c>
      <c r="F66" s="11"/>
      <c r="G66" s="11" t="s">
        <v>9</v>
      </c>
      <c r="H66" s="15">
        <f>IF(C66="", "", IF(D66="", "",D66-D51))</f>
        <v>2138.434788</v>
      </c>
      <c r="I66" s="15">
        <f>IF(D66="", "", IF(E66="", "",E66-E51))</f>
        <v>-73718.419537999987</v>
      </c>
    </row>
    <row r="67" spans="1:9" x14ac:dyDescent="0.25">
      <c r="A67" s="11"/>
      <c r="B67" s="11" t="s">
        <v>10</v>
      </c>
      <c r="C67" s="12">
        <v>0</v>
      </c>
      <c r="D67" s="13">
        <v>1446.3449330000001</v>
      </c>
      <c r="E67" s="14">
        <f>E66+C67-D67</f>
        <v>223946.95893000011</v>
      </c>
      <c r="F67" s="11"/>
      <c r="G67" s="11" t="s">
        <v>10</v>
      </c>
      <c r="H67" s="15">
        <f>IF(C67="", "", IF(D67="", "",D67-D52))</f>
        <v>-399.47624899999983</v>
      </c>
      <c r="I67" s="15">
        <f>IF(D67="", "", IF(E67="", "",E67-E52))</f>
        <v>-73318.943288999988</v>
      </c>
    </row>
    <row r="68" spans="1:9" x14ac:dyDescent="0.25">
      <c r="A68" s="11"/>
      <c r="B68" s="11" t="s">
        <v>11</v>
      </c>
      <c r="C68" s="12">
        <v>238.9</v>
      </c>
      <c r="D68" s="13">
        <v>350.90008899999998</v>
      </c>
      <c r="E68" s="14">
        <f>E67+C68-D68</f>
        <v>223834.9588410001</v>
      </c>
      <c r="F68" s="11"/>
      <c r="G68" s="11" t="s">
        <v>11</v>
      </c>
      <c r="H68" s="15">
        <f>IF(C68="", "", IF(D68="", "",D68-D53))</f>
        <v>-1837.768417</v>
      </c>
      <c r="I68" s="15">
        <f>IF(D68="", "", IF(E68="", "",E68-E53))</f>
        <v>-71242.27487199998</v>
      </c>
    </row>
    <row r="69" spans="1:9" x14ac:dyDescent="0.25">
      <c r="A69" s="11"/>
      <c r="B69" s="11" t="s">
        <v>12</v>
      </c>
      <c r="C69" s="12">
        <v>0</v>
      </c>
      <c r="D69" s="13">
        <v>622.25997600000005</v>
      </c>
      <c r="E69" s="14">
        <f>E68+C69-D69</f>
        <v>223212.6988650001</v>
      </c>
      <c r="F69" s="11"/>
      <c r="G69" s="11" t="s">
        <v>12</v>
      </c>
      <c r="H69" s="15">
        <f>IF(C69="", "", IF(D69="", "",D69-D54))</f>
        <v>-2349.9414219999999</v>
      </c>
      <c r="I69" s="15">
        <f>IF(D69="", "", IF(E69="", "",E69-E54))</f>
        <v>-68892.333449999976</v>
      </c>
    </row>
    <row r="70" spans="1:9" x14ac:dyDescent="0.25">
      <c r="A70" s="11"/>
      <c r="B70" s="11" t="s">
        <v>13</v>
      </c>
      <c r="C70" s="12">
        <v>0</v>
      </c>
      <c r="D70" s="13">
        <v>518.86410599999999</v>
      </c>
      <c r="E70" s="14">
        <f>E69+C70-D70</f>
        <v>222693.83475900011</v>
      </c>
      <c r="F70" s="11"/>
      <c r="G70" s="11" t="s">
        <v>13</v>
      </c>
      <c r="H70" s="15">
        <f>IF(C70="", "", IF(D70="", "",D70-D55))</f>
        <v>-1880.7331629999999</v>
      </c>
      <c r="I70" s="15">
        <f>IF(D70="", "", IF(E70="", "",E70-E55))</f>
        <v>-67011.60028699995</v>
      </c>
    </row>
    <row r="71" spans="1:9" x14ac:dyDescent="0.25">
      <c r="A71" s="11"/>
      <c r="B71" s="11" t="s">
        <v>14</v>
      </c>
      <c r="C71" s="12">
        <v>0</v>
      </c>
      <c r="D71" s="13">
        <v>2173.9998620000001</v>
      </c>
      <c r="E71" s="14">
        <f>E70+C71-D71</f>
        <v>220519.83489700011</v>
      </c>
      <c r="F71" s="11"/>
      <c r="G71" s="11" t="s">
        <v>14</v>
      </c>
      <c r="H71" s="15">
        <f>IF(C71="", "", IF(D71="", "",D71-D56))</f>
        <v>-33820.785640000002</v>
      </c>
      <c r="I71" s="15">
        <f>IF(D71="", "", IF(E71="", "",E71-E56))</f>
        <v>-54698.464646999957</v>
      </c>
    </row>
    <row r="72" spans="1:9" x14ac:dyDescent="0.25">
      <c r="A72" s="11"/>
      <c r="B72" s="11" t="s">
        <v>15</v>
      </c>
      <c r="C72" s="12">
        <v>0</v>
      </c>
      <c r="D72" s="13">
        <v>743.16908899999999</v>
      </c>
      <c r="E72" s="14">
        <f>E71+C72-D72</f>
        <v>219776.66580800011</v>
      </c>
      <c r="F72" s="11"/>
      <c r="G72" s="11" t="s">
        <v>15</v>
      </c>
      <c r="H72" s="15">
        <f>IF(C72="", "", IF(D72="", "",D72-D57))</f>
        <v>-25961.88247</v>
      </c>
      <c r="I72" s="15">
        <f>IF(D72="", "", IF(E72="", "",E72-E57))</f>
        <v>-28736.582176999975</v>
      </c>
    </row>
    <row r="73" spans="1:9" x14ac:dyDescent="0.25">
      <c r="A73" s="11"/>
      <c r="B73" s="11" t="s">
        <v>16</v>
      </c>
      <c r="C73" s="12">
        <v>834.96</v>
      </c>
      <c r="D73" s="13">
        <v>1203.858704</v>
      </c>
      <c r="E73" s="14">
        <f>E72+C73-D73</f>
        <v>219407.76710400009</v>
      </c>
      <c r="F73" s="11"/>
      <c r="G73" s="11" t="s">
        <v>16</v>
      </c>
      <c r="H73" s="15">
        <f>IF(C73="", "", IF(D73="", "",D73-D58))</f>
        <v>-21069.649094</v>
      </c>
      <c r="I73" s="15">
        <f>IF(D73="", "", IF(E73="", "",E73-E58))</f>
        <v>-28637.803083000006</v>
      </c>
    </row>
    <row r="74" spans="1:9" x14ac:dyDescent="0.25">
      <c r="A74" s="11"/>
      <c r="B74" s="11" t="s">
        <v>17</v>
      </c>
      <c r="C74" s="12">
        <v>0</v>
      </c>
      <c r="D74" s="13">
        <v>1041.237263</v>
      </c>
      <c r="E74" s="14">
        <f>E73+C74-D74</f>
        <v>218366.5298410001</v>
      </c>
      <c r="F74" s="11"/>
      <c r="G74" s="11" t="s">
        <v>17</v>
      </c>
      <c r="H74" s="15">
        <f>IF(C74="", "", IF(D74="", "",D74-D59))</f>
        <v>-7856.9244649999991</v>
      </c>
      <c r="I74" s="15">
        <f>IF(D74="", "", IF(E74="", "",E74-E59))</f>
        <v>-20780.878617999988</v>
      </c>
    </row>
    <row r="75" spans="1:9" x14ac:dyDescent="0.25">
      <c r="A75" s="16"/>
      <c r="B75" s="16" t="s">
        <v>18</v>
      </c>
      <c r="C75" s="17">
        <v>0</v>
      </c>
      <c r="D75" s="18">
        <v>91.752618999999996</v>
      </c>
      <c r="E75" s="19">
        <f>E74+C75-D75</f>
        <v>218274.77722200009</v>
      </c>
      <c r="F75" s="16"/>
      <c r="G75" s="16" t="s">
        <v>18</v>
      </c>
      <c r="H75" s="20">
        <f>IF(C75="", "", IF(D75="", "",D75-D60))</f>
        <v>-3629.6814220000001</v>
      </c>
      <c r="I75" s="20">
        <f>IF(D75="", "", IF(E75="", "",E75-E60))</f>
        <v>-17151.197195999994</v>
      </c>
    </row>
    <row r="76" spans="1:9" s="2" customFormat="1" x14ac:dyDescent="0.25">
      <c r="A76" s="21"/>
      <c r="B76" s="21" t="s">
        <v>19</v>
      </c>
      <c r="C76" s="22">
        <f>SUM(C64:C75)</f>
        <v>1769.74</v>
      </c>
      <c r="D76" s="23">
        <f>SUM(D64:D75)</f>
        <v>18920.937195999995</v>
      </c>
      <c r="E76" s="14"/>
      <c r="F76" s="21"/>
      <c r="G76" s="21"/>
      <c r="H76" s="14">
        <f>SUMIF(C64:C75,"&gt;=0",H64:H75)</f>
        <v>-94859.218934999997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147.47833333333332</v>
      </c>
      <c r="D77" s="23">
        <f>AVERAGE(D64:D75)</f>
        <v>1576.744766333333</v>
      </c>
      <c r="E77" s="24">
        <f>C77/D77-1</f>
        <v>-0.90646657817911191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218274.77722200009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218274.77722200009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218274.77722200009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218274.77722200009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218274.77722200009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218274.77722200009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218274.77722200009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218274.77722200009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218274.77722200009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218274.77722200009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218274.77722200009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218274.77722200009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218274.77722200009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63BFA-F5DE-4F56-91F9-B43EEBB4AF5D}">
  <sheetPr codeName="Sheet9"/>
  <dimension ref="A2:I92"/>
  <sheetViews>
    <sheetView topLeftCell="A72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</cols>
  <sheetData>
    <row r="2" spans="1:9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9" x14ac:dyDescent="0.25">
      <c r="A3" s="11"/>
      <c r="B3" s="11"/>
      <c r="C3" s="12"/>
      <c r="D3" s="13"/>
      <c r="E3" s="14">
        <v>54820.125169999999</v>
      </c>
      <c r="F3" s="11"/>
      <c r="G3" s="11"/>
      <c r="H3" s="15"/>
      <c r="I3" s="15"/>
    </row>
    <row r="4" spans="1:9" x14ac:dyDescent="0.25">
      <c r="A4" s="11">
        <v>2019</v>
      </c>
      <c r="B4" s="11" t="s">
        <v>7</v>
      </c>
      <c r="C4" s="12">
        <v>23604.78</v>
      </c>
      <c r="D4" s="13">
        <v>16578.221474000002</v>
      </c>
      <c r="E4" s="14">
        <f>E3+C4-D4</f>
        <v>61846.683695999993</v>
      </c>
      <c r="F4" s="11"/>
      <c r="G4" s="11" t="s">
        <v>7</v>
      </c>
      <c r="H4" s="15"/>
      <c r="I4" s="15"/>
    </row>
    <row r="5" spans="1:9" x14ac:dyDescent="0.25">
      <c r="A5" s="11"/>
      <c r="B5" s="11" t="s">
        <v>8</v>
      </c>
      <c r="C5" s="12">
        <v>24629.58</v>
      </c>
      <c r="D5" s="13">
        <v>24570.321047000001</v>
      </c>
      <c r="E5" s="14">
        <f>E4+C5-D5</f>
        <v>61905.94264899999</v>
      </c>
      <c r="F5" s="11"/>
      <c r="G5" s="11" t="s">
        <v>8</v>
      </c>
      <c r="H5" s="15"/>
      <c r="I5" s="15"/>
    </row>
    <row r="6" spans="1:9" x14ac:dyDescent="0.25">
      <c r="A6" s="11"/>
      <c r="B6" s="11" t="s">
        <v>9</v>
      </c>
      <c r="C6" s="12">
        <v>109927.53999799999</v>
      </c>
      <c r="D6" s="13">
        <v>26296.412840000001</v>
      </c>
      <c r="E6" s="14">
        <f>E5+C6-D6</f>
        <v>145537.06980699999</v>
      </c>
      <c r="F6" s="11"/>
      <c r="G6" s="11" t="s">
        <v>9</v>
      </c>
      <c r="H6" s="15"/>
      <c r="I6" s="15"/>
    </row>
    <row r="7" spans="1:9" x14ac:dyDescent="0.25">
      <c r="A7" s="11"/>
      <c r="B7" s="11" t="s">
        <v>10</v>
      </c>
      <c r="C7" s="12">
        <v>21631.14</v>
      </c>
      <c r="D7" s="13">
        <v>30556.488073</v>
      </c>
      <c r="E7" s="14">
        <f>E6+C7-D7</f>
        <v>136611.72173400002</v>
      </c>
      <c r="F7" s="11"/>
      <c r="G7" s="11" t="s">
        <v>10</v>
      </c>
      <c r="H7" s="15"/>
      <c r="I7" s="15"/>
    </row>
    <row r="8" spans="1:9" x14ac:dyDescent="0.25">
      <c r="A8" s="11"/>
      <c r="B8" s="11" t="s">
        <v>11</v>
      </c>
      <c r="C8" s="12">
        <v>40929.019998000003</v>
      </c>
      <c r="D8" s="13">
        <v>39340.481290000003</v>
      </c>
      <c r="E8" s="14">
        <f>E7+C8-D8</f>
        <v>138200.26044200003</v>
      </c>
      <c r="F8" s="11"/>
      <c r="G8" s="11" t="s">
        <v>11</v>
      </c>
      <c r="H8" s="15"/>
      <c r="I8" s="15"/>
    </row>
    <row r="9" spans="1:9" x14ac:dyDescent="0.25">
      <c r="A9" s="11"/>
      <c r="B9" s="11" t="s">
        <v>12</v>
      </c>
      <c r="C9" s="12">
        <v>51161.82</v>
      </c>
      <c r="D9" s="13">
        <v>34363.563794000002</v>
      </c>
      <c r="E9" s="14">
        <f>E8+C9-D9</f>
        <v>154998.51664800005</v>
      </c>
      <c r="F9" s="11"/>
      <c r="G9" s="11" t="s">
        <v>12</v>
      </c>
      <c r="H9" s="15"/>
      <c r="I9" s="15"/>
    </row>
    <row r="10" spans="1:9" x14ac:dyDescent="0.25">
      <c r="A10" s="11"/>
      <c r="B10" s="11" t="s">
        <v>13</v>
      </c>
      <c r="C10" s="12">
        <v>102744.299988</v>
      </c>
      <c r="D10" s="13">
        <v>49393.050898000001</v>
      </c>
      <c r="E10" s="14">
        <f>E9+C10-D10</f>
        <v>208349.76573800005</v>
      </c>
      <c r="F10" s="11"/>
      <c r="G10" s="11" t="s">
        <v>13</v>
      </c>
      <c r="H10" s="15"/>
      <c r="I10" s="15"/>
    </row>
    <row r="11" spans="1:9" x14ac:dyDescent="0.25">
      <c r="A11" s="11"/>
      <c r="B11" s="11" t="s">
        <v>14</v>
      </c>
      <c r="C11" s="12">
        <v>9268.7099999999991</v>
      </c>
      <c r="D11" s="13">
        <v>37413.367536999998</v>
      </c>
      <c r="E11" s="14">
        <f>E10+C11-D11</f>
        <v>180205.10820100002</v>
      </c>
      <c r="F11" s="11"/>
      <c r="G11" s="11" t="s">
        <v>14</v>
      </c>
      <c r="H11" s="15"/>
      <c r="I11" s="15"/>
    </row>
    <row r="12" spans="1:9" x14ac:dyDescent="0.25">
      <c r="A12" s="11"/>
      <c r="B12" s="11" t="s">
        <v>15</v>
      </c>
      <c r="C12" s="12">
        <v>45457.89</v>
      </c>
      <c r="D12" s="13">
        <v>51130.712270000004</v>
      </c>
      <c r="E12" s="14">
        <f>E11+C12-D12</f>
        <v>174532.28593100002</v>
      </c>
      <c r="F12" s="11"/>
      <c r="G12" s="11" t="s">
        <v>15</v>
      </c>
      <c r="H12" s="15"/>
      <c r="I12" s="15"/>
    </row>
    <row r="13" spans="1:9" x14ac:dyDescent="0.25">
      <c r="A13" s="11"/>
      <c r="B13" s="11" t="s">
        <v>16</v>
      </c>
      <c r="C13" s="12">
        <v>63636.74</v>
      </c>
      <c r="D13" s="13">
        <v>68040.258998000005</v>
      </c>
      <c r="E13" s="14">
        <f>E12+C13-D13</f>
        <v>170128.76693300001</v>
      </c>
      <c r="F13" s="11"/>
      <c r="G13" s="11" t="s">
        <v>16</v>
      </c>
      <c r="H13" s="15"/>
      <c r="I13" s="15"/>
    </row>
    <row r="14" spans="1:9" x14ac:dyDescent="0.25">
      <c r="A14" s="11"/>
      <c r="B14" s="11" t="s">
        <v>17</v>
      </c>
      <c r="C14" s="12">
        <v>52435.77</v>
      </c>
      <c r="D14" s="13">
        <v>58246.534394000002</v>
      </c>
      <c r="E14" s="14">
        <f>E13+C14-D14</f>
        <v>164318.00253900001</v>
      </c>
      <c r="F14" s="11"/>
      <c r="G14" s="11" t="s">
        <v>17</v>
      </c>
      <c r="H14" s="15"/>
      <c r="I14" s="15"/>
    </row>
    <row r="15" spans="1:9" x14ac:dyDescent="0.25">
      <c r="A15" s="16"/>
      <c r="B15" s="16" t="s">
        <v>18</v>
      </c>
      <c r="C15" s="17">
        <v>0</v>
      </c>
      <c r="D15" s="18">
        <v>37648.066827000002</v>
      </c>
      <c r="E15" s="19">
        <f>E14+C15-D15</f>
        <v>126669.93571200001</v>
      </c>
      <c r="F15" s="16"/>
      <c r="G15" s="16" t="s">
        <v>18</v>
      </c>
      <c r="H15" s="20"/>
      <c r="I15" s="20"/>
    </row>
    <row r="16" spans="1:9" s="2" customFormat="1" x14ac:dyDescent="0.25">
      <c r="A16" s="21"/>
      <c r="B16" s="21" t="s">
        <v>19</v>
      </c>
      <c r="C16" s="22">
        <f>SUM(C4:C15)</f>
        <v>545427.28998400003</v>
      </c>
      <c r="D16" s="23">
        <f>SUM(D4:D15)</f>
        <v>473577.47944200004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45452.274165333336</v>
      </c>
      <c r="D17" s="23">
        <f>AVERAGE(D4:D15)</f>
        <v>39464.789953500003</v>
      </c>
      <c r="E17" s="24">
        <f>C17/D17-1</f>
        <v>0.15171711844629554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126669.93571200001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63148.669997999998</v>
      </c>
      <c r="D19" s="27">
        <v>34443.923816000002</v>
      </c>
      <c r="E19" s="28">
        <f>E18+C19-D19</f>
        <v>155374.68189400001</v>
      </c>
      <c r="F19" s="25"/>
      <c r="G19" s="25" t="s">
        <v>7</v>
      </c>
      <c r="H19" s="29">
        <f>IF(C19="", "", IF(D19="", "",D19-D4))</f>
        <v>17865.702342</v>
      </c>
      <c r="I19" s="29">
        <f>IF(D19="", "", IF(E19="", "",E19-E4))</f>
        <v>93527.998198000016</v>
      </c>
    </row>
    <row r="20" spans="1:9" x14ac:dyDescent="0.25">
      <c r="A20" s="25"/>
      <c r="B20" s="25" t="s">
        <v>8</v>
      </c>
      <c r="C20" s="26">
        <v>49454.03</v>
      </c>
      <c r="D20" s="27">
        <v>43972.121360999998</v>
      </c>
      <c r="E20" s="28">
        <f>E19+C20-D20</f>
        <v>160856.59053300001</v>
      </c>
      <c r="F20" s="25"/>
      <c r="G20" s="25" t="s">
        <v>8</v>
      </c>
      <c r="H20" s="29">
        <f>IF(C20="", "", IF(D20="", "",D20-D5))</f>
        <v>19401.800313999996</v>
      </c>
      <c r="I20" s="29">
        <f>IF(D20="", "", IF(E20="", "",E20-E5))</f>
        <v>98950.64788400002</v>
      </c>
    </row>
    <row r="21" spans="1:9" x14ac:dyDescent="0.25">
      <c r="A21" s="25"/>
      <c r="B21" s="25" t="s">
        <v>9</v>
      </c>
      <c r="C21" s="26">
        <v>55766.62</v>
      </c>
      <c r="D21" s="27">
        <v>40073.849784999999</v>
      </c>
      <c r="E21" s="28">
        <f>E20+C21-D21</f>
        <v>176549.36074800001</v>
      </c>
      <c r="F21" s="25"/>
      <c r="G21" s="25" t="s">
        <v>9</v>
      </c>
      <c r="H21" s="29">
        <f>IF(C21="", "", IF(D21="", "",D21-D6))</f>
        <v>13777.436944999998</v>
      </c>
      <c r="I21" s="29">
        <f>IF(D21="", "", IF(E21="", "",E21-E6))</f>
        <v>31012.290941000014</v>
      </c>
    </row>
    <row r="22" spans="1:9" x14ac:dyDescent="0.25">
      <c r="A22" s="25"/>
      <c r="B22" s="25" t="s">
        <v>10</v>
      </c>
      <c r="C22" s="26">
        <v>0</v>
      </c>
      <c r="D22" s="27">
        <v>31332.967823999999</v>
      </c>
      <c r="E22" s="28">
        <f>E21+C22-D22</f>
        <v>145216.39292400001</v>
      </c>
      <c r="F22" s="25"/>
      <c r="G22" s="25" t="s">
        <v>10</v>
      </c>
      <c r="H22" s="29">
        <f>IF(C22="", "", IF(D22="", "",D22-D7))</f>
        <v>776.47975099999894</v>
      </c>
      <c r="I22" s="29">
        <f>IF(D22="", "", IF(E22="", "",E22-E7))</f>
        <v>8604.6711899999937</v>
      </c>
    </row>
    <row r="23" spans="1:9" x14ac:dyDescent="0.25">
      <c r="A23" s="25"/>
      <c r="B23" s="25" t="s">
        <v>11</v>
      </c>
      <c r="C23" s="26">
        <v>7780.92</v>
      </c>
      <c r="D23" s="27">
        <v>38610.274668999999</v>
      </c>
      <c r="E23" s="28">
        <f>E22+C23-D23</f>
        <v>114387.03825500002</v>
      </c>
      <c r="F23" s="25"/>
      <c r="G23" s="25" t="s">
        <v>11</v>
      </c>
      <c r="H23" s="29">
        <f>IF(C23="", "", IF(D23="", "",D23-D8))</f>
        <v>-730.20662100000482</v>
      </c>
      <c r="I23" s="29">
        <f>IF(D23="", "", IF(E23="", "",E23-E8))</f>
        <v>-23813.222187000007</v>
      </c>
    </row>
    <row r="24" spans="1:9" x14ac:dyDescent="0.25">
      <c r="A24" s="25"/>
      <c r="B24" s="25" t="s">
        <v>12</v>
      </c>
      <c r="C24" s="26">
        <v>39631.142616999998</v>
      </c>
      <c r="D24" s="27">
        <v>43304.502032999997</v>
      </c>
      <c r="E24" s="28">
        <f>E23+C24-D24</f>
        <v>110713.67883900003</v>
      </c>
      <c r="F24" s="25"/>
      <c r="G24" s="25" t="s">
        <v>12</v>
      </c>
      <c r="H24" s="29">
        <f>IF(C24="", "", IF(D24="", "",D24-D9))</f>
        <v>8940.9382389999955</v>
      </c>
      <c r="I24" s="29">
        <f>IF(D24="", "", IF(E24="", "",E24-E9))</f>
        <v>-44284.837809000019</v>
      </c>
    </row>
    <row r="25" spans="1:9" x14ac:dyDescent="0.25">
      <c r="A25" s="25"/>
      <c r="B25" s="25" t="s">
        <v>13</v>
      </c>
      <c r="C25" s="26">
        <v>63912.91</v>
      </c>
      <c r="D25" s="27">
        <v>53185.599086000002</v>
      </c>
      <c r="E25" s="28">
        <f>E24+C25-D25</f>
        <v>121440.98975300003</v>
      </c>
      <c r="F25" s="25"/>
      <c r="G25" s="25" t="s">
        <v>13</v>
      </c>
      <c r="H25" s="29">
        <f>IF(C25="", "", IF(D25="", "",D25-D10))</f>
        <v>3792.5481880000007</v>
      </c>
      <c r="I25" s="29">
        <f>IF(D25="", "", IF(E25="", "",E25-E10))</f>
        <v>-86908.775985000015</v>
      </c>
    </row>
    <row r="26" spans="1:9" x14ac:dyDescent="0.25">
      <c r="A26" s="25"/>
      <c r="B26" s="25" t="s">
        <v>14</v>
      </c>
      <c r="C26" s="26">
        <v>48601</v>
      </c>
      <c r="D26" s="27">
        <v>49046.985014999998</v>
      </c>
      <c r="E26" s="28">
        <f>E25+C26-D26</f>
        <v>120995.00473800003</v>
      </c>
      <c r="F26" s="25"/>
      <c r="G26" s="25" t="s">
        <v>14</v>
      </c>
      <c r="H26" s="29">
        <f>IF(C26="", "", IF(D26="", "",D26-D11))</f>
        <v>11633.617478</v>
      </c>
      <c r="I26" s="29">
        <f>IF(D26="", "", IF(E26="", "",E26-E11))</f>
        <v>-59210.103462999992</v>
      </c>
    </row>
    <row r="27" spans="1:9" x14ac:dyDescent="0.25">
      <c r="A27" s="25"/>
      <c r="B27" s="25" t="s">
        <v>15</v>
      </c>
      <c r="C27" s="26">
        <v>63028.470909999996</v>
      </c>
      <c r="D27" s="27">
        <v>56221.829533999997</v>
      </c>
      <c r="E27" s="28">
        <f>E26+C27-D27</f>
        <v>127801.64611400003</v>
      </c>
      <c r="F27" s="25"/>
      <c r="G27" s="25" t="s">
        <v>15</v>
      </c>
      <c r="H27" s="29">
        <f>IF(C27="", "", IF(D27="", "",D27-D12))</f>
        <v>5091.1172639999932</v>
      </c>
      <c r="I27" s="29">
        <f>IF(D27="", "", IF(E27="", "",E27-E12))</f>
        <v>-46730.639816999988</v>
      </c>
    </row>
    <row r="28" spans="1:9" x14ac:dyDescent="0.25">
      <c r="A28" s="25"/>
      <c r="B28" s="25" t="s">
        <v>16</v>
      </c>
      <c r="C28" s="26">
        <v>46700.74</v>
      </c>
      <c r="D28" s="27">
        <v>53829.064337999996</v>
      </c>
      <c r="E28" s="28">
        <f>E27+C28-D28</f>
        <v>120673.32177600003</v>
      </c>
      <c r="F28" s="25"/>
      <c r="G28" s="25" t="s">
        <v>16</v>
      </c>
      <c r="H28" s="29">
        <f>IF(C28="", "", IF(D28="", "",D28-D13))</f>
        <v>-14211.194660000008</v>
      </c>
      <c r="I28" s="29">
        <f>IF(D28="", "", IF(E28="", "",E28-E13))</f>
        <v>-49455.44515699998</v>
      </c>
    </row>
    <row r="29" spans="1:9" x14ac:dyDescent="0.25">
      <c r="A29" s="25"/>
      <c r="B29" s="25" t="s">
        <v>17</v>
      </c>
      <c r="C29" s="26">
        <v>84108.3</v>
      </c>
      <c r="D29" s="27">
        <v>55036.538392000002</v>
      </c>
      <c r="E29" s="28">
        <f>E28+C29-D29</f>
        <v>149745.083384</v>
      </c>
      <c r="F29" s="25"/>
      <c r="G29" s="25" t="s">
        <v>17</v>
      </c>
      <c r="H29" s="29">
        <f>IF(C29="", "", IF(D29="", "",D29-D14))</f>
        <v>-3209.9960019999999</v>
      </c>
      <c r="I29" s="29">
        <f>IF(D29="", "", IF(E29="", "",E29-E14))</f>
        <v>-14572.919155000011</v>
      </c>
    </row>
    <row r="30" spans="1:9" x14ac:dyDescent="0.25">
      <c r="A30" s="30"/>
      <c r="B30" s="30" t="s">
        <v>18</v>
      </c>
      <c r="C30" s="31">
        <v>15243.4</v>
      </c>
      <c r="D30" s="32">
        <v>44217.264582000003</v>
      </c>
      <c r="E30" s="33">
        <f>E29+C30-D30</f>
        <v>120771.21880199999</v>
      </c>
      <c r="F30" s="30"/>
      <c r="G30" s="30" t="s">
        <v>18</v>
      </c>
      <c r="H30" s="34">
        <f>IF(C30="", "", IF(D30="", "",D30-D15))</f>
        <v>6569.1977550000011</v>
      </c>
      <c r="I30" s="34">
        <f>IF(D30="", "", IF(E30="", "",E30-E15))</f>
        <v>-5898.7169100000174</v>
      </c>
    </row>
    <row r="31" spans="1:9" s="2" customFormat="1" x14ac:dyDescent="0.25">
      <c r="A31" s="35"/>
      <c r="B31" s="35" t="s">
        <v>19</v>
      </c>
      <c r="C31" s="36">
        <f>SUM(C19:C30)</f>
        <v>537376.20352500002</v>
      </c>
      <c r="D31" s="37">
        <f>SUM(D19:D30)</f>
        <v>543274.92043499998</v>
      </c>
      <c r="E31" s="28"/>
      <c r="F31" s="35"/>
      <c r="G31" s="35"/>
      <c r="H31" s="28">
        <f>SUMIF(C19:C30,"&gt;=0",H19:H30)</f>
        <v>69697.440992999967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44781.350293750002</v>
      </c>
      <c r="D32" s="37">
        <f>AVERAGE(D19:D30)</f>
        <v>45272.910036249996</v>
      </c>
      <c r="E32" s="38">
        <f>C32/D32-1</f>
        <v>-1.0857701484318194E-2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120771.21880199999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40513.32</v>
      </c>
      <c r="D34" s="13">
        <v>50540.981340999999</v>
      </c>
      <c r="E34" s="14">
        <f>E33+C34-D34</f>
        <v>110743.55746099999</v>
      </c>
      <c r="F34" s="11"/>
      <c r="G34" s="11" t="s">
        <v>7</v>
      </c>
      <c r="H34" s="15">
        <f>IF(C34="", "", IF(D34="", "",D34-D19))</f>
        <v>16097.057524999997</v>
      </c>
      <c r="I34" s="15">
        <f>IF(D34="", "", IF(E34="", "",E34-E19))</f>
        <v>-44631.124433000019</v>
      </c>
    </row>
    <row r="35" spans="1:9" x14ac:dyDescent="0.25">
      <c r="A35" s="11"/>
      <c r="B35" s="11" t="s">
        <v>8</v>
      </c>
      <c r="C35" s="12">
        <v>74839.42</v>
      </c>
      <c r="D35" s="13">
        <v>65393.192880000002</v>
      </c>
      <c r="E35" s="14">
        <f>E34+C35-D35</f>
        <v>120189.78458099997</v>
      </c>
      <c r="F35" s="11"/>
      <c r="G35" s="11" t="s">
        <v>8</v>
      </c>
      <c r="H35" s="15">
        <f>IF(C35="", "", IF(D35="", "",D35-D20))</f>
        <v>21421.071519000005</v>
      </c>
      <c r="I35" s="15">
        <f>IF(D35="", "", IF(E35="", "",E35-E20))</f>
        <v>-40666.805952000039</v>
      </c>
    </row>
    <row r="36" spans="1:9" x14ac:dyDescent="0.25">
      <c r="A36" s="11"/>
      <c r="B36" s="11" t="s">
        <v>9</v>
      </c>
      <c r="C36" s="12">
        <v>98346.989767000006</v>
      </c>
      <c r="D36" s="13">
        <v>61405.906781999998</v>
      </c>
      <c r="E36" s="14">
        <f>E35+C36-D36</f>
        <v>157130.86756599997</v>
      </c>
      <c r="F36" s="11"/>
      <c r="G36" s="11" t="s">
        <v>9</v>
      </c>
      <c r="H36" s="15">
        <f>IF(C36="", "", IF(D36="", "",D36-D21))</f>
        <v>21332.056997</v>
      </c>
      <c r="I36" s="15">
        <f>IF(D36="", "", IF(E36="", "",E36-E21))</f>
        <v>-19418.493182000035</v>
      </c>
    </row>
    <row r="37" spans="1:9" x14ac:dyDescent="0.25">
      <c r="A37" s="11"/>
      <c r="B37" s="11" t="s">
        <v>10</v>
      </c>
      <c r="C37" s="12">
        <v>96942.16</v>
      </c>
      <c r="D37" s="13">
        <v>78286.438477999996</v>
      </c>
      <c r="E37" s="14">
        <f>E36+C37-D37</f>
        <v>175786.58908799998</v>
      </c>
      <c r="F37" s="11"/>
      <c r="G37" s="11" t="s">
        <v>10</v>
      </c>
      <c r="H37" s="15">
        <f>IF(C37="", "", IF(D37="", "",D37-D22))</f>
        <v>46953.470653999997</v>
      </c>
      <c r="I37" s="15">
        <f>IF(D37="", "", IF(E37="", "",E37-E22))</f>
        <v>30570.196163999964</v>
      </c>
    </row>
    <row r="38" spans="1:9" x14ac:dyDescent="0.25">
      <c r="A38" s="11"/>
      <c r="B38" s="11" t="s">
        <v>11</v>
      </c>
      <c r="C38" s="12">
        <v>42240.51</v>
      </c>
      <c r="D38" s="13">
        <v>72357.638309999995</v>
      </c>
      <c r="E38" s="14">
        <f>E37+C38-D38</f>
        <v>145669.46077800001</v>
      </c>
      <c r="F38" s="11"/>
      <c r="G38" s="11" t="s">
        <v>11</v>
      </c>
      <c r="H38" s="15">
        <f>IF(C38="", "", IF(D38="", "",D38-D23))</f>
        <v>33747.363640999996</v>
      </c>
      <c r="I38" s="15">
        <f>IF(D38="", "", IF(E38="", "",E38-E23))</f>
        <v>31282.422522999987</v>
      </c>
    </row>
    <row r="39" spans="1:9" x14ac:dyDescent="0.25">
      <c r="A39" s="11"/>
      <c r="B39" s="11" t="s">
        <v>12</v>
      </c>
      <c r="C39" s="12">
        <v>98296.065000000002</v>
      </c>
      <c r="D39" s="13">
        <v>71709.276337000003</v>
      </c>
      <c r="E39" s="14">
        <f>E38+C39-D39</f>
        <v>172256.24944099999</v>
      </c>
      <c r="F39" s="11"/>
      <c r="G39" s="11" t="s">
        <v>12</v>
      </c>
      <c r="H39" s="15">
        <f>IF(C39="", "", IF(D39="", "",D39-D24))</f>
        <v>28404.774304000006</v>
      </c>
      <c r="I39" s="15">
        <f>IF(D39="", "", IF(E39="", "",E39-E24))</f>
        <v>61542.570601999963</v>
      </c>
    </row>
    <row r="40" spans="1:9" x14ac:dyDescent="0.25">
      <c r="A40" s="11"/>
      <c r="B40" s="11" t="s">
        <v>13</v>
      </c>
      <c r="C40" s="12">
        <v>57606.95</v>
      </c>
      <c r="D40" s="13">
        <v>56587.755299999997</v>
      </c>
      <c r="E40" s="14">
        <f>E39+C40-D40</f>
        <v>173275.44414100001</v>
      </c>
      <c r="F40" s="11"/>
      <c r="G40" s="11" t="s">
        <v>13</v>
      </c>
      <c r="H40" s="15">
        <f>IF(C40="", "", IF(D40="", "",D40-D25))</f>
        <v>3402.1562139999951</v>
      </c>
      <c r="I40" s="15">
        <f>IF(D40="", "", IF(E40="", "",E40-E25))</f>
        <v>51834.454387999984</v>
      </c>
    </row>
    <row r="41" spans="1:9" x14ac:dyDescent="0.25">
      <c r="A41" s="11"/>
      <c r="B41" s="11" t="s">
        <v>14</v>
      </c>
      <c r="C41" s="12">
        <v>244825.87</v>
      </c>
      <c r="D41" s="13">
        <v>244065.02314800001</v>
      </c>
      <c r="E41" s="14">
        <f>E40+C41-D41</f>
        <v>174036.29099300003</v>
      </c>
      <c r="F41" s="11"/>
      <c r="G41" s="11" t="s">
        <v>14</v>
      </c>
      <c r="H41" s="15">
        <f>IF(C41="", "", IF(D41="", "",D41-D26))</f>
        <v>195018.03813300002</v>
      </c>
      <c r="I41" s="15">
        <f>IF(D41="", "", IF(E41="", "",E41-E26))</f>
        <v>53041.286254999999</v>
      </c>
    </row>
    <row r="42" spans="1:9" x14ac:dyDescent="0.25">
      <c r="A42" s="11"/>
      <c r="B42" s="11" t="s">
        <v>15</v>
      </c>
      <c r="C42" s="12">
        <v>98331.58</v>
      </c>
      <c r="D42" s="13">
        <v>74116.227335000003</v>
      </c>
      <c r="E42" s="14">
        <f>E41+C42-D42</f>
        <v>198251.64365800004</v>
      </c>
      <c r="F42" s="11"/>
      <c r="G42" s="11" t="s">
        <v>15</v>
      </c>
      <c r="H42" s="15">
        <f>IF(C42="", "", IF(D42="", "",D42-D27))</f>
        <v>17894.397801000006</v>
      </c>
      <c r="I42" s="15">
        <f>IF(D42="", "", IF(E42="", "",E42-E27))</f>
        <v>70449.997544000013</v>
      </c>
    </row>
    <row r="43" spans="1:9" x14ac:dyDescent="0.25">
      <c r="A43" s="11"/>
      <c r="B43" s="11" t="s">
        <v>16</v>
      </c>
      <c r="C43" s="12">
        <v>696071.24476699997</v>
      </c>
      <c r="D43" s="13">
        <v>615098.45115500002</v>
      </c>
      <c r="E43" s="14">
        <f>E42+C43-D43</f>
        <v>279224.43726999999</v>
      </c>
      <c r="F43" s="11"/>
      <c r="G43" s="11" t="s">
        <v>16</v>
      </c>
      <c r="H43" s="15">
        <f>IF(C43="", "", IF(D43="", "",D43-D28))</f>
        <v>561269.38681699999</v>
      </c>
      <c r="I43" s="15">
        <f>IF(D43="", "", IF(E43="", "",E43-E28))</f>
        <v>158551.11549399997</v>
      </c>
    </row>
    <row r="44" spans="1:9" x14ac:dyDescent="0.25">
      <c r="A44" s="11"/>
      <c r="B44" s="11" t="s">
        <v>17</v>
      </c>
      <c r="C44" s="12">
        <v>17026.72</v>
      </c>
      <c r="D44" s="13">
        <v>37130.49338</v>
      </c>
      <c r="E44" s="14">
        <f>E43+C44-D44</f>
        <v>259120.66388999997</v>
      </c>
      <c r="F44" s="11"/>
      <c r="G44" s="11" t="s">
        <v>17</v>
      </c>
      <c r="H44" s="15">
        <f>IF(C44="", "", IF(D44="", "",D44-D29))</f>
        <v>-17906.045012000002</v>
      </c>
      <c r="I44" s="15">
        <f>IF(D44="", "", IF(E44="", "",E44-E29))</f>
        <v>109375.58050599997</v>
      </c>
    </row>
    <row r="45" spans="1:9" x14ac:dyDescent="0.25">
      <c r="A45" s="16"/>
      <c r="B45" s="16" t="s">
        <v>18</v>
      </c>
      <c r="C45" s="17">
        <v>45605.53</v>
      </c>
      <c r="D45" s="18">
        <v>89934.171732999996</v>
      </c>
      <c r="E45" s="19">
        <f>E44+C45-D45</f>
        <v>214792.022157</v>
      </c>
      <c r="F45" s="16"/>
      <c r="G45" s="16" t="s">
        <v>18</v>
      </c>
      <c r="H45" s="20">
        <f>IF(C45="", "", IF(D45="", "",D45-D30))</f>
        <v>45716.907150999992</v>
      </c>
      <c r="I45" s="20">
        <f>IF(D45="", "", IF(E45="", "",E45-E30))</f>
        <v>94020.803355000011</v>
      </c>
    </row>
    <row r="46" spans="1:9" s="2" customFormat="1" x14ac:dyDescent="0.25">
      <c r="A46" s="21"/>
      <c r="B46" s="21" t="s">
        <v>19</v>
      </c>
      <c r="C46" s="22">
        <f>SUM(C34:C45)</f>
        <v>1610646.359534</v>
      </c>
      <c r="D46" s="23">
        <f>SUM(D34:D45)</f>
        <v>1516625.5561789998</v>
      </c>
      <c r="E46" s="14"/>
      <c r="F46" s="21"/>
      <c r="G46" s="21"/>
      <c r="H46" s="14">
        <f>SUMIF(C34:C45,"&gt;=0",H34:H45)</f>
        <v>973350.63574399997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134220.52996116667</v>
      </c>
      <c r="D47" s="23">
        <f>AVERAGE(D34:D45)</f>
        <v>126385.46301491665</v>
      </c>
      <c r="E47" s="24">
        <f>C47/D47-1</f>
        <v>6.1993418858031779E-2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214792.022157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80456.398000000001</v>
      </c>
      <c r="D49" s="27">
        <v>42876.503742000001</v>
      </c>
      <c r="E49" s="28">
        <f>E48+C49-D49</f>
        <v>252371.91641500001</v>
      </c>
      <c r="F49" s="25"/>
      <c r="G49" s="25" t="s">
        <v>7</v>
      </c>
      <c r="H49" s="29">
        <f>IF(C49="", "", IF(D49="", "",D49-D34))</f>
        <v>-7664.477598999998</v>
      </c>
      <c r="I49" s="29">
        <f>IF(D49="", "", IF(E49="", "",E49-E34))</f>
        <v>141628.35895400002</v>
      </c>
    </row>
    <row r="50" spans="1:9" x14ac:dyDescent="0.25">
      <c r="A50" s="25"/>
      <c r="B50" s="25" t="s">
        <v>8</v>
      </c>
      <c r="C50" s="26">
        <v>46934.201999999997</v>
      </c>
      <c r="D50" s="27">
        <v>79828.869653999995</v>
      </c>
      <c r="E50" s="28">
        <f>E49+C50-D50</f>
        <v>219477.24876100005</v>
      </c>
      <c r="F50" s="25"/>
      <c r="G50" s="25" t="s">
        <v>8</v>
      </c>
      <c r="H50" s="29">
        <f>IF(C50="", "", IF(D50="", "",D50-D35))</f>
        <v>14435.676773999992</v>
      </c>
      <c r="I50" s="29">
        <f>IF(D50="", "", IF(E50="", "",E50-E35))</f>
        <v>99287.464180000083</v>
      </c>
    </row>
    <row r="51" spans="1:9" x14ac:dyDescent="0.25">
      <c r="A51" s="25"/>
      <c r="B51" s="25" t="s">
        <v>9</v>
      </c>
      <c r="C51" s="26">
        <v>120675.22</v>
      </c>
      <c r="D51" s="27">
        <v>72143.263162000003</v>
      </c>
      <c r="E51" s="28">
        <f>E50+C51-D51</f>
        <v>268009.2055990001</v>
      </c>
      <c r="F51" s="25"/>
      <c r="G51" s="25" t="s">
        <v>9</v>
      </c>
      <c r="H51" s="29">
        <f>IF(C51="", "", IF(D51="", "",D51-D36))</f>
        <v>10737.356380000005</v>
      </c>
      <c r="I51" s="29">
        <f>IF(D51="", "", IF(E51="", "",E51-E36))</f>
        <v>110878.33803300012</v>
      </c>
    </row>
    <row r="52" spans="1:9" x14ac:dyDescent="0.25">
      <c r="A52" s="25"/>
      <c r="B52" s="25" t="s">
        <v>10</v>
      </c>
      <c r="C52" s="26">
        <v>55220.02</v>
      </c>
      <c r="D52" s="27">
        <v>74185.979844000001</v>
      </c>
      <c r="E52" s="28">
        <f>E51+C52-D52</f>
        <v>249043.2457550001</v>
      </c>
      <c r="F52" s="25"/>
      <c r="G52" s="25" t="s">
        <v>10</v>
      </c>
      <c r="H52" s="29">
        <f>IF(C52="", "", IF(D52="", "",D52-D37))</f>
        <v>-4100.4586339999951</v>
      </c>
      <c r="I52" s="29">
        <f>IF(D52="", "", IF(E52="", "",E52-E37))</f>
        <v>73256.656667000119</v>
      </c>
    </row>
    <row r="53" spans="1:9" x14ac:dyDescent="0.25">
      <c r="A53" s="25"/>
      <c r="B53" s="25" t="s">
        <v>11</v>
      </c>
      <c r="C53" s="26">
        <v>139068.588235</v>
      </c>
      <c r="D53" s="27">
        <v>108751.906995</v>
      </c>
      <c r="E53" s="28">
        <f>E52+C53-D53</f>
        <v>279359.9269950001</v>
      </c>
      <c r="F53" s="25"/>
      <c r="G53" s="25" t="s">
        <v>11</v>
      </c>
      <c r="H53" s="29">
        <f>IF(C53="", "", IF(D53="", "",D53-D38))</f>
        <v>36394.268685000003</v>
      </c>
      <c r="I53" s="29">
        <f>IF(D53="", "", IF(E53="", "",E53-E38))</f>
        <v>133690.4662170001</v>
      </c>
    </row>
    <row r="54" spans="1:9" x14ac:dyDescent="0.25">
      <c r="A54" s="25"/>
      <c r="B54" s="25" t="s">
        <v>12</v>
      </c>
      <c r="C54" s="26">
        <v>63705.97</v>
      </c>
      <c r="D54" s="27">
        <v>70323.154001999996</v>
      </c>
      <c r="E54" s="28">
        <f>E53+C54-D54</f>
        <v>272742.74299300008</v>
      </c>
      <c r="F54" s="25"/>
      <c r="G54" s="25" t="s">
        <v>12</v>
      </c>
      <c r="H54" s="29">
        <f>IF(C54="", "", IF(D54="", "",D54-D39))</f>
        <v>-1386.1223350000073</v>
      </c>
      <c r="I54" s="29">
        <f>IF(D54="", "", IF(E54="", "",E54-E39))</f>
        <v>100486.49355200009</v>
      </c>
    </row>
    <row r="55" spans="1:9" x14ac:dyDescent="0.25">
      <c r="A55" s="25"/>
      <c r="B55" s="25" t="s">
        <v>13</v>
      </c>
      <c r="C55" s="26">
        <v>65642.41</v>
      </c>
      <c r="D55" s="27">
        <v>66807.507379999995</v>
      </c>
      <c r="E55" s="28">
        <f>E54+C55-D55</f>
        <v>271577.64561300015</v>
      </c>
      <c r="F55" s="25"/>
      <c r="G55" s="25" t="s">
        <v>13</v>
      </c>
      <c r="H55" s="29">
        <f>IF(C55="", "", IF(D55="", "",D55-D40))</f>
        <v>10219.752079999998</v>
      </c>
      <c r="I55" s="29">
        <f>IF(D55="", "", IF(E55="", "",E55-E40))</f>
        <v>98302.201472000132</v>
      </c>
    </row>
    <row r="56" spans="1:9" x14ac:dyDescent="0.25">
      <c r="A56" s="25"/>
      <c r="B56" s="25" t="s">
        <v>14</v>
      </c>
      <c r="C56" s="26">
        <v>49139.45</v>
      </c>
      <c r="D56" s="27">
        <v>77044.656690000003</v>
      </c>
      <c r="E56" s="28">
        <f>E55+C56-D56</f>
        <v>243672.43892300015</v>
      </c>
      <c r="F56" s="25"/>
      <c r="G56" s="25" t="s">
        <v>14</v>
      </c>
      <c r="H56" s="29">
        <f>IF(C56="", "", IF(D56="", "",D56-D41))</f>
        <v>-167020.366458</v>
      </c>
      <c r="I56" s="29">
        <f>IF(D56="", "", IF(E56="", "",E56-E41))</f>
        <v>69636.147930000123</v>
      </c>
    </row>
    <row r="57" spans="1:9" x14ac:dyDescent="0.25">
      <c r="A57" s="25"/>
      <c r="B57" s="25" t="s">
        <v>15</v>
      </c>
      <c r="C57" s="26">
        <v>108875.05</v>
      </c>
      <c r="D57" s="27">
        <v>79861.926263000001</v>
      </c>
      <c r="E57" s="28">
        <f>E56+C57-D57</f>
        <v>272685.56266000017</v>
      </c>
      <c r="F57" s="25"/>
      <c r="G57" s="25" t="s">
        <v>15</v>
      </c>
      <c r="H57" s="29">
        <f>IF(C57="", "", IF(D57="", "",D57-D42))</f>
        <v>5745.698927999998</v>
      </c>
      <c r="I57" s="29">
        <f>IF(D57="", "", IF(E57="", "",E57-E42))</f>
        <v>74433.919002000126</v>
      </c>
    </row>
    <row r="58" spans="1:9" x14ac:dyDescent="0.25">
      <c r="A58" s="25"/>
      <c r="B58" s="25" t="s">
        <v>16</v>
      </c>
      <c r="C58" s="26">
        <v>110043.95</v>
      </c>
      <c r="D58" s="27">
        <v>84670.361235000004</v>
      </c>
      <c r="E58" s="28">
        <f>E57+C58-D58</f>
        <v>298059.15142500016</v>
      </c>
      <c r="F58" s="25"/>
      <c r="G58" s="25" t="s">
        <v>16</v>
      </c>
      <c r="H58" s="29">
        <f>IF(C58="", "", IF(D58="", "",D58-D43))</f>
        <v>-530428.08992000006</v>
      </c>
      <c r="I58" s="29">
        <f>IF(D58="", "", IF(E58="", "",E58-E43))</f>
        <v>18834.714155000169</v>
      </c>
    </row>
    <row r="59" spans="1:9" x14ac:dyDescent="0.25">
      <c r="A59" s="25"/>
      <c r="B59" s="25" t="s">
        <v>17</v>
      </c>
      <c r="C59" s="26">
        <v>45508.44</v>
      </c>
      <c r="D59" s="27">
        <v>93640.822692999995</v>
      </c>
      <c r="E59" s="28">
        <f>E58+C59-D59</f>
        <v>249926.76873200017</v>
      </c>
      <c r="F59" s="25"/>
      <c r="G59" s="25" t="s">
        <v>17</v>
      </c>
      <c r="H59" s="29">
        <f>IF(C59="", "", IF(D59="", "",D59-D44))</f>
        <v>56510.329312999995</v>
      </c>
      <c r="I59" s="29">
        <f>IF(D59="", "", IF(E59="", "",E59-E44))</f>
        <v>-9193.8951579997956</v>
      </c>
    </row>
    <row r="60" spans="1:9" x14ac:dyDescent="0.25">
      <c r="A60" s="30"/>
      <c r="B60" s="30" t="s">
        <v>18</v>
      </c>
      <c r="C60" s="31">
        <v>22856.958600000002</v>
      </c>
      <c r="D60" s="32">
        <v>39583.484407000004</v>
      </c>
      <c r="E60" s="33">
        <f>E59+C60-D60</f>
        <v>233200.24292500014</v>
      </c>
      <c r="F60" s="30"/>
      <c r="G60" s="30" t="s">
        <v>18</v>
      </c>
      <c r="H60" s="34">
        <f>IF(C60="", "", IF(D60="", "",D60-D45))</f>
        <v>-50350.687325999992</v>
      </c>
      <c r="I60" s="34">
        <f>IF(D60="", "", IF(E60="", "",E60-E45))</f>
        <v>18408.220768000145</v>
      </c>
    </row>
    <row r="61" spans="1:9" s="2" customFormat="1" x14ac:dyDescent="0.25">
      <c r="A61" s="35"/>
      <c r="B61" s="35" t="s">
        <v>19</v>
      </c>
      <c r="C61" s="36">
        <f>SUM(C49:C60)</f>
        <v>908126.65683500003</v>
      </c>
      <c r="D61" s="37">
        <f>SUM(D49:D60)</f>
        <v>889718.43606699992</v>
      </c>
      <c r="E61" s="28"/>
      <c r="F61" s="35"/>
      <c r="G61" s="35"/>
      <c r="H61" s="28">
        <f>SUMIF(C49:C60,"&gt;=0",H49:H60)</f>
        <v>-626907.12011200003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75677.221402916664</v>
      </c>
      <c r="D62" s="37">
        <f>AVERAGE(D49:D60)</f>
        <v>74143.203005583331</v>
      </c>
      <c r="E62" s="38">
        <f>C62/D62-1</f>
        <v>2.068993967279531E-2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233200.24292500014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73813.14</v>
      </c>
      <c r="D64" s="13">
        <v>47388.890565000002</v>
      </c>
      <c r="E64" s="14">
        <f>E63+C64-D64</f>
        <v>259624.49236000015</v>
      </c>
      <c r="F64" s="11"/>
      <c r="G64" s="11" t="s">
        <v>7</v>
      </c>
      <c r="H64" s="15">
        <f>IF(C64="", "", IF(D64="", "",D64-D49))</f>
        <v>4512.3868230000007</v>
      </c>
      <c r="I64" s="15">
        <f>IF(D64="", "", IF(E64="", "",E64-E49))</f>
        <v>7252.5759450001351</v>
      </c>
    </row>
    <row r="65" spans="1:9" x14ac:dyDescent="0.25">
      <c r="A65" s="11"/>
      <c r="B65" s="11" t="s">
        <v>8</v>
      </c>
      <c r="C65" s="12">
        <v>76155.649999999994</v>
      </c>
      <c r="D65" s="13">
        <v>95405.416045999998</v>
      </c>
      <c r="E65" s="14">
        <f>E64+C65-D65</f>
        <v>240374.72631400017</v>
      </c>
      <c r="F65" s="11"/>
      <c r="G65" s="11" t="s">
        <v>8</v>
      </c>
      <c r="H65" s="15">
        <f>IF(C65="", "", IF(D65="", "",D65-D50))</f>
        <v>15576.546392000004</v>
      </c>
      <c r="I65" s="15">
        <f>IF(D65="", "", IF(E65="", "",E65-E50))</f>
        <v>20897.477553000121</v>
      </c>
    </row>
    <row r="66" spans="1:9" x14ac:dyDescent="0.25">
      <c r="A66" s="11"/>
      <c r="B66" s="11" t="s">
        <v>9</v>
      </c>
      <c r="C66" s="12">
        <v>133550.35999999999</v>
      </c>
      <c r="D66" s="13">
        <v>78223.735293999998</v>
      </c>
      <c r="E66" s="14">
        <f>E65+C66-D66</f>
        <v>295701.35102000018</v>
      </c>
      <c r="F66" s="11"/>
      <c r="G66" s="11" t="s">
        <v>9</v>
      </c>
      <c r="H66" s="15">
        <f>IF(C66="", "", IF(D66="", "",D66-D51))</f>
        <v>6080.4721319999953</v>
      </c>
      <c r="I66" s="15">
        <f>IF(D66="", "", IF(E66="", "",E66-E51))</f>
        <v>27692.145421000081</v>
      </c>
    </row>
    <row r="67" spans="1:9" x14ac:dyDescent="0.25">
      <c r="A67" s="11"/>
      <c r="B67" s="11" t="s">
        <v>10</v>
      </c>
      <c r="C67" s="12">
        <v>57272.38</v>
      </c>
      <c r="D67" s="13">
        <v>66150.210217999993</v>
      </c>
      <c r="E67" s="14">
        <f>E66+C67-D67</f>
        <v>286823.52080200019</v>
      </c>
      <c r="F67" s="11"/>
      <c r="G67" s="11" t="s">
        <v>10</v>
      </c>
      <c r="H67" s="15">
        <f>IF(C67="", "", IF(D67="", "",D67-D52))</f>
        <v>-8035.7696260000084</v>
      </c>
      <c r="I67" s="15">
        <f>IF(D67="", "", IF(E67="", "",E67-E52))</f>
        <v>37780.27504700009</v>
      </c>
    </row>
    <row r="68" spans="1:9" x14ac:dyDescent="0.25">
      <c r="A68" s="11"/>
      <c r="B68" s="11" t="s">
        <v>11</v>
      </c>
      <c r="C68" s="12">
        <v>71125.794999999998</v>
      </c>
      <c r="D68" s="13">
        <v>94546.770950999999</v>
      </c>
      <c r="E68" s="14">
        <f>E67+C68-D68</f>
        <v>263402.54485100019</v>
      </c>
      <c r="F68" s="11"/>
      <c r="G68" s="11" t="s">
        <v>11</v>
      </c>
      <c r="H68" s="15">
        <f>IF(C68="", "", IF(D68="", "",D68-D53))</f>
        <v>-14205.136043999999</v>
      </c>
      <c r="I68" s="15">
        <f>IF(D68="", "", IF(E68="", "",E68-E53))</f>
        <v>-15957.382143999916</v>
      </c>
    </row>
    <row r="69" spans="1:9" x14ac:dyDescent="0.25">
      <c r="A69" s="11"/>
      <c r="B69" s="11" t="s">
        <v>12</v>
      </c>
      <c r="C69" s="12">
        <v>75816.05</v>
      </c>
      <c r="D69" s="13">
        <v>58156.659347000001</v>
      </c>
      <c r="E69" s="14">
        <f>E68+C69-D69</f>
        <v>281061.93550400017</v>
      </c>
      <c r="F69" s="11"/>
      <c r="G69" s="11" t="s">
        <v>12</v>
      </c>
      <c r="H69" s="15">
        <f>IF(C69="", "", IF(D69="", "",D69-D54))</f>
        <v>-12166.494654999995</v>
      </c>
      <c r="I69" s="15">
        <f>IF(D69="", "", IF(E69="", "",E69-E54))</f>
        <v>8319.1925110000884</v>
      </c>
    </row>
    <row r="70" spans="1:9" x14ac:dyDescent="0.25">
      <c r="A70" s="11"/>
      <c r="B70" s="11" t="s">
        <v>13</v>
      </c>
      <c r="C70" s="12">
        <v>66962.64</v>
      </c>
      <c r="D70" s="13">
        <v>67654.836154999997</v>
      </c>
      <c r="E70" s="14">
        <f>E69+C70-D70</f>
        <v>280369.73934900016</v>
      </c>
      <c r="F70" s="11"/>
      <c r="G70" s="11" t="s">
        <v>13</v>
      </c>
      <c r="H70" s="15">
        <f>IF(C70="", "", IF(D70="", "",D70-D55))</f>
        <v>847.32877500000177</v>
      </c>
      <c r="I70" s="15">
        <f>IF(D70="", "", IF(E70="", "",E70-E55))</f>
        <v>8792.0937360000098</v>
      </c>
    </row>
    <row r="71" spans="1:9" x14ac:dyDescent="0.25">
      <c r="A71" s="11"/>
      <c r="B71" s="11" t="s">
        <v>14</v>
      </c>
      <c r="C71" s="12">
        <v>81725.22</v>
      </c>
      <c r="D71" s="13">
        <v>78008.296774000002</v>
      </c>
      <c r="E71" s="14">
        <f>E70+C71-D71</f>
        <v>284086.66257500014</v>
      </c>
      <c r="F71" s="11"/>
      <c r="G71" s="11" t="s">
        <v>14</v>
      </c>
      <c r="H71" s="15">
        <f>IF(C71="", "", IF(D71="", "",D71-D56))</f>
        <v>963.64008399999875</v>
      </c>
      <c r="I71" s="15">
        <f>IF(D71="", "", IF(E71="", "",E71-E56))</f>
        <v>40414.223651999986</v>
      </c>
    </row>
    <row r="72" spans="1:9" x14ac:dyDescent="0.25">
      <c r="A72" s="11"/>
      <c r="B72" s="11" t="s">
        <v>15</v>
      </c>
      <c r="C72" s="12">
        <v>86103.57</v>
      </c>
      <c r="D72" s="13">
        <v>68081.656176000004</v>
      </c>
      <c r="E72" s="14">
        <f>E71+C72-D72</f>
        <v>302108.57639900013</v>
      </c>
      <c r="F72" s="11"/>
      <c r="G72" s="11" t="s">
        <v>15</v>
      </c>
      <c r="H72" s="15">
        <f>IF(C72="", "", IF(D72="", "",D72-D57))</f>
        <v>-11780.270086999997</v>
      </c>
      <c r="I72" s="15">
        <f>IF(D72="", "", IF(E72="", "",E72-E57))</f>
        <v>29423.013738999958</v>
      </c>
    </row>
    <row r="73" spans="1:9" x14ac:dyDescent="0.25">
      <c r="A73" s="11"/>
      <c r="B73" s="11" t="s">
        <v>16</v>
      </c>
      <c r="C73" s="12">
        <v>87104.98</v>
      </c>
      <c r="D73" s="13">
        <v>87780.366949999996</v>
      </c>
      <c r="E73" s="14">
        <f>E72+C73-D73</f>
        <v>301433.18944900011</v>
      </c>
      <c r="F73" s="11"/>
      <c r="G73" s="11" t="s">
        <v>16</v>
      </c>
      <c r="H73" s="15">
        <f>IF(C73="", "", IF(D73="", "",D73-D58))</f>
        <v>3110.0057149999921</v>
      </c>
      <c r="I73" s="15">
        <f>IF(D73="", "", IF(E73="", "",E73-E58))</f>
        <v>3374.0380239999504</v>
      </c>
    </row>
    <row r="74" spans="1:9" x14ac:dyDescent="0.25">
      <c r="A74" s="11"/>
      <c r="B74" s="11" t="s">
        <v>17</v>
      </c>
      <c r="C74" s="12">
        <v>42372.04</v>
      </c>
      <c r="D74" s="13">
        <v>79702.230032000007</v>
      </c>
      <c r="E74" s="14">
        <f>E73+C74-D74</f>
        <v>264102.9994170001</v>
      </c>
      <c r="F74" s="11"/>
      <c r="G74" s="11" t="s">
        <v>17</v>
      </c>
      <c r="H74" s="15">
        <f>IF(C74="", "", IF(D74="", "",D74-D59))</f>
        <v>-13938.592660999988</v>
      </c>
      <c r="I74" s="15">
        <f>IF(D74="", "", IF(E74="", "",E74-E59))</f>
        <v>14176.23068499993</v>
      </c>
    </row>
    <row r="75" spans="1:9" x14ac:dyDescent="0.25">
      <c r="A75" s="16"/>
      <c r="B75" s="16" t="s">
        <v>18</v>
      </c>
      <c r="C75" s="17">
        <v>75686.600000000006</v>
      </c>
      <c r="D75" s="18">
        <v>77614.107850999993</v>
      </c>
      <c r="E75" s="19">
        <f>E74+C75-D75</f>
        <v>262175.4915660001</v>
      </c>
      <c r="F75" s="16"/>
      <c r="G75" s="16" t="s">
        <v>18</v>
      </c>
      <c r="H75" s="20">
        <f>IF(C75="", "", IF(D75="", "",D75-D60))</f>
        <v>38030.62344399999</v>
      </c>
      <c r="I75" s="20">
        <f>IF(D75="", "", IF(E75="", "",E75-E60))</f>
        <v>28975.248640999955</v>
      </c>
    </row>
    <row r="76" spans="1:9" s="2" customFormat="1" x14ac:dyDescent="0.25">
      <c r="A76" s="21"/>
      <c r="B76" s="21" t="s">
        <v>19</v>
      </c>
      <c r="C76" s="22">
        <f>SUM(C64:C75)</f>
        <v>927688.42499999993</v>
      </c>
      <c r="D76" s="23">
        <f>SUM(D64:D75)</f>
        <v>898713.17635900015</v>
      </c>
      <c r="E76" s="14"/>
      <c r="F76" s="21"/>
      <c r="G76" s="21"/>
      <c r="H76" s="14">
        <f>SUMIF(C64:C75,"&gt;=0",H64:H75)</f>
        <v>8994.740291999995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77307.368749999994</v>
      </c>
      <c r="D77" s="23">
        <f>AVERAGE(D64:D75)</f>
        <v>74892.764696583341</v>
      </c>
      <c r="E77" s="24">
        <f>C77/D77-1</f>
        <v>3.2240818765324697E-2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262175.4915660001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262175.4915660001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262175.4915660001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262175.4915660001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262175.4915660001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262175.4915660001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262175.4915660001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262175.4915660001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262175.4915660001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262175.4915660001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262175.4915660001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262175.4915660001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262175.4915660001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72E8D-B1FD-4B8F-9C39-769CD34B54FA}">
  <sheetPr codeName="Sheet10"/>
  <dimension ref="A2:I92"/>
  <sheetViews>
    <sheetView topLeftCell="A72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</cols>
  <sheetData>
    <row r="2" spans="1:9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9" x14ac:dyDescent="0.25">
      <c r="A3" s="11"/>
      <c r="B3" s="11"/>
      <c r="C3" s="12"/>
      <c r="D3" s="13"/>
      <c r="E3" s="14"/>
      <c r="F3" s="11"/>
      <c r="G3" s="11"/>
      <c r="H3" s="15"/>
      <c r="I3" s="15"/>
    </row>
    <row r="4" spans="1:9" x14ac:dyDescent="0.25">
      <c r="A4" s="11">
        <v>2019</v>
      </c>
      <c r="B4" s="11" t="s">
        <v>7</v>
      </c>
      <c r="C4" s="12"/>
      <c r="D4" s="13"/>
      <c r="E4" s="14">
        <f>E3+C4-D4</f>
        <v>0</v>
      </c>
      <c r="F4" s="11"/>
      <c r="G4" s="11" t="s">
        <v>7</v>
      </c>
      <c r="H4" s="15"/>
      <c r="I4" s="15"/>
    </row>
    <row r="5" spans="1:9" x14ac:dyDescent="0.25">
      <c r="A5" s="11"/>
      <c r="B5" s="11" t="s">
        <v>8</v>
      </c>
      <c r="C5" s="12"/>
      <c r="D5" s="13"/>
      <c r="E5" s="14">
        <f>E4+C5-D5</f>
        <v>0</v>
      </c>
      <c r="F5" s="11"/>
      <c r="G5" s="11" t="s">
        <v>8</v>
      </c>
      <c r="H5" s="15"/>
      <c r="I5" s="15"/>
    </row>
    <row r="6" spans="1:9" x14ac:dyDescent="0.25">
      <c r="A6" s="11"/>
      <c r="B6" s="11" t="s">
        <v>9</v>
      </c>
      <c r="C6" s="12"/>
      <c r="D6" s="13"/>
      <c r="E6" s="14">
        <f>E5+C6-D6</f>
        <v>0</v>
      </c>
      <c r="F6" s="11"/>
      <c r="G6" s="11" t="s">
        <v>9</v>
      </c>
      <c r="H6" s="15"/>
      <c r="I6" s="15"/>
    </row>
    <row r="7" spans="1:9" x14ac:dyDescent="0.25">
      <c r="A7" s="11"/>
      <c r="B7" s="11" t="s">
        <v>10</v>
      </c>
      <c r="C7" s="12"/>
      <c r="D7" s="13"/>
      <c r="E7" s="14">
        <f>E6+C7-D7</f>
        <v>0</v>
      </c>
      <c r="F7" s="11"/>
      <c r="G7" s="11" t="s">
        <v>10</v>
      </c>
      <c r="H7" s="15"/>
      <c r="I7" s="15"/>
    </row>
    <row r="8" spans="1:9" x14ac:dyDescent="0.25">
      <c r="A8" s="11"/>
      <c r="B8" s="11" t="s">
        <v>11</v>
      </c>
      <c r="C8" s="12"/>
      <c r="D8" s="13"/>
      <c r="E8" s="14">
        <f>E7+C8-D8</f>
        <v>0</v>
      </c>
      <c r="F8" s="11"/>
      <c r="G8" s="11" t="s">
        <v>11</v>
      </c>
      <c r="H8" s="15"/>
      <c r="I8" s="15"/>
    </row>
    <row r="9" spans="1:9" x14ac:dyDescent="0.25">
      <c r="A9" s="11"/>
      <c r="B9" s="11" t="s">
        <v>12</v>
      </c>
      <c r="C9" s="12"/>
      <c r="D9" s="13"/>
      <c r="E9" s="14">
        <f>E8+C9-D9</f>
        <v>0</v>
      </c>
      <c r="F9" s="11"/>
      <c r="G9" s="11" t="s">
        <v>12</v>
      </c>
      <c r="H9" s="15"/>
      <c r="I9" s="15"/>
    </row>
    <row r="10" spans="1:9" x14ac:dyDescent="0.25">
      <c r="A10" s="11"/>
      <c r="B10" s="11" t="s">
        <v>13</v>
      </c>
      <c r="C10" s="12"/>
      <c r="D10" s="13"/>
      <c r="E10" s="14">
        <f>E9+C10-D10</f>
        <v>0</v>
      </c>
      <c r="F10" s="11"/>
      <c r="G10" s="11" t="s">
        <v>13</v>
      </c>
      <c r="H10" s="15"/>
      <c r="I10" s="15"/>
    </row>
    <row r="11" spans="1:9" x14ac:dyDescent="0.25">
      <c r="A11" s="11"/>
      <c r="B11" s="11" t="s">
        <v>14</v>
      </c>
      <c r="C11" s="12"/>
      <c r="D11" s="13"/>
      <c r="E11" s="14">
        <f>E10+C11-D11</f>
        <v>0</v>
      </c>
      <c r="F11" s="11"/>
      <c r="G11" s="11" t="s">
        <v>14</v>
      </c>
      <c r="H11" s="15"/>
      <c r="I11" s="15"/>
    </row>
    <row r="12" spans="1:9" x14ac:dyDescent="0.25">
      <c r="A12" s="11"/>
      <c r="B12" s="11" t="s">
        <v>15</v>
      </c>
      <c r="C12" s="12"/>
      <c r="D12" s="13"/>
      <c r="E12" s="14">
        <f>E11+C12-D12</f>
        <v>0</v>
      </c>
      <c r="F12" s="11"/>
      <c r="G12" s="11" t="s">
        <v>15</v>
      </c>
      <c r="H12" s="15"/>
      <c r="I12" s="15"/>
    </row>
    <row r="13" spans="1:9" x14ac:dyDescent="0.25">
      <c r="A13" s="11"/>
      <c r="B13" s="11" t="s">
        <v>16</v>
      </c>
      <c r="C13" s="12"/>
      <c r="D13" s="13"/>
      <c r="E13" s="14">
        <f>E12+C13-D13</f>
        <v>0</v>
      </c>
      <c r="F13" s="11"/>
      <c r="G13" s="11" t="s">
        <v>16</v>
      </c>
      <c r="H13" s="15"/>
      <c r="I13" s="15"/>
    </row>
    <row r="14" spans="1:9" x14ac:dyDescent="0.25">
      <c r="A14" s="11"/>
      <c r="B14" s="11" t="s">
        <v>17</v>
      </c>
      <c r="C14" s="12">
        <v>113130.339999</v>
      </c>
      <c r="D14" s="13">
        <v>1182.2196180000001</v>
      </c>
      <c r="E14" s="14">
        <f>E13+C14-D14</f>
        <v>111948.120381</v>
      </c>
      <c r="F14" s="11"/>
      <c r="G14" s="11" t="s">
        <v>17</v>
      </c>
      <c r="H14" s="15"/>
      <c r="I14" s="15"/>
    </row>
    <row r="15" spans="1:9" x14ac:dyDescent="0.25">
      <c r="A15" s="16"/>
      <c r="B15" s="16" t="s">
        <v>18</v>
      </c>
      <c r="C15" s="17">
        <v>0</v>
      </c>
      <c r="D15" s="18">
        <v>2132.1708680000002</v>
      </c>
      <c r="E15" s="19">
        <f>E14+C15-D15</f>
        <v>109815.949513</v>
      </c>
      <c r="F15" s="16"/>
      <c r="G15" s="16" t="s">
        <v>18</v>
      </c>
      <c r="H15" s="20"/>
      <c r="I15" s="20"/>
    </row>
    <row r="16" spans="1:9" s="2" customFormat="1" x14ac:dyDescent="0.25">
      <c r="A16" s="21"/>
      <c r="B16" s="21" t="s">
        <v>19</v>
      </c>
      <c r="C16" s="22">
        <f>SUM(C4:C15)</f>
        <v>113130.339999</v>
      </c>
      <c r="D16" s="23">
        <f>SUM(D4:D15)</f>
        <v>3314.3904860000002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56565.169999500002</v>
      </c>
      <c r="D17" s="23">
        <f>AVERAGE(D4:D15)</f>
        <v>1657.1952430000001</v>
      </c>
      <c r="E17" s="24">
        <f>C17/D17-1</f>
        <v>33.13307528997052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109815.949513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0</v>
      </c>
      <c r="D19" s="27">
        <v>3366.3898530000001</v>
      </c>
      <c r="E19" s="28">
        <f>E18+C19-D19</f>
        <v>106449.55966</v>
      </c>
      <c r="F19" s="25"/>
      <c r="G19" s="25" t="s">
        <v>7</v>
      </c>
      <c r="H19" s="29">
        <f>IF(C19="", "", IF(D19="", "",D19-D4))</f>
        <v>3366.3898530000001</v>
      </c>
      <c r="I19" s="29">
        <f>IF(D19="", "", IF(E19="", "",E19-E4))</f>
        <v>106449.55966</v>
      </c>
    </row>
    <row r="20" spans="1:9" x14ac:dyDescent="0.25">
      <c r="A20" s="25"/>
      <c r="B20" s="25" t="s">
        <v>8</v>
      </c>
      <c r="C20" s="26">
        <v>178.01</v>
      </c>
      <c r="D20" s="27">
        <v>4823.5561879999996</v>
      </c>
      <c r="E20" s="28">
        <f>E19+C20-D20</f>
        <v>101804.01347199999</v>
      </c>
      <c r="F20" s="25"/>
      <c r="G20" s="25" t="s">
        <v>8</v>
      </c>
      <c r="H20" s="29">
        <f>IF(C20="", "", IF(D20="", "",D20-D5))</f>
        <v>4823.5561879999996</v>
      </c>
      <c r="I20" s="29">
        <f>IF(D20="", "", IF(E20="", "",E20-E5))</f>
        <v>101804.01347199999</v>
      </c>
    </row>
    <row r="21" spans="1:9" x14ac:dyDescent="0.25">
      <c r="A21" s="25"/>
      <c r="B21" s="25" t="s">
        <v>9</v>
      </c>
      <c r="C21" s="26">
        <v>0</v>
      </c>
      <c r="D21" s="27">
        <v>16370.668110000001</v>
      </c>
      <c r="E21" s="28">
        <f>E20+C21-D21</f>
        <v>85433.345361999993</v>
      </c>
      <c r="F21" s="25"/>
      <c r="G21" s="25" t="s">
        <v>9</v>
      </c>
      <c r="H21" s="29">
        <f>IF(C21="", "", IF(D21="", "",D21-D6))</f>
        <v>16370.668110000001</v>
      </c>
      <c r="I21" s="29">
        <f>IF(D21="", "", IF(E21="", "",E21-E6))</f>
        <v>85433.345361999993</v>
      </c>
    </row>
    <row r="22" spans="1:9" x14ac:dyDescent="0.25">
      <c r="A22" s="25"/>
      <c r="B22" s="25" t="s">
        <v>10</v>
      </c>
      <c r="C22" s="26">
        <v>989.68</v>
      </c>
      <c r="D22" s="27">
        <v>7662.5806089999996</v>
      </c>
      <c r="E22" s="28">
        <f>E21+C22-D22</f>
        <v>78760.444752999989</v>
      </c>
      <c r="F22" s="25"/>
      <c r="G22" s="25" t="s">
        <v>10</v>
      </c>
      <c r="H22" s="29">
        <f>IF(C22="", "", IF(D22="", "",D22-D7))</f>
        <v>7662.5806089999996</v>
      </c>
      <c r="I22" s="29">
        <f>IF(D22="", "", IF(E22="", "",E22-E7))</f>
        <v>78760.444752999989</v>
      </c>
    </row>
    <row r="23" spans="1:9" x14ac:dyDescent="0.25">
      <c r="A23" s="25"/>
      <c r="B23" s="25" t="s">
        <v>11</v>
      </c>
      <c r="C23" s="26">
        <v>0</v>
      </c>
      <c r="D23" s="27">
        <v>5042.13717</v>
      </c>
      <c r="E23" s="28">
        <f>E22+C23-D23</f>
        <v>73718.307582999987</v>
      </c>
      <c r="F23" s="25"/>
      <c r="G23" s="25" t="s">
        <v>11</v>
      </c>
      <c r="H23" s="29">
        <f>IF(C23="", "", IF(D23="", "",D23-D8))</f>
        <v>5042.13717</v>
      </c>
      <c r="I23" s="29">
        <f>IF(D23="", "", IF(E23="", "",E23-E8))</f>
        <v>73718.307582999987</v>
      </c>
    </row>
    <row r="24" spans="1:9" x14ac:dyDescent="0.25">
      <c r="A24" s="25"/>
      <c r="B24" s="25" t="s">
        <v>12</v>
      </c>
      <c r="C24" s="26">
        <v>35994.639999999999</v>
      </c>
      <c r="D24" s="27">
        <v>37758.901261999999</v>
      </c>
      <c r="E24" s="28">
        <f>E23+C24-D24</f>
        <v>71954.046320999987</v>
      </c>
      <c r="F24" s="25"/>
      <c r="G24" s="25" t="s">
        <v>12</v>
      </c>
      <c r="H24" s="29">
        <f>IF(C24="", "", IF(D24="", "",D24-D9))</f>
        <v>37758.901261999999</v>
      </c>
      <c r="I24" s="29">
        <f>IF(D24="", "", IF(E24="", "",E24-E9))</f>
        <v>71954.046320999987</v>
      </c>
    </row>
    <row r="25" spans="1:9" x14ac:dyDescent="0.25">
      <c r="A25" s="25"/>
      <c r="B25" s="25" t="s">
        <v>13</v>
      </c>
      <c r="C25" s="26">
        <v>22497.200000000001</v>
      </c>
      <c r="D25" s="27">
        <v>4793.3984460000001</v>
      </c>
      <c r="E25" s="28">
        <f>E24+C25-D25</f>
        <v>89657.847874999978</v>
      </c>
      <c r="F25" s="25"/>
      <c r="G25" s="25" t="s">
        <v>13</v>
      </c>
      <c r="H25" s="29">
        <f>IF(C25="", "", IF(D25="", "",D25-D10))</f>
        <v>4793.3984460000001</v>
      </c>
      <c r="I25" s="29">
        <f>IF(D25="", "", IF(E25="", "",E25-E10))</f>
        <v>89657.847874999978</v>
      </c>
    </row>
    <row r="26" spans="1:9" x14ac:dyDescent="0.25">
      <c r="A26" s="25"/>
      <c r="B26" s="25" t="s">
        <v>14</v>
      </c>
      <c r="C26" s="26">
        <v>0</v>
      </c>
      <c r="D26" s="27">
        <v>9097.1999199999991</v>
      </c>
      <c r="E26" s="28">
        <f>E25+C26-D26</f>
        <v>80560.647954999979</v>
      </c>
      <c r="F26" s="25"/>
      <c r="G26" s="25" t="s">
        <v>14</v>
      </c>
      <c r="H26" s="29">
        <f>IF(C26="", "", IF(D26="", "",D26-D11))</f>
        <v>9097.1999199999991</v>
      </c>
      <c r="I26" s="29">
        <f>IF(D26="", "", IF(E26="", "",E26-E11))</f>
        <v>80560.647954999979</v>
      </c>
    </row>
    <row r="27" spans="1:9" x14ac:dyDescent="0.25">
      <c r="A27" s="25"/>
      <c r="B27" s="25" t="s">
        <v>15</v>
      </c>
      <c r="C27" s="26">
        <v>18415.55</v>
      </c>
      <c r="D27" s="27">
        <v>13404.691338000001</v>
      </c>
      <c r="E27" s="28">
        <f>E26+C27-D27</f>
        <v>85571.506616999977</v>
      </c>
      <c r="F27" s="25"/>
      <c r="G27" s="25" t="s">
        <v>15</v>
      </c>
      <c r="H27" s="29">
        <f>IF(C27="", "", IF(D27="", "",D27-D12))</f>
        <v>13404.691338000001</v>
      </c>
      <c r="I27" s="29">
        <f>IF(D27="", "", IF(E27="", "",E27-E12))</f>
        <v>85571.506616999977</v>
      </c>
    </row>
    <row r="28" spans="1:9" x14ac:dyDescent="0.25">
      <c r="A28" s="25"/>
      <c r="B28" s="25" t="s">
        <v>16</v>
      </c>
      <c r="C28" s="26">
        <v>0</v>
      </c>
      <c r="D28" s="27">
        <v>25346.142490999999</v>
      </c>
      <c r="E28" s="28">
        <f>E27+C28-D28</f>
        <v>60225.364125999979</v>
      </c>
      <c r="F28" s="25"/>
      <c r="G28" s="25" t="s">
        <v>16</v>
      </c>
      <c r="H28" s="29">
        <f>IF(C28="", "", IF(D28="", "",D28-D13))</f>
        <v>25346.142490999999</v>
      </c>
      <c r="I28" s="29">
        <f>IF(D28="", "", IF(E28="", "",E28-E13))</f>
        <v>60225.364125999979</v>
      </c>
    </row>
    <row r="29" spans="1:9" x14ac:dyDescent="0.25">
      <c r="A29" s="25"/>
      <c r="B29" s="25" t="s">
        <v>17</v>
      </c>
      <c r="C29" s="26">
        <v>2405.1999999999998</v>
      </c>
      <c r="D29" s="27">
        <v>875.59794199999999</v>
      </c>
      <c r="E29" s="28">
        <f>E28+C29-D29</f>
        <v>61754.966183999975</v>
      </c>
      <c r="F29" s="25"/>
      <c r="G29" s="25" t="s">
        <v>17</v>
      </c>
      <c r="H29" s="29">
        <f>IF(C29="", "", IF(D29="", "",D29-D14))</f>
        <v>-306.62167600000009</v>
      </c>
      <c r="I29" s="29">
        <f>IF(D29="", "", IF(E29="", "",E29-E14))</f>
        <v>-50193.154197000025</v>
      </c>
    </row>
    <row r="30" spans="1:9" x14ac:dyDescent="0.25">
      <c r="A30" s="30"/>
      <c r="B30" s="30" t="s">
        <v>18</v>
      </c>
      <c r="C30" s="31">
        <v>34690.199999999997</v>
      </c>
      <c r="D30" s="32">
        <v>26528.418153999999</v>
      </c>
      <c r="E30" s="33">
        <f>E29+C30-D30</f>
        <v>69916.748029999973</v>
      </c>
      <c r="F30" s="30"/>
      <c r="G30" s="30" t="s">
        <v>18</v>
      </c>
      <c r="H30" s="34">
        <f>IF(C30="", "", IF(D30="", "",D30-D15))</f>
        <v>24396.247285999998</v>
      </c>
      <c r="I30" s="34">
        <f>IF(D30="", "", IF(E30="", "",E30-E15))</f>
        <v>-39899.201483000026</v>
      </c>
    </row>
    <row r="31" spans="1:9" s="2" customFormat="1" x14ac:dyDescent="0.25">
      <c r="A31" s="35"/>
      <c r="B31" s="35" t="s">
        <v>19</v>
      </c>
      <c r="C31" s="36">
        <f>SUM(C19:C30)</f>
        <v>115170.48</v>
      </c>
      <c r="D31" s="37">
        <f>SUM(D19:D30)</f>
        <v>155069.68148299999</v>
      </c>
      <c r="E31" s="28"/>
      <c r="F31" s="35"/>
      <c r="G31" s="35"/>
      <c r="H31" s="28">
        <f>SUMIF(C19:C30,"&gt;=0",H19:H30)</f>
        <v>151755.290997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9597.5399999999991</v>
      </c>
      <c r="D32" s="37">
        <f>AVERAGE(D19:D30)</f>
        <v>12922.473456916667</v>
      </c>
      <c r="E32" s="38">
        <f>C32/D32-1</f>
        <v>-0.25729853251406909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69916.748029999973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0</v>
      </c>
      <c r="D34" s="13">
        <v>8572.221947</v>
      </c>
      <c r="E34" s="14">
        <f>E33+C34-D34</f>
        <v>61344.526082999975</v>
      </c>
      <c r="F34" s="11"/>
      <c r="G34" s="11" t="s">
        <v>7</v>
      </c>
      <c r="H34" s="15">
        <f>IF(C34="", "", IF(D34="", "",D34-D19))</f>
        <v>5205.8320939999994</v>
      </c>
      <c r="I34" s="15">
        <f>IF(D34="", "", IF(E34="", "",E34-E19))</f>
        <v>-45105.033577000024</v>
      </c>
    </row>
    <row r="35" spans="1:9" x14ac:dyDescent="0.25">
      <c r="A35" s="11"/>
      <c r="B35" s="11" t="s">
        <v>8</v>
      </c>
      <c r="C35" s="12">
        <v>34542.78</v>
      </c>
      <c r="D35" s="13">
        <v>18494.188098999999</v>
      </c>
      <c r="E35" s="14">
        <f>E34+C35-D35</f>
        <v>77393.117983999982</v>
      </c>
      <c r="F35" s="11"/>
      <c r="G35" s="11" t="s">
        <v>8</v>
      </c>
      <c r="H35" s="15">
        <f>IF(C35="", "", IF(D35="", "",D35-D20))</f>
        <v>13670.631911</v>
      </c>
      <c r="I35" s="15">
        <f>IF(D35="", "", IF(E35="", "",E35-E20))</f>
        <v>-24410.895488000009</v>
      </c>
    </row>
    <row r="36" spans="1:9" x14ac:dyDescent="0.25">
      <c r="A36" s="11"/>
      <c r="B36" s="11" t="s">
        <v>9</v>
      </c>
      <c r="C36" s="12">
        <v>0</v>
      </c>
      <c r="D36" s="13">
        <v>6393.7090559999997</v>
      </c>
      <c r="E36" s="14">
        <f>E35+C36-D36</f>
        <v>70999.40892799999</v>
      </c>
      <c r="F36" s="11"/>
      <c r="G36" s="11" t="s">
        <v>9</v>
      </c>
      <c r="H36" s="15">
        <f>IF(C36="", "", IF(D36="", "",D36-D21))</f>
        <v>-9976.9590540000008</v>
      </c>
      <c r="I36" s="15">
        <f>IF(D36="", "", IF(E36="", "",E36-E21))</f>
        <v>-14433.936434000003</v>
      </c>
    </row>
    <row r="37" spans="1:9" x14ac:dyDescent="0.25">
      <c r="A37" s="11"/>
      <c r="B37" s="11" t="s">
        <v>10</v>
      </c>
      <c r="C37" s="12">
        <v>53827.6</v>
      </c>
      <c r="D37" s="13">
        <v>4984.5387199999996</v>
      </c>
      <c r="E37" s="14">
        <f>E36+C37-D37</f>
        <v>119842.470208</v>
      </c>
      <c r="F37" s="11"/>
      <c r="G37" s="11" t="s">
        <v>10</v>
      </c>
      <c r="H37" s="15">
        <f>IF(C37="", "", IF(D37="", "",D37-D22))</f>
        <v>-2678.0418890000001</v>
      </c>
      <c r="I37" s="15">
        <f>IF(D37="", "", IF(E37="", "",E37-E22))</f>
        <v>41082.02545500001</v>
      </c>
    </row>
    <row r="38" spans="1:9" x14ac:dyDescent="0.25">
      <c r="A38" s="11"/>
      <c r="B38" s="11" t="s">
        <v>11</v>
      </c>
      <c r="C38" s="12">
        <v>0</v>
      </c>
      <c r="D38" s="13">
        <v>9073.0196730000007</v>
      </c>
      <c r="E38" s="14">
        <f>E37+C38-D38</f>
        <v>110769.450535</v>
      </c>
      <c r="F38" s="11"/>
      <c r="G38" s="11" t="s">
        <v>11</v>
      </c>
      <c r="H38" s="15">
        <f>IF(C38="", "", IF(D38="", "",D38-D23))</f>
        <v>4030.8825030000007</v>
      </c>
      <c r="I38" s="15">
        <f>IF(D38="", "", IF(E38="", "",E38-E23))</f>
        <v>37051.142952000009</v>
      </c>
    </row>
    <row r="39" spans="1:9" x14ac:dyDescent="0.25">
      <c r="A39" s="11"/>
      <c r="B39" s="11" t="s">
        <v>12</v>
      </c>
      <c r="C39" s="12">
        <v>0</v>
      </c>
      <c r="D39" s="13">
        <v>7896.9082010000002</v>
      </c>
      <c r="E39" s="14">
        <f>E38+C39-D39</f>
        <v>102872.542334</v>
      </c>
      <c r="F39" s="11"/>
      <c r="G39" s="11" t="s">
        <v>12</v>
      </c>
      <c r="H39" s="15">
        <f>IF(C39="", "", IF(D39="", "",D39-D24))</f>
        <v>-29861.993061000001</v>
      </c>
      <c r="I39" s="15">
        <f>IF(D39="", "", IF(E39="", "",E39-E24))</f>
        <v>30918.496013000011</v>
      </c>
    </row>
    <row r="40" spans="1:9" x14ac:dyDescent="0.25">
      <c r="A40" s="11"/>
      <c r="B40" s="11" t="s">
        <v>13</v>
      </c>
      <c r="C40" s="12">
        <v>0</v>
      </c>
      <c r="D40" s="13">
        <v>5739.3843230000002</v>
      </c>
      <c r="E40" s="14">
        <f>E39+C40-D40</f>
        <v>97133.158010999992</v>
      </c>
      <c r="F40" s="11"/>
      <c r="G40" s="11" t="s">
        <v>13</v>
      </c>
      <c r="H40" s="15">
        <f>IF(C40="", "", IF(D40="", "",D40-D25))</f>
        <v>945.98587700000007</v>
      </c>
      <c r="I40" s="15">
        <f>IF(D40="", "", IF(E40="", "",E40-E25))</f>
        <v>7475.3101360000146</v>
      </c>
    </row>
    <row r="41" spans="1:9" x14ac:dyDescent="0.25">
      <c r="A41" s="11"/>
      <c r="B41" s="11" t="s">
        <v>14</v>
      </c>
      <c r="C41" s="12">
        <v>53.32</v>
      </c>
      <c r="D41" s="13">
        <v>14566.852369</v>
      </c>
      <c r="E41" s="14">
        <f>E40+C41-D41</f>
        <v>82619.625641999999</v>
      </c>
      <c r="F41" s="11"/>
      <c r="G41" s="11" t="s">
        <v>14</v>
      </c>
      <c r="H41" s="15">
        <f>IF(C41="", "", IF(D41="", "",D41-D26))</f>
        <v>5469.6524490000011</v>
      </c>
      <c r="I41" s="15">
        <f>IF(D41="", "", IF(E41="", "",E41-E26))</f>
        <v>2058.9776870000205</v>
      </c>
    </row>
    <row r="42" spans="1:9" x14ac:dyDescent="0.25">
      <c r="A42" s="11"/>
      <c r="B42" s="11" t="s">
        <v>15</v>
      </c>
      <c r="C42" s="12">
        <v>36.18</v>
      </c>
      <c r="D42" s="13">
        <v>2642.4221419999999</v>
      </c>
      <c r="E42" s="14">
        <f>E41+C42-D42</f>
        <v>80013.383499999996</v>
      </c>
      <c r="F42" s="11"/>
      <c r="G42" s="11" t="s">
        <v>15</v>
      </c>
      <c r="H42" s="15">
        <f>IF(C42="", "", IF(D42="", "",D42-D27))</f>
        <v>-10762.269196000001</v>
      </c>
      <c r="I42" s="15">
        <f>IF(D42="", "", IF(E42="", "",E42-E27))</f>
        <v>-5558.123116999981</v>
      </c>
    </row>
    <row r="43" spans="1:9" x14ac:dyDescent="0.25">
      <c r="A43" s="11"/>
      <c r="B43" s="11" t="s">
        <v>16</v>
      </c>
      <c r="C43" s="12">
        <v>88423.7</v>
      </c>
      <c r="D43" s="13">
        <v>62663.485613999997</v>
      </c>
      <c r="E43" s="14">
        <f>E42+C43-D43</f>
        <v>105773.597886</v>
      </c>
      <c r="F43" s="11"/>
      <c r="G43" s="11" t="s">
        <v>16</v>
      </c>
      <c r="H43" s="15">
        <f>IF(C43="", "", IF(D43="", "",D43-D28))</f>
        <v>37317.343122999999</v>
      </c>
      <c r="I43" s="15">
        <f>IF(D43="", "", IF(E43="", "",E43-E28))</f>
        <v>45548.233760000025</v>
      </c>
    </row>
    <row r="44" spans="1:9" x14ac:dyDescent="0.25">
      <c r="A44" s="11"/>
      <c r="B44" s="11" t="s">
        <v>17</v>
      </c>
      <c r="C44" s="12">
        <v>0</v>
      </c>
      <c r="D44" s="13">
        <v>4485.1148270000003</v>
      </c>
      <c r="E44" s="14">
        <f>E43+C44-D44</f>
        <v>101288.48305900001</v>
      </c>
      <c r="F44" s="11"/>
      <c r="G44" s="11" t="s">
        <v>17</v>
      </c>
      <c r="H44" s="15">
        <f>IF(C44="", "", IF(D44="", "",D44-D29))</f>
        <v>3609.5168850000005</v>
      </c>
      <c r="I44" s="15">
        <f>IF(D44="", "", IF(E44="", "",E44-E29))</f>
        <v>39533.51687500003</v>
      </c>
    </row>
    <row r="45" spans="1:9" x14ac:dyDescent="0.25">
      <c r="A45" s="16"/>
      <c r="B45" s="16" t="s">
        <v>18</v>
      </c>
      <c r="C45" s="17">
        <v>0</v>
      </c>
      <c r="D45" s="18">
        <v>248.11979099999999</v>
      </c>
      <c r="E45" s="19">
        <f>E44+C45-D45</f>
        <v>101040.363268</v>
      </c>
      <c r="F45" s="16"/>
      <c r="G45" s="16" t="s">
        <v>18</v>
      </c>
      <c r="H45" s="20">
        <f>IF(C45="", "", IF(D45="", "",D45-D30))</f>
        <v>-26280.298362999998</v>
      </c>
      <c r="I45" s="20">
        <f>IF(D45="", "", IF(E45="", "",E45-E30))</f>
        <v>31123.615238000028</v>
      </c>
    </row>
    <row r="46" spans="1:9" s="2" customFormat="1" x14ac:dyDescent="0.25">
      <c r="A46" s="21"/>
      <c r="B46" s="21" t="s">
        <v>19</v>
      </c>
      <c r="C46" s="22">
        <f>SUM(C34:C45)</f>
        <v>176883.58000000002</v>
      </c>
      <c r="D46" s="23">
        <f>SUM(D34:D45)</f>
        <v>145759.96476200002</v>
      </c>
      <c r="E46" s="14"/>
      <c r="F46" s="21"/>
      <c r="G46" s="21"/>
      <c r="H46" s="14">
        <f>SUMIF(C34:C45,"&gt;=0",H34:H45)</f>
        <v>-9309.7167209999971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14740.298333333334</v>
      </c>
      <c r="D47" s="23">
        <f>AVERAGE(D34:D45)</f>
        <v>12146.663730166669</v>
      </c>
      <c r="E47" s="24">
        <f>C47/D47-1</f>
        <v>0.21352650083868552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101040.363268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0</v>
      </c>
      <c r="D49" s="27">
        <v>909.41269599999998</v>
      </c>
      <c r="E49" s="28">
        <f>E48+C49-D49</f>
        <v>100130.950572</v>
      </c>
      <c r="F49" s="25"/>
      <c r="G49" s="25" t="s">
        <v>7</v>
      </c>
      <c r="H49" s="29">
        <f>IF(C49="", "", IF(D49="", "",D49-D34))</f>
        <v>-7662.8092509999997</v>
      </c>
      <c r="I49" s="29">
        <f>IF(D49="", "", IF(E49="", "",E49-E34))</f>
        <v>38786.424489000026</v>
      </c>
    </row>
    <row r="50" spans="1:9" x14ac:dyDescent="0.25">
      <c r="A50" s="25"/>
      <c r="B50" s="25" t="s">
        <v>8</v>
      </c>
      <c r="C50" s="26">
        <v>0</v>
      </c>
      <c r="D50" s="27">
        <v>472.985905</v>
      </c>
      <c r="E50" s="28">
        <f>E49+C50-D50</f>
        <v>99657.964667000007</v>
      </c>
      <c r="F50" s="25"/>
      <c r="G50" s="25" t="s">
        <v>8</v>
      </c>
      <c r="H50" s="29">
        <f>IF(C50="", "", IF(D50="", "",D50-D35))</f>
        <v>-18021.202193999998</v>
      </c>
      <c r="I50" s="29">
        <f>IF(D50="", "", IF(E50="", "",E50-E35))</f>
        <v>22264.846683000025</v>
      </c>
    </row>
    <row r="51" spans="1:9" x14ac:dyDescent="0.25">
      <c r="A51" s="25"/>
      <c r="B51" s="25" t="s">
        <v>9</v>
      </c>
      <c r="C51" s="26">
        <v>0</v>
      </c>
      <c r="D51" s="27">
        <v>-505.24990500000001</v>
      </c>
      <c r="E51" s="28">
        <f>E50+C51-D51</f>
        <v>100163.21457200001</v>
      </c>
      <c r="F51" s="25"/>
      <c r="G51" s="25" t="s">
        <v>9</v>
      </c>
      <c r="H51" s="29">
        <f>IF(C51="", "", IF(D51="", "",D51-D36))</f>
        <v>-6898.9589609999994</v>
      </c>
      <c r="I51" s="29">
        <f>IF(D51="", "", IF(E51="", "",E51-E36))</f>
        <v>29163.805644000022</v>
      </c>
    </row>
    <row r="52" spans="1:9" x14ac:dyDescent="0.25">
      <c r="A52" s="25"/>
      <c r="B52" s="25" t="s">
        <v>10</v>
      </c>
      <c r="C52" s="26">
        <v>0</v>
      </c>
      <c r="D52" s="27">
        <v>279.33900499999999</v>
      </c>
      <c r="E52" s="28">
        <f>E51+C52-D52</f>
        <v>99883.87556700001</v>
      </c>
      <c r="F52" s="25"/>
      <c r="G52" s="25" t="s">
        <v>10</v>
      </c>
      <c r="H52" s="29">
        <f>IF(C52="", "", IF(D52="", "",D52-D37))</f>
        <v>-4705.1997149999997</v>
      </c>
      <c r="I52" s="29">
        <f>IF(D52="", "", IF(E52="", "",E52-E37))</f>
        <v>-19958.594640999989</v>
      </c>
    </row>
    <row r="53" spans="1:9" x14ac:dyDescent="0.25">
      <c r="A53" s="25"/>
      <c r="B53" s="25" t="s">
        <v>11</v>
      </c>
      <c r="C53" s="26">
        <v>0</v>
      </c>
      <c r="D53" s="27">
        <v>446.61786699999999</v>
      </c>
      <c r="E53" s="28">
        <f>E52+C53-D53</f>
        <v>99437.257700000016</v>
      </c>
      <c r="F53" s="25"/>
      <c r="G53" s="25" t="s">
        <v>11</v>
      </c>
      <c r="H53" s="29">
        <f>IF(C53="", "", IF(D53="", "",D53-D38))</f>
        <v>-8626.4018059999999</v>
      </c>
      <c r="I53" s="29">
        <f>IF(D53="", "", IF(E53="", "",E53-E38))</f>
        <v>-11332.19283499998</v>
      </c>
    </row>
    <row r="54" spans="1:9" x14ac:dyDescent="0.25">
      <c r="A54" s="25"/>
      <c r="B54" s="25" t="s">
        <v>12</v>
      </c>
      <c r="C54" s="26">
        <v>0</v>
      </c>
      <c r="D54" s="27">
        <v>-904.82856300000003</v>
      </c>
      <c r="E54" s="28">
        <f>E53+C54-D54</f>
        <v>100342.08626300002</v>
      </c>
      <c r="F54" s="25"/>
      <c r="G54" s="25" t="s">
        <v>12</v>
      </c>
      <c r="H54" s="29">
        <f>IF(C54="", "", IF(D54="", "",D54-D39))</f>
        <v>-8801.7367640000011</v>
      </c>
      <c r="I54" s="29">
        <f>IF(D54="", "", IF(E54="", "",E54-E39))</f>
        <v>-2530.4560709999787</v>
      </c>
    </row>
    <row r="55" spans="1:9" x14ac:dyDescent="0.25">
      <c r="A55" s="25"/>
      <c r="B55" s="25" t="s">
        <v>13</v>
      </c>
      <c r="C55" s="26">
        <v>0</v>
      </c>
      <c r="D55" s="27">
        <v>922.15085399999998</v>
      </c>
      <c r="E55" s="28">
        <f>E54+C55-D55</f>
        <v>99419.935409000012</v>
      </c>
      <c r="F55" s="25"/>
      <c r="G55" s="25" t="s">
        <v>13</v>
      </c>
      <c r="H55" s="29">
        <f>IF(C55="", "", IF(D55="", "",D55-D40))</f>
        <v>-4817.2334690000007</v>
      </c>
      <c r="I55" s="29">
        <f>IF(D55="", "", IF(E55="", "",E55-E40))</f>
        <v>2286.7773980000202</v>
      </c>
    </row>
    <row r="56" spans="1:9" x14ac:dyDescent="0.25">
      <c r="A56" s="25"/>
      <c r="B56" s="25" t="s">
        <v>14</v>
      </c>
      <c r="C56" s="26">
        <v>0</v>
      </c>
      <c r="D56" s="27">
        <v>76.946149000000005</v>
      </c>
      <c r="E56" s="28">
        <f>E55+C56-D56</f>
        <v>99342.989260000017</v>
      </c>
      <c r="F56" s="25"/>
      <c r="G56" s="25" t="s">
        <v>14</v>
      </c>
      <c r="H56" s="29">
        <f>IF(C56="", "", IF(D56="", "",D56-D41))</f>
        <v>-14489.906220000001</v>
      </c>
      <c r="I56" s="29">
        <f>IF(D56="", "", IF(E56="", "",E56-E41))</f>
        <v>16723.363618000018</v>
      </c>
    </row>
    <row r="57" spans="1:9" x14ac:dyDescent="0.25">
      <c r="A57" s="25"/>
      <c r="B57" s="25" t="s">
        <v>15</v>
      </c>
      <c r="C57" s="26">
        <v>0</v>
      </c>
      <c r="D57" s="27">
        <v>1071.933436</v>
      </c>
      <c r="E57" s="28">
        <f>E56+C57-D57</f>
        <v>98271.05582400001</v>
      </c>
      <c r="F57" s="25"/>
      <c r="G57" s="25" t="s">
        <v>15</v>
      </c>
      <c r="H57" s="29">
        <f>IF(C57="", "", IF(D57="", "",D57-D42))</f>
        <v>-1570.4887059999999</v>
      </c>
      <c r="I57" s="29">
        <f>IF(D57="", "", IF(E57="", "",E57-E42))</f>
        <v>18257.672324000014</v>
      </c>
    </row>
    <row r="58" spans="1:9" x14ac:dyDescent="0.25">
      <c r="A58" s="25"/>
      <c r="B58" s="25" t="s">
        <v>16</v>
      </c>
      <c r="C58" s="26">
        <v>0</v>
      </c>
      <c r="D58" s="27">
        <v>736.11002199999996</v>
      </c>
      <c r="E58" s="28">
        <f>E57+C58-D58</f>
        <v>97534.945802000017</v>
      </c>
      <c r="F58" s="25"/>
      <c r="G58" s="25" t="s">
        <v>16</v>
      </c>
      <c r="H58" s="29">
        <f>IF(C58="", "", IF(D58="", "",D58-D43))</f>
        <v>-61927.375591999997</v>
      </c>
      <c r="I58" s="29">
        <f>IF(D58="", "", IF(E58="", "",E58-E43))</f>
        <v>-8238.6520839999866</v>
      </c>
    </row>
    <row r="59" spans="1:9" x14ac:dyDescent="0.25">
      <c r="A59" s="25"/>
      <c r="B59" s="25" t="s">
        <v>17</v>
      </c>
      <c r="C59" s="26">
        <v>0</v>
      </c>
      <c r="D59" s="27">
        <v>1125.162959</v>
      </c>
      <c r="E59" s="28">
        <f>E58+C59-D59</f>
        <v>96409.782843000023</v>
      </c>
      <c r="F59" s="25"/>
      <c r="G59" s="25" t="s">
        <v>17</v>
      </c>
      <c r="H59" s="29">
        <f>IF(C59="", "", IF(D59="", "",D59-D44))</f>
        <v>-3359.9518680000001</v>
      </c>
      <c r="I59" s="29">
        <f>IF(D59="", "", IF(E59="", "",E59-E44))</f>
        <v>-4878.7002159999829</v>
      </c>
    </row>
    <row r="60" spans="1:9" x14ac:dyDescent="0.25">
      <c r="A60" s="30"/>
      <c r="B60" s="30" t="s">
        <v>18</v>
      </c>
      <c r="C60" s="31">
        <v>0</v>
      </c>
      <c r="D60" s="32">
        <v>186.93688900000001</v>
      </c>
      <c r="E60" s="33">
        <f>E59+C60-D60</f>
        <v>96222.845954000019</v>
      </c>
      <c r="F60" s="30"/>
      <c r="G60" s="30" t="s">
        <v>18</v>
      </c>
      <c r="H60" s="34">
        <f>IF(C60="", "", IF(D60="", "",D60-D45))</f>
        <v>-61.182901999999984</v>
      </c>
      <c r="I60" s="34">
        <f>IF(D60="", "", IF(E60="", "",E60-E45))</f>
        <v>-4817.5173139999824</v>
      </c>
    </row>
    <row r="61" spans="1:9" s="2" customFormat="1" x14ac:dyDescent="0.25">
      <c r="A61" s="35"/>
      <c r="B61" s="35" t="s">
        <v>19</v>
      </c>
      <c r="C61" s="36">
        <f>SUM(C49:C60)</f>
        <v>0</v>
      </c>
      <c r="D61" s="37">
        <f>SUM(D49:D60)</f>
        <v>4817.5173139999997</v>
      </c>
      <c r="E61" s="28"/>
      <c r="F61" s="35"/>
      <c r="G61" s="35"/>
      <c r="H61" s="28">
        <f>SUMIF(C49:C60,"&gt;=0",H49:H60)</f>
        <v>-140942.44744800002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0</v>
      </c>
      <c r="D62" s="37">
        <f>AVERAGE(D49:D60)</f>
        <v>401.45977616666664</v>
      </c>
      <c r="E62" s="38">
        <f>C62/D62-1</f>
        <v>-1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96222.845954000019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0</v>
      </c>
      <c r="D64" s="13">
        <v>310.11708099999998</v>
      </c>
      <c r="E64" s="14">
        <f>E63+C64-D64</f>
        <v>95912.728873000015</v>
      </c>
      <c r="F64" s="11"/>
      <c r="G64" s="11" t="s">
        <v>7</v>
      </c>
      <c r="H64" s="15">
        <f>IF(C64="", "", IF(D64="", "",D64-D49))</f>
        <v>-599.295615</v>
      </c>
      <c r="I64" s="15">
        <f>IF(D64="", "", IF(E64="", "",E64-E49))</f>
        <v>-4218.221698999987</v>
      </c>
    </row>
    <row r="65" spans="1:9" x14ac:dyDescent="0.25">
      <c r="A65" s="11"/>
      <c r="B65" s="11" t="s">
        <v>8</v>
      </c>
      <c r="C65" s="12">
        <v>0</v>
      </c>
      <c r="D65" s="13">
        <v>1303.6148720000001</v>
      </c>
      <c r="E65" s="14">
        <f>E64+C65-D65</f>
        <v>94609.114001000009</v>
      </c>
      <c r="F65" s="11"/>
      <c r="G65" s="11" t="s">
        <v>8</v>
      </c>
      <c r="H65" s="15">
        <f>IF(C65="", "", IF(D65="", "",D65-D50))</f>
        <v>830.6289670000001</v>
      </c>
      <c r="I65" s="15">
        <f>IF(D65="", "", IF(E65="", "",E65-E50))</f>
        <v>-5048.8506659999985</v>
      </c>
    </row>
    <row r="66" spans="1:9" x14ac:dyDescent="0.25">
      <c r="A66" s="11"/>
      <c r="B66" s="11" t="s">
        <v>9</v>
      </c>
      <c r="C66" s="12">
        <v>0</v>
      </c>
      <c r="D66" s="13">
        <v>3308.5606539999999</v>
      </c>
      <c r="E66" s="14">
        <f>E65+C66-D66</f>
        <v>91300.553347000008</v>
      </c>
      <c r="F66" s="11"/>
      <c r="G66" s="11" t="s">
        <v>9</v>
      </c>
      <c r="H66" s="15">
        <f>IF(C66="", "", IF(D66="", "",D66-D51))</f>
        <v>3813.810559</v>
      </c>
      <c r="I66" s="15">
        <f>IF(D66="", "", IF(E66="", "",E66-E51))</f>
        <v>-8862.6612250000035</v>
      </c>
    </row>
    <row r="67" spans="1:9" x14ac:dyDescent="0.25">
      <c r="A67" s="11"/>
      <c r="B67" s="11" t="s">
        <v>10</v>
      </c>
      <c r="C67" s="12">
        <v>0</v>
      </c>
      <c r="D67" s="13">
        <v>3511.9990240000002</v>
      </c>
      <c r="E67" s="14">
        <f>E66+C67-D67</f>
        <v>87788.554323000004</v>
      </c>
      <c r="F67" s="11"/>
      <c r="G67" s="11" t="s">
        <v>10</v>
      </c>
      <c r="H67" s="15">
        <f>IF(C67="", "", IF(D67="", "",D67-D52))</f>
        <v>3232.6600190000004</v>
      </c>
      <c r="I67" s="15">
        <f>IF(D67="", "", IF(E67="", "",E67-E52))</f>
        <v>-12095.321244000006</v>
      </c>
    </row>
    <row r="68" spans="1:9" x14ac:dyDescent="0.25">
      <c r="A68" s="11"/>
      <c r="B68" s="11" t="s">
        <v>11</v>
      </c>
      <c r="C68" s="12">
        <v>705.61</v>
      </c>
      <c r="D68" s="13">
        <v>6796.2311250000002</v>
      </c>
      <c r="E68" s="14">
        <f>E67+C68-D68</f>
        <v>81697.933197999999</v>
      </c>
      <c r="F68" s="11"/>
      <c r="G68" s="11" t="s">
        <v>11</v>
      </c>
      <c r="H68" s="15">
        <f>IF(C68="", "", IF(D68="", "",D68-D53))</f>
        <v>6349.6132580000003</v>
      </c>
      <c r="I68" s="15">
        <f>IF(D68="", "", IF(E68="", "",E68-E53))</f>
        <v>-17739.324502000018</v>
      </c>
    </row>
    <row r="69" spans="1:9" x14ac:dyDescent="0.25">
      <c r="A69" s="11"/>
      <c r="B69" s="11" t="s">
        <v>12</v>
      </c>
      <c r="C69" s="12">
        <v>384.5</v>
      </c>
      <c r="D69" s="13">
        <v>2528.6073390000001</v>
      </c>
      <c r="E69" s="14">
        <f>E68+C69-D69</f>
        <v>79553.825859000004</v>
      </c>
      <c r="F69" s="11"/>
      <c r="G69" s="11" t="s">
        <v>12</v>
      </c>
      <c r="H69" s="15">
        <f>IF(C69="", "", IF(D69="", "",D69-D54))</f>
        <v>3433.4359020000002</v>
      </c>
      <c r="I69" s="15">
        <f>IF(D69="", "", IF(E69="", "",E69-E54))</f>
        <v>-20788.260404000015</v>
      </c>
    </row>
    <row r="70" spans="1:9" x14ac:dyDescent="0.25">
      <c r="A70" s="11"/>
      <c r="B70" s="11" t="s">
        <v>13</v>
      </c>
      <c r="C70" s="12">
        <v>0</v>
      </c>
      <c r="D70" s="13">
        <v>571.19468400000005</v>
      </c>
      <c r="E70" s="14">
        <f>E69+C70-D70</f>
        <v>78982.631175000002</v>
      </c>
      <c r="F70" s="11"/>
      <c r="G70" s="11" t="s">
        <v>13</v>
      </c>
      <c r="H70" s="15">
        <f>IF(C70="", "", IF(D70="", "",D70-D55))</f>
        <v>-350.95616999999993</v>
      </c>
      <c r="I70" s="15">
        <f>IF(D70="", "", IF(E70="", "",E70-E55))</f>
        <v>-20437.30423400001</v>
      </c>
    </row>
    <row r="71" spans="1:9" x14ac:dyDescent="0.25">
      <c r="A71" s="11"/>
      <c r="B71" s="11" t="s">
        <v>14</v>
      </c>
      <c r="C71" s="12">
        <v>0</v>
      </c>
      <c r="D71" s="13">
        <v>519.57902100000001</v>
      </c>
      <c r="E71" s="14">
        <f>E70+C71-D71</f>
        <v>78463.052154000005</v>
      </c>
      <c r="F71" s="11"/>
      <c r="G71" s="11" t="s">
        <v>14</v>
      </c>
      <c r="H71" s="15">
        <f>IF(C71="", "", IF(D71="", "",D71-D56))</f>
        <v>442.63287200000002</v>
      </c>
      <c r="I71" s="15">
        <f>IF(D71="", "", IF(E71="", "",E71-E56))</f>
        <v>-20879.937106000012</v>
      </c>
    </row>
    <row r="72" spans="1:9" x14ac:dyDescent="0.25">
      <c r="A72" s="11"/>
      <c r="B72" s="11" t="s">
        <v>15</v>
      </c>
      <c r="C72" s="12">
        <v>0</v>
      </c>
      <c r="D72" s="13">
        <v>366.20159999999998</v>
      </c>
      <c r="E72" s="14">
        <f>E71+C72-D72</f>
        <v>78096.850554000004</v>
      </c>
      <c r="F72" s="11"/>
      <c r="G72" s="11" t="s">
        <v>15</v>
      </c>
      <c r="H72" s="15">
        <f>IF(C72="", "", IF(D72="", "",D72-D57))</f>
        <v>-705.73183600000004</v>
      </c>
      <c r="I72" s="15">
        <f>IF(D72="", "", IF(E72="", "",E72-E57))</f>
        <v>-20174.205270000006</v>
      </c>
    </row>
    <row r="73" spans="1:9" x14ac:dyDescent="0.25">
      <c r="A73" s="11"/>
      <c r="B73" s="11" t="s">
        <v>16</v>
      </c>
      <c r="C73" s="12">
        <v>0</v>
      </c>
      <c r="D73" s="13">
        <v>29.110185000000001</v>
      </c>
      <c r="E73" s="14">
        <f>E72+C73-D73</f>
        <v>78067.740369000006</v>
      </c>
      <c r="F73" s="11"/>
      <c r="G73" s="11" t="s">
        <v>16</v>
      </c>
      <c r="H73" s="15">
        <f>IF(C73="", "", IF(D73="", "",D73-D58))</f>
        <v>-706.99983699999996</v>
      </c>
      <c r="I73" s="15">
        <f>IF(D73="", "", IF(E73="", "",E73-E58))</f>
        <v>-19467.20543300001</v>
      </c>
    </row>
    <row r="74" spans="1:9" x14ac:dyDescent="0.25">
      <c r="A74" s="11"/>
      <c r="B74" s="11" t="s">
        <v>17</v>
      </c>
      <c r="C74" s="12">
        <v>0</v>
      </c>
      <c r="D74" s="13">
        <v>259.75977799999998</v>
      </c>
      <c r="E74" s="14">
        <f>E73+C74-D74</f>
        <v>77807.980591</v>
      </c>
      <c r="F74" s="11"/>
      <c r="G74" s="11" t="s">
        <v>17</v>
      </c>
      <c r="H74" s="15">
        <f>IF(C74="", "", IF(D74="", "",D74-D59))</f>
        <v>-865.40318100000002</v>
      </c>
      <c r="I74" s="15">
        <f>IF(D74="", "", IF(E74="", "",E74-E59))</f>
        <v>-18601.802252000023</v>
      </c>
    </row>
    <row r="75" spans="1:9" x14ac:dyDescent="0.25">
      <c r="A75" s="16"/>
      <c r="B75" s="16" t="s">
        <v>18</v>
      </c>
      <c r="C75" s="17">
        <v>0</v>
      </c>
      <c r="D75" s="18">
        <v>34.061293999999997</v>
      </c>
      <c r="E75" s="19">
        <f>E74+C75-D75</f>
        <v>77773.919297</v>
      </c>
      <c r="F75" s="16"/>
      <c r="G75" s="16" t="s">
        <v>18</v>
      </c>
      <c r="H75" s="20">
        <f>IF(C75="", "", IF(D75="", "",D75-D60))</f>
        <v>-152.875595</v>
      </c>
      <c r="I75" s="20">
        <f>IF(D75="", "", IF(E75="", "",E75-E60))</f>
        <v>-18448.926657000018</v>
      </c>
    </row>
    <row r="76" spans="1:9" s="2" customFormat="1" x14ac:dyDescent="0.25">
      <c r="A76" s="21"/>
      <c r="B76" s="21" t="s">
        <v>19</v>
      </c>
      <c r="C76" s="22">
        <f>SUM(C64:C75)</f>
        <v>1090.1100000000001</v>
      </c>
      <c r="D76" s="23">
        <f>SUM(D64:D75)</f>
        <v>19539.036657000004</v>
      </c>
      <c r="E76" s="14"/>
      <c r="F76" s="21"/>
      <c r="G76" s="21"/>
      <c r="H76" s="14">
        <f>SUMIF(C64:C75,"&gt;=0",H64:H75)</f>
        <v>14721.519343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90.842500000000015</v>
      </c>
      <c r="D77" s="23">
        <f>AVERAGE(D64:D75)</f>
        <v>1628.2530547500003</v>
      </c>
      <c r="E77" s="24">
        <f>C77/D77-1</f>
        <v>-0.94420861073468221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77773.919297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77773.919297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77773.919297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77773.919297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77773.919297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77773.919297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77773.919297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77773.919297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77773.919297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77773.919297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77773.919297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77773.919297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77773.919297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698CA-BB6E-4E88-8726-E5222ED1BA5D}">
  <sheetPr codeName="Sheet11"/>
  <dimension ref="A2:I92"/>
  <sheetViews>
    <sheetView topLeftCell="A72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</cols>
  <sheetData>
    <row r="2" spans="1:9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9" x14ac:dyDescent="0.25">
      <c r="A3" s="11"/>
      <c r="B3" s="11"/>
      <c r="C3" s="12"/>
      <c r="D3" s="13"/>
      <c r="E3" s="14"/>
      <c r="F3" s="11"/>
      <c r="G3" s="11"/>
      <c r="H3" s="15"/>
      <c r="I3" s="15"/>
    </row>
    <row r="4" spans="1:9" x14ac:dyDescent="0.25">
      <c r="A4" s="11">
        <v>2019</v>
      </c>
      <c r="B4" s="11" t="s">
        <v>7</v>
      </c>
      <c r="C4" s="12"/>
      <c r="D4" s="13"/>
      <c r="E4" s="14">
        <f>E3+C4-D4</f>
        <v>0</v>
      </c>
      <c r="F4" s="11"/>
      <c r="G4" s="11" t="s">
        <v>7</v>
      </c>
      <c r="H4" s="15"/>
      <c r="I4" s="15"/>
    </row>
    <row r="5" spans="1:9" x14ac:dyDescent="0.25">
      <c r="A5" s="11"/>
      <c r="B5" s="11" t="s">
        <v>8</v>
      </c>
      <c r="C5" s="12"/>
      <c r="D5" s="13"/>
      <c r="E5" s="14">
        <f>E4+C5-D5</f>
        <v>0</v>
      </c>
      <c r="F5" s="11"/>
      <c r="G5" s="11" t="s">
        <v>8</v>
      </c>
      <c r="H5" s="15"/>
      <c r="I5" s="15"/>
    </row>
    <row r="6" spans="1:9" x14ac:dyDescent="0.25">
      <c r="A6" s="11"/>
      <c r="B6" s="11" t="s">
        <v>9</v>
      </c>
      <c r="C6" s="12"/>
      <c r="D6" s="13"/>
      <c r="E6" s="14">
        <f>E5+C6-D6</f>
        <v>0</v>
      </c>
      <c r="F6" s="11"/>
      <c r="G6" s="11" t="s">
        <v>9</v>
      </c>
      <c r="H6" s="15"/>
      <c r="I6" s="15"/>
    </row>
    <row r="7" spans="1:9" x14ac:dyDescent="0.25">
      <c r="A7" s="11"/>
      <c r="B7" s="11" t="s">
        <v>10</v>
      </c>
      <c r="C7" s="12"/>
      <c r="D7" s="13"/>
      <c r="E7" s="14">
        <f>E6+C7-D7</f>
        <v>0</v>
      </c>
      <c r="F7" s="11"/>
      <c r="G7" s="11" t="s">
        <v>10</v>
      </c>
      <c r="H7" s="15"/>
      <c r="I7" s="15"/>
    </row>
    <row r="8" spans="1:9" x14ac:dyDescent="0.25">
      <c r="A8" s="11"/>
      <c r="B8" s="11" t="s">
        <v>11</v>
      </c>
      <c r="C8" s="12"/>
      <c r="D8" s="13"/>
      <c r="E8" s="14">
        <f>E7+C8-D8</f>
        <v>0</v>
      </c>
      <c r="F8" s="11"/>
      <c r="G8" s="11" t="s">
        <v>11</v>
      </c>
      <c r="H8" s="15"/>
      <c r="I8" s="15"/>
    </row>
    <row r="9" spans="1:9" x14ac:dyDescent="0.25">
      <c r="A9" s="11"/>
      <c r="B9" s="11" t="s">
        <v>12</v>
      </c>
      <c r="C9" s="12"/>
      <c r="D9" s="13"/>
      <c r="E9" s="14">
        <f>E8+C9-D9</f>
        <v>0</v>
      </c>
      <c r="F9" s="11"/>
      <c r="G9" s="11" t="s">
        <v>12</v>
      </c>
      <c r="H9" s="15"/>
      <c r="I9" s="15"/>
    </row>
    <row r="10" spans="1:9" x14ac:dyDescent="0.25">
      <c r="A10" s="11"/>
      <c r="B10" s="11" t="s">
        <v>13</v>
      </c>
      <c r="C10" s="12"/>
      <c r="D10" s="13"/>
      <c r="E10" s="14">
        <f>E9+C10-D10</f>
        <v>0</v>
      </c>
      <c r="F10" s="11"/>
      <c r="G10" s="11" t="s">
        <v>13</v>
      </c>
      <c r="H10" s="15"/>
      <c r="I10" s="15"/>
    </row>
    <row r="11" spans="1:9" x14ac:dyDescent="0.25">
      <c r="A11" s="11"/>
      <c r="B11" s="11" t="s">
        <v>14</v>
      </c>
      <c r="C11" s="12"/>
      <c r="D11" s="13"/>
      <c r="E11" s="14">
        <f>E10+C11-D11</f>
        <v>0</v>
      </c>
      <c r="F11" s="11"/>
      <c r="G11" s="11" t="s">
        <v>14</v>
      </c>
      <c r="H11" s="15"/>
      <c r="I11" s="15"/>
    </row>
    <row r="12" spans="1:9" x14ac:dyDescent="0.25">
      <c r="A12" s="11"/>
      <c r="B12" s="11" t="s">
        <v>15</v>
      </c>
      <c r="C12" s="12"/>
      <c r="D12" s="13"/>
      <c r="E12" s="14">
        <f>E11+C12-D12</f>
        <v>0</v>
      </c>
      <c r="F12" s="11"/>
      <c r="G12" s="11" t="s">
        <v>15</v>
      </c>
      <c r="H12" s="15"/>
      <c r="I12" s="15"/>
    </row>
    <row r="13" spans="1:9" x14ac:dyDescent="0.25">
      <c r="A13" s="11"/>
      <c r="B13" s="11" t="s">
        <v>16</v>
      </c>
      <c r="C13" s="12"/>
      <c r="D13" s="13"/>
      <c r="E13" s="14">
        <f>E12+C13-D13</f>
        <v>0</v>
      </c>
      <c r="F13" s="11"/>
      <c r="G13" s="11" t="s">
        <v>16</v>
      </c>
      <c r="H13" s="15"/>
      <c r="I13" s="15"/>
    </row>
    <row r="14" spans="1:9" x14ac:dyDescent="0.25">
      <c r="A14" s="11"/>
      <c r="B14" s="11" t="s">
        <v>17</v>
      </c>
      <c r="C14" s="12"/>
      <c r="D14" s="13"/>
      <c r="E14" s="14">
        <f>E13+C14-D14</f>
        <v>0</v>
      </c>
      <c r="F14" s="11"/>
      <c r="G14" s="11" t="s">
        <v>17</v>
      </c>
      <c r="H14" s="15"/>
      <c r="I14" s="15"/>
    </row>
    <row r="15" spans="1:9" x14ac:dyDescent="0.25">
      <c r="A15" s="16"/>
      <c r="B15" s="16" t="s">
        <v>18</v>
      </c>
      <c r="C15" s="17"/>
      <c r="D15" s="18"/>
      <c r="E15" s="19">
        <f>E14+C15-D15</f>
        <v>0</v>
      </c>
      <c r="F15" s="16"/>
      <c r="G15" s="16" t="s">
        <v>18</v>
      </c>
      <c r="H15" s="20"/>
      <c r="I15" s="20"/>
    </row>
    <row r="16" spans="1:9" s="2" customFormat="1" x14ac:dyDescent="0.25">
      <c r="A16" s="21"/>
      <c r="B16" s="21" t="s">
        <v>19</v>
      </c>
      <c r="C16" s="22">
        <f>SUM(C4:C15)</f>
        <v>0</v>
      </c>
      <c r="D16" s="23">
        <f>SUM(D4:D15)</f>
        <v>0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 t="e">
        <f>AVERAGE(C4:C15)</f>
        <v>#DIV/0!</v>
      </c>
      <c r="D17" s="23" t="e">
        <f>AVERAGE(D4:D15)</f>
        <v>#DIV/0!</v>
      </c>
      <c r="E17" s="24" t="e">
        <f>C17/D17-1</f>
        <v>#DIV/0!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0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/>
      <c r="D19" s="27"/>
      <c r="E19" s="28">
        <f>E18+C19-D19</f>
        <v>0</v>
      </c>
      <c r="F19" s="25"/>
      <c r="G19" s="25" t="s">
        <v>7</v>
      </c>
      <c r="H19" s="29" t="str">
        <f>IF(C19="", "", IF(D19="", "",D19-D4))</f>
        <v/>
      </c>
      <c r="I19" s="29" t="str">
        <f>IF(D19="", "", IF(E19="", "",E19-E4))</f>
        <v/>
      </c>
    </row>
    <row r="20" spans="1:9" x14ac:dyDescent="0.25">
      <c r="A20" s="25"/>
      <c r="B20" s="25" t="s">
        <v>8</v>
      </c>
      <c r="C20" s="26"/>
      <c r="D20" s="27"/>
      <c r="E20" s="28">
        <f>E19+C20-D20</f>
        <v>0</v>
      </c>
      <c r="F20" s="25"/>
      <c r="G20" s="25" t="s">
        <v>8</v>
      </c>
      <c r="H20" s="29" t="str">
        <f>IF(C20="", "", IF(D20="", "",D20-D5))</f>
        <v/>
      </c>
      <c r="I20" s="29" t="str">
        <f>IF(D20="", "", IF(E20="", "",E20-E5))</f>
        <v/>
      </c>
    </row>
    <row r="21" spans="1:9" x14ac:dyDescent="0.25">
      <c r="A21" s="25"/>
      <c r="B21" s="25" t="s">
        <v>9</v>
      </c>
      <c r="C21" s="26"/>
      <c r="D21" s="27"/>
      <c r="E21" s="28">
        <f>E20+C21-D21</f>
        <v>0</v>
      </c>
      <c r="F21" s="25"/>
      <c r="G21" s="25" t="s">
        <v>9</v>
      </c>
      <c r="H21" s="29" t="str">
        <f>IF(C21="", "", IF(D21="", "",D21-D6))</f>
        <v/>
      </c>
      <c r="I21" s="29" t="str">
        <f>IF(D21="", "", IF(E21="", "",E21-E6))</f>
        <v/>
      </c>
    </row>
    <row r="22" spans="1:9" x14ac:dyDescent="0.25">
      <c r="A22" s="25"/>
      <c r="B22" s="25" t="s">
        <v>10</v>
      </c>
      <c r="C22" s="26"/>
      <c r="D22" s="27"/>
      <c r="E22" s="28">
        <f>E21+C22-D22</f>
        <v>0</v>
      </c>
      <c r="F22" s="25"/>
      <c r="G22" s="25" t="s">
        <v>10</v>
      </c>
      <c r="H22" s="29" t="str">
        <f>IF(C22="", "", IF(D22="", "",D22-D7))</f>
        <v/>
      </c>
      <c r="I22" s="29" t="str">
        <f>IF(D22="", "", IF(E22="", "",E22-E7))</f>
        <v/>
      </c>
    </row>
    <row r="23" spans="1:9" x14ac:dyDescent="0.25">
      <c r="A23" s="25"/>
      <c r="B23" s="25" t="s">
        <v>11</v>
      </c>
      <c r="C23" s="26"/>
      <c r="D23" s="27"/>
      <c r="E23" s="28">
        <f>E22+C23-D23</f>
        <v>0</v>
      </c>
      <c r="F23" s="25"/>
      <c r="G23" s="25" t="s">
        <v>11</v>
      </c>
      <c r="H23" s="29" t="str">
        <f>IF(C23="", "", IF(D23="", "",D23-D8))</f>
        <v/>
      </c>
      <c r="I23" s="29" t="str">
        <f>IF(D23="", "", IF(E23="", "",E23-E8))</f>
        <v/>
      </c>
    </row>
    <row r="24" spans="1:9" x14ac:dyDescent="0.25">
      <c r="A24" s="25"/>
      <c r="B24" s="25" t="s">
        <v>12</v>
      </c>
      <c r="C24" s="26"/>
      <c r="D24" s="27"/>
      <c r="E24" s="28">
        <f>E23+C24-D24</f>
        <v>0</v>
      </c>
      <c r="F24" s="25"/>
      <c r="G24" s="25" t="s">
        <v>12</v>
      </c>
      <c r="H24" s="29" t="str">
        <f>IF(C24="", "", IF(D24="", "",D24-D9))</f>
        <v/>
      </c>
      <c r="I24" s="29" t="str">
        <f>IF(D24="", "", IF(E24="", "",E24-E9))</f>
        <v/>
      </c>
    </row>
    <row r="25" spans="1:9" x14ac:dyDescent="0.25">
      <c r="A25" s="25"/>
      <c r="B25" s="25" t="s">
        <v>13</v>
      </c>
      <c r="C25" s="26"/>
      <c r="D25" s="27"/>
      <c r="E25" s="28">
        <f>E24+C25-D25</f>
        <v>0</v>
      </c>
      <c r="F25" s="25"/>
      <c r="G25" s="25" t="s">
        <v>13</v>
      </c>
      <c r="H25" s="29" t="str">
        <f>IF(C25="", "", IF(D25="", "",D25-D10))</f>
        <v/>
      </c>
      <c r="I25" s="29" t="str">
        <f>IF(D25="", "", IF(E25="", "",E25-E10))</f>
        <v/>
      </c>
    </row>
    <row r="26" spans="1:9" x14ac:dyDescent="0.25">
      <c r="A26" s="25"/>
      <c r="B26" s="25" t="s">
        <v>14</v>
      </c>
      <c r="C26" s="26"/>
      <c r="D26" s="27"/>
      <c r="E26" s="28">
        <f>E25+C26-D26</f>
        <v>0</v>
      </c>
      <c r="F26" s="25"/>
      <c r="G26" s="25" t="s">
        <v>14</v>
      </c>
      <c r="H26" s="29" t="str">
        <f>IF(C26="", "", IF(D26="", "",D26-D11))</f>
        <v/>
      </c>
      <c r="I26" s="29" t="str">
        <f>IF(D26="", "", IF(E26="", "",E26-E11))</f>
        <v/>
      </c>
    </row>
    <row r="27" spans="1:9" x14ac:dyDescent="0.25">
      <c r="A27" s="25"/>
      <c r="B27" s="25" t="s">
        <v>15</v>
      </c>
      <c r="C27" s="26"/>
      <c r="D27" s="27"/>
      <c r="E27" s="28">
        <f>E26+C27-D27</f>
        <v>0</v>
      </c>
      <c r="F27" s="25"/>
      <c r="G27" s="25" t="s">
        <v>15</v>
      </c>
      <c r="H27" s="29" t="str">
        <f>IF(C27="", "", IF(D27="", "",D27-D12))</f>
        <v/>
      </c>
      <c r="I27" s="29" t="str">
        <f>IF(D27="", "", IF(E27="", "",E27-E12))</f>
        <v/>
      </c>
    </row>
    <row r="28" spans="1:9" x14ac:dyDescent="0.25">
      <c r="A28" s="25"/>
      <c r="B28" s="25" t="s">
        <v>16</v>
      </c>
      <c r="C28" s="26"/>
      <c r="D28" s="27"/>
      <c r="E28" s="28">
        <f>E27+C28-D28</f>
        <v>0</v>
      </c>
      <c r="F28" s="25"/>
      <c r="G28" s="25" t="s">
        <v>16</v>
      </c>
      <c r="H28" s="29" t="str">
        <f>IF(C28="", "", IF(D28="", "",D28-D13))</f>
        <v/>
      </c>
      <c r="I28" s="29" t="str">
        <f>IF(D28="", "", IF(E28="", "",E28-E13))</f>
        <v/>
      </c>
    </row>
    <row r="29" spans="1:9" x14ac:dyDescent="0.25">
      <c r="A29" s="25"/>
      <c r="B29" s="25" t="s">
        <v>17</v>
      </c>
      <c r="C29" s="26"/>
      <c r="D29" s="27"/>
      <c r="E29" s="28">
        <f>E28+C29-D29</f>
        <v>0</v>
      </c>
      <c r="F29" s="25"/>
      <c r="G29" s="25" t="s">
        <v>17</v>
      </c>
      <c r="H29" s="29" t="str">
        <f>IF(C29="", "", IF(D29="", "",D29-D14))</f>
        <v/>
      </c>
      <c r="I29" s="29" t="str">
        <f>IF(D29="", "", IF(E29="", "",E29-E14))</f>
        <v/>
      </c>
    </row>
    <row r="30" spans="1:9" x14ac:dyDescent="0.25">
      <c r="A30" s="30"/>
      <c r="B30" s="30" t="s">
        <v>18</v>
      </c>
      <c r="C30" s="31"/>
      <c r="D30" s="32"/>
      <c r="E30" s="33">
        <f>E29+C30-D30</f>
        <v>0</v>
      </c>
      <c r="F30" s="30"/>
      <c r="G30" s="30" t="s">
        <v>18</v>
      </c>
      <c r="H30" s="34" t="str">
        <f>IF(C30="", "", IF(D30="", "",D30-D15))</f>
        <v/>
      </c>
      <c r="I30" s="34" t="str">
        <f>IF(D30="", "", IF(E30="", "",E30-E15))</f>
        <v/>
      </c>
    </row>
    <row r="31" spans="1:9" s="2" customFormat="1" x14ac:dyDescent="0.25">
      <c r="A31" s="35"/>
      <c r="B31" s="35" t="s">
        <v>19</v>
      </c>
      <c r="C31" s="36">
        <f>SUM(C19:C30)</f>
        <v>0</v>
      </c>
      <c r="D31" s="37">
        <f>SUM(D19:D30)</f>
        <v>0</v>
      </c>
      <c r="E31" s="28"/>
      <c r="F31" s="35"/>
      <c r="G31" s="35"/>
      <c r="H31" s="28">
        <f>SUMIF(C19:C30,"&gt;=0",H19:H30)</f>
        <v>0</v>
      </c>
      <c r="I31" s="28"/>
    </row>
    <row r="32" spans="1:9" s="2" customFormat="1" x14ac:dyDescent="0.25">
      <c r="A32" s="35"/>
      <c r="B32" s="35" t="s">
        <v>20</v>
      </c>
      <c r="C32" s="36" t="e">
        <f>AVERAGE(C19:C30)</f>
        <v>#DIV/0!</v>
      </c>
      <c r="D32" s="37" t="e">
        <f>AVERAGE(D19:D30)</f>
        <v>#DIV/0!</v>
      </c>
      <c r="E32" s="38" t="e">
        <f>C32/D32-1</f>
        <v>#DIV/0!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0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/>
      <c r="D34" s="13"/>
      <c r="E34" s="14">
        <f>E33+C34-D34</f>
        <v>0</v>
      </c>
      <c r="F34" s="11"/>
      <c r="G34" s="11" t="s">
        <v>7</v>
      </c>
      <c r="H34" s="15" t="str">
        <f>IF(C34="", "", IF(D34="", "",D34-D19))</f>
        <v/>
      </c>
      <c r="I34" s="15" t="str">
        <f>IF(D34="", "", IF(E34="", "",E34-E19))</f>
        <v/>
      </c>
    </row>
    <row r="35" spans="1:9" x14ac:dyDescent="0.25">
      <c r="A35" s="11"/>
      <c r="B35" s="11" t="s">
        <v>8</v>
      </c>
      <c r="C35" s="12">
        <v>10802.64</v>
      </c>
      <c r="D35" s="13">
        <v>21.644334000000001</v>
      </c>
      <c r="E35" s="14">
        <f>E34+C35-D35</f>
        <v>10780.995665999999</v>
      </c>
      <c r="F35" s="11"/>
      <c r="G35" s="11" t="s">
        <v>8</v>
      </c>
      <c r="H35" s="15">
        <f>IF(C35="", "", IF(D35="", "",D35-D20))</f>
        <v>21.644334000000001</v>
      </c>
      <c r="I35" s="15">
        <f>IF(D35="", "", IF(E35="", "",E35-E20))</f>
        <v>10780.995665999999</v>
      </c>
    </row>
    <row r="36" spans="1:9" x14ac:dyDescent="0.25">
      <c r="A36" s="11"/>
      <c r="B36" s="11" t="s">
        <v>9</v>
      </c>
      <c r="C36" s="12">
        <v>9399.9699999999993</v>
      </c>
      <c r="D36" s="13">
        <v>2450.1320879999998</v>
      </c>
      <c r="E36" s="14">
        <f>E35+C36-D36</f>
        <v>17730.833577999998</v>
      </c>
      <c r="F36" s="11"/>
      <c r="G36" s="11" t="s">
        <v>9</v>
      </c>
      <c r="H36" s="15">
        <f>IF(C36="", "", IF(D36="", "",D36-D21))</f>
        <v>2450.1320879999998</v>
      </c>
      <c r="I36" s="15">
        <f>IF(D36="", "", IF(E36="", "",E36-E21))</f>
        <v>17730.833577999998</v>
      </c>
    </row>
    <row r="37" spans="1:9" x14ac:dyDescent="0.25">
      <c r="A37" s="11"/>
      <c r="B37" s="11" t="s">
        <v>10</v>
      </c>
      <c r="C37" s="12">
        <v>0</v>
      </c>
      <c r="D37" s="13">
        <v>3634.760816</v>
      </c>
      <c r="E37" s="14">
        <f>E36+C37-D37</f>
        <v>14096.072761999998</v>
      </c>
      <c r="F37" s="11"/>
      <c r="G37" s="11" t="s">
        <v>10</v>
      </c>
      <c r="H37" s="15">
        <f>IF(C37="", "", IF(D37="", "",D37-D22))</f>
        <v>3634.760816</v>
      </c>
      <c r="I37" s="15">
        <f>IF(D37="", "", IF(E37="", "",E37-E22))</f>
        <v>14096.072761999998</v>
      </c>
    </row>
    <row r="38" spans="1:9" x14ac:dyDescent="0.25">
      <c r="A38" s="11"/>
      <c r="B38" s="11" t="s">
        <v>11</v>
      </c>
      <c r="C38" s="12">
        <v>23535.02</v>
      </c>
      <c r="D38" s="13">
        <v>2515.6526410000001</v>
      </c>
      <c r="E38" s="14">
        <f>E37+C38-D38</f>
        <v>35115.440121</v>
      </c>
      <c r="F38" s="11"/>
      <c r="G38" s="11" t="s">
        <v>11</v>
      </c>
      <c r="H38" s="15">
        <f>IF(C38="", "", IF(D38="", "",D38-D23))</f>
        <v>2515.6526410000001</v>
      </c>
      <c r="I38" s="15">
        <f>IF(D38="", "", IF(E38="", "",E38-E23))</f>
        <v>35115.440121</v>
      </c>
    </row>
    <row r="39" spans="1:9" x14ac:dyDescent="0.25">
      <c r="A39" s="11"/>
      <c r="B39" s="11" t="s">
        <v>12</v>
      </c>
      <c r="C39" s="12">
        <v>0</v>
      </c>
      <c r="D39" s="13">
        <v>2995.7797220000002</v>
      </c>
      <c r="E39" s="14">
        <f>E38+C39-D39</f>
        <v>32119.660399</v>
      </c>
      <c r="F39" s="11"/>
      <c r="G39" s="11" t="s">
        <v>12</v>
      </c>
      <c r="H39" s="15">
        <f>IF(C39="", "", IF(D39="", "",D39-D24))</f>
        <v>2995.7797220000002</v>
      </c>
      <c r="I39" s="15">
        <f>IF(D39="", "", IF(E39="", "",E39-E24))</f>
        <v>32119.660399</v>
      </c>
    </row>
    <row r="40" spans="1:9" x14ac:dyDescent="0.25">
      <c r="A40" s="11"/>
      <c r="B40" s="11" t="s">
        <v>13</v>
      </c>
      <c r="C40" s="12">
        <v>0</v>
      </c>
      <c r="D40" s="13">
        <v>2808.0713820000001</v>
      </c>
      <c r="E40" s="14">
        <f>E39+C40-D40</f>
        <v>29311.589016999998</v>
      </c>
      <c r="F40" s="11"/>
      <c r="G40" s="11" t="s">
        <v>13</v>
      </c>
      <c r="H40" s="15">
        <f>IF(C40="", "", IF(D40="", "",D40-D25))</f>
        <v>2808.0713820000001</v>
      </c>
      <c r="I40" s="15">
        <f>IF(D40="", "", IF(E40="", "",E40-E25))</f>
        <v>29311.589016999998</v>
      </c>
    </row>
    <row r="41" spans="1:9" x14ac:dyDescent="0.25">
      <c r="A41" s="11"/>
      <c r="B41" s="11" t="s">
        <v>14</v>
      </c>
      <c r="C41" s="12">
        <v>20970.03</v>
      </c>
      <c r="D41" s="13">
        <v>10570.748417999999</v>
      </c>
      <c r="E41" s="14">
        <f>E40+C41-D41</f>
        <v>39710.870599000002</v>
      </c>
      <c r="F41" s="11"/>
      <c r="G41" s="11" t="s">
        <v>14</v>
      </c>
      <c r="H41" s="15">
        <f>IF(C41="", "", IF(D41="", "",D41-D26))</f>
        <v>10570.748417999999</v>
      </c>
      <c r="I41" s="15">
        <f>IF(D41="", "", IF(E41="", "",E41-E26))</f>
        <v>39710.870599000002</v>
      </c>
    </row>
    <row r="42" spans="1:9" x14ac:dyDescent="0.25">
      <c r="A42" s="11"/>
      <c r="B42" s="11" t="s">
        <v>15</v>
      </c>
      <c r="C42" s="12">
        <v>9267.57</v>
      </c>
      <c r="D42" s="13">
        <v>2931.5993130000002</v>
      </c>
      <c r="E42" s="14">
        <f>E41+C42-D42</f>
        <v>46046.841286000003</v>
      </c>
      <c r="F42" s="11"/>
      <c r="G42" s="11" t="s">
        <v>15</v>
      </c>
      <c r="H42" s="15">
        <f>IF(C42="", "", IF(D42="", "",D42-D27))</f>
        <v>2931.5993130000002</v>
      </c>
      <c r="I42" s="15">
        <f>IF(D42="", "", IF(E42="", "",E42-E27))</f>
        <v>46046.841286000003</v>
      </c>
    </row>
    <row r="43" spans="1:9" x14ac:dyDescent="0.25">
      <c r="A43" s="11"/>
      <c r="B43" s="11" t="s">
        <v>16</v>
      </c>
      <c r="C43" s="12">
        <v>64707.66</v>
      </c>
      <c r="D43" s="13">
        <v>23320.181322</v>
      </c>
      <c r="E43" s="14">
        <f>E42+C43-D43</f>
        <v>87434.319964000009</v>
      </c>
      <c r="F43" s="11"/>
      <c r="G43" s="11" t="s">
        <v>16</v>
      </c>
      <c r="H43" s="15">
        <f>IF(C43="", "", IF(D43="", "",D43-D28))</f>
        <v>23320.181322</v>
      </c>
      <c r="I43" s="15">
        <f>IF(D43="", "", IF(E43="", "",E43-E28))</f>
        <v>87434.319964000009</v>
      </c>
    </row>
    <row r="44" spans="1:9" x14ac:dyDescent="0.25">
      <c r="A44" s="11"/>
      <c r="B44" s="11" t="s">
        <v>17</v>
      </c>
      <c r="C44" s="12">
        <v>0</v>
      </c>
      <c r="D44" s="13">
        <v>1907.15588</v>
      </c>
      <c r="E44" s="14">
        <f>E43+C44-D44</f>
        <v>85527.164084000004</v>
      </c>
      <c r="F44" s="11"/>
      <c r="G44" s="11" t="s">
        <v>17</v>
      </c>
      <c r="H44" s="15">
        <f>IF(C44="", "", IF(D44="", "",D44-D29))</f>
        <v>1907.15588</v>
      </c>
      <c r="I44" s="15">
        <f>IF(D44="", "", IF(E44="", "",E44-E29))</f>
        <v>85527.164084000004</v>
      </c>
    </row>
    <row r="45" spans="1:9" x14ac:dyDescent="0.25">
      <c r="A45" s="16"/>
      <c r="B45" s="16" t="s">
        <v>18</v>
      </c>
      <c r="C45" s="17">
        <v>0</v>
      </c>
      <c r="D45" s="18">
        <v>3546.333701</v>
      </c>
      <c r="E45" s="19">
        <f>E44+C45-D45</f>
        <v>81980.830383000008</v>
      </c>
      <c r="F45" s="16"/>
      <c r="G45" s="16" t="s">
        <v>18</v>
      </c>
      <c r="H45" s="20">
        <f>IF(C45="", "", IF(D45="", "",D45-D30))</f>
        <v>3546.333701</v>
      </c>
      <c r="I45" s="20">
        <f>IF(D45="", "", IF(E45="", "",E45-E30))</f>
        <v>81980.830383000008</v>
      </c>
    </row>
    <row r="46" spans="1:9" s="2" customFormat="1" x14ac:dyDescent="0.25">
      <c r="A46" s="21"/>
      <c r="B46" s="21" t="s">
        <v>19</v>
      </c>
      <c r="C46" s="22">
        <f>SUM(C34:C45)</f>
        <v>138682.89000000001</v>
      </c>
      <c r="D46" s="23">
        <f>SUM(D34:D45)</f>
        <v>56702.059617000006</v>
      </c>
      <c r="E46" s="14"/>
      <c r="F46" s="21"/>
      <c r="G46" s="21"/>
      <c r="H46" s="14">
        <f>SUMIF(C34:C45,"&gt;=0",H34:H45)</f>
        <v>56702.059617000006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12607.535454545456</v>
      </c>
      <c r="D47" s="23">
        <f>AVERAGE(D34:D45)</f>
        <v>5154.7326924545459</v>
      </c>
      <c r="E47" s="24">
        <f>C47/D47-1</f>
        <v>1.4458175053383968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81980.830383000008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0</v>
      </c>
      <c r="D49" s="27">
        <v>2262.6358070000001</v>
      </c>
      <c r="E49" s="28">
        <f>E48+C49-D49</f>
        <v>79718.194576000009</v>
      </c>
      <c r="F49" s="25"/>
      <c r="G49" s="25" t="s">
        <v>7</v>
      </c>
      <c r="H49" s="29">
        <f>IF(C49="", "", IF(D49="", "",D49-D34))</f>
        <v>2262.6358070000001</v>
      </c>
      <c r="I49" s="29">
        <f>IF(D49="", "", IF(E49="", "",E49-E34))</f>
        <v>79718.194576000009</v>
      </c>
    </row>
    <row r="50" spans="1:9" x14ac:dyDescent="0.25">
      <c r="A50" s="25"/>
      <c r="B50" s="25" t="s">
        <v>8</v>
      </c>
      <c r="C50" s="26">
        <v>6118.15</v>
      </c>
      <c r="D50" s="27">
        <v>2996.1723809999999</v>
      </c>
      <c r="E50" s="28">
        <f>E49+C50-D50</f>
        <v>82840.172195000006</v>
      </c>
      <c r="F50" s="25"/>
      <c r="G50" s="25" t="s">
        <v>8</v>
      </c>
      <c r="H50" s="29">
        <f>IF(C50="", "", IF(D50="", "",D50-D35))</f>
        <v>2974.5280469999998</v>
      </c>
      <c r="I50" s="29">
        <f>IF(D50="", "", IF(E50="", "",E50-E35))</f>
        <v>72059.176529000004</v>
      </c>
    </row>
    <row r="51" spans="1:9" x14ac:dyDescent="0.25">
      <c r="A51" s="25"/>
      <c r="B51" s="25" t="s">
        <v>9</v>
      </c>
      <c r="C51" s="26">
        <v>0</v>
      </c>
      <c r="D51" s="27">
        <v>4060.1870939999999</v>
      </c>
      <c r="E51" s="28">
        <f>E50+C51-D51</f>
        <v>78779.985101000013</v>
      </c>
      <c r="F51" s="25"/>
      <c r="G51" s="25" t="s">
        <v>9</v>
      </c>
      <c r="H51" s="29">
        <f>IF(C51="", "", IF(D51="", "",D51-D36))</f>
        <v>1610.055006</v>
      </c>
      <c r="I51" s="29">
        <f>IF(D51="", "", IF(E51="", "",E51-E36))</f>
        <v>61049.151523000015</v>
      </c>
    </row>
    <row r="52" spans="1:9" x14ac:dyDescent="0.25">
      <c r="A52" s="25"/>
      <c r="B52" s="25" t="s">
        <v>10</v>
      </c>
      <c r="C52" s="26">
        <v>0</v>
      </c>
      <c r="D52" s="27">
        <v>4621.7003629999999</v>
      </c>
      <c r="E52" s="28">
        <f>E51+C52-D52</f>
        <v>74158.284738000017</v>
      </c>
      <c r="F52" s="25"/>
      <c r="G52" s="25" t="s">
        <v>10</v>
      </c>
      <c r="H52" s="29">
        <f>IF(C52="", "", IF(D52="", "",D52-D37))</f>
        <v>986.93954699999995</v>
      </c>
      <c r="I52" s="29">
        <f>IF(D52="", "", IF(E52="", "",E52-E37))</f>
        <v>60062.211976000021</v>
      </c>
    </row>
    <row r="53" spans="1:9" x14ac:dyDescent="0.25">
      <c r="A53" s="25"/>
      <c r="B53" s="25" t="s">
        <v>11</v>
      </c>
      <c r="C53" s="26">
        <v>12969.81</v>
      </c>
      <c r="D53" s="27">
        <v>1985.6338940000001</v>
      </c>
      <c r="E53" s="28">
        <f>E52+C53-D53</f>
        <v>85142.460844000016</v>
      </c>
      <c r="F53" s="25"/>
      <c r="G53" s="25" t="s">
        <v>11</v>
      </c>
      <c r="H53" s="29">
        <f>IF(C53="", "", IF(D53="", "",D53-D38))</f>
        <v>-530.01874700000008</v>
      </c>
      <c r="I53" s="29">
        <f>IF(D53="", "", IF(E53="", "",E53-E38))</f>
        <v>50027.020723000016</v>
      </c>
    </row>
    <row r="54" spans="1:9" x14ac:dyDescent="0.25">
      <c r="A54" s="25"/>
      <c r="B54" s="25" t="s">
        <v>12</v>
      </c>
      <c r="C54" s="26">
        <v>0</v>
      </c>
      <c r="D54" s="27">
        <v>4012.632251</v>
      </c>
      <c r="E54" s="28">
        <f>E53+C54-D54</f>
        <v>81129.828593000013</v>
      </c>
      <c r="F54" s="25"/>
      <c r="G54" s="25" t="s">
        <v>12</v>
      </c>
      <c r="H54" s="29">
        <f>IF(C54="", "", IF(D54="", "",D54-D39))</f>
        <v>1016.8525289999998</v>
      </c>
      <c r="I54" s="29">
        <f>IF(D54="", "", IF(E54="", "",E54-E39))</f>
        <v>49010.168194000013</v>
      </c>
    </row>
    <row r="55" spans="1:9" x14ac:dyDescent="0.25">
      <c r="A55" s="25"/>
      <c r="B55" s="25" t="s">
        <v>13</v>
      </c>
      <c r="C55" s="26">
        <v>0</v>
      </c>
      <c r="D55" s="27">
        <v>3306.107966</v>
      </c>
      <c r="E55" s="28">
        <f>E54+C55-D55</f>
        <v>77823.720627000017</v>
      </c>
      <c r="F55" s="25"/>
      <c r="G55" s="25" t="s">
        <v>13</v>
      </c>
      <c r="H55" s="29">
        <f>IF(C55="", "", IF(D55="", "",D55-D40))</f>
        <v>498.03658399999995</v>
      </c>
      <c r="I55" s="29">
        <f>IF(D55="", "", IF(E55="", "",E55-E40))</f>
        <v>48512.131610000019</v>
      </c>
    </row>
    <row r="56" spans="1:9" x14ac:dyDescent="0.25">
      <c r="A56" s="25"/>
      <c r="B56" s="25" t="s">
        <v>14</v>
      </c>
      <c r="C56" s="26">
        <v>11091.66</v>
      </c>
      <c r="D56" s="27">
        <v>3284.8275180000001</v>
      </c>
      <c r="E56" s="28">
        <f>E55+C56-D56</f>
        <v>85630.553109000015</v>
      </c>
      <c r="F56" s="25"/>
      <c r="G56" s="25" t="s">
        <v>14</v>
      </c>
      <c r="H56" s="29">
        <f>IF(C56="", "", IF(D56="", "",D56-D41))</f>
        <v>-7285.9208999999992</v>
      </c>
      <c r="I56" s="29">
        <f>IF(D56="", "", IF(E56="", "",E56-E41))</f>
        <v>45919.682510000013</v>
      </c>
    </row>
    <row r="57" spans="1:9" x14ac:dyDescent="0.25">
      <c r="A57" s="25"/>
      <c r="B57" s="25" t="s">
        <v>15</v>
      </c>
      <c r="C57" s="26">
        <v>0</v>
      </c>
      <c r="D57" s="27">
        <v>4230.8836460000002</v>
      </c>
      <c r="E57" s="28">
        <f>E56+C57-D57</f>
        <v>81399.669463000013</v>
      </c>
      <c r="F57" s="25"/>
      <c r="G57" s="25" t="s">
        <v>15</v>
      </c>
      <c r="H57" s="29">
        <f>IF(C57="", "", IF(D57="", "",D57-D42))</f>
        <v>1299.2843330000001</v>
      </c>
      <c r="I57" s="29">
        <f>IF(D57="", "", IF(E57="", "",E57-E42))</f>
        <v>35352.82817700001</v>
      </c>
    </row>
    <row r="58" spans="1:9" x14ac:dyDescent="0.25">
      <c r="A58" s="25"/>
      <c r="B58" s="25" t="s">
        <v>16</v>
      </c>
      <c r="C58" s="26">
        <v>0</v>
      </c>
      <c r="D58" s="27">
        <v>3604.0973309999999</v>
      </c>
      <c r="E58" s="28">
        <f>E57+C58-D58</f>
        <v>77795.572132000016</v>
      </c>
      <c r="F58" s="25"/>
      <c r="G58" s="25" t="s">
        <v>16</v>
      </c>
      <c r="H58" s="29">
        <f>IF(C58="", "", IF(D58="", "",D58-D43))</f>
        <v>-19716.083991</v>
      </c>
      <c r="I58" s="29">
        <f>IF(D58="", "", IF(E58="", "",E58-E43))</f>
        <v>-9638.7478319999937</v>
      </c>
    </row>
    <row r="59" spans="1:9" x14ac:dyDescent="0.25">
      <c r="A59" s="25"/>
      <c r="B59" s="25" t="s">
        <v>17</v>
      </c>
      <c r="C59" s="26">
        <v>0</v>
      </c>
      <c r="D59" s="27">
        <v>3805.5161739999999</v>
      </c>
      <c r="E59" s="28">
        <f>E58+C59-D59</f>
        <v>73990.055958000012</v>
      </c>
      <c r="F59" s="25"/>
      <c r="G59" s="25" t="s">
        <v>17</v>
      </c>
      <c r="H59" s="29">
        <f>IF(C59="", "", IF(D59="", "",D59-D44))</f>
        <v>1898.3602939999998</v>
      </c>
      <c r="I59" s="29">
        <f>IF(D59="", "", IF(E59="", "",E59-E44))</f>
        <v>-11537.108125999992</v>
      </c>
    </row>
    <row r="60" spans="1:9" x14ac:dyDescent="0.25">
      <c r="A60" s="30"/>
      <c r="B60" s="30" t="s">
        <v>18</v>
      </c>
      <c r="C60" s="31">
        <v>0</v>
      </c>
      <c r="D60" s="32">
        <v>2409.1810620000001</v>
      </c>
      <c r="E60" s="33">
        <f>E59+C60-D60</f>
        <v>71580.874896000008</v>
      </c>
      <c r="F60" s="30"/>
      <c r="G60" s="30" t="s">
        <v>18</v>
      </c>
      <c r="H60" s="34">
        <f>IF(C60="", "", IF(D60="", "",D60-D45))</f>
        <v>-1137.1526389999999</v>
      </c>
      <c r="I60" s="34">
        <f>IF(D60="", "", IF(E60="", "",E60-E45))</f>
        <v>-10399.955486999999</v>
      </c>
    </row>
    <row r="61" spans="1:9" s="2" customFormat="1" x14ac:dyDescent="0.25">
      <c r="A61" s="35"/>
      <c r="B61" s="35" t="s">
        <v>19</v>
      </c>
      <c r="C61" s="36">
        <f>SUM(C49:C60)</f>
        <v>30179.62</v>
      </c>
      <c r="D61" s="37">
        <f>SUM(D49:D60)</f>
        <v>40579.575487000002</v>
      </c>
      <c r="E61" s="28"/>
      <c r="F61" s="35"/>
      <c r="G61" s="35"/>
      <c r="H61" s="28">
        <f>SUMIF(C49:C60,"&gt;=0",H49:H60)</f>
        <v>-16122.484129999999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2514.9683333333332</v>
      </c>
      <c r="D62" s="37">
        <f>AVERAGE(D49:D60)</f>
        <v>3381.6312905833333</v>
      </c>
      <c r="E62" s="38">
        <f>C62/D62-1</f>
        <v>-0.25628546780465244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71580.874896000008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11591.14</v>
      </c>
      <c r="D64" s="13">
        <v>1356.7271840000001</v>
      </c>
      <c r="E64" s="14">
        <f>E63+C64-D64</f>
        <v>81815.287712000005</v>
      </c>
      <c r="F64" s="11"/>
      <c r="G64" s="11" t="s">
        <v>7</v>
      </c>
      <c r="H64" s="15">
        <f>IF(C64="", "", IF(D64="", "",D64-D49))</f>
        <v>-905.90862300000003</v>
      </c>
      <c r="I64" s="15">
        <f>IF(D64="", "", IF(E64="", "",E64-E49))</f>
        <v>2097.0931359999959</v>
      </c>
    </row>
    <row r="65" spans="1:9" x14ac:dyDescent="0.25">
      <c r="A65" s="11"/>
      <c r="B65" s="11" t="s">
        <v>8</v>
      </c>
      <c r="C65" s="12">
        <v>0</v>
      </c>
      <c r="D65" s="13">
        <v>3574.3874340000002</v>
      </c>
      <c r="E65" s="14">
        <f>E64+C65-D65</f>
        <v>78240.900278000001</v>
      </c>
      <c r="F65" s="11"/>
      <c r="G65" s="11" t="s">
        <v>8</v>
      </c>
      <c r="H65" s="15">
        <f>IF(C65="", "", IF(D65="", "",D65-D50))</f>
        <v>578.21505300000035</v>
      </c>
      <c r="I65" s="15">
        <f>IF(D65="", "", IF(E65="", "",E65-E50))</f>
        <v>-4599.2719170000055</v>
      </c>
    </row>
    <row r="66" spans="1:9" x14ac:dyDescent="0.25">
      <c r="A66" s="11"/>
      <c r="B66" s="11" t="s">
        <v>9</v>
      </c>
      <c r="C66" s="12">
        <v>0</v>
      </c>
      <c r="D66" s="13">
        <v>4463.9775380000001</v>
      </c>
      <c r="E66" s="14">
        <f>E65+C66-D66</f>
        <v>73776.922739999995</v>
      </c>
      <c r="F66" s="11"/>
      <c r="G66" s="11" t="s">
        <v>9</v>
      </c>
      <c r="H66" s="15">
        <f>IF(C66="", "", IF(D66="", "",D66-D51))</f>
        <v>403.79044400000021</v>
      </c>
      <c r="I66" s="15">
        <f>IF(D66="", "", IF(E66="", "",E66-E51))</f>
        <v>-5003.0623610000184</v>
      </c>
    </row>
    <row r="67" spans="1:9" x14ac:dyDescent="0.25">
      <c r="A67" s="11"/>
      <c r="B67" s="11" t="s">
        <v>10</v>
      </c>
      <c r="C67" s="12">
        <v>0</v>
      </c>
      <c r="D67" s="13">
        <v>1351.8657619999999</v>
      </c>
      <c r="E67" s="14">
        <f>E66+C67-D67</f>
        <v>72425.056977999993</v>
      </c>
      <c r="F67" s="11"/>
      <c r="G67" s="11" t="s">
        <v>10</v>
      </c>
      <c r="H67" s="15">
        <f>IF(C67="", "", IF(D67="", "",D67-D52))</f>
        <v>-3269.834601</v>
      </c>
      <c r="I67" s="15">
        <f>IF(D67="", "", IF(E67="", "",E67-E52))</f>
        <v>-1733.2277600000234</v>
      </c>
    </row>
    <row r="68" spans="1:9" x14ac:dyDescent="0.25">
      <c r="A68" s="11"/>
      <c r="B68" s="11" t="s">
        <v>11</v>
      </c>
      <c r="C68" s="12">
        <v>0</v>
      </c>
      <c r="D68" s="13">
        <v>3604.3471629999999</v>
      </c>
      <c r="E68" s="14">
        <f>E67+C68-D68</f>
        <v>68820.709814999995</v>
      </c>
      <c r="F68" s="11"/>
      <c r="G68" s="11" t="s">
        <v>11</v>
      </c>
      <c r="H68" s="15">
        <f>IF(C68="", "", IF(D68="", "",D68-D53))</f>
        <v>1618.7132689999999</v>
      </c>
      <c r="I68" s="15">
        <f>IF(D68="", "", IF(E68="", "",E68-E53))</f>
        <v>-16321.751029000021</v>
      </c>
    </row>
    <row r="69" spans="1:9" x14ac:dyDescent="0.25">
      <c r="A69" s="11"/>
      <c r="B69" s="11" t="s">
        <v>12</v>
      </c>
      <c r="C69" s="12">
        <v>12953.19</v>
      </c>
      <c r="D69" s="13">
        <v>2901.5733770000002</v>
      </c>
      <c r="E69" s="14">
        <f>E68+C69-D69</f>
        <v>78872.326438000004</v>
      </c>
      <c r="F69" s="11"/>
      <c r="G69" s="11" t="s">
        <v>12</v>
      </c>
      <c r="H69" s="15">
        <f>IF(C69="", "", IF(D69="", "",D69-D54))</f>
        <v>-1111.0588739999998</v>
      </c>
      <c r="I69" s="15">
        <f>IF(D69="", "", IF(E69="", "",E69-E54))</f>
        <v>-2257.5021550000092</v>
      </c>
    </row>
    <row r="70" spans="1:9" x14ac:dyDescent="0.25">
      <c r="A70" s="11"/>
      <c r="B70" s="11" t="s">
        <v>13</v>
      </c>
      <c r="C70" s="12">
        <v>0</v>
      </c>
      <c r="D70" s="13">
        <v>5156.7715150000004</v>
      </c>
      <c r="E70" s="14">
        <f>E69+C70-D70</f>
        <v>73715.554923000003</v>
      </c>
      <c r="F70" s="11"/>
      <c r="G70" s="11" t="s">
        <v>13</v>
      </c>
      <c r="H70" s="15">
        <f>IF(C70="", "", IF(D70="", "",D70-D55))</f>
        <v>1850.6635490000003</v>
      </c>
      <c r="I70" s="15">
        <f>IF(D70="", "", IF(E70="", "",E70-E55))</f>
        <v>-4108.1657040000136</v>
      </c>
    </row>
    <row r="71" spans="1:9" x14ac:dyDescent="0.25">
      <c r="A71" s="11"/>
      <c r="B71" s="11" t="s">
        <v>14</v>
      </c>
      <c r="C71" s="12">
        <v>0</v>
      </c>
      <c r="D71" s="13">
        <v>2685.767805</v>
      </c>
      <c r="E71" s="14">
        <f>E70+C71-D71</f>
        <v>71029.787118000007</v>
      </c>
      <c r="F71" s="11"/>
      <c r="G71" s="11" t="s">
        <v>14</v>
      </c>
      <c r="H71" s="15">
        <f>IF(C71="", "", IF(D71="", "",D71-D56))</f>
        <v>-599.0597130000001</v>
      </c>
      <c r="I71" s="15">
        <f>IF(D71="", "", IF(E71="", "",E71-E56))</f>
        <v>-14600.765991000007</v>
      </c>
    </row>
    <row r="72" spans="1:9" x14ac:dyDescent="0.25">
      <c r="A72" s="11"/>
      <c r="B72" s="11" t="s">
        <v>15</v>
      </c>
      <c r="C72" s="12">
        <v>16140.36</v>
      </c>
      <c r="D72" s="13">
        <v>2691.1113919999998</v>
      </c>
      <c r="E72" s="14">
        <f>E71+C72-D72</f>
        <v>84479.035726000002</v>
      </c>
      <c r="F72" s="11"/>
      <c r="G72" s="11" t="s">
        <v>15</v>
      </c>
      <c r="H72" s="15">
        <f>IF(C72="", "", IF(D72="", "",D72-D57))</f>
        <v>-1539.7722540000004</v>
      </c>
      <c r="I72" s="15">
        <f>IF(D72="", "", IF(E72="", "",E72-E57))</f>
        <v>3079.366262999989</v>
      </c>
    </row>
    <row r="73" spans="1:9" x14ac:dyDescent="0.25">
      <c r="A73" s="11"/>
      <c r="B73" s="11" t="s">
        <v>16</v>
      </c>
      <c r="C73" s="12">
        <v>0</v>
      </c>
      <c r="D73" s="13">
        <v>5511.1219069999997</v>
      </c>
      <c r="E73" s="14">
        <f>E72+C73-D73</f>
        <v>78967.913819000009</v>
      </c>
      <c r="F73" s="11"/>
      <c r="G73" s="11" t="s">
        <v>16</v>
      </c>
      <c r="H73" s="15">
        <f>IF(C73="", "", IF(D73="", "",D73-D58))</f>
        <v>1907.0245759999998</v>
      </c>
      <c r="I73" s="15">
        <f>IF(D73="", "", IF(E73="", "",E73-E58))</f>
        <v>1172.3416869999928</v>
      </c>
    </row>
    <row r="74" spans="1:9" x14ac:dyDescent="0.25">
      <c r="A74" s="11"/>
      <c r="B74" s="11" t="s">
        <v>17</v>
      </c>
      <c r="C74" s="12">
        <v>0</v>
      </c>
      <c r="D74" s="13">
        <v>4255.9341869999998</v>
      </c>
      <c r="E74" s="14">
        <f>E73+C74-D74</f>
        <v>74711.979632000002</v>
      </c>
      <c r="F74" s="11"/>
      <c r="G74" s="11" t="s">
        <v>17</v>
      </c>
      <c r="H74" s="15">
        <f>IF(C74="", "", IF(D74="", "",D74-D59))</f>
        <v>450.41801299999997</v>
      </c>
      <c r="I74" s="15">
        <f>IF(D74="", "", IF(E74="", "",E74-E59))</f>
        <v>721.92367399999057</v>
      </c>
    </row>
    <row r="75" spans="1:9" x14ac:dyDescent="0.25">
      <c r="A75" s="16"/>
      <c r="B75" s="16" t="s">
        <v>18</v>
      </c>
      <c r="C75" s="17">
        <v>0</v>
      </c>
      <c r="D75" s="18">
        <v>3842.5706970000001</v>
      </c>
      <c r="E75" s="19">
        <f>E74+C75-D75</f>
        <v>70869.408934999999</v>
      </c>
      <c r="F75" s="16"/>
      <c r="G75" s="16" t="s">
        <v>18</v>
      </c>
      <c r="H75" s="20">
        <f>IF(C75="", "", IF(D75="", "",D75-D60))</f>
        <v>1433.389635</v>
      </c>
      <c r="I75" s="20">
        <f>IF(D75="", "", IF(E75="", "",E75-E60))</f>
        <v>-711.46596100000897</v>
      </c>
    </row>
    <row r="76" spans="1:9" s="2" customFormat="1" x14ac:dyDescent="0.25">
      <c r="A76" s="21"/>
      <c r="B76" s="21" t="s">
        <v>19</v>
      </c>
      <c r="C76" s="22">
        <f>SUM(C64:C75)</f>
        <v>40684.69</v>
      </c>
      <c r="D76" s="23">
        <f>SUM(D64:D75)</f>
        <v>41396.155960999997</v>
      </c>
      <c r="E76" s="14"/>
      <c r="F76" s="21"/>
      <c r="G76" s="21"/>
      <c r="H76" s="14">
        <f>SUMIF(C64:C75,"&gt;=0",H64:H75)</f>
        <v>816.58047399999987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3390.3908333333334</v>
      </c>
      <c r="D77" s="23">
        <f>AVERAGE(D64:D75)</f>
        <v>3449.6796634166662</v>
      </c>
      <c r="E77" s="24">
        <f>C77/D77-1</f>
        <v>-1.7186763951471229E-2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70869.408934999999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70869.408934999999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70869.408934999999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70869.408934999999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70869.408934999999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70869.408934999999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70869.408934999999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70869.408934999999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70869.408934999999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70869.408934999999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70869.408934999999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70869.408934999999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70869.408934999999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9F973-AF55-46CA-BDAE-9A8A3674809E}">
  <sheetPr codeName="Sheet12"/>
  <dimension ref="A2:I92"/>
  <sheetViews>
    <sheetView topLeftCell="A72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</cols>
  <sheetData>
    <row r="2" spans="1:9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9" x14ac:dyDescent="0.25">
      <c r="A3" s="11"/>
      <c r="B3" s="11"/>
      <c r="C3" s="12"/>
      <c r="D3" s="13"/>
      <c r="E3" s="14"/>
      <c r="F3" s="11"/>
      <c r="G3" s="11"/>
      <c r="H3" s="15"/>
      <c r="I3" s="15"/>
    </row>
    <row r="4" spans="1:9" x14ac:dyDescent="0.25">
      <c r="A4" s="11">
        <v>2019</v>
      </c>
      <c r="B4" s="11" t="s">
        <v>7</v>
      </c>
      <c r="C4" s="12"/>
      <c r="D4" s="13"/>
      <c r="E4" s="14">
        <f>E3+C4-D4</f>
        <v>0</v>
      </c>
      <c r="F4" s="11"/>
      <c r="G4" s="11" t="s">
        <v>7</v>
      </c>
      <c r="H4" s="15"/>
      <c r="I4" s="15"/>
    </row>
    <row r="5" spans="1:9" x14ac:dyDescent="0.25">
      <c r="A5" s="11"/>
      <c r="B5" s="11" t="s">
        <v>8</v>
      </c>
      <c r="C5" s="12"/>
      <c r="D5" s="13"/>
      <c r="E5" s="14">
        <f>E4+C5-D5</f>
        <v>0</v>
      </c>
      <c r="F5" s="11"/>
      <c r="G5" s="11" t="s">
        <v>8</v>
      </c>
      <c r="H5" s="15"/>
      <c r="I5" s="15"/>
    </row>
    <row r="6" spans="1:9" x14ac:dyDescent="0.25">
      <c r="A6" s="11"/>
      <c r="B6" s="11" t="s">
        <v>9</v>
      </c>
      <c r="C6" s="12"/>
      <c r="D6" s="13"/>
      <c r="E6" s="14">
        <f>E5+C6-D6</f>
        <v>0</v>
      </c>
      <c r="F6" s="11"/>
      <c r="G6" s="11" t="s">
        <v>9</v>
      </c>
      <c r="H6" s="15"/>
      <c r="I6" s="15"/>
    </row>
    <row r="7" spans="1:9" x14ac:dyDescent="0.25">
      <c r="A7" s="11"/>
      <c r="B7" s="11" t="s">
        <v>10</v>
      </c>
      <c r="C7" s="12"/>
      <c r="D7" s="13"/>
      <c r="E7" s="14">
        <f>E6+C7-D7</f>
        <v>0</v>
      </c>
      <c r="F7" s="11"/>
      <c r="G7" s="11" t="s">
        <v>10</v>
      </c>
      <c r="H7" s="15"/>
      <c r="I7" s="15"/>
    </row>
    <row r="8" spans="1:9" x14ac:dyDescent="0.25">
      <c r="A8" s="11"/>
      <c r="B8" s="11" t="s">
        <v>11</v>
      </c>
      <c r="C8" s="12"/>
      <c r="D8" s="13"/>
      <c r="E8" s="14">
        <f>E7+C8-D8</f>
        <v>0</v>
      </c>
      <c r="F8" s="11"/>
      <c r="G8" s="11" t="s">
        <v>11</v>
      </c>
      <c r="H8" s="15"/>
      <c r="I8" s="15"/>
    </row>
    <row r="9" spans="1:9" x14ac:dyDescent="0.25">
      <c r="A9" s="11"/>
      <c r="B9" s="11" t="s">
        <v>12</v>
      </c>
      <c r="C9" s="12"/>
      <c r="D9" s="13"/>
      <c r="E9" s="14">
        <f>E8+C9-D9</f>
        <v>0</v>
      </c>
      <c r="F9" s="11"/>
      <c r="G9" s="11" t="s">
        <v>12</v>
      </c>
      <c r="H9" s="15"/>
      <c r="I9" s="15"/>
    </row>
    <row r="10" spans="1:9" x14ac:dyDescent="0.25">
      <c r="A10" s="11"/>
      <c r="B10" s="11" t="s">
        <v>13</v>
      </c>
      <c r="C10" s="12"/>
      <c r="D10" s="13"/>
      <c r="E10" s="14">
        <f>E9+C10-D10</f>
        <v>0</v>
      </c>
      <c r="F10" s="11"/>
      <c r="G10" s="11" t="s">
        <v>13</v>
      </c>
      <c r="H10" s="15"/>
      <c r="I10" s="15"/>
    </row>
    <row r="11" spans="1:9" x14ac:dyDescent="0.25">
      <c r="A11" s="11"/>
      <c r="B11" s="11" t="s">
        <v>14</v>
      </c>
      <c r="C11" s="12"/>
      <c r="D11" s="13"/>
      <c r="E11" s="14">
        <f>E10+C11-D11</f>
        <v>0</v>
      </c>
      <c r="F11" s="11"/>
      <c r="G11" s="11" t="s">
        <v>14</v>
      </c>
      <c r="H11" s="15"/>
      <c r="I11" s="15"/>
    </row>
    <row r="12" spans="1:9" x14ac:dyDescent="0.25">
      <c r="A12" s="11"/>
      <c r="B12" s="11" t="s">
        <v>15</v>
      </c>
      <c r="C12" s="12"/>
      <c r="D12" s="13"/>
      <c r="E12" s="14">
        <f>E11+C12-D12</f>
        <v>0</v>
      </c>
      <c r="F12" s="11"/>
      <c r="G12" s="11" t="s">
        <v>15</v>
      </c>
      <c r="H12" s="15"/>
      <c r="I12" s="15"/>
    </row>
    <row r="13" spans="1:9" x14ac:dyDescent="0.25">
      <c r="A13" s="11"/>
      <c r="B13" s="11" t="s">
        <v>16</v>
      </c>
      <c r="C13" s="12"/>
      <c r="D13" s="13"/>
      <c r="E13" s="14">
        <f>E12+C13-D13</f>
        <v>0</v>
      </c>
      <c r="F13" s="11"/>
      <c r="G13" s="11" t="s">
        <v>16</v>
      </c>
      <c r="H13" s="15"/>
      <c r="I13" s="15"/>
    </row>
    <row r="14" spans="1:9" x14ac:dyDescent="0.25">
      <c r="A14" s="11"/>
      <c r="B14" s="11" t="s">
        <v>17</v>
      </c>
      <c r="C14" s="12"/>
      <c r="D14" s="13"/>
      <c r="E14" s="14">
        <f>E13+C14-D14</f>
        <v>0</v>
      </c>
      <c r="F14" s="11"/>
      <c r="G14" s="11" t="s">
        <v>17</v>
      </c>
      <c r="H14" s="15"/>
      <c r="I14" s="15"/>
    </row>
    <row r="15" spans="1:9" x14ac:dyDescent="0.25">
      <c r="A15" s="16"/>
      <c r="B15" s="16" t="s">
        <v>18</v>
      </c>
      <c r="C15" s="17"/>
      <c r="D15" s="18"/>
      <c r="E15" s="19">
        <f>E14+C15-D15</f>
        <v>0</v>
      </c>
      <c r="F15" s="16"/>
      <c r="G15" s="16" t="s">
        <v>18</v>
      </c>
      <c r="H15" s="20"/>
      <c r="I15" s="20"/>
    </row>
    <row r="16" spans="1:9" s="2" customFormat="1" x14ac:dyDescent="0.25">
      <c r="A16" s="21"/>
      <c r="B16" s="21" t="s">
        <v>19</v>
      </c>
      <c r="C16" s="22">
        <f>SUM(C4:C15)</f>
        <v>0</v>
      </c>
      <c r="D16" s="23">
        <f>SUM(D4:D15)</f>
        <v>0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 t="e">
        <f>AVERAGE(C4:C15)</f>
        <v>#DIV/0!</v>
      </c>
      <c r="D17" s="23" t="e">
        <f>AVERAGE(D4:D15)</f>
        <v>#DIV/0!</v>
      </c>
      <c r="E17" s="24" t="e">
        <f>C17/D17-1</f>
        <v>#DIV/0!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0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/>
      <c r="D19" s="27"/>
      <c r="E19" s="28">
        <f>E18+C19-D19</f>
        <v>0</v>
      </c>
      <c r="F19" s="25"/>
      <c r="G19" s="25" t="s">
        <v>7</v>
      </c>
      <c r="H19" s="29" t="str">
        <f>IF(C19="", "", IF(D19="", "",D19-D4))</f>
        <v/>
      </c>
      <c r="I19" s="29" t="str">
        <f>IF(D19="", "", IF(E19="", "",E19-E4))</f>
        <v/>
      </c>
    </row>
    <row r="20" spans="1:9" x14ac:dyDescent="0.25">
      <c r="A20" s="25"/>
      <c r="B20" s="25" t="s">
        <v>8</v>
      </c>
      <c r="C20" s="26"/>
      <c r="D20" s="27"/>
      <c r="E20" s="28">
        <f>E19+C20-D20</f>
        <v>0</v>
      </c>
      <c r="F20" s="25"/>
      <c r="G20" s="25" t="s">
        <v>8</v>
      </c>
      <c r="H20" s="29" t="str">
        <f>IF(C20="", "", IF(D20="", "",D20-D5))</f>
        <v/>
      </c>
      <c r="I20" s="29" t="str">
        <f>IF(D20="", "", IF(E20="", "",E20-E5))</f>
        <v/>
      </c>
    </row>
    <row r="21" spans="1:9" x14ac:dyDescent="0.25">
      <c r="A21" s="25"/>
      <c r="B21" s="25" t="s">
        <v>9</v>
      </c>
      <c r="C21" s="26"/>
      <c r="D21" s="27"/>
      <c r="E21" s="28">
        <f>E20+C21-D21</f>
        <v>0</v>
      </c>
      <c r="F21" s="25"/>
      <c r="G21" s="25" t="s">
        <v>9</v>
      </c>
      <c r="H21" s="29" t="str">
        <f>IF(C21="", "", IF(D21="", "",D21-D6))</f>
        <v/>
      </c>
      <c r="I21" s="29" t="str">
        <f>IF(D21="", "", IF(E21="", "",E21-E6))</f>
        <v/>
      </c>
    </row>
    <row r="22" spans="1:9" x14ac:dyDescent="0.25">
      <c r="A22" s="25"/>
      <c r="B22" s="25" t="s">
        <v>10</v>
      </c>
      <c r="C22" s="26"/>
      <c r="D22" s="27"/>
      <c r="E22" s="28">
        <f>E21+C22-D22</f>
        <v>0</v>
      </c>
      <c r="F22" s="25"/>
      <c r="G22" s="25" t="s">
        <v>10</v>
      </c>
      <c r="H22" s="29" t="str">
        <f>IF(C22="", "", IF(D22="", "",D22-D7))</f>
        <v/>
      </c>
      <c r="I22" s="29" t="str">
        <f>IF(D22="", "", IF(E22="", "",E22-E7))</f>
        <v/>
      </c>
    </row>
    <row r="23" spans="1:9" x14ac:dyDescent="0.25">
      <c r="A23" s="25"/>
      <c r="B23" s="25" t="s">
        <v>11</v>
      </c>
      <c r="C23" s="26"/>
      <c r="D23" s="27"/>
      <c r="E23" s="28">
        <f>E22+C23-D23</f>
        <v>0</v>
      </c>
      <c r="F23" s="25"/>
      <c r="G23" s="25" t="s">
        <v>11</v>
      </c>
      <c r="H23" s="29" t="str">
        <f>IF(C23="", "", IF(D23="", "",D23-D8))</f>
        <v/>
      </c>
      <c r="I23" s="29" t="str">
        <f>IF(D23="", "", IF(E23="", "",E23-E8))</f>
        <v/>
      </c>
    </row>
    <row r="24" spans="1:9" x14ac:dyDescent="0.25">
      <c r="A24" s="25"/>
      <c r="B24" s="25" t="s">
        <v>12</v>
      </c>
      <c r="C24" s="26"/>
      <c r="D24" s="27"/>
      <c r="E24" s="28">
        <f>E23+C24-D24</f>
        <v>0</v>
      </c>
      <c r="F24" s="25"/>
      <c r="G24" s="25" t="s">
        <v>12</v>
      </c>
      <c r="H24" s="29" t="str">
        <f>IF(C24="", "", IF(D24="", "",D24-D9))</f>
        <v/>
      </c>
      <c r="I24" s="29" t="str">
        <f>IF(D24="", "", IF(E24="", "",E24-E9))</f>
        <v/>
      </c>
    </row>
    <row r="25" spans="1:9" x14ac:dyDescent="0.25">
      <c r="A25" s="25"/>
      <c r="B25" s="25" t="s">
        <v>13</v>
      </c>
      <c r="C25" s="26"/>
      <c r="D25" s="27"/>
      <c r="E25" s="28">
        <f>E24+C25-D25</f>
        <v>0</v>
      </c>
      <c r="F25" s="25"/>
      <c r="G25" s="25" t="s">
        <v>13</v>
      </c>
      <c r="H25" s="29" t="str">
        <f>IF(C25="", "", IF(D25="", "",D25-D10))</f>
        <v/>
      </c>
      <c r="I25" s="29" t="str">
        <f>IF(D25="", "", IF(E25="", "",E25-E10))</f>
        <v/>
      </c>
    </row>
    <row r="26" spans="1:9" x14ac:dyDescent="0.25">
      <c r="A26" s="25"/>
      <c r="B26" s="25" t="s">
        <v>14</v>
      </c>
      <c r="C26" s="26"/>
      <c r="D26" s="27"/>
      <c r="E26" s="28">
        <f>E25+C26-D26</f>
        <v>0</v>
      </c>
      <c r="F26" s="25"/>
      <c r="G26" s="25" t="s">
        <v>14</v>
      </c>
      <c r="H26" s="29" t="str">
        <f>IF(C26="", "", IF(D26="", "",D26-D11))</f>
        <v/>
      </c>
      <c r="I26" s="29" t="str">
        <f>IF(D26="", "", IF(E26="", "",E26-E11))</f>
        <v/>
      </c>
    </row>
    <row r="27" spans="1:9" x14ac:dyDescent="0.25">
      <c r="A27" s="25"/>
      <c r="B27" s="25" t="s">
        <v>15</v>
      </c>
      <c r="C27" s="26"/>
      <c r="D27" s="27"/>
      <c r="E27" s="28">
        <f>E26+C27-D27</f>
        <v>0</v>
      </c>
      <c r="F27" s="25"/>
      <c r="G27" s="25" t="s">
        <v>15</v>
      </c>
      <c r="H27" s="29" t="str">
        <f>IF(C27="", "", IF(D27="", "",D27-D12))</f>
        <v/>
      </c>
      <c r="I27" s="29" t="str">
        <f>IF(D27="", "", IF(E27="", "",E27-E12))</f>
        <v/>
      </c>
    </row>
    <row r="28" spans="1:9" x14ac:dyDescent="0.25">
      <c r="A28" s="25"/>
      <c r="B28" s="25" t="s">
        <v>16</v>
      </c>
      <c r="C28" s="26"/>
      <c r="D28" s="27"/>
      <c r="E28" s="28">
        <f>E27+C28-D28</f>
        <v>0</v>
      </c>
      <c r="F28" s="25"/>
      <c r="G28" s="25" t="s">
        <v>16</v>
      </c>
      <c r="H28" s="29" t="str">
        <f>IF(C28="", "", IF(D28="", "",D28-D13))</f>
        <v/>
      </c>
      <c r="I28" s="29" t="str">
        <f>IF(D28="", "", IF(E28="", "",E28-E13))</f>
        <v/>
      </c>
    </row>
    <row r="29" spans="1:9" x14ac:dyDescent="0.25">
      <c r="A29" s="25"/>
      <c r="B29" s="25" t="s">
        <v>17</v>
      </c>
      <c r="C29" s="26"/>
      <c r="D29" s="27"/>
      <c r="E29" s="28">
        <f>E28+C29-D29</f>
        <v>0</v>
      </c>
      <c r="F29" s="25"/>
      <c r="G29" s="25" t="s">
        <v>17</v>
      </c>
      <c r="H29" s="29" t="str">
        <f>IF(C29="", "", IF(D29="", "",D29-D14))</f>
        <v/>
      </c>
      <c r="I29" s="29" t="str">
        <f>IF(D29="", "", IF(E29="", "",E29-E14))</f>
        <v/>
      </c>
    </row>
    <row r="30" spans="1:9" x14ac:dyDescent="0.25">
      <c r="A30" s="30"/>
      <c r="B30" s="30" t="s">
        <v>18</v>
      </c>
      <c r="C30" s="31"/>
      <c r="D30" s="32"/>
      <c r="E30" s="33">
        <f>E29+C30-D30</f>
        <v>0</v>
      </c>
      <c r="F30" s="30"/>
      <c r="G30" s="30" t="s">
        <v>18</v>
      </c>
      <c r="H30" s="34" t="str">
        <f>IF(C30="", "", IF(D30="", "",D30-D15))</f>
        <v/>
      </c>
      <c r="I30" s="34" t="str">
        <f>IF(D30="", "", IF(E30="", "",E30-E15))</f>
        <v/>
      </c>
    </row>
    <row r="31" spans="1:9" s="2" customFormat="1" x14ac:dyDescent="0.25">
      <c r="A31" s="35"/>
      <c r="B31" s="35" t="s">
        <v>19</v>
      </c>
      <c r="C31" s="36">
        <f>SUM(C19:C30)</f>
        <v>0</v>
      </c>
      <c r="D31" s="37">
        <f>SUM(D19:D30)</f>
        <v>0</v>
      </c>
      <c r="E31" s="28"/>
      <c r="F31" s="35"/>
      <c r="G31" s="35"/>
      <c r="H31" s="28">
        <f>SUMIF(C19:C30,"&gt;=0",H19:H30)</f>
        <v>0</v>
      </c>
      <c r="I31" s="28"/>
    </row>
    <row r="32" spans="1:9" s="2" customFormat="1" x14ac:dyDescent="0.25">
      <c r="A32" s="35"/>
      <c r="B32" s="35" t="s">
        <v>20</v>
      </c>
      <c r="C32" s="36" t="e">
        <f>AVERAGE(C19:C30)</f>
        <v>#DIV/0!</v>
      </c>
      <c r="D32" s="37" t="e">
        <f>AVERAGE(D19:D30)</f>
        <v>#DIV/0!</v>
      </c>
      <c r="E32" s="38" t="e">
        <f>C32/D32-1</f>
        <v>#DIV/0!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0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/>
      <c r="D34" s="13"/>
      <c r="E34" s="14">
        <f>E33+C34-D34</f>
        <v>0</v>
      </c>
      <c r="F34" s="11"/>
      <c r="G34" s="11" t="s">
        <v>7</v>
      </c>
      <c r="H34" s="15" t="str">
        <f>IF(C34="", "", IF(D34="", "",D34-D19))</f>
        <v/>
      </c>
      <c r="I34" s="15" t="str">
        <f>IF(D34="", "", IF(E34="", "",E34-E19))</f>
        <v/>
      </c>
    </row>
    <row r="35" spans="1:9" x14ac:dyDescent="0.25">
      <c r="A35" s="11"/>
      <c r="B35" s="11" t="s">
        <v>8</v>
      </c>
      <c r="C35" s="12"/>
      <c r="D35" s="13"/>
      <c r="E35" s="14">
        <f>E34+C35-D35</f>
        <v>0</v>
      </c>
      <c r="F35" s="11"/>
      <c r="G35" s="11" t="s">
        <v>8</v>
      </c>
      <c r="H35" s="15" t="str">
        <f>IF(C35="", "", IF(D35="", "",D35-D20))</f>
        <v/>
      </c>
      <c r="I35" s="15" t="str">
        <f>IF(D35="", "", IF(E35="", "",E35-E20))</f>
        <v/>
      </c>
    </row>
    <row r="36" spans="1:9" x14ac:dyDescent="0.25">
      <c r="A36" s="11"/>
      <c r="B36" s="11" t="s">
        <v>9</v>
      </c>
      <c r="C36" s="12"/>
      <c r="D36" s="13"/>
      <c r="E36" s="14">
        <f>E35+C36-D36</f>
        <v>0</v>
      </c>
      <c r="F36" s="11"/>
      <c r="G36" s="11" t="s">
        <v>9</v>
      </c>
      <c r="H36" s="15" t="str">
        <f>IF(C36="", "", IF(D36="", "",D36-D21))</f>
        <v/>
      </c>
      <c r="I36" s="15" t="str">
        <f>IF(D36="", "", IF(E36="", "",E36-E21))</f>
        <v/>
      </c>
    </row>
    <row r="37" spans="1:9" x14ac:dyDescent="0.25">
      <c r="A37" s="11"/>
      <c r="B37" s="11" t="s">
        <v>10</v>
      </c>
      <c r="C37" s="12">
        <v>0</v>
      </c>
      <c r="D37" s="13">
        <v>0</v>
      </c>
      <c r="E37" s="14">
        <f>E36+C37-D37</f>
        <v>0</v>
      </c>
      <c r="F37" s="11"/>
      <c r="G37" s="11" t="s">
        <v>10</v>
      </c>
      <c r="H37" s="15">
        <f>IF(C37="", "", IF(D37="", "",D37-D22))</f>
        <v>0</v>
      </c>
      <c r="I37" s="15">
        <f>IF(D37="", "", IF(E37="", "",E37-E22))</f>
        <v>0</v>
      </c>
    </row>
    <row r="38" spans="1:9" x14ac:dyDescent="0.25">
      <c r="A38" s="11"/>
      <c r="B38" s="11" t="s">
        <v>11</v>
      </c>
      <c r="C38" s="12">
        <v>95565.16</v>
      </c>
      <c r="D38" s="13">
        <v>0</v>
      </c>
      <c r="E38" s="14">
        <f>E37+C38-D38</f>
        <v>95565.16</v>
      </c>
      <c r="F38" s="11"/>
      <c r="G38" s="11" t="s">
        <v>11</v>
      </c>
      <c r="H38" s="15">
        <f>IF(C38="", "", IF(D38="", "",D38-D23))</f>
        <v>0</v>
      </c>
      <c r="I38" s="15">
        <f>IF(D38="", "", IF(E38="", "",E38-E23))</f>
        <v>95565.16</v>
      </c>
    </row>
    <row r="39" spans="1:9" x14ac:dyDescent="0.25">
      <c r="A39" s="11"/>
      <c r="B39" s="11" t="s">
        <v>12</v>
      </c>
      <c r="C39" s="12">
        <v>122481.99</v>
      </c>
      <c r="D39" s="13">
        <v>72744.406608999998</v>
      </c>
      <c r="E39" s="14">
        <f>E38+C39-D39</f>
        <v>145302.74339100003</v>
      </c>
      <c r="F39" s="11"/>
      <c r="G39" s="11" t="s">
        <v>12</v>
      </c>
      <c r="H39" s="15">
        <f>IF(C39="", "", IF(D39="", "",D39-D24))</f>
        <v>72744.406608999998</v>
      </c>
      <c r="I39" s="15">
        <f>IF(D39="", "", IF(E39="", "",E39-E24))</f>
        <v>145302.74339100003</v>
      </c>
    </row>
    <row r="40" spans="1:9" x14ac:dyDescent="0.25">
      <c r="A40" s="11"/>
      <c r="B40" s="11" t="s">
        <v>13</v>
      </c>
      <c r="C40" s="12">
        <v>0</v>
      </c>
      <c r="D40" s="13">
        <v>77833.548137000005</v>
      </c>
      <c r="E40" s="14">
        <f>E39+C40-D40</f>
        <v>67469.19525400002</v>
      </c>
      <c r="F40" s="11"/>
      <c r="G40" s="11" t="s">
        <v>13</v>
      </c>
      <c r="H40" s="15">
        <f>IF(C40="", "", IF(D40="", "",D40-D25))</f>
        <v>77833.548137000005</v>
      </c>
      <c r="I40" s="15">
        <f>IF(D40="", "", IF(E40="", "",E40-E25))</f>
        <v>67469.19525400002</v>
      </c>
    </row>
    <row r="41" spans="1:9" x14ac:dyDescent="0.25">
      <c r="A41" s="11"/>
      <c r="B41" s="11" t="s">
        <v>14</v>
      </c>
      <c r="C41" s="12">
        <v>219295.54</v>
      </c>
      <c r="D41" s="13">
        <v>74673.045364999998</v>
      </c>
      <c r="E41" s="14">
        <f>E40+C41-D41</f>
        <v>212091.68988900006</v>
      </c>
      <c r="F41" s="11"/>
      <c r="G41" s="11" t="s">
        <v>14</v>
      </c>
      <c r="H41" s="15">
        <f>IF(C41="", "", IF(D41="", "",D41-D26))</f>
        <v>74673.045364999998</v>
      </c>
      <c r="I41" s="15">
        <f>IF(D41="", "", IF(E41="", "",E41-E26))</f>
        <v>212091.68988900006</v>
      </c>
    </row>
    <row r="42" spans="1:9" x14ac:dyDescent="0.25">
      <c r="A42" s="11"/>
      <c r="B42" s="11" t="s">
        <v>15</v>
      </c>
      <c r="C42" s="12">
        <v>0</v>
      </c>
      <c r="D42" s="13">
        <v>4472.3847519999999</v>
      </c>
      <c r="E42" s="14">
        <f>E41+C42-D42</f>
        <v>207619.30513700005</v>
      </c>
      <c r="F42" s="11"/>
      <c r="G42" s="11" t="s">
        <v>15</v>
      </c>
      <c r="H42" s="15">
        <f>IF(C42="", "", IF(D42="", "",D42-D27))</f>
        <v>4472.3847519999999</v>
      </c>
      <c r="I42" s="15">
        <f>IF(D42="", "", IF(E42="", "",E42-E27))</f>
        <v>207619.30513700005</v>
      </c>
    </row>
    <row r="43" spans="1:9" x14ac:dyDescent="0.25">
      <c r="A43" s="11"/>
      <c r="B43" s="11" t="s">
        <v>16</v>
      </c>
      <c r="C43" s="12">
        <v>218047.15</v>
      </c>
      <c r="D43" s="13">
        <v>213690.98133099999</v>
      </c>
      <c r="E43" s="14">
        <f>E42+C43-D43</f>
        <v>211975.47380600008</v>
      </c>
      <c r="F43" s="11"/>
      <c r="G43" s="11" t="s">
        <v>16</v>
      </c>
      <c r="H43" s="15">
        <f>IF(C43="", "", IF(D43="", "",D43-D28))</f>
        <v>213690.98133099999</v>
      </c>
      <c r="I43" s="15">
        <f>IF(D43="", "", IF(E43="", "",E43-E28))</f>
        <v>211975.47380600008</v>
      </c>
    </row>
    <row r="44" spans="1:9" x14ac:dyDescent="0.25">
      <c r="A44" s="11"/>
      <c r="B44" s="11" t="s">
        <v>17</v>
      </c>
      <c r="C44" s="12">
        <v>219295.54</v>
      </c>
      <c r="D44" s="13">
        <v>11560.01878</v>
      </c>
      <c r="E44" s="14">
        <f>E43+C44-D44</f>
        <v>419710.99502600014</v>
      </c>
      <c r="F44" s="11"/>
      <c r="G44" s="11" t="s">
        <v>17</v>
      </c>
      <c r="H44" s="15">
        <f>IF(C44="", "", IF(D44="", "",D44-D29))</f>
        <v>11560.01878</v>
      </c>
      <c r="I44" s="15">
        <f>IF(D44="", "", IF(E44="", "",E44-E29))</f>
        <v>419710.99502600014</v>
      </c>
    </row>
    <row r="45" spans="1:9" x14ac:dyDescent="0.25">
      <c r="A45" s="16"/>
      <c r="B45" s="16" t="s">
        <v>18</v>
      </c>
      <c r="C45" s="17">
        <v>142208.73000000001</v>
      </c>
      <c r="D45" s="18">
        <v>64079.590708000003</v>
      </c>
      <c r="E45" s="19">
        <f>E44+C45-D45</f>
        <v>497840.13431800017</v>
      </c>
      <c r="F45" s="16"/>
      <c r="G45" s="16" t="s">
        <v>18</v>
      </c>
      <c r="H45" s="20">
        <f>IF(C45="", "", IF(D45="", "",D45-D30))</f>
        <v>64079.590708000003</v>
      </c>
      <c r="I45" s="20">
        <f>IF(D45="", "", IF(E45="", "",E45-E30))</f>
        <v>497840.13431800017</v>
      </c>
    </row>
    <row r="46" spans="1:9" s="2" customFormat="1" x14ac:dyDescent="0.25">
      <c r="A46" s="21"/>
      <c r="B46" s="21" t="s">
        <v>19</v>
      </c>
      <c r="C46" s="22">
        <f>SUM(C34:C45)</f>
        <v>1016894.1100000001</v>
      </c>
      <c r="D46" s="23">
        <f>SUM(D34:D45)</f>
        <v>519053.97568199999</v>
      </c>
      <c r="E46" s="14"/>
      <c r="F46" s="21"/>
      <c r="G46" s="21"/>
      <c r="H46" s="14">
        <f>SUMIF(C34:C45,"&gt;=0",H34:H45)</f>
        <v>519053.97568199999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112988.23444444446</v>
      </c>
      <c r="D47" s="23">
        <f>AVERAGE(D34:D45)</f>
        <v>57672.663964666666</v>
      </c>
      <c r="E47" s="24">
        <f>C47/D47-1</f>
        <v>0.9591297969808894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497840.13431800017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130912.04</v>
      </c>
      <c r="D49" s="27">
        <v>29078.150944000001</v>
      </c>
      <c r="E49" s="28">
        <f>E48+C49-D49</f>
        <v>599674.02337400021</v>
      </c>
      <c r="F49" s="25"/>
      <c r="G49" s="25" t="s">
        <v>7</v>
      </c>
      <c r="H49" s="29">
        <f>IF(C49="", "", IF(D49="", "",D49-D34))</f>
        <v>29078.150944000001</v>
      </c>
      <c r="I49" s="29">
        <f>IF(D49="", "", IF(E49="", "",E49-E34))</f>
        <v>599674.02337400021</v>
      </c>
    </row>
    <row r="50" spans="1:9" x14ac:dyDescent="0.25">
      <c r="A50" s="25"/>
      <c r="B50" s="25" t="s">
        <v>8</v>
      </c>
      <c r="C50" s="26">
        <v>344665.81</v>
      </c>
      <c r="D50" s="27">
        <v>157525.665041</v>
      </c>
      <c r="E50" s="28">
        <f>E49+C50-D50</f>
        <v>786814.16833300015</v>
      </c>
      <c r="F50" s="25"/>
      <c r="G50" s="25" t="s">
        <v>8</v>
      </c>
      <c r="H50" s="29">
        <f>IF(C50="", "", IF(D50="", "",D50-D35))</f>
        <v>157525.665041</v>
      </c>
      <c r="I50" s="29">
        <f>IF(D50="", "", IF(E50="", "",E50-E35))</f>
        <v>786814.16833300015</v>
      </c>
    </row>
    <row r="51" spans="1:9" x14ac:dyDescent="0.25">
      <c r="A51" s="25"/>
      <c r="B51" s="25" t="s">
        <v>9</v>
      </c>
      <c r="C51" s="26">
        <v>164893.84</v>
      </c>
      <c r="D51" s="27">
        <v>127321.03460699999</v>
      </c>
      <c r="E51" s="28">
        <f>E50+C51-D51</f>
        <v>824386.97372600017</v>
      </c>
      <c r="F51" s="25"/>
      <c r="G51" s="25" t="s">
        <v>9</v>
      </c>
      <c r="H51" s="29">
        <f>IF(C51="", "", IF(D51="", "",D51-D36))</f>
        <v>127321.03460699999</v>
      </c>
      <c r="I51" s="29">
        <f>IF(D51="", "", IF(E51="", "",E51-E36))</f>
        <v>824386.97372600017</v>
      </c>
    </row>
    <row r="52" spans="1:9" x14ac:dyDescent="0.25">
      <c r="A52" s="25"/>
      <c r="B52" s="25" t="s">
        <v>10</v>
      </c>
      <c r="C52" s="26">
        <v>347729.86</v>
      </c>
      <c r="D52" s="27">
        <v>174151.636612</v>
      </c>
      <c r="E52" s="28">
        <f>E51+C52-D52</f>
        <v>997965.1971140001</v>
      </c>
      <c r="F52" s="25"/>
      <c r="G52" s="25" t="s">
        <v>10</v>
      </c>
      <c r="H52" s="29">
        <f>IF(C52="", "", IF(D52="", "",D52-D37))</f>
        <v>174151.636612</v>
      </c>
      <c r="I52" s="29">
        <f>IF(D52="", "", IF(E52="", "",E52-E37))</f>
        <v>997965.1971140001</v>
      </c>
    </row>
    <row r="53" spans="1:9" x14ac:dyDescent="0.25">
      <c r="A53" s="25"/>
      <c r="B53" s="25" t="s">
        <v>11</v>
      </c>
      <c r="C53" s="26">
        <v>166000.99</v>
      </c>
      <c r="D53" s="27">
        <v>244451.31247</v>
      </c>
      <c r="E53" s="28">
        <f>E52+C53-D53</f>
        <v>919514.87464400008</v>
      </c>
      <c r="F53" s="25"/>
      <c r="G53" s="25" t="s">
        <v>11</v>
      </c>
      <c r="H53" s="29">
        <f>IF(C53="", "", IF(D53="", "",D53-D38))</f>
        <v>244451.31247</v>
      </c>
      <c r="I53" s="29">
        <f>IF(D53="", "", IF(E53="", "",E53-E38))</f>
        <v>823949.71464400005</v>
      </c>
    </row>
    <row r="54" spans="1:9" x14ac:dyDescent="0.25">
      <c r="A54" s="25"/>
      <c r="B54" s="25" t="s">
        <v>12</v>
      </c>
      <c r="C54" s="26">
        <v>218238.33</v>
      </c>
      <c r="D54" s="27">
        <v>166593.68257199999</v>
      </c>
      <c r="E54" s="28">
        <f>E53+C54-D54</f>
        <v>971159.5220720002</v>
      </c>
      <c r="F54" s="25"/>
      <c r="G54" s="25" t="s">
        <v>12</v>
      </c>
      <c r="H54" s="29">
        <f>IF(C54="", "", IF(D54="", "",D54-D39))</f>
        <v>93849.275962999993</v>
      </c>
      <c r="I54" s="29">
        <f>IF(D54="", "", IF(E54="", "",E54-E39))</f>
        <v>825856.77868100023</v>
      </c>
    </row>
    <row r="55" spans="1:9" x14ac:dyDescent="0.25">
      <c r="A55" s="25"/>
      <c r="B55" s="25" t="s">
        <v>13</v>
      </c>
      <c r="C55" s="26">
        <v>215833.44</v>
      </c>
      <c r="D55" s="27">
        <v>262433.54361599998</v>
      </c>
      <c r="E55" s="28">
        <f>E54+C55-D55</f>
        <v>924559.41845600016</v>
      </c>
      <c r="F55" s="25"/>
      <c r="G55" s="25" t="s">
        <v>13</v>
      </c>
      <c r="H55" s="29">
        <f>IF(C55="", "", IF(D55="", "",D55-D40))</f>
        <v>184599.99547899998</v>
      </c>
      <c r="I55" s="29">
        <f>IF(D55="", "", IF(E55="", "",E55-E40))</f>
        <v>857090.22320200014</v>
      </c>
    </row>
    <row r="56" spans="1:9" x14ac:dyDescent="0.25">
      <c r="A56" s="25"/>
      <c r="B56" s="25" t="s">
        <v>14</v>
      </c>
      <c r="C56" s="26">
        <v>208338.49</v>
      </c>
      <c r="D56" s="27">
        <v>319673.051912</v>
      </c>
      <c r="E56" s="28">
        <f>E55+C56-D56</f>
        <v>813224.8565440001</v>
      </c>
      <c r="F56" s="25"/>
      <c r="G56" s="25" t="s">
        <v>14</v>
      </c>
      <c r="H56" s="29">
        <f>IF(C56="", "", IF(D56="", "",D56-D41))</f>
        <v>245000.006547</v>
      </c>
      <c r="I56" s="29">
        <f>IF(D56="", "", IF(E56="", "",E56-E41))</f>
        <v>601133.16665500007</v>
      </c>
    </row>
    <row r="57" spans="1:9" x14ac:dyDescent="0.25">
      <c r="A57" s="25"/>
      <c r="B57" s="25" t="s">
        <v>15</v>
      </c>
      <c r="C57" s="26">
        <v>214985.56</v>
      </c>
      <c r="D57" s="27">
        <v>307986.82527799997</v>
      </c>
      <c r="E57" s="28">
        <f>E56+C57-D57</f>
        <v>720223.59126600018</v>
      </c>
      <c r="F57" s="25"/>
      <c r="G57" s="25" t="s">
        <v>15</v>
      </c>
      <c r="H57" s="29">
        <f>IF(C57="", "", IF(D57="", "",D57-D42))</f>
        <v>303514.44052599999</v>
      </c>
      <c r="I57" s="29">
        <f>IF(D57="", "", IF(E57="", "",E57-E42))</f>
        <v>512604.28612900013</v>
      </c>
    </row>
    <row r="58" spans="1:9" x14ac:dyDescent="0.25">
      <c r="A58" s="25"/>
      <c r="B58" s="25" t="s">
        <v>16</v>
      </c>
      <c r="C58" s="26">
        <v>347184.61</v>
      </c>
      <c r="D58" s="27">
        <v>270403.53736199997</v>
      </c>
      <c r="E58" s="28">
        <f>E57+C58-D58</f>
        <v>797004.66390400007</v>
      </c>
      <c r="F58" s="25"/>
      <c r="G58" s="25" t="s">
        <v>16</v>
      </c>
      <c r="H58" s="29">
        <f>IF(C58="", "", IF(D58="", "",D58-D43))</f>
        <v>56712.556030999986</v>
      </c>
      <c r="I58" s="29">
        <f>IF(D58="", "", IF(E58="", "",E58-E43))</f>
        <v>585029.19009799999</v>
      </c>
    </row>
    <row r="59" spans="1:9" x14ac:dyDescent="0.25">
      <c r="A59" s="25"/>
      <c r="B59" s="25" t="s">
        <v>17</v>
      </c>
      <c r="C59" s="26">
        <v>380907.7</v>
      </c>
      <c r="D59" s="27">
        <v>278090.19790600002</v>
      </c>
      <c r="E59" s="28">
        <f>E58+C59-D59</f>
        <v>899822.16599799995</v>
      </c>
      <c r="F59" s="25"/>
      <c r="G59" s="25" t="s">
        <v>17</v>
      </c>
      <c r="H59" s="29">
        <f>IF(C59="", "", IF(D59="", "",D59-D44))</f>
        <v>266530.17912600003</v>
      </c>
      <c r="I59" s="29">
        <f>IF(D59="", "", IF(E59="", "",E59-E44))</f>
        <v>480111.17097199982</v>
      </c>
    </row>
    <row r="60" spans="1:9" x14ac:dyDescent="0.25">
      <c r="A60" s="30"/>
      <c r="B60" s="30" t="s">
        <v>18</v>
      </c>
      <c r="C60" s="31">
        <v>0</v>
      </c>
      <c r="D60" s="32">
        <v>218147.274836</v>
      </c>
      <c r="E60" s="33">
        <f>E59+C60-D60</f>
        <v>681674.8911619999</v>
      </c>
      <c r="F60" s="30"/>
      <c r="G60" s="30" t="s">
        <v>18</v>
      </c>
      <c r="H60" s="34">
        <f>IF(C60="", "", IF(D60="", "",D60-D45))</f>
        <v>154067.68412799999</v>
      </c>
      <c r="I60" s="34">
        <f>IF(D60="", "", IF(E60="", "",E60-E45))</f>
        <v>183834.75684399973</v>
      </c>
    </row>
    <row r="61" spans="1:9" s="2" customFormat="1" x14ac:dyDescent="0.25">
      <c r="A61" s="35"/>
      <c r="B61" s="35" t="s">
        <v>19</v>
      </c>
      <c r="C61" s="36">
        <f>SUM(C49:C60)</f>
        <v>2739690.6700000004</v>
      </c>
      <c r="D61" s="37">
        <f>SUM(D49:D60)</f>
        <v>2555855.913156</v>
      </c>
      <c r="E61" s="28"/>
      <c r="F61" s="35"/>
      <c r="G61" s="35"/>
      <c r="H61" s="28">
        <f>SUMIF(C49:C60,"&gt;=0",H49:H60)</f>
        <v>2036801.9374739998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228307.55583333338</v>
      </c>
      <c r="D62" s="37">
        <f>AVERAGE(D49:D60)</f>
        <v>212987.99276299999</v>
      </c>
      <c r="E62" s="38">
        <f>C62/D62-1</f>
        <v>7.1926885978873312E-2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681674.8911619999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157024.69</v>
      </c>
      <c r="D64" s="13">
        <v>109304.615745</v>
      </c>
      <c r="E64" s="14">
        <f>E63+C64-D64</f>
        <v>729394.96541699988</v>
      </c>
      <c r="F64" s="11"/>
      <c r="G64" s="11" t="s">
        <v>7</v>
      </c>
      <c r="H64" s="15">
        <f>IF(C64="", "", IF(D64="", "",D64-D49))</f>
        <v>80226.464800999995</v>
      </c>
      <c r="I64" s="15">
        <f>IF(D64="", "", IF(E64="", "",E64-E49))</f>
        <v>129720.94204299967</v>
      </c>
    </row>
    <row r="65" spans="1:9" x14ac:dyDescent="0.25">
      <c r="A65" s="11"/>
      <c r="B65" s="11" t="s">
        <v>8</v>
      </c>
      <c r="C65" s="12">
        <v>156065.32999999999</v>
      </c>
      <c r="D65" s="13">
        <v>192224.87976099999</v>
      </c>
      <c r="E65" s="14">
        <f>E64+C65-D65</f>
        <v>693235.41565599991</v>
      </c>
      <c r="F65" s="11"/>
      <c r="G65" s="11" t="s">
        <v>8</v>
      </c>
      <c r="H65" s="15">
        <f>IF(C65="", "", IF(D65="", "",D65-D50))</f>
        <v>34699.214719999989</v>
      </c>
      <c r="I65" s="15">
        <f>IF(D65="", "", IF(E65="", "",E65-E50))</f>
        <v>-93578.752677000244</v>
      </c>
    </row>
    <row r="66" spans="1:9" x14ac:dyDescent="0.25">
      <c r="A66" s="11"/>
      <c r="B66" s="11" t="s">
        <v>9</v>
      </c>
      <c r="C66" s="12">
        <v>299228.09000000003</v>
      </c>
      <c r="D66" s="13">
        <v>234840.201565</v>
      </c>
      <c r="E66" s="14">
        <f>E65+C66-D66</f>
        <v>757623.304091</v>
      </c>
      <c r="F66" s="11"/>
      <c r="G66" s="11" t="s">
        <v>9</v>
      </c>
      <c r="H66" s="15">
        <f>IF(C66="", "", IF(D66="", "",D66-D51))</f>
        <v>107519.166958</v>
      </c>
      <c r="I66" s="15">
        <f>IF(D66="", "", IF(E66="", "",E66-E51))</f>
        <v>-66763.669635000173</v>
      </c>
    </row>
    <row r="67" spans="1:9" x14ac:dyDescent="0.25">
      <c r="A67" s="11"/>
      <c r="B67" s="11" t="s">
        <v>10</v>
      </c>
      <c r="C67" s="12">
        <v>163075.51</v>
      </c>
      <c r="D67" s="13">
        <v>299599.44547400001</v>
      </c>
      <c r="E67" s="14">
        <f>E66+C67-D67</f>
        <v>621099.36861700006</v>
      </c>
      <c r="F67" s="11"/>
      <c r="G67" s="11" t="s">
        <v>10</v>
      </c>
      <c r="H67" s="15">
        <f>IF(C67="", "", IF(D67="", "",D67-D52))</f>
        <v>125447.80886200001</v>
      </c>
      <c r="I67" s="15">
        <f>IF(D67="", "", IF(E67="", "",E67-E52))</f>
        <v>-376865.82849700004</v>
      </c>
    </row>
    <row r="68" spans="1:9" x14ac:dyDescent="0.25">
      <c r="A68" s="11"/>
      <c r="B68" s="11" t="s">
        <v>11</v>
      </c>
      <c r="C68" s="12">
        <v>497849.86</v>
      </c>
      <c r="D68" s="13">
        <v>271874.98008000001</v>
      </c>
      <c r="E68" s="14">
        <f>E67+C68-D68</f>
        <v>847074.24853699992</v>
      </c>
      <c r="F68" s="11"/>
      <c r="G68" s="11" t="s">
        <v>11</v>
      </c>
      <c r="H68" s="15">
        <f>IF(C68="", "", IF(D68="", "",D68-D53))</f>
        <v>27423.667610000004</v>
      </c>
      <c r="I68" s="15">
        <f>IF(D68="", "", IF(E68="", "",E68-E53))</f>
        <v>-72440.626107000164</v>
      </c>
    </row>
    <row r="69" spans="1:9" x14ac:dyDescent="0.25">
      <c r="A69" s="11"/>
      <c r="B69" s="11" t="s">
        <v>12</v>
      </c>
      <c r="C69" s="12">
        <v>316648.42</v>
      </c>
      <c r="D69" s="13">
        <v>443501.512628</v>
      </c>
      <c r="E69" s="14">
        <f>E68+C69-D69</f>
        <v>720221.15590899996</v>
      </c>
      <c r="F69" s="11"/>
      <c r="G69" s="11" t="s">
        <v>12</v>
      </c>
      <c r="H69" s="15">
        <f>IF(C69="", "", IF(D69="", "",D69-D54))</f>
        <v>276907.83005600004</v>
      </c>
      <c r="I69" s="15">
        <f>IF(D69="", "", IF(E69="", "",E69-E54))</f>
        <v>-250938.36616300023</v>
      </c>
    </row>
    <row r="70" spans="1:9" x14ac:dyDescent="0.25">
      <c r="A70" s="11"/>
      <c r="B70" s="11" t="s">
        <v>13</v>
      </c>
      <c r="C70" s="12">
        <v>351640.36</v>
      </c>
      <c r="D70" s="13">
        <v>392520.11839800002</v>
      </c>
      <c r="E70" s="14">
        <f>E69+C70-D70</f>
        <v>679341.39751099981</v>
      </c>
      <c r="F70" s="11"/>
      <c r="G70" s="11" t="s">
        <v>13</v>
      </c>
      <c r="H70" s="15">
        <f>IF(C70="", "", IF(D70="", "",D70-D55))</f>
        <v>130086.57478200004</v>
      </c>
      <c r="I70" s="15">
        <f>IF(D70="", "", IF(E70="", "",E70-E55))</f>
        <v>-245218.02094500035</v>
      </c>
    </row>
    <row r="71" spans="1:9" x14ac:dyDescent="0.25">
      <c r="A71" s="11"/>
      <c r="B71" s="11" t="s">
        <v>14</v>
      </c>
      <c r="C71" s="12">
        <v>317928.88</v>
      </c>
      <c r="D71" s="13">
        <v>281169.07825199998</v>
      </c>
      <c r="E71" s="14">
        <f>E70+C71-D71</f>
        <v>716101.1992589999</v>
      </c>
      <c r="F71" s="11"/>
      <c r="G71" s="11" t="s">
        <v>14</v>
      </c>
      <c r="H71" s="15">
        <f>IF(C71="", "", IF(D71="", "",D71-D56))</f>
        <v>-38503.973660000018</v>
      </c>
      <c r="I71" s="15">
        <f>IF(D71="", "", IF(E71="", "",E71-E56))</f>
        <v>-97123.657285000198</v>
      </c>
    </row>
    <row r="72" spans="1:9" x14ac:dyDescent="0.25">
      <c r="A72" s="11"/>
      <c r="B72" s="11" t="s">
        <v>15</v>
      </c>
      <c r="C72" s="12">
        <v>886350.25</v>
      </c>
      <c r="D72" s="13">
        <v>857516.71496699995</v>
      </c>
      <c r="E72" s="14">
        <f>E71+C72-D72</f>
        <v>744934.73429199995</v>
      </c>
      <c r="F72" s="11"/>
      <c r="G72" s="11" t="s">
        <v>15</v>
      </c>
      <c r="H72" s="15">
        <f>IF(C72="", "", IF(D72="", "",D72-D57))</f>
        <v>549529.88968899997</v>
      </c>
      <c r="I72" s="15">
        <f>IF(D72="", "", IF(E72="", "",E72-E57))</f>
        <v>24711.143025999772</v>
      </c>
    </row>
    <row r="73" spans="1:9" x14ac:dyDescent="0.25">
      <c r="A73" s="11"/>
      <c r="B73" s="11" t="s">
        <v>16</v>
      </c>
      <c r="C73" s="12">
        <v>530622.19999999995</v>
      </c>
      <c r="D73" s="13">
        <v>590930.31525099999</v>
      </c>
      <c r="E73" s="14">
        <f>E72+C73-D73</f>
        <v>684626.61904099979</v>
      </c>
      <c r="F73" s="11"/>
      <c r="G73" s="11" t="s">
        <v>16</v>
      </c>
      <c r="H73" s="15">
        <f>IF(C73="", "", IF(D73="", "",D73-D58))</f>
        <v>320526.77788900002</v>
      </c>
      <c r="I73" s="15">
        <f>IF(D73="", "", IF(E73="", "",E73-E58))</f>
        <v>-112378.04486300028</v>
      </c>
    </row>
    <row r="74" spans="1:9" x14ac:dyDescent="0.25">
      <c r="A74" s="11"/>
      <c r="B74" s="11" t="s">
        <v>17</v>
      </c>
      <c r="C74" s="12">
        <v>500472.28</v>
      </c>
      <c r="D74" s="13">
        <v>304434.42344500002</v>
      </c>
      <c r="E74" s="14">
        <f>E73+C74-D74</f>
        <v>880664.47559599974</v>
      </c>
      <c r="F74" s="11"/>
      <c r="G74" s="11" t="s">
        <v>17</v>
      </c>
      <c r="H74" s="15">
        <f>IF(C74="", "", IF(D74="", "",D74-D59))</f>
        <v>26344.225539000006</v>
      </c>
      <c r="I74" s="15">
        <f>IF(D74="", "", IF(E74="", "",E74-E59))</f>
        <v>-19157.690402000211</v>
      </c>
    </row>
    <row r="75" spans="1:9" x14ac:dyDescent="0.25">
      <c r="A75" s="16"/>
      <c r="B75" s="16" t="s">
        <v>18</v>
      </c>
      <c r="C75" s="17">
        <v>176895.55</v>
      </c>
      <c r="D75" s="18">
        <v>191025.619687</v>
      </c>
      <c r="E75" s="19">
        <f>E74+C75-D75</f>
        <v>866534.40590899973</v>
      </c>
      <c r="F75" s="16"/>
      <c r="G75" s="16" t="s">
        <v>18</v>
      </c>
      <c r="H75" s="20">
        <f>IF(C75="", "", IF(D75="", "",D75-D60))</f>
        <v>-27121.655148999998</v>
      </c>
      <c r="I75" s="20">
        <f>IF(D75="", "", IF(E75="", "",E75-E60))</f>
        <v>184859.51474699983</v>
      </c>
    </row>
    <row r="76" spans="1:9" s="2" customFormat="1" x14ac:dyDescent="0.25">
      <c r="A76" s="21"/>
      <c r="B76" s="21" t="s">
        <v>19</v>
      </c>
      <c r="C76" s="22">
        <f>SUM(C64:C75)</f>
        <v>4353801.42</v>
      </c>
      <c r="D76" s="23">
        <f>SUM(D64:D75)</f>
        <v>4168941.9052529996</v>
      </c>
      <c r="E76" s="14"/>
      <c r="F76" s="21"/>
      <c r="G76" s="21"/>
      <c r="H76" s="14">
        <f>SUMIF(C64:C75,"&gt;=0",H64:H75)</f>
        <v>1613085.9920969999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362816.78499999997</v>
      </c>
      <c r="D77" s="23">
        <f>AVERAGE(D64:D75)</f>
        <v>347411.82543774997</v>
      </c>
      <c r="E77" s="24">
        <f>C77/D77-1</f>
        <v>4.4342070229875574E-2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866534.40590899973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866534.40590899973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866534.40590899973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866534.40590899973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866534.40590899973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866534.40590899973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866534.40590899973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866534.40590899973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866534.40590899973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866534.40590899973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866534.40590899973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866534.40590899973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866534.40590899973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55157-9801-43BF-A0A4-23FBFA9B8F58}">
  <sheetPr codeName="Sheet13"/>
  <dimension ref="A2:I92"/>
  <sheetViews>
    <sheetView topLeftCell="A72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</cols>
  <sheetData>
    <row r="2" spans="1:9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9" x14ac:dyDescent="0.25">
      <c r="A3" s="11"/>
      <c r="B3" s="11"/>
      <c r="C3" s="12"/>
      <c r="D3" s="13"/>
      <c r="E3" s="14"/>
      <c r="F3" s="11"/>
      <c r="G3" s="11"/>
      <c r="H3" s="15"/>
      <c r="I3" s="15"/>
    </row>
    <row r="4" spans="1:9" x14ac:dyDescent="0.25">
      <c r="A4" s="11">
        <v>2019</v>
      </c>
      <c r="B4" s="11" t="s">
        <v>7</v>
      </c>
      <c r="C4" s="12"/>
      <c r="D4" s="13"/>
      <c r="E4" s="14">
        <f>E3+C4-D4</f>
        <v>0</v>
      </c>
      <c r="F4" s="11"/>
      <c r="G4" s="11" t="s">
        <v>7</v>
      </c>
      <c r="H4" s="15"/>
      <c r="I4" s="15"/>
    </row>
    <row r="5" spans="1:9" x14ac:dyDescent="0.25">
      <c r="A5" s="11"/>
      <c r="B5" s="11" t="s">
        <v>8</v>
      </c>
      <c r="C5" s="12"/>
      <c r="D5" s="13"/>
      <c r="E5" s="14">
        <f>E4+C5-D5</f>
        <v>0</v>
      </c>
      <c r="F5" s="11"/>
      <c r="G5" s="11" t="s">
        <v>8</v>
      </c>
      <c r="H5" s="15"/>
      <c r="I5" s="15"/>
    </row>
    <row r="6" spans="1:9" x14ac:dyDescent="0.25">
      <c r="A6" s="11"/>
      <c r="B6" s="11" t="s">
        <v>9</v>
      </c>
      <c r="C6" s="12"/>
      <c r="D6" s="13"/>
      <c r="E6" s="14">
        <f>E5+C6-D6</f>
        <v>0</v>
      </c>
      <c r="F6" s="11"/>
      <c r="G6" s="11" t="s">
        <v>9</v>
      </c>
      <c r="H6" s="15"/>
      <c r="I6" s="15"/>
    </row>
    <row r="7" spans="1:9" x14ac:dyDescent="0.25">
      <c r="A7" s="11"/>
      <c r="B7" s="11" t="s">
        <v>10</v>
      </c>
      <c r="C7" s="12"/>
      <c r="D7" s="13"/>
      <c r="E7" s="14">
        <f>E6+C7-D7</f>
        <v>0</v>
      </c>
      <c r="F7" s="11"/>
      <c r="G7" s="11" t="s">
        <v>10</v>
      </c>
      <c r="H7" s="15"/>
      <c r="I7" s="15"/>
    </row>
    <row r="8" spans="1:9" x14ac:dyDescent="0.25">
      <c r="A8" s="11"/>
      <c r="B8" s="11" t="s">
        <v>11</v>
      </c>
      <c r="C8" s="12"/>
      <c r="D8" s="13"/>
      <c r="E8" s="14">
        <f>E7+C8-D8</f>
        <v>0</v>
      </c>
      <c r="F8" s="11"/>
      <c r="G8" s="11" t="s">
        <v>11</v>
      </c>
      <c r="H8" s="15"/>
      <c r="I8" s="15"/>
    </row>
    <row r="9" spans="1:9" x14ac:dyDescent="0.25">
      <c r="A9" s="11"/>
      <c r="B9" s="11" t="s">
        <v>12</v>
      </c>
      <c r="C9" s="12"/>
      <c r="D9" s="13"/>
      <c r="E9" s="14">
        <f>E8+C9-D9</f>
        <v>0</v>
      </c>
      <c r="F9" s="11"/>
      <c r="G9" s="11" t="s">
        <v>12</v>
      </c>
      <c r="H9" s="15"/>
      <c r="I9" s="15"/>
    </row>
    <row r="10" spans="1:9" x14ac:dyDescent="0.25">
      <c r="A10" s="11"/>
      <c r="B10" s="11" t="s">
        <v>13</v>
      </c>
      <c r="C10" s="12"/>
      <c r="D10" s="13"/>
      <c r="E10" s="14">
        <f>E9+C10-D10</f>
        <v>0</v>
      </c>
      <c r="F10" s="11"/>
      <c r="G10" s="11" t="s">
        <v>13</v>
      </c>
      <c r="H10" s="15"/>
      <c r="I10" s="15"/>
    </row>
    <row r="11" spans="1:9" x14ac:dyDescent="0.25">
      <c r="A11" s="11"/>
      <c r="B11" s="11" t="s">
        <v>14</v>
      </c>
      <c r="C11" s="12">
        <v>3816.79</v>
      </c>
      <c r="D11" s="13">
        <v>0</v>
      </c>
      <c r="E11" s="14">
        <f>E10+C11-D11</f>
        <v>3816.79</v>
      </c>
      <c r="F11" s="11"/>
      <c r="G11" s="11" t="s">
        <v>14</v>
      </c>
      <c r="H11" s="15"/>
      <c r="I11" s="15"/>
    </row>
    <row r="12" spans="1:9" x14ac:dyDescent="0.25">
      <c r="A12" s="11"/>
      <c r="B12" s="11" t="s">
        <v>15</v>
      </c>
      <c r="C12" s="12">
        <v>0</v>
      </c>
      <c r="D12" s="13">
        <v>0</v>
      </c>
      <c r="E12" s="14">
        <f>E11+C12-D12</f>
        <v>3816.79</v>
      </c>
      <c r="F12" s="11"/>
      <c r="G12" s="11" t="s">
        <v>15</v>
      </c>
      <c r="H12" s="15"/>
      <c r="I12" s="15"/>
    </row>
    <row r="13" spans="1:9" x14ac:dyDescent="0.25">
      <c r="A13" s="11"/>
      <c r="B13" s="11" t="s">
        <v>16</v>
      </c>
      <c r="C13" s="12">
        <v>1684.35</v>
      </c>
      <c r="D13" s="13">
        <v>0</v>
      </c>
      <c r="E13" s="14">
        <f>E12+C13-D13</f>
        <v>5501.1399999999994</v>
      </c>
      <c r="F13" s="11"/>
      <c r="G13" s="11" t="s">
        <v>16</v>
      </c>
      <c r="H13" s="15"/>
      <c r="I13" s="15"/>
    </row>
    <row r="14" spans="1:9" x14ac:dyDescent="0.25">
      <c r="A14" s="11"/>
      <c r="B14" s="11" t="s">
        <v>17</v>
      </c>
      <c r="C14" s="12">
        <v>0</v>
      </c>
      <c r="D14" s="13">
        <v>0</v>
      </c>
      <c r="E14" s="14">
        <f>E13+C14-D14</f>
        <v>5501.1399999999994</v>
      </c>
      <c r="F14" s="11"/>
      <c r="G14" s="11" t="s">
        <v>17</v>
      </c>
      <c r="H14" s="15"/>
      <c r="I14" s="15"/>
    </row>
    <row r="15" spans="1:9" x14ac:dyDescent="0.25">
      <c r="A15" s="16"/>
      <c r="B15" s="16" t="s">
        <v>18</v>
      </c>
      <c r="C15" s="17">
        <v>0</v>
      </c>
      <c r="D15" s="18">
        <v>0</v>
      </c>
      <c r="E15" s="19">
        <f>E14+C15-D15</f>
        <v>5501.1399999999994</v>
      </c>
      <c r="F15" s="16"/>
      <c r="G15" s="16" t="s">
        <v>18</v>
      </c>
      <c r="H15" s="20"/>
      <c r="I15" s="20"/>
    </row>
    <row r="16" spans="1:9" s="2" customFormat="1" x14ac:dyDescent="0.25">
      <c r="A16" s="21"/>
      <c r="B16" s="21" t="s">
        <v>19</v>
      </c>
      <c r="C16" s="22">
        <f>SUM(C4:C15)</f>
        <v>5501.1399999999994</v>
      </c>
      <c r="D16" s="23">
        <f>SUM(D4:D15)</f>
        <v>0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>
        <f>AVERAGE(C4:C15)</f>
        <v>1100.2279999999998</v>
      </c>
      <c r="D17" s="23">
        <f>AVERAGE(D4:D15)</f>
        <v>0</v>
      </c>
      <c r="E17" s="24" t="e">
        <f>C17/D17-1</f>
        <v>#DIV/0!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5501.1399999999994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>
        <v>0</v>
      </c>
      <c r="D19" s="27">
        <v>0</v>
      </c>
      <c r="E19" s="28">
        <f>E18+C19-D19</f>
        <v>5501.1399999999994</v>
      </c>
      <c r="F19" s="25"/>
      <c r="G19" s="25" t="s">
        <v>7</v>
      </c>
      <c r="H19" s="29">
        <f>IF(C19="", "", IF(D19="", "",D19-D4))</f>
        <v>0</v>
      </c>
      <c r="I19" s="29">
        <f>IF(D19="", "", IF(E19="", "",E19-E4))</f>
        <v>5501.1399999999994</v>
      </c>
    </row>
    <row r="20" spans="1:9" x14ac:dyDescent="0.25">
      <c r="A20" s="25"/>
      <c r="B20" s="25" t="s">
        <v>8</v>
      </c>
      <c r="C20" s="26">
        <v>0</v>
      </c>
      <c r="D20" s="27">
        <v>0</v>
      </c>
      <c r="E20" s="28">
        <f>E19+C20-D20</f>
        <v>5501.1399999999994</v>
      </c>
      <c r="F20" s="25"/>
      <c r="G20" s="25" t="s">
        <v>8</v>
      </c>
      <c r="H20" s="29">
        <f>IF(C20="", "", IF(D20="", "",D20-D5))</f>
        <v>0</v>
      </c>
      <c r="I20" s="29">
        <f>IF(D20="", "", IF(E20="", "",E20-E5))</f>
        <v>5501.1399999999994</v>
      </c>
    </row>
    <row r="21" spans="1:9" x14ac:dyDescent="0.25">
      <c r="A21" s="25"/>
      <c r="B21" s="25" t="s">
        <v>9</v>
      </c>
      <c r="C21" s="26">
        <v>0</v>
      </c>
      <c r="D21" s="27">
        <v>0</v>
      </c>
      <c r="E21" s="28">
        <f>E20+C21-D21</f>
        <v>5501.1399999999994</v>
      </c>
      <c r="F21" s="25"/>
      <c r="G21" s="25" t="s">
        <v>9</v>
      </c>
      <c r="H21" s="29">
        <f>IF(C21="", "", IF(D21="", "",D21-D6))</f>
        <v>0</v>
      </c>
      <c r="I21" s="29">
        <f>IF(D21="", "", IF(E21="", "",E21-E6))</f>
        <v>5501.1399999999994</v>
      </c>
    </row>
    <row r="22" spans="1:9" x14ac:dyDescent="0.25">
      <c r="A22" s="25"/>
      <c r="B22" s="25" t="s">
        <v>10</v>
      </c>
      <c r="C22" s="26">
        <v>0</v>
      </c>
      <c r="D22" s="27">
        <v>0</v>
      </c>
      <c r="E22" s="28">
        <f>E21+C22-D22</f>
        <v>5501.1399999999994</v>
      </c>
      <c r="F22" s="25"/>
      <c r="G22" s="25" t="s">
        <v>10</v>
      </c>
      <c r="H22" s="29">
        <f>IF(C22="", "", IF(D22="", "",D22-D7))</f>
        <v>0</v>
      </c>
      <c r="I22" s="29">
        <f>IF(D22="", "", IF(E22="", "",E22-E7))</f>
        <v>5501.1399999999994</v>
      </c>
    </row>
    <row r="23" spans="1:9" x14ac:dyDescent="0.25">
      <c r="A23" s="25"/>
      <c r="B23" s="25" t="s">
        <v>11</v>
      </c>
      <c r="C23" s="26">
        <v>0</v>
      </c>
      <c r="D23" s="27">
        <v>0</v>
      </c>
      <c r="E23" s="28">
        <f>E22+C23-D23</f>
        <v>5501.1399999999994</v>
      </c>
      <c r="F23" s="25"/>
      <c r="G23" s="25" t="s">
        <v>11</v>
      </c>
      <c r="H23" s="29">
        <f>IF(C23="", "", IF(D23="", "",D23-D8))</f>
        <v>0</v>
      </c>
      <c r="I23" s="29">
        <f>IF(D23="", "", IF(E23="", "",E23-E8))</f>
        <v>5501.1399999999994</v>
      </c>
    </row>
    <row r="24" spans="1:9" x14ac:dyDescent="0.25">
      <c r="A24" s="25"/>
      <c r="B24" s="25" t="s">
        <v>12</v>
      </c>
      <c r="C24" s="26">
        <v>0</v>
      </c>
      <c r="D24" s="27">
        <v>0</v>
      </c>
      <c r="E24" s="28">
        <f>E23+C24-D24</f>
        <v>5501.1399999999994</v>
      </c>
      <c r="F24" s="25"/>
      <c r="G24" s="25" t="s">
        <v>12</v>
      </c>
      <c r="H24" s="29">
        <f>IF(C24="", "", IF(D24="", "",D24-D9))</f>
        <v>0</v>
      </c>
      <c r="I24" s="29">
        <f>IF(D24="", "", IF(E24="", "",E24-E9))</f>
        <v>5501.1399999999994</v>
      </c>
    </row>
    <row r="25" spans="1:9" x14ac:dyDescent="0.25">
      <c r="A25" s="25"/>
      <c r="B25" s="25" t="s">
        <v>13</v>
      </c>
      <c r="C25" s="26">
        <v>0</v>
      </c>
      <c r="D25" s="27">
        <v>0</v>
      </c>
      <c r="E25" s="28">
        <f>E24+C25-D25</f>
        <v>5501.1399999999994</v>
      </c>
      <c r="F25" s="25"/>
      <c r="G25" s="25" t="s">
        <v>13</v>
      </c>
      <c r="H25" s="29">
        <f>IF(C25="", "", IF(D25="", "",D25-D10))</f>
        <v>0</v>
      </c>
      <c r="I25" s="29">
        <f>IF(D25="", "", IF(E25="", "",E25-E10))</f>
        <v>5501.1399999999994</v>
      </c>
    </row>
    <row r="26" spans="1:9" x14ac:dyDescent="0.25">
      <c r="A26" s="25"/>
      <c r="B26" s="25" t="s">
        <v>14</v>
      </c>
      <c r="C26" s="26">
        <v>0</v>
      </c>
      <c r="D26" s="27">
        <v>0</v>
      </c>
      <c r="E26" s="28">
        <f>E25+C26-D26</f>
        <v>5501.1399999999994</v>
      </c>
      <c r="F26" s="25"/>
      <c r="G26" s="25" t="s">
        <v>14</v>
      </c>
      <c r="H26" s="29">
        <f>IF(C26="", "", IF(D26="", "",D26-D11))</f>
        <v>0</v>
      </c>
      <c r="I26" s="29">
        <f>IF(D26="", "", IF(E26="", "",E26-E11))</f>
        <v>1684.3499999999995</v>
      </c>
    </row>
    <row r="27" spans="1:9" x14ac:dyDescent="0.25">
      <c r="A27" s="25"/>
      <c r="B27" s="25" t="s">
        <v>15</v>
      </c>
      <c r="C27" s="26">
        <v>0</v>
      </c>
      <c r="D27" s="27">
        <v>0</v>
      </c>
      <c r="E27" s="28">
        <f>E26+C27-D27</f>
        <v>5501.1399999999994</v>
      </c>
      <c r="F27" s="25"/>
      <c r="G27" s="25" t="s">
        <v>15</v>
      </c>
      <c r="H27" s="29">
        <f>IF(C27="", "", IF(D27="", "",D27-D12))</f>
        <v>0</v>
      </c>
      <c r="I27" s="29">
        <f>IF(D27="", "", IF(E27="", "",E27-E12))</f>
        <v>1684.3499999999995</v>
      </c>
    </row>
    <row r="28" spans="1:9" x14ac:dyDescent="0.25">
      <c r="A28" s="25"/>
      <c r="B28" s="25" t="s">
        <v>16</v>
      </c>
      <c r="C28" s="26">
        <v>0</v>
      </c>
      <c r="D28" s="27">
        <v>0</v>
      </c>
      <c r="E28" s="28">
        <f>E27+C28-D28</f>
        <v>5501.1399999999994</v>
      </c>
      <c r="F28" s="25"/>
      <c r="G28" s="25" t="s">
        <v>16</v>
      </c>
      <c r="H28" s="29">
        <f>IF(C28="", "", IF(D28="", "",D28-D13))</f>
        <v>0</v>
      </c>
      <c r="I28" s="29">
        <f>IF(D28="", "", IF(E28="", "",E28-E13))</f>
        <v>0</v>
      </c>
    </row>
    <row r="29" spans="1:9" x14ac:dyDescent="0.25">
      <c r="A29" s="25"/>
      <c r="B29" s="25" t="s">
        <v>17</v>
      </c>
      <c r="C29" s="26">
        <v>0</v>
      </c>
      <c r="D29" s="27">
        <v>0</v>
      </c>
      <c r="E29" s="28">
        <f>E28+C29-D29</f>
        <v>5501.1399999999994</v>
      </c>
      <c r="F29" s="25"/>
      <c r="G29" s="25" t="s">
        <v>17</v>
      </c>
      <c r="H29" s="29">
        <f>IF(C29="", "", IF(D29="", "",D29-D14))</f>
        <v>0</v>
      </c>
      <c r="I29" s="29">
        <f>IF(D29="", "", IF(E29="", "",E29-E14))</f>
        <v>0</v>
      </c>
    </row>
    <row r="30" spans="1:9" x14ac:dyDescent="0.25">
      <c r="A30" s="30"/>
      <c r="B30" s="30" t="s">
        <v>18</v>
      </c>
      <c r="C30" s="31">
        <v>0</v>
      </c>
      <c r="D30" s="32">
        <v>0</v>
      </c>
      <c r="E30" s="33">
        <f>E29+C30-D30</f>
        <v>5501.1399999999994</v>
      </c>
      <c r="F30" s="30"/>
      <c r="G30" s="30" t="s">
        <v>18</v>
      </c>
      <c r="H30" s="34">
        <f>IF(C30="", "", IF(D30="", "",D30-D15))</f>
        <v>0</v>
      </c>
      <c r="I30" s="34">
        <f>IF(D30="", "", IF(E30="", "",E30-E15))</f>
        <v>0</v>
      </c>
    </row>
    <row r="31" spans="1:9" s="2" customFormat="1" x14ac:dyDescent="0.25">
      <c r="A31" s="35"/>
      <c r="B31" s="35" t="s">
        <v>19</v>
      </c>
      <c r="C31" s="36">
        <f>SUM(C19:C30)</f>
        <v>0</v>
      </c>
      <c r="D31" s="37">
        <f>SUM(D19:D30)</f>
        <v>0</v>
      </c>
      <c r="E31" s="28"/>
      <c r="F31" s="35"/>
      <c r="G31" s="35"/>
      <c r="H31" s="28">
        <f>SUMIF(C19:C30,"&gt;=0",H19:H30)</f>
        <v>0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0</v>
      </c>
      <c r="D32" s="37">
        <f>AVERAGE(D19:D30)</f>
        <v>0</v>
      </c>
      <c r="E32" s="38" t="e">
        <f>C32/D32-1</f>
        <v>#DIV/0!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5501.1399999999994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0</v>
      </c>
      <c r="D34" s="13">
        <v>0</v>
      </c>
      <c r="E34" s="14">
        <f>E33+C34-D34</f>
        <v>5501.1399999999994</v>
      </c>
      <c r="F34" s="11"/>
      <c r="G34" s="11" t="s">
        <v>7</v>
      </c>
      <c r="H34" s="15">
        <f>IF(C34="", "", IF(D34="", "",D34-D19))</f>
        <v>0</v>
      </c>
      <c r="I34" s="15">
        <f>IF(D34="", "", IF(E34="", "",E34-E19))</f>
        <v>0</v>
      </c>
    </row>
    <row r="35" spans="1:9" x14ac:dyDescent="0.25">
      <c r="A35" s="11"/>
      <c r="B35" s="11" t="s">
        <v>8</v>
      </c>
      <c r="C35" s="12">
        <v>0</v>
      </c>
      <c r="D35" s="13">
        <v>0</v>
      </c>
      <c r="E35" s="14">
        <f>E34+C35-D35</f>
        <v>5501.1399999999994</v>
      </c>
      <c r="F35" s="11"/>
      <c r="G35" s="11" t="s">
        <v>8</v>
      </c>
      <c r="H35" s="15">
        <f>IF(C35="", "", IF(D35="", "",D35-D20))</f>
        <v>0</v>
      </c>
      <c r="I35" s="15">
        <f>IF(D35="", "", IF(E35="", "",E35-E20))</f>
        <v>0</v>
      </c>
    </row>
    <row r="36" spans="1:9" x14ac:dyDescent="0.25">
      <c r="A36" s="11"/>
      <c r="B36" s="11" t="s">
        <v>9</v>
      </c>
      <c r="C36" s="12">
        <v>0</v>
      </c>
      <c r="D36" s="13">
        <v>0</v>
      </c>
      <c r="E36" s="14">
        <f>E35+C36-D36</f>
        <v>5501.1399999999994</v>
      </c>
      <c r="F36" s="11"/>
      <c r="G36" s="11" t="s">
        <v>9</v>
      </c>
      <c r="H36" s="15">
        <f>IF(C36="", "", IF(D36="", "",D36-D21))</f>
        <v>0</v>
      </c>
      <c r="I36" s="15">
        <f>IF(D36="", "", IF(E36="", "",E36-E21))</f>
        <v>0</v>
      </c>
    </row>
    <row r="37" spans="1:9" x14ac:dyDescent="0.25">
      <c r="A37" s="11"/>
      <c r="B37" s="11" t="s">
        <v>10</v>
      </c>
      <c r="C37" s="12">
        <v>0</v>
      </c>
      <c r="D37" s="13">
        <v>0</v>
      </c>
      <c r="E37" s="14">
        <f>E36+C37-D37</f>
        <v>5501.1399999999994</v>
      </c>
      <c r="F37" s="11"/>
      <c r="G37" s="11" t="s">
        <v>10</v>
      </c>
      <c r="H37" s="15">
        <f>IF(C37="", "", IF(D37="", "",D37-D22))</f>
        <v>0</v>
      </c>
      <c r="I37" s="15">
        <f>IF(D37="", "", IF(E37="", "",E37-E22))</f>
        <v>0</v>
      </c>
    </row>
    <row r="38" spans="1:9" x14ac:dyDescent="0.25">
      <c r="A38" s="11"/>
      <c r="B38" s="11" t="s">
        <v>11</v>
      </c>
      <c r="C38" s="12">
        <v>0</v>
      </c>
      <c r="D38" s="13">
        <v>0</v>
      </c>
      <c r="E38" s="14">
        <f>E37+C38-D38</f>
        <v>5501.1399999999994</v>
      </c>
      <c r="F38" s="11"/>
      <c r="G38" s="11" t="s">
        <v>11</v>
      </c>
      <c r="H38" s="15">
        <f>IF(C38="", "", IF(D38="", "",D38-D23))</f>
        <v>0</v>
      </c>
      <c r="I38" s="15">
        <f>IF(D38="", "", IF(E38="", "",E38-E23))</f>
        <v>0</v>
      </c>
    </row>
    <row r="39" spans="1:9" x14ac:dyDescent="0.25">
      <c r="A39" s="11"/>
      <c r="B39" s="11" t="s">
        <v>12</v>
      </c>
      <c r="C39" s="12">
        <v>0</v>
      </c>
      <c r="D39" s="13">
        <v>0</v>
      </c>
      <c r="E39" s="14">
        <f>E38+C39-D39</f>
        <v>5501.1399999999994</v>
      </c>
      <c r="F39" s="11"/>
      <c r="G39" s="11" t="s">
        <v>12</v>
      </c>
      <c r="H39" s="15">
        <f>IF(C39="", "", IF(D39="", "",D39-D24))</f>
        <v>0</v>
      </c>
      <c r="I39" s="15">
        <f>IF(D39="", "", IF(E39="", "",E39-E24))</f>
        <v>0</v>
      </c>
    </row>
    <row r="40" spans="1:9" x14ac:dyDescent="0.25">
      <c r="A40" s="11"/>
      <c r="B40" s="11" t="s">
        <v>13</v>
      </c>
      <c r="C40" s="12">
        <v>0</v>
      </c>
      <c r="D40" s="13">
        <v>0</v>
      </c>
      <c r="E40" s="14">
        <f>E39+C40-D40</f>
        <v>5501.1399999999994</v>
      </c>
      <c r="F40" s="11"/>
      <c r="G40" s="11" t="s">
        <v>13</v>
      </c>
      <c r="H40" s="15">
        <f>IF(C40="", "", IF(D40="", "",D40-D25))</f>
        <v>0</v>
      </c>
      <c r="I40" s="15">
        <f>IF(D40="", "", IF(E40="", "",E40-E25))</f>
        <v>0</v>
      </c>
    </row>
    <row r="41" spans="1:9" x14ac:dyDescent="0.25">
      <c r="A41" s="11"/>
      <c r="B41" s="11" t="s">
        <v>14</v>
      </c>
      <c r="C41" s="12">
        <v>0</v>
      </c>
      <c r="D41" s="13">
        <v>0</v>
      </c>
      <c r="E41" s="14">
        <f>E40+C41-D41</f>
        <v>5501.1399999999994</v>
      </c>
      <c r="F41" s="11"/>
      <c r="G41" s="11" t="s">
        <v>14</v>
      </c>
      <c r="H41" s="15">
        <f>IF(C41="", "", IF(D41="", "",D41-D26))</f>
        <v>0</v>
      </c>
      <c r="I41" s="15">
        <f>IF(D41="", "", IF(E41="", "",E41-E26))</f>
        <v>0</v>
      </c>
    </row>
    <row r="42" spans="1:9" x14ac:dyDescent="0.25">
      <c r="A42" s="11"/>
      <c r="B42" s="11" t="s">
        <v>15</v>
      </c>
      <c r="C42" s="12">
        <v>0</v>
      </c>
      <c r="D42" s="13">
        <v>0</v>
      </c>
      <c r="E42" s="14">
        <f>E41+C42-D42</f>
        <v>5501.1399999999994</v>
      </c>
      <c r="F42" s="11"/>
      <c r="G42" s="11" t="s">
        <v>15</v>
      </c>
      <c r="H42" s="15">
        <f>IF(C42="", "", IF(D42="", "",D42-D27))</f>
        <v>0</v>
      </c>
      <c r="I42" s="15">
        <f>IF(D42="", "", IF(E42="", "",E42-E27))</f>
        <v>0</v>
      </c>
    </row>
    <row r="43" spans="1:9" x14ac:dyDescent="0.25">
      <c r="A43" s="11"/>
      <c r="B43" s="11" t="s">
        <v>16</v>
      </c>
      <c r="C43" s="12">
        <v>0</v>
      </c>
      <c r="D43" s="13">
        <v>0</v>
      </c>
      <c r="E43" s="14">
        <f>E42+C43-D43</f>
        <v>5501.1399999999994</v>
      </c>
      <c r="F43" s="11"/>
      <c r="G43" s="11" t="s">
        <v>16</v>
      </c>
      <c r="H43" s="15">
        <f>IF(C43="", "", IF(D43="", "",D43-D28))</f>
        <v>0</v>
      </c>
      <c r="I43" s="15">
        <f>IF(D43="", "", IF(E43="", "",E43-E28))</f>
        <v>0</v>
      </c>
    </row>
    <row r="44" spans="1:9" x14ac:dyDescent="0.25">
      <c r="A44" s="11"/>
      <c r="B44" s="11" t="s">
        <v>17</v>
      </c>
      <c r="C44" s="12">
        <v>0</v>
      </c>
      <c r="D44" s="13">
        <v>0</v>
      </c>
      <c r="E44" s="14">
        <f>E43+C44-D44</f>
        <v>5501.1399999999994</v>
      </c>
      <c r="F44" s="11"/>
      <c r="G44" s="11" t="s">
        <v>17</v>
      </c>
      <c r="H44" s="15">
        <f>IF(C44="", "", IF(D44="", "",D44-D29))</f>
        <v>0</v>
      </c>
      <c r="I44" s="15">
        <f>IF(D44="", "", IF(E44="", "",E44-E29))</f>
        <v>0</v>
      </c>
    </row>
    <row r="45" spans="1:9" x14ac:dyDescent="0.25">
      <c r="A45" s="16"/>
      <c r="B45" s="16" t="s">
        <v>18</v>
      </c>
      <c r="C45" s="17">
        <v>0</v>
      </c>
      <c r="D45" s="18">
        <v>0</v>
      </c>
      <c r="E45" s="19">
        <f>E44+C45-D45</f>
        <v>5501.1399999999994</v>
      </c>
      <c r="F45" s="16"/>
      <c r="G45" s="16" t="s">
        <v>18</v>
      </c>
      <c r="H45" s="20">
        <f>IF(C45="", "", IF(D45="", "",D45-D30))</f>
        <v>0</v>
      </c>
      <c r="I45" s="20">
        <f>IF(D45="", "", IF(E45="", "",E45-E30))</f>
        <v>0</v>
      </c>
    </row>
    <row r="46" spans="1:9" s="2" customFormat="1" x14ac:dyDescent="0.25">
      <c r="A46" s="21"/>
      <c r="B46" s="21" t="s">
        <v>19</v>
      </c>
      <c r="C46" s="22">
        <f>SUM(C34:C45)</f>
        <v>0</v>
      </c>
      <c r="D46" s="23">
        <f>SUM(D34:D45)</f>
        <v>0</v>
      </c>
      <c r="E46" s="14"/>
      <c r="F46" s="21"/>
      <c r="G46" s="21"/>
      <c r="H46" s="14">
        <f>SUMIF(C34:C45,"&gt;=0",H34:H45)</f>
        <v>0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0</v>
      </c>
      <c r="D47" s="23">
        <f>AVERAGE(D34:D45)</f>
        <v>0</v>
      </c>
      <c r="E47" s="24" t="e">
        <f>C47/D47-1</f>
        <v>#DIV/0!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5501.1399999999994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0</v>
      </c>
      <c r="D49" s="27">
        <v>0</v>
      </c>
      <c r="E49" s="28">
        <f>E48+C49-D49</f>
        <v>5501.1399999999994</v>
      </c>
      <c r="F49" s="25"/>
      <c r="G49" s="25" t="s">
        <v>7</v>
      </c>
      <c r="H49" s="29">
        <f>IF(C49="", "", IF(D49="", "",D49-D34))</f>
        <v>0</v>
      </c>
      <c r="I49" s="29">
        <f>IF(D49="", "", IF(E49="", "",E49-E34))</f>
        <v>0</v>
      </c>
    </row>
    <row r="50" spans="1:9" x14ac:dyDescent="0.25">
      <c r="A50" s="25"/>
      <c r="B50" s="25" t="s">
        <v>8</v>
      </c>
      <c r="C50" s="26">
        <v>0</v>
      </c>
      <c r="D50" s="27">
        <v>0</v>
      </c>
      <c r="E50" s="28">
        <f>E49+C50-D50</f>
        <v>5501.1399999999994</v>
      </c>
      <c r="F50" s="25"/>
      <c r="G50" s="25" t="s">
        <v>8</v>
      </c>
      <c r="H50" s="29">
        <f>IF(C50="", "", IF(D50="", "",D50-D35))</f>
        <v>0</v>
      </c>
      <c r="I50" s="29">
        <f>IF(D50="", "", IF(E50="", "",E50-E35))</f>
        <v>0</v>
      </c>
    </row>
    <row r="51" spans="1:9" x14ac:dyDescent="0.25">
      <c r="A51" s="25"/>
      <c r="B51" s="25" t="s">
        <v>9</v>
      </c>
      <c r="C51" s="26">
        <v>0</v>
      </c>
      <c r="D51" s="27">
        <v>0</v>
      </c>
      <c r="E51" s="28">
        <f>E50+C51-D51</f>
        <v>5501.1399999999994</v>
      </c>
      <c r="F51" s="25"/>
      <c r="G51" s="25" t="s">
        <v>9</v>
      </c>
      <c r="H51" s="29">
        <f>IF(C51="", "", IF(D51="", "",D51-D36))</f>
        <v>0</v>
      </c>
      <c r="I51" s="29">
        <f>IF(D51="", "", IF(E51="", "",E51-E36))</f>
        <v>0</v>
      </c>
    </row>
    <row r="52" spans="1:9" x14ac:dyDescent="0.25">
      <c r="A52" s="25"/>
      <c r="B52" s="25" t="s">
        <v>10</v>
      </c>
      <c r="C52" s="26">
        <v>0</v>
      </c>
      <c r="D52" s="27">
        <v>0</v>
      </c>
      <c r="E52" s="28">
        <f>E51+C52-D52</f>
        <v>5501.1399999999994</v>
      </c>
      <c r="F52" s="25"/>
      <c r="G52" s="25" t="s">
        <v>10</v>
      </c>
      <c r="H52" s="29">
        <f>IF(C52="", "", IF(D52="", "",D52-D37))</f>
        <v>0</v>
      </c>
      <c r="I52" s="29">
        <f>IF(D52="", "", IF(E52="", "",E52-E37))</f>
        <v>0</v>
      </c>
    </row>
    <row r="53" spans="1:9" x14ac:dyDescent="0.25">
      <c r="A53" s="25"/>
      <c r="B53" s="25" t="s">
        <v>11</v>
      </c>
      <c r="C53" s="26">
        <v>0</v>
      </c>
      <c r="D53" s="27">
        <v>0</v>
      </c>
      <c r="E53" s="28">
        <f>E52+C53-D53</f>
        <v>5501.1399999999994</v>
      </c>
      <c r="F53" s="25"/>
      <c r="G53" s="25" t="s">
        <v>11</v>
      </c>
      <c r="H53" s="29">
        <f>IF(C53="", "", IF(D53="", "",D53-D38))</f>
        <v>0</v>
      </c>
      <c r="I53" s="29">
        <f>IF(D53="", "", IF(E53="", "",E53-E38))</f>
        <v>0</v>
      </c>
    </row>
    <row r="54" spans="1:9" x14ac:dyDescent="0.25">
      <c r="A54" s="25"/>
      <c r="B54" s="25" t="s">
        <v>12</v>
      </c>
      <c r="C54" s="26">
        <v>0</v>
      </c>
      <c r="D54" s="27">
        <v>0</v>
      </c>
      <c r="E54" s="28">
        <f>E53+C54-D54</f>
        <v>5501.1399999999994</v>
      </c>
      <c r="F54" s="25"/>
      <c r="G54" s="25" t="s">
        <v>12</v>
      </c>
      <c r="H54" s="29">
        <f>IF(C54="", "", IF(D54="", "",D54-D39))</f>
        <v>0</v>
      </c>
      <c r="I54" s="29">
        <f>IF(D54="", "", IF(E54="", "",E54-E39))</f>
        <v>0</v>
      </c>
    </row>
    <row r="55" spans="1:9" x14ac:dyDescent="0.25">
      <c r="A55" s="25"/>
      <c r="B55" s="25" t="s">
        <v>13</v>
      </c>
      <c r="C55" s="26">
        <v>0</v>
      </c>
      <c r="D55" s="27">
        <v>0</v>
      </c>
      <c r="E55" s="28">
        <f>E54+C55-D55</f>
        <v>5501.1399999999994</v>
      </c>
      <c r="F55" s="25"/>
      <c r="G55" s="25" t="s">
        <v>13</v>
      </c>
      <c r="H55" s="29">
        <f>IF(C55="", "", IF(D55="", "",D55-D40))</f>
        <v>0</v>
      </c>
      <c r="I55" s="29">
        <f>IF(D55="", "", IF(E55="", "",E55-E40))</f>
        <v>0</v>
      </c>
    </row>
    <row r="56" spans="1:9" x14ac:dyDescent="0.25">
      <c r="A56" s="25"/>
      <c r="B56" s="25" t="s">
        <v>14</v>
      </c>
      <c r="C56" s="26">
        <v>0</v>
      </c>
      <c r="D56" s="27">
        <v>0</v>
      </c>
      <c r="E56" s="28">
        <f>E55+C56-D56</f>
        <v>5501.1399999999994</v>
      </c>
      <c r="F56" s="25"/>
      <c r="G56" s="25" t="s">
        <v>14</v>
      </c>
      <c r="H56" s="29">
        <f>IF(C56="", "", IF(D56="", "",D56-D41))</f>
        <v>0</v>
      </c>
      <c r="I56" s="29">
        <f>IF(D56="", "", IF(E56="", "",E56-E41))</f>
        <v>0</v>
      </c>
    </row>
    <row r="57" spans="1:9" x14ac:dyDescent="0.25">
      <c r="A57" s="25"/>
      <c r="B57" s="25" t="s">
        <v>15</v>
      </c>
      <c r="C57" s="26">
        <v>0</v>
      </c>
      <c r="D57" s="27">
        <v>0</v>
      </c>
      <c r="E57" s="28">
        <f>E56+C57-D57</f>
        <v>5501.1399999999994</v>
      </c>
      <c r="F57" s="25"/>
      <c r="G57" s="25" t="s">
        <v>15</v>
      </c>
      <c r="H57" s="29">
        <f>IF(C57="", "", IF(D57="", "",D57-D42))</f>
        <v>0</v>
      </c>
      <c r="I57" s="29">
        <f>IF(D57="", "", IF(E57="", "",E57-E42))</f>
        <v>0</v>
      </c>
    </row>
    <row r="58" spans="1:9" x14ac:dyDescent="0.25">
      <c r="A58" s="25"/>
      <c r="B58" s="25" t="s">
        <v>16</v>
      </c>
      <c r="C58" s="26">
        <v>0</v>
      </c>
      <c r="D58" s="27">
        <v>0</v>
      </c>
      <c r="E58" s="28">
        <f>E57+C58-D58</f>
        <v>5501.1399999999994</v>
      </c>
      <c r="F58" s="25"/>
      <c r="G58" s="25" t="s">
        <v>16</v>
      </c>
      <c r="H58" s="29">
        <f>IF(C58="", "", IF(D58="", "",D58-D43))</f>
        <v>0</v>
      </c>
      <c r="I58" s="29">
        <f>IF(D58="", "", IF(E58="", "",E58-E43))</f>
        <v>0</v>
      </c>
    </row>
    <row r="59" spans="1:9" x14ac:dyDescent="0.25">
      <c r="A59" s="25"/>
      <c r="B59" s="25" t="s">
        <v>17</v>
      </c>
      <c r="C59" s="26">
        <v>0</v>
      </c>
      <c r="D59" s="27">
        <v>0</v>
      </c>
      <c r="E59" s="28">
        <f>E58+C59-D59</f>
        <v>5501.1399999999994</v>
      </c>
      <c r="F59" s="25"/>
      <c r="G59" s="25" t="s">
        <v>17</v>
      </c>
      <c r="H59" s="29">
        <f>IF(C59="", "", IF(D59="", "",D59-D44))</f>
        <v>0</v>
      </c>
      <c r="I59" s="29">
        <f>IF(D59="", "", IF(E59="", "",E59-E44))</f>
        <v>0</v>
      </c>
    </row>
    <row r="60" spans="1:9" x14ac:dyDescent="0.25">
      <c r="A60" s="30"/>
      <c r="B60" s="30" t="s">
        <v>18</v>
      </c>
      <c r="C60" s="31">
        <v>0</v>
      </c>
      <c r="D60" s="32">
        <v>0</v>
      </c>
      <c r="E60" s="33">
        <f>E59+C60-D60</f>
        <v>5501.1399999999994</v>
      </c>
      <c r="F60" s="30"/>
      <c r="G60" s="30" t="s">
        <v>18</v>
      </c>
      <c r="H60" s="34">
        <f>IF(C60="", "", IF(D60="", "",D60-D45))</f>
        <v>0</v>
      </c>
      <c r="I60" s="34">
        <f>IF(D60="", "", IF(E60="", "",E60-E45))</f>
        <v>0</v>
      </c>
    </row>
    <row r="61" spans="1:9" s="2" customFormat="1" x14ac:dyDescent="0.25">
      <c r="A61" s="35"/>
      <c r="B61" s="35" t="s">
        <v>19</v>
      </c>
      <c r="C61" s="36">
        <f>SUM(C49:C60)</f>
        <v>0</v>
      </c>
      <c r="D61" s="37">
        <f>SUM(D49:D60)</f>
        <v>0</v>
      </c>
      <c r="E61" s="28"/>
      <c r="F61" s="35"/>
      <c r="G61" s="35"/>
      <c r="H61" s="28">
        <f>SUMIF(C49:C60,"&gt;=0",H49:H60)</f>
        <v>0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0</v>
      </c>
      <c r="D62" s="37">
        <f>AVERAGE(D49:D60)</f>
        <v>0</v>
      </c>
      <c r="E62" s="38" t="e">
        <f>C62/D62-1</f>
        <v>#DIV/0!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5501.1399999999994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0</v>
      </c>
      <c r="D64" s="13">
        <v>0</v>
      </c>
      <c r="E64" s="14">
        <f>E63+C64-D64</f>
        <v>5501.1399999999994</v>
      </c>
      <c r="F64" s="11"/>
      <c r="G64" s="11" t="s">
        <v>7</v>
      </c>
      <c r="H64" s="15">
        <f>IF(C64="", "", IF(D64="", "",D64-D49))</f>
        <v>0</v>
      </c>
      <c r="I64" s="15">
        <f>IF(D64="", "", IF(E64="", "",E64-E49))</f>
        <v>0</v>
      </c>
    </row>
    <row r="65" spans="1:9" x14ac:dyDescent="0.25">
      <c r="A65" s="11"/>
      <c r="B65" s="11" t="s">
        <v>8</v>
      </c>
      <c r="C65" s="12">
        <v>0</v>
      </c>
      <c r="D65" s="13">
        <v>0</v>
      </c>
      <c r="E65" s="14">
        <f>E64+C65-D65</f>
        <v>5501.1399999999994</v>
      </c>
      <c r="F65" s="11"/>
      <c r="G65" s="11" t="s">
        <v>8</v>
      </c>
      <c r="H65" s="15">
        <f>IF(C65="", "", IF(D65="", "",D65-D50))</f>
        <v>0</v>
      </c>
      <c r="I65" s="15">
        <f>IF(D65="", "", IF(E65="", "",E65-E50))</f>
        <v>0</v>
      </c>
    </row>
    <row r="66" spans="1:9" x14ac:dyDescent="0.25">
      <c r="A66" s="11"/>
      <c r="B66" s="11" t="s">
        <v>9</v>
      </c>
      <c r="C66" s="12">
        <v>0</v>
      </c>
      <c r="D66" s="13">
        <v>0</v>
      </c>
      <c r="E66" s="14">
        <f>E65+C66-D66</f>
        <v>5501.1399999999994</v>
      </c>
      <c r="F66" s="11"/>
      <c r="G66" s="11" t="s">
        <v>9</v>
      </c>
      <c r="H66" s="15">
        <f>IF(C66="", "", IF(D66="", "",D66-D51))</f>
        <v>0</v>
      </c>
      <c r="I66" s="15">
        <f>IF(D66="", "", IF(E66="", "",E66-E51))</f>
        <v>0</v>
      </c>
    </row>
    <row r="67" spans="1:9" x14ac:dyDescent="0.25">
      <c r="A67" s="11"/>
      <c r="B67" s="11" t="s">
        <v>10</v>
      </c>
      <c r="C67" s="12">
        <v>0</v>
      </c>
      <c r="D67" s="13">
        <v>0</v>
      </c>
      <c r="E67" s="14">
        <f>E66+C67-D67</f>
        <v>5501.1399999999994</v>
      </c>
      <c r="F67" s="11"/>
      <c r="G67" s="11" t="s">
        <v>10</v>
      </c>
      <c r="H67" s="15">
        <f>IF(C67="", "", IF(D67="", "",D67-D52))</f>
        <v>0</v>
      </c>
      <c r="I67" s="15">
        <f>IF(D67="", "", IF(E67="", "",E67-E52))</f>
        <v>0</v>
      </c>
    </row>
    <row r="68" spans="1:9" x14ac:dyDescent="0.25">
      <c r="A68" s="11"/>
      <c r="B68" s="11" t="s">
        <v>11</v>
      </c>
      <c r="C68" s="12">
        <v>0</v>
      </c>
      <c r="D68" s="13">
        <v>0</v>
      </c>
      <c r="E68" s="14">
        <f>E67+C68-D68</f>
        <v>5501.1399999999994</v>
      </c>
      <c r="F68" s="11"/>
      <c r="G68" s="11" t="s">
        <v>11</v>
      </c>
      <c r="H68" s="15">
        <f>IF(C68="", "", IF(D68="", "",D68-D53))</f>
        <v>0</v>
      </c>
      <c r="I68" s="15">
        <f>IF(D68="", "", IF(E68="", "",E68-E53))</f>
        <v>0</v>
      </c>
    </row>
    <row r="69" spans="1:9" x14ac:dyDescent="0.25">
      <c r="A69" s="11"/>
      <c r="B69" s="11" t="s">
        <v>12</v>
      </c>
      <c r="C69" s="12">
        <v>0</v>
      </c>
      <c r="D69" s="13">
        <v>0</v>
      </c>
      <c r="E69" s="14">
        <f>E68+C69-D69</f>
        <v>5501.1399999999994</v>
      </c>
      <c r="F69" s="11"/>
      <c r="G69" s="11" t="s">
        <v>12</v>
      </c>
      <c r="H69" s="15">
        <f>IF(C69="", "", IF(D69="", "",D69-D54))</f>
        <v>0</v>
      </c>
      <c r="I69" s="15">
        <f>IF(D69="", "", IF(E69="", "",E69-E54))</f>
        <v>0</v>
      </c>
    </row>
    <row r="70" spans="1:9" x14ac:dyDescent="0.25">
      <c r="A70" s="11"/>
      <c r="B70" s="11" t="s">
        <v>13</v>
      </c>
      <c r="C70" s="12">
        <v>0</v>
      </c>
      <c r="D70" s="13">
        <v>0</v>
      </c>
      <c r="E70" s="14">
        <f>E69+C70-D70</f>
        <v>5501.1399999999994</v>
      </c>
      <c r="F70" s="11"/>
      <c r="G70" s="11" t="s">
        <v>13</v>
      </c>
      <c r="H70" s="15">
        <f>IF(C70="", "", IF(D70="", "",D70-D55))</f>
        <v>0</v>
      </c>
      <c r="I70" s="15">
        <f>IF(D70="", "", IF(E70="", "",E70-E55))</f>
        <v>0</v>
      </c>
    </row>
    <row r="71" spans="1:9" x14ac:dyDescent="0.25">
      <c r="A71" s="11"/>
      <c r="B71" s="11" t="s">
        <v>14</v>
      </c>
      <c r="C71" s="12">
        <v>0</v>
      </c>
      <c r="D71" s="13">
        <v>0</v>
      </c>
      <c r="E71" s="14">
        <f>E70+C71-D71</f>
        <v>5501.1399999999994</v>
      </c>
      <c r="F71" s="11"/>
      <c r="G71" s="11" t="s">
        <v>14</v>
      </c>
      <c r="H71" s="15">
        <f>IF(C71="", "", IF(D71="", "",D71-D56))</f>
        <v>0</v>
      </c>
      <c r="I71" s="15">
        <f>IF(D71="", "", IF(E71="", "",E71-E56))</f>
        <v>0</v>
      </c>
    </row>
    <row r="72" spans="1:9" x14ac:dyDescent="0.25">
      <c r="A72" s="11"/>
      <c r="B72" s="11" t="s">
        <v>15</v>
      </c>
      <c r="C72" s="12">
        <v>0</v>
      </c>
      <c r="D72" s="13">
        <v>0</v>
      </c>
      <c r="E72" s="14">
        <f>E71+C72-D72</f>
        <v>5501.1399999999994</v>
      </c>
      <c r="F72" s="11"/>
      <c r="G72" s="11" t="s">
        <v>15</v>
      </c>
      <c r="H72" s="15">
        <f>IF(C72="", "", IF(D72="", "",D72-D57))</f>
        <v>0</v>
      </c>
      <c r="I72" s="15">
        <f>IF(D72="", "", IF(E72="", "",E72-E57))</f>
        <v>0</v>
      </c>
    </row>
    <row r="73" spans="1:9" x14ac:dyDescent="0.25">
      <c r="A73" s="11"/>
      <c r="B73" s="11" t="s">
        <v>16</v>
      </c>
      <c r="C73" s="12">
        <v>0</v>
      </c>
      <c r="D73" s="13">
        <v>0</v>
      </c>
      <c r="E73" s="14">
        <f>E72+C73-D73</f>
        <v>5501.1399999999994</v>
      </c>
      <c r="F73" s="11"/>
      <c r="G73" s="11" t="s">
        <v>16</v>
      </c>
      <c r="H73" s="15">
        <f>IF(C73="", "", IF(D73="", "",D73-D58))</f>
        <v>0</v>
      </c>
      <c r="I73" s="15">
        <f>IF(D73="", "", IF(E73="", "",E73-E58))</f>
        <v>0</v>
      </c>
    </row>
    <row r="74" spans="1:9" x14ac:dyDescent="0.25">
      <c r="A74" s="11"/>
      <c r="B74" s="11" t="s">
        <v>17</v>
      </c>
      <c r="C74" s="12">
        <v>0</v>
      </c>
      <c r="D74" s="13">
        <v>0</v>
      </c>
      <c r="E74" s="14">
        <f>E73+C74-D74</f>
        <v>5501.1399999999994</v>
      </c>
      <c r="F74" s="11"/>
      <c r="G74" s="11" t="s">
        <v>17</v>
      </c>
      <c r="H74" s="15">
        <f>IF(C74="", "", IF(D74="", "",D74-D59))</f>
        <v>0</v>
      </c>
      <c r="I74" s="15">
        <f>IF(D74="", "", IF(E74="", "",E74-E59))</f>
        <v>0</v>
      </c>
    </row>
    <row r="75" spans="1:9" x14ac:dyDescent="0.25">
      <c r="A75" s="16"/>
      <c r="B75" s="16" t="s">
        <v>18</v>
      </c>
      <c r="C75" s="17">
        <v>0</v>
      </c>
      <c r="D75" s="18">
        <v>0</v>
      </c>
      <c r="E75" s="19">
        <f>E74+C75-D75</f>
        <v>5501.1399999999994</v>
      </c>
      <c r="F75" s="16"/>
      <c r="G75" s="16" t="s">
        <v>18</v>
      </c>
      <c r="H75" s="20">
        <f>IF(C75="", "", IF(D75="", "",D75-D60))</f>
        <v>0</v>
      </c>
      <c r="I75" s="20">
        <f>IF(D75="", "", IF(E75="", "",E75-E60))</f>
        <v>0</v>
      </c>
    </row>
    <row r="76" spans="1:9" s="2" customFormat="1" x14ac:dyDescent="0.25">
      <c r="A76" s="21"/>
      <c r="B76" s="21" t="s">
        <v>19</v>
      </c>
      <c r="C76" s="22">
        <f>SUM(C64:C75)</f>
        <v>0</v>
      </c>
      <c r="D76" s="23">
        <f>SUM(D64:D75)</f>
        <v>0</v>
      </c>
      <c r="E76" s="14"/>
      <c r="F76" s="21"/>
      <c r="G76" s="21"/>
      <c r="H76" s="14">
        <f>SUMIF(C64:C75,"&gt;=0",H64:H75)</f>
        <v>0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0</v>
      </c>
      <c r="D77" s="23">
        <f>AVERAGE(D64:D75)</f>
        <v>0</v>
      </c>
      <c r="E77" s="24" t="e">
        <f>C77/D77-1</f>
        <v>#DIV/0!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5501.1399999999994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5501.1399999999994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5501.1399999999994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5501.1399999999994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5501.1399999999994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5501.1399999999994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5501.1399999999994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5501.1399999999994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5501.1399999999994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5501.1399999999994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5501.1399999999994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5501.1399999999994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5501.1399999999994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321A0-D42E-40A7-BA5D-D124483F5163}">
  <sheetPr codeName="Sheet14"/>
  <dimension ref="A2:I92"/>
  <sheetViews>
    <sheetView topLeftCell="A72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</cols>
  <sheetData>
    <row r="2" spans="1:9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9" x14ac:dyDescent="0.25">
      <c r="A3" s="11"/>
      <c r="B3" s="11"/>
      <c r="C3" s="12"/>
      <c r="D3" s="13"/>
      <c r="E3" s="14"/>
      <c r="F3" s="11"/>
      <c r="G3" s="11"/>
      <c r="H3" s="15"/>
      <c r="I3" s="15"/>
    </row>
    <row r="4" spans="1:9" x14ac:dyDescent="0.25">
      <c r="A4" s="11">
        <v>2019</v>
      </c>
      <c r="B4" s="11" t="s">
        <v>7</v>
      </c>
      <c r="C4" s="12"/>
      <c r="D4" s="13"/>
      <c r="E4" s="14">
        <f>E3+C4-D4</f>
        <v>0</v>
      </c>
      <c r="F4" s="11"/>
      <c r="G4" s="11" t="s">
        <v>7</v>
      </c>
      <c r="H4" s="15"/>
      <c r="I4" s="15"/>
    </row>
    <row r="5" spans="1:9" x14ac:dyDescent="0.25">
      <c r="A5" s="11"/>
      <c r="B5" s="11" t="s">
        <v>8</v>
      </c>
      <c r="C5" s="12"/>
      <c r="D5" s="13"/>
      <c r="E5" s="14">
        <f>E4+C5-D5</f>
        <v>0</v>
      </c>
      <c r="F5" s="11"/>
      <c r="G5" s="11" t="s">
        <v>8</v>
      </c>
      <c r="H5" s="15"/>
      <c r="I5" s="15"/>
    </row>
    <row r="6" spans="1:9" x14ac:dyDescent="0.25">
      <c r="A6" s="11"/>
      <c r="B6" s="11" t="s">
        <v>9</v>
      </c>
      <c r="C6" s="12"/>
      <c r="D6" s="13"/>
      <c r="E6" s="14">
        <f>E5+C6-D6</f>
        <v>0</v>
      </c>
      <c r="F6" s="11"/>
      <c r="G6" s="11" t="s">
        <v>9</v>
      </c>
      <c r="H6" s="15"/>
      <c r="I6" s="15"/>
    </row>
    <row r="7" spans="1:9" x14ac:dyDescent="0.25">
      <c r="A7" s="11"/>
      <c r="B7" s="11" t="s">
        <v>10</v>
      </c>
      <c r="C7" s="12"/>
      <c r="D7" s="13"/>
      <c r="E7" s="14">
        <f>E6+C7-D7</f>
        <v>0</v>
      </c>
      <c r="F7" s="11"/>
      <c r="G7" s="11" t="s">
        <v>10</v>
      </c>
      <c r="H7" s="15"/>
      <c r="I7" s="15"/>
    </row>
    <row r="8" spans="1:9" x14ac:dyDescent="0.25">
      <c r="A8" s="11"/>
      <c r="B8" s="11" t="s">
        <v>11</v>
      </c>
      <c r="C8" s="12"/>
      <c r="D8" s="13"/>
      <c r="E8" s="14">
        <f>E7+C8-D8</f>
        <v>0</v>
      </c>
      <c r="F8" s="11"/>
      <c r="G8" s="11" t="s">
        <v>11</v>
      </c>
      <c r="H8" s="15"/>
      <c r="I8" s="15"/>
    </row>
    <row r="9" spans="1:9" x14ac:dyDescent="0.25">
      <c r="A9" s="11"/>
      <c r="B9" s="11" t="s">
        <v>12</v>
      </c>
      <c r="C9" s="12"/>
      <c r="D9" s="13"/>
      <c r="E9" s="14">
        <f>E8+C9-D9</f>
        <v>0</v>
      </c>
      <c r="F9" s="11"/>
      <c r="G9" s="11" t="s">
        <v>12</v>
      </c>
      <c r="H9" s="15"/>
      <c r="I9" s="15"/>
    </row>
    <row r="10" spans="1:9" x14ac:dyDescent="0.25">
      <c r="A10" s="11"/>
      <c r="B10" s="11" t="s">
        <v>13</v>
      </c>
      <c r="C10" s="12"/>
      <c r="D10" s="13"/>
      <c r="E10" s="14">
        <f>E9+C10-D10</f>
        <v>0</v>
      </c>
      <c r="F10" s="11"/>
      <c r="G10" s="11" t="s">
        <v>13</v>
      </c>
      <c r="H10" s="15"/>
      <c r="I10" s="15"/>
    </row>
    <row r="11" spans="1:9" x14ac:dyDescent="0.25">
      <c r="A11" s="11"/>
      <c r="B11" s="11" t="s">
        <v>14</v>
      </c>
      <c r="C11" s="12"/>
      <c r="D11" s="13"/>
      <c r="E11" s="14">
        <f>E10+C11-D11</f>
        <v>0</v>
      </c>
      <c r="F11" s="11"/>
      <c r="G11" s="11" t="s">
        <v>14</v>
      </c>
      <c r="H11" s="15"/>
      <c r="I11" s="15"/>
    </row>
    <row r="12" spans="1:9" x14ac:dyDescent="0.25">
      <c r="A12" s="11"/>
      <c r="B12" s="11" t="s">
        <v>15</v>
      </c>
      <c r="C12" s="12"/>
      <c r="D12" s="13"/>
      <c r="E12" s="14">
        <f>E11+C12-D12</f>
        <v>0</v>
      </c>
      <c r="F12" s="11"/>
      <c r="G12" s="11" t="s">
        <v>15</v>
      </c>
      <c r="H12" s="15"/>
      <c r="I12" s="15"/>
    </row>
    <row r="13" spans="1:9" x14ac:dyDescent="0.25">
      <c r="A13" s="11"/>
      <c r="B13" s="11" t="s">
        <v>16</v>
      </c>
      <c r="C13" s="12"/>
      <c r="D13" s="13"/>
      <c r="E13" s="14">
        <f>E12+C13-D13</f>
        <v>0</v>
      </c>
      <c r="F13" s="11"/>
      <c r="G13" s="11" t="s">
        <v>16</v>
      </c>
      <c r="H13" s="15"/>
      <c r="I13" s="15"/>
    </row>
    <row r="14" spans="1:9" x14ac:dyDescent="0.25">
      <c r="A14" s="11"/>
      <c r="B14" s="11" t="s">
        <v>17</v>
      </c>
      <c r="C14" s="12"/>
      <c r="D14" s="13"/>
      <c r="E14" s="14">
        <f>E13+C14-D14</f>
        <v>0</v>
      </c>
      <c r="F14" s="11"/>
      <c r="G14" s="11" t="s">
        <v>17</v>
      </c>
      <c r="H14" s="15"/>
      <c r="I14" s="15"/>
    </row>
    <row r="15" spans="1:9" x14ac:dyDescent="0.25">
      <c r="A15" s="16"/>
      <c r="B15" s="16" t="s">
        <v>18</v>
      </c>
      <c r="C15" s="17"/>
      <c r="D15" s="18"/>
      <c r="E15" s="19">
        <f>E14+C15-D15</f>
        <v>0</v>
      </c>
      <c r="F15" s="16"/>
      <c r="G15" s="16" t="s">
        <v>18</v>
      </c>
      <c r="H15" s="20"/>
      <c r="I15" s="20"/>
    </row>
    <row r="16" spans="1:9" s="2" customFormat="1" x14ac:dyDescent="0.25">
      <c r="A16" s="21"/>
      <c r="B16" s="21" t="s">
        <v>19</v>
      </c>
      <c r="C16" s="22">
        <f>SUM(C4:C15)</f>
        <v>0</v>
      </c>
      <c r="D16" s="23">
        <f>SUM(D4:D15)</f>
        <v>0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 t="e">
        <f>AVERAGE(C4:C15)</f>
        <v>#DIV/0!</v>
      </c>
      <c r="D17" s="23" t="e">
        <f>AVERAGE(D4:D15)</f>
        <v>#DIV/0!</v>
      </c>
      <c r="E17" s="24" t="e">
        <f>C17/D17-1</f>
        <v>#DIV/0!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0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/>
      <c r="D19" s="27"/>
      <c r="E19" s="28">
        <f>E18+C19-D19</f>
        <v>0</v>
      </c>
      <c r="F19" s="25"/>
      <c r="G19" s="25" t="s">
        <v>7</v>
      </c>
      <c r="H19" s="29" t="str">
        <f>IF(C19="", "", IF(D19="", "",D19-D4))</f>
        <v/>
      </c>
      <c r="I19" s="29" t="str">
        <f>IF(D19="", "", IF(E19="", "",E19-E4))</f>
        <v/>
      </c>
    </row>
    <row r="20" spans="1:9" x14ac:dyDescent="0.25">
      <c r="A20" s="25"/>
      <c r="B20" s="25" t="s">
        <v>8</v>
      </c>
      <c r="C20" s="26"/>
      <c r="D20" s="27"/>
      <c r="E20" s="28">
        <f>E19+C20-D20</f>
        <v>0</v>
      </c>
      <c r="F20" s="25"/>
      <c r="G20" s="25" t="s">
        <v>8</v>
      </c>
      <c r="H20" s="29" t="str">
        <f>IF(C20="", "", IF(D20="", "",D20-D5))</f>
        <v/>
      </c>
      <c r="I20" s="29" t="str">
        <f>IF(D20="", "", IF(E20="", "",E20-E5))</f>
        <v/>
      </c>
    </row>
    <row r="21" spans="1:9" x14ac:dyDescent="0.25">
      <c r="A21" s="25"/>
      <c r="B21" s="25" t="s">
        <v>9</v>
      </c>
      <c r="C21" s="26"/>
      <c r="D21" s="27"/>
      <c r="E21" s="28">
        <f>E20+C21-D21</f>
        <v>0</v>
      </c>
      <c r="F21" s="25"/>
      <c r="G21" s="25" t="s">
        <v>9</v>
      </c>
      <c r="H21" s="29" t="str">
        <f>IF(C21="", "", IF(D21="", "",D21-D6))</f>
        <v/>
      </c>
      <c r="I21" s="29" t="str">
        <f>IF(D21="", "", IF(E21="", "",E21-E6))</f>
        <v/>
      </c>
    </row>
    <row r="22" spans="1:9" x14ac:dyDescent="0.25">
      <c r="A22" s="25"/>
      <c r="B22" s="25" t="s">
        <v>10</v>
      </c>
      <c r="C22" s="26"/>
      <c r="D22" s="27"/>
      <c r="E22" s="28">
        <f>E21+C22-D22</f>
        <v>0</v>
      </c>
      <c r="F22" s="25"/>
      <c r="G22" s="25" t="s">
        <v>10</v>
      </c>
      <c r="H22" s="29" t="str">
        <f>IF(C22="", "", IF(D22="", "",D22-D7))</f>
        <v/>
      </c>
      <c r="I22" s="29" t="str">
        <f>IF(D22="", "", IF(E22="", "",E22-E7))</f>
        <v/>
      </c>
    </row>
    <row r="23" spans="1:9" x14ac:dyDescent="0.25">
      <c r="A23" s="25"/>
      <c r="B23" s="25" t="s">
        <v>11</v>
      </c>
      <c r="C23" s="26"/>
      <c r="D23" s="27"/>
      <c r="E23" s="28">
        <f>E22+C23-D23</f>
        <v>0</v>
      </c>
      <c r="F23" s="25"/>
      <c r="G23" s="25" t="s">
        <v>11</v>
      </c>
      <c r="H23" s="29" t="str">
        <f>IF(C23="", "", IF(D23="", "",D23-D8))</f>
        <v/>
      </c>
      <c r="I23" s="29" t="str">
        <f>IF(D23="", "", IF(E23="", "",E23-E8))</f>
        <v/>
      </c>
    </row>
    <row r="24" spans="1:9" x14ac:dyDescent="0.25">
      <c r="A24" s="25"/>
      <c r="B24" s="25" t="s">
        <v>12</v>
      </c>
      <c r="C24" s="26"/>
      <c r="D24" s="27"/>
      <c r="E24" s="28">
        <f>E23+C24-D24</f>
        <v>0</v>
      </c>
      <c r="F24" s="25"/>
      <c r="G24" s="25" t="s">
        <v>12</v>
      </c>
      <c r="H24" s="29" t="str">
        <f>IF(C24="", "", IF(D24="", "",D24-D9))</f>
        <v/>
      </c>
      <c r="I24" s="29" t="str">
        <f>IF(D24="", "", IF(E24="", "",E24-E9))</f>
        <v/>
      </c>
    </row>
    <row r="25" spans="1:9" x14ac:dyDescent="0.25">
      <c r="A25" s="25"/>
      <c r="B25" s="25" t="s">
        <v>13</v>
      </c>
      <c r="C25" s="26"/>
      <c r="D25" s="27"/>
      <c r="E25" s="28">
        <f>E24+C25-D25</f>
        <v>0</v>
      </c>
      <c r="F25" s="25"/>
      <c r="G25" s="25" t="s">
        <v>13</v>
      </c>
      <c r="H25" s="29" t="str">
        <f>IF(C25="", "", IF(D25="", "",D25-D10))</f>
        <v/>
      </c>
      <c r="I25" s="29" t="str">
        <f>IF(D25="", "", IF(E25="", "",E25-E10))</f>
        <v/>
      </c>
    </row>
    <row r="26" spans="1:9" x14ac:dyDescent="0.25">
      <c r="A26" s="25"/>
      <c r="B26" s="25" t="s">
        <v>14</v>
      </c>
      <c r="C26" s="26"/>
      <c r="D26" s="27"/>
      <c r="E26" s="28">
        <f>E25+C26-D26</f>
        <v>0</v>
      </c>
      <c r="F26" s="25"/>
      <c r="G26" s="25" t="s">
        <v>14</v>
      </c>
      <c r="H26" s="29" t="str">
        <f>IF(C26="", "", IF(D26="", "",D26-D11))</f>
        <v/>
      </c>
      <c r="I26" s="29" t="str">
        <f>IF(D26="", "", IF(E26="", "",E26-E11))</f>
        <v/>
      </c>
    </row>
    <row r="27" spans="1:9" x14ac:dyDescent="0.25">
      <c r="A27" s="25"/>
      <c r="B27" s="25" t="s">
        <v>15</v>
      </c>
      <c r="C27" s="26">
        <v>627.89</v>
      </c>
      <c r="D27" s="27">
        <v>0</v>
      </c>
      <c r="E27" s="28">
        <f>E26+C27-D27</f>
        <v>627.89</v>
      </c>
      <c r="F27" s="25"/>
      <c r="G27" s="25" t="s">
        <v>15</v>
      </c>
      <c r="H27" s="29">
        <f>IF(C27="", "", IF(D27="", "",D27-D12))</f>
        <v>0</v>
      </c>
      <c r="I27" s="29">
        <f>IF(D27="", "", IF(E27="", "",E27-E12))</f>
        <v>627.89</v>
      </c>
    </row>
    <row r="28" spans="1:9" x14ac:dyDescent="0.25">
      <c r="A28" s="25"/>
      <c r="B28" s="25" t="s">
        <v>16</v>
      </c>
      <c r="C28" s="26">
        <v>0</v>
      </c>
      <c r="D28" s="27">
        <v>0</v>
      </c>
      <c r="E28" s="28">
        <f>E27+C28-D28</f>
        <v>627.89</v>
      </c>
      <c r="F28" s="25"/>
      <c r="G28" s="25" t="s">
        <v>16</v>
      </c>
      <c r="H28" s="29">
        <f>IF(C28="", "", IF(D28="", "",D28-D13))</f>
        <v>0</v>
      </c>
      <c r="I28" s="29">
        <f>IF(D28="", "", IF(E28="", "",E28-E13))</f>
        <v>627.89</v>
      </c>
    </row>
    <row r="29" spans="1:9" x14ac:dyDescent="0.25">
      <c r="A29" s="25"/>
      <c r="B29" s="25" t="s">
        <v>17</v>
      </c>
      <c r="C29" s="26">
        <v>0</v>
      </c>
      <c r="D29" s="27">
        <v>0</v>
      </c>
      <c r="E29" s="28">
        <f>E28+C29-D29</f>
        <v>627.89</v>
      </c>
      <c r="F29" s="25"/>
      <c r="G29" s="25" t="s">
        <v>17</v>
      </c>
      <c r="H29" s="29">
        <f>IF(C29="", "", IF(D29="", "",D29-D14))</f>
        <v>0</v>
      </c>
      <c r="I29" s="29">
        <f>IF(D29="", "", IF(E29="", "",E29-E14))</f>
        <v>627.89</v>
      </c>
    </row>
    <row r="30" spans="1:9" x14ac:dyDescent="0.25">
      <c r="A30" s="30"/>
      <c r="B30" s="30" t="s">
        <v>18</v>
      </c>
      <c r="C30" s="31">
        <v>0</v>
      </c>
      <c r="D30" s="32">
        <v>0</v>
      </c>
      <c r="E30" s="33">
        <f>E29+C30-D30</f>
        <v>627.89</v>
      </c>
      <c r="F30" s="30"/>
      <c r="G30" s="30" t="s">
        <v>18</v>
      </c>
      <c r="H30" s="34">
        <f>IF(C30="", "", IF(D30="", "",D30-D15))</f>
        <v>0</v>
      </c>
      <c r="I30" s="34">
        <f>IF(D30="", "", IF(E30="", "",E30-E15))</f>
        <v>627.89</v>
      </c>
    </row>
    <row r="31" spans="1:9" s="2" customFormat="1" x14ac:dyDescent="0.25">
      <c r="A31" s="35"/>
      <c r="B31" s="35" t="s">
        <v>19</v>
      </c>
      <c r="C31" s="36">
        <f>SUM(C19:C30)</f>
        <v>627.89</v>
      </c>
      <c r="D31" s="37">
        <f>SUM(D19:D30)</f>
        <v>0</v>
      </c>
      <c r="E31" s="28"/>
      <c r="F31" s="35"/>
      <c r="G31" s="35"/>
      <c r="H31" s="28">
        <f>SUMIF(C19:C30,"&gt;=0",H19:H30)</f>
        <v>0</v>
      </c>
      <c r="I31" s="28"/>
    </row>
    <row r="32" spans="1:9" s="2" customFormat="1" x14ac:dyDescent="0.25">
      <c r="A32" s="35"/>
      <c r="B32" s="35" t="s">
        <v>20</v>
      </c>
      <c r="C32" s="36">
        <f>AVERAGE(C19:C30)</f>
        <v>156.9725</v>
      </c>
      <c r="D32" s="37">
        <f>AVERAGE(D19:D30)</f>
        <v>0</v>
      </c>
      <c r="E32" s="38" t="e">
        <f>C32/D32-1</f>
        <v>#DIV/0!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627.89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>
        <v>0</v>
      </c>
      <c r="D34" s="13">
        <v>0</v>
      </c>
      <c r="E34" s="14">
        <f>E33+C34-D34</f>
        <v>627.89</v>
      </c>
      <c r="F34" s="11"/>
      <c r="G34" s="11" t="s">
        <v>7</v>
      </c>
      <c r="H34" s="15">
        <f>IF(C34="", "", IF(D34="", "",D34-D19))</f>
        <v>0</v>
      </c>
      <c r="I34" s="15">
        <f>IF(D34="", "", IF(E34="", "",E34-E19))</f>
        <v>627.89</v>
      </c>
    </row>
    <row r="35" spans="1:9" x14ac:dyDescent="0.25">
      <c r="A35" s="11"/>
      <c r="B35" s="11" t="s">
        <v>8</v>
      </c>
      <c r="C35" s="12">
        <v>0</v>
      </c>
      <c r="D35" s="13">
        <v>0</v>
      </c>
      <c r="E35" s="14">
        <f>E34+C35-D35</f>
        <v>627.89</v>
      </c>
      <c r="F35" s="11"/>
      <c r="G35" s="11" t="s">
        <v>8</v>
      </c>
      <c r="H35" s="15">
        <f>IF(C35="", "", IF(D35="", "",D35-D20))</f>
        <v>0</v>
      </c>
      <c r="I35" s="15">
        <f>IF(D35="", "", IF(E35="", "",E35-E20))</f>
        <v>627.89</v>
      </c>
    </row>
    <row r="36" spans="1:9" x14ac:dyDescent="0.25">
      <c r="A36" s="11"/>
      <c r="B36" s="11" t="s">
        <v>9</v>
      </c>
      <c r="C36" s="12">
        <v>146075.70999500001</v>
      </c>
      <c r="D36" s="13">
        <v>0</v>
      </c>
      <c r="E36" s="14">
        <f>E35+C36-D36</f>
        <v>146703.59999500003</v>
      </c>
      <c r="F36" s="11"/>
      <c r="G36" s="11" t="s">
        <v>9</v>
      </c>
      <c r="H36" s="15">
        <f>IF(C36="", "", IF(D36="", "",D36-D21))</f>
        <v>0</v>
      </c>
      <c r="I36" s="15">
        <f>IF(D36="", "", IF(E36="", "",E36-E21))</f>
        <v>146703.59999500003</v>
      </c>
    </row>
    <row r="37" spans="1:9" x14ac:dyDescent="0.25">
      <c r="A37" s="11"/>
      <c r="B37" s="11" t="s">
        <v>10</v>
      </c>
      <c r="C37" s="12">
        <v>0</v>
      </c>
      <c r="D37" s="13">
        <v>5679.1703710000002</v>
      </c>
      <c r="E37" s="14">
        <f>E36+C37-D37</f>
        <v>141024.42962400004</v>
      </c>
      <c r="F37" s="11"/>
      <c r="G37" s="11" t="s">
        <v>10</v>
      </c>
      <c r="H37" s="15">
        <f>IF(C37="", "", IF(D37="", "",D37-D22))</f>
        <v>5679.1703710000002</v>
      </c>
      <c r="I37" s="15">
        <f>IF(D37="", "", IF(E37="", "",E37-E22))</f>
        <v>141024.42962400004</v>
      </c>
    </row>
    <row r="38" spans="1:9" x14ac:dyDescent="0.25">
      <c r="A38" s="11"/>
      <c r="B38" s="11" t="s">
        <v>11</v>
      </c>
      <c r="C38" s="12">
        <v>0</v>
      </c>
      <c r="D38" s="13">
        <v>11311.790161999999</v>
      </c>
      <c r="E38" s="14">
        <f>E37+C38-D38</f>
        <v>129712.63946200004</v>
      </c>
      <c r="F38" s="11"/>
      <c r="G38" s="11" t="s">
        <v>11</v>
      </c>
      <c r="H38" s="15">
        <f>IF(C38="", "", IF(D38="", "",D38-D23))</f>
        <v>11311.790161999999</v>
      </c>
      <c r="I38" s="15">
        <f>IF(D38="", "", IF(E38="", "",E38-E23))</f>
        <v>129712.63946200004</v>
      </c>
    </row>
    <row r="39" spans="1:9" x14ac:dyDescent="0.25">
      <c r="A39" s="11"/>
      <c r="B39" s="11" t="s">
        <v>12</v>
      </c>
      <c r="C39" s="12">
        <v>0</v>
      </c>
      <c r="D39" s="13">
        <v>10427.329213000001</v>
      </c>
      <c r="E39" s="14">
        <f>E38+C39-D39</f>
        <v>119285.31024900003</v>
      </c>
      <c r="F39" s="11"/>
      <c r="G39" s="11" t="s">
        <v>12</v>
      </c>
      <c r="H39" s="15">
        <f>IF(C39="", "", IF(D39="", "",D39-D24))</f>
        <v>10427.329213000001</v>
      </c>
      <c r="I39" s="15">
        <f>IF(D39="", "", IF(E39="", "",E39-E24))</f>
        <v>119285.31024900003</v>
      </c>
    </row>
    <row r="40" spans="1:9" x14ac:dyDescent="0.25">
      <c r="A40" s="11"/>
      <c r="B40" s="11" t="s">
        <v>13</v>
      </c>
      <c r="C40" s="12">
        <v>0</v>
      </c>
      <c r="D40" s="13">
        <v>18852.983636000001</v>
      </c>
      <c r="E40" s="14">
        <f>E39+C40-D40</f>
        <v>100432.32661300003</v>
      </c>
      <c r="F40" s="11"/>
      <c r="G40" s="11" t="s">
        <v>13</v>
      </c>
      <c r="H40" s="15">
        <f>IF(C40="", "", IF(D40="", "",D40-D25))</f>
        <v>18852.983636000001</v>
      </c>
      <c r="I40" s="15">
        <f>IF(D40="", "", IF(E40="", "",E40-E25))</f>
        <v>100432.32661300003</v>
      </c>
    </row>
    <row r="41" spans="1:9" x14ac:dyDescent="0.25">
      <c r="A41" s="11"/>
      <c r="B41" s="11" t="s">
        <v>14</v>
      </c>
      <c r="C41" s="12">
        <v>0</v>
      </c>
      <c r="D41" s="13">
        <v>98175.166435000006</v>
      </c>
      <c r="E41" s="14">
        <f>E40+C41-D41</f>
        <v>2257.1601780000201</v>
      </c>
      <c r="F41" s="11"/>
      <c r="G41" s="11" t="s">
        <v>14</v>
      </c>
      <c r="H41" s="15">
        <f>IF(C41="", "", IF(D41="", "",D41-D26))</f>
        <v>98175.166435000006</v>
      </c>
      <c r="I41" s="15">
        <f>IF(D41="", "", IF(E41="", "",E41-E26))</f>
        <v>2257.1601780000201</v>
      </c>
    </row>
    <row r="42" spans="1:9" x14ac:dyDescent="0.25">
      <c r="A42" s="11"/>
      <c r="B42" s="11" t="s">
        <v>15</v>
      </c>
      <c r="C42" s="12">
        <v>0</v>
      </c>
      <c r="D42" s="13">
        <v>18573.680133000002</v>
      </c>
      <c r="E42" s="14">
        <f>E41+C42-D42</f>
        <v>-16316.519954999982</v>
      </c>
      <c r="F42" s="11"/>
      <c r="G42" s="11" t="s">
        <v>15</v>
      </c>
      <c r="H42" s="15">
        <f>IF(C42="", "", IF(D42="", "",D42-D27))</f>
        <v>18573.680133000002</v>
      </c>
      <c r="I42" s="15">
        <f>IF(D42="", "", IF(E42="", "",E42-E27))</f>
        <v>-16944.409954999981</v>
      </c>
    </row>
    <row r="43" spans="1:9" x14ac:dyDescent="0.25">
      <c r="A43" s="11"/>
      <c r="B43" s="11" t="s">
        <v>16</v>
      </c>
      <c r="C43" s="12">
        <v>146075.70999500001</v>
      </c>
      <c r="D43" s="13">
        <v>144399.88923999999</v>
      </c>
      <c r="E43" s="14">
        <f>E42+C43-D43</f>
        <v>-14640.699199999959</v>
      </c>
      <c r="F43" s="11"/>
      <c r="G43" s="11" t="s">
        <v>16</v>
      </c>
      <c r="H43" s="15">
        <f>IF(C43="", "", IF(D43="", "",D43-D28))</f>
        <v>144399.88923999999</v>
      </c>
      <c r="I43" s="15">
        <f>IF(D43="", "", IF(E43="", "",E43-E28))</f>
        <v>-15268.589199999959</v>
      </c>
    </row>
    <row r="44" spans="1:9" x14ac:dyDescent="0.25">
      <c r="A44" s="11"/>
      <c r="B44" s="11" t="s">
        <v>17</v>
      </c>
      <c r="C44" s="12">
        <v>0</v>
      </c>
      <c r="D44" s="13">
        <v>46.550576999999997</v>
      </c>
      <c r="E44" s="14">
        <f>E43+C44-D44</f>
        <v>-14687.249776999959</v>
      </c>
      <c r="F44" s="11"/>
      <c r="G44" s="11" t="s">
        <v>17</v>
      </c>
      <c r="H44" s="15">
        <f>IF(C44="", "", IF(D44="", "",D44-D29))</f>
        <v>46.550576999999997</v>
      </c>
      <c r="I44" s="15">
        <f>IF(D44="", "", IF(E44="", "",E44-E29))</f>
        <v>-15315.139776999958</v>
      </c>
    </row>
    <row r="45" spans="1:9" x14ac:dyDescent="0.25">
      <c r="A45" s="16"/>
      <c r="B45" s="16" t="s">
        <v>18</v>
      </c>
      <c r="C45" s="17">
        <v>0</v>
      </c>
      <c r="D45" s="18">
        <v>465.50576899999999</v>
      </c>
      <c r="E45" s="19">
        <f>E44+C45-D45</f>
        <v>-15152.755545999958</v>
      </c>
      <c r="F45" s="16"/>
      <c r="G45" s="16" t="s">
        <v>18</v>
      </c>
      <c r="H45" s="20">
        <f>IF(C45="", "", IF(D45="", "",D45-D30))</f>
        <v>465.50576899999999</v>
      </c>
      <c r="I45" s="20">
        <f>IF(D45="", "", IF(E45="", "",E45-E30))</f>
        <v>-15780.645545999958</v>
      </c>
    </row>
    <row r="46" spans="1:9" s="2" customFormat="1" x14ac:dyDescent="0.25">
      <c r="A46" s="21"/>
      <c r="B46" s="21" t="s">
        <v>19</v>
      </c>
      <c r="C46" s="22">
        <f>SUM(C34:C45)</f>
        <v>292151.41999000002</v>
      </c>
      <c r="D46" s="23">
        <f>SUM(D34:D45)</f>
        <v>307932.06553600001</v>
      </c>
      <c r="E46" s="14"/>
      <c r="F46" s="21"/>
      <c r="G46" s="21"/>
      <c r="H46" s="14">
        <f>SUMIF(C34:C45,"&gt;=0",H34:H45)</f>
        <v>307932.06553600001</v>
      </c>
      <c r="I46" s="14"/>
    </row>
    <row r="47" spans="1:9" s="2" customFormat="1" x14ac:dyDescent="0.25">
      <c r="A47" s="21"/>
      <c r="B47" s="21" t="s">
        <v>20</v>
      </c>
      <c r="C47" s="22">
        <f>AVERAGE(C34:C45)</f>
        <v>24345.951665833334</v>
      </c>
      <c r="D47" s="23">
        <f>AVERAGE(D34:D45)</f>
        <v>25661.005461333334</v>
      </c>
      <c r="E47" s="24">
        <f>C47/D47-1</f>
        <v>-5.1247165567286812E-2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-15152.755545999958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>
        <v>205469.85998400001</v>
      </c>
      <c r="D49" s="27">
        <v>1320.4420540000001</v>
      </c>
      <c r="E49" s="28">
        <f>E48+C49-D49</f>
        <v>188996.66238400002</v>
      </c>
      <c r="F49" s="25"/>
      <c r="G49" s="25" t="s">
        <v>7</v>
      </c>
      <c r="H49" s="29">
        <f>IF(C49="", "", IF(D49="", "",D49-D34))</f>
        <v>1320.4420540000001</v>
      </c>
      <c r="I49" s="29">
        <f>IF(D49="", "", IF(E49="", "",E49-E34))</f>
        <v>188368.77238400001</v>
      </c>
    </row>
    <row r="50" spans="1:9" x14ac:dyDescent="0.25">
      <c r="A50" s="25"/>
      <c r="B50" s="25" t="s">
        <v>8</v>
      </c>
      <c r="C50" s="26">
        <v>0</v>
      </c>
      <c r="D50" s="27">
        <v>14633.307360000001</v>
      </c>
      <c r="E50" s="28">
        <f>E49+C50-D50</f>
        <v>174363.35502400002</v>
      </c>
      <c r="F50" s="25"/>
      <c r="G50" s="25" t="s">
        <v>8</v>
      </c>
      <c r="H50" s="29">
        <f>IF(C50="", "", IF(D50="", "",D50-D35))</f>
        <v>14633.307360000001</v>
      </c>
      <c r="I50" s="29">
        <f>IF(D50="", "", IF(E50="", "",E50-E35))</f>
        <v>173735.465024</v>
      </c>
    </row>
    <row r="51" spans="1:9" x14ac:dyDescent="0.25">
      <c r="A51" s="25"/>
      <c r="B51" s="25" t="s">
        <v>9</v>
      </c>
      <c r="C51" s="26">
        <v>0</v>
      </c>
      <c r="D51" s="27">
        <v>27832.371351000002</v>
      </c>
      <c r="E51" s="28">
        <f>E50+C51-D51</f>
        <v>146530.98367300001</v>
      </c>
      <c r="F51" s="25"/>
      <c r="G51" s="25" t="s">
        <v>9</v>
      </c>
      <c r="H51" s="29">
        <f>IF(C51="", "", IF(D51="", "",D51-D36))</f>
        <v>27832.371351000002</v>
      </c>
      <c r="I51" s="29">
        <f>IF(D51="", "", IF(E51="", "",E51-E36))</f>
        <v>-172.61632200001623</v>
      </c>
    </row>
    <row r="52" spans="1:9" x14ac:dyDescent="0.25">
      <c r="A52" s="25"/>
      <c r="B52" s="25" t="s">
        <v>10</v>
      </c>
      <c r="C52" s="26">
        <v>0</v>
      </c>
      <c r="D52" s="27">
        <v>21018.591903</v>
      </c>
      <c r="E52" s="28">
        <f>E51+C52-D52</f>
        <v>125512.39177000002</v>
      </c>
      <c r="F52" s="25"/>
      <c r="G52" s="25" t="s">
        <v>10</v>
      </c>
      <c r="H52" s="29">
        <f>IF(C52="", "", IF(D52="", "",D52-D37))</f>
        <v>15339.421532</v>
      </c>
      <c r="I52" s="29">
        <f>IF(D52="", "", IF(E52="", "",E52-E37))</f>
        <v>-15512.037854000024</v>
      </c>
    </row>
    <row r="53" spans="1:9" x14ac:dyDescent="0.25">
      <c r="A53" s="25"/>
      <c r="B53" s="25" t="s">
        <v>11</v>
      </c>
      <c r="C53" s="26">
        <v>0</v>
      </c>
      <c r="D53" s="27">
        <v>12255.354525999999</v>
      </c>
      <c r="E53" s="28">
        <f>E52+C53-D53</f>
        <v>113257.03724400002</v>
      </c>
      <c r="F53" s="25"/>
      <c r="G53" s="25" t="s">
        <v>11</v>
      </c>
      <c r="H53" s="29">
        <f>IF(C53="", "", IF(D53="", "",D53-D38))</f>
        <v>943.56436399999984</v>
      </c>
      <c r="I53" s="29">
        <f>IF(D53="", "", IF(E53="", "",E53-E38))</f>
        <v>-16455.602218000015</v>
      </c>
    </row>
    <row r="54" spans="1:9" x14ac:dyDescent="0.25">
      <c r="A54" s="25"/>
      <c r="B54" s="25" t="s">
        <v>12</v>
      </c>
      <c r="C54" s="26">
        <v>0</v>
      </c>
      <c r="D54" s="27">
        <v>34921.171500999997</v>
      </c>
      <c r="E54" s="28">
        <f>E53+C54-D54</f>
        <v>78335.865743000031</v>
      </c>
      <c r="F54" s="25"/>
      <c r="G54" s="25" t="s">
        <v>12</v>
      </c>
      <c r="H54" s="29">
        <f>IF(C54="", "", IF(D54="", "",D54-D39))</f>
        <v>24493.842287999996</v>
      </c>
      <c r="I54" s="29">
        <f>IF(D54="", "", IF(E54="", "",E54-E39))</f>
        <v>-40949.444506</v>
      </c>
    </row>
    <row r="55" spans="1:9" x14ac:dyDescent="0.25">
      <c r="A55" s="25"/>
      <c r="B55" s="25" t="s">
        <v>13</v>
      </c>
      <c r="C55" s="26">
        <v>0</v>
      </c>
      <c r="D55" s="27">
        <v>56993.987448</v>
      </c>
      <c r="E55" s="28">
        <f>E54+C55-D55</f>
        <v>21341.878295000031</v>
      </c>
      <c r="F55" s="25"/>
      <c r="G55" s="25" t="s">
        <v>13</v>
      </c>
      <c r="H55" s="29">
        <f>IF(C55="", "", IF(D55="", "",D55-D40))</f>
        <v>38141.003811999995</v>
      </c>
      <c r="I55" s="29">
        <f>IF(D55="", "", IF(E55="", "",E55-E40))</f>
        <v>-79090.448317999995</v>
      </c>
    </row>
    <row r="56" spans="1:9" x14ac:dyDescent="0.25">
      <c r="A56" s="25"/>
      <c r="B56" s="25" t="s">
        <v>14</v>
      </c>
      <c r="C56" s="26">
        <v>0</v>
      </c>
      <c r="D56" s="27">
        <v>33801.058449999997</v>
      </c>
      <c r="E56" s="28">
        <f>E55+C56-D56</f>
        <v>-12459.180154999965</v>
      </c>
      <c r="F56" s="25"/>
      <c r="G56" s="25" t="s">
        <v>14</v>
      </c>
      <c r="H56" s="29">
        <f>IF(C56="", "", IF(D56="", "",D56-D41))</f>
        <v>-64374.10798500001</v>
      </c>
      <c r="I56" s="29">
        <f>IF(D56="", "", IF(E56="", "",E56-E41))</f>
        <v>-14716.340332999986</v>
      </c>
    </row>
    <row r="57" spans="1:9" x14ac:dyDescent="0.25">
      <c r="A57" s="25"/>
      <c r="B57" s="25" t="s">
        <v>15</v>
      </c>
      <c r="C57" s="26">
        <v>0</v>
      </c>
      <c r="D57" s="27">
        <v>-65.889003000000002</v>
      </c>
      <c r="E57" s="28">
        <f>E56+C57-D57</f>
        <v>-12393.291151999965</v>
      </c>
      <c r="F57" s="25"/>
      <c r="G57" s="25" t="s">
        <v>15</v>
      </c>
      <c r="H57" s="29">
        <f>IF(C57="", "", IF(D57="", "",D57-D42))</f>
        <v>-18639.569136000002</v>
      </c>
      <c r="I57" s="29">
        <f>IF(D57="", "", IF(E57="", "",E57-E42))</f>
        <v>3923.2288030000163</v>
      </c>
    </row>
    <row r="58" spans="1:9" x14ac:dyDescent="0.25">
      <c r="A58" s="25"/>
      <c r="B58" s="25" t="s">
        <v>16</v>
      </c>
      <c r="C58" s="26">
        <v>0</v>
      </c>
      <c r="D58" s="27">
        <v>0</v>
      </c>
      <c r="E58" s="28">
        <f>E57+C58-D58</f>
        <v>-12393.291151999965</v>
      </c>
      <c r="F58" s="25"/>
      <c r="G58" s="25" t="s">
        <v>16</v>
      </c>
      <c r="H58" s="29">
        <f>IF(C58="", "", IF(D58="", "",D58-D43))</f>
        <v>-144399.88923999999</v>
      </c>
      <c r="I58" s="29">
        <f>IF(D58="", "", IF(E58="", "",E58-E43))</f>
        <v>2247.4080479999939</v>
      </c>
    </row>
    <row r="59" spans="1:9" x14ac:dyDescent="0.25">
      <c r="A59" s="25"/>
      <c r="B59" s="25" t="s">
        <v>17</v>
      </c>
      <c r="C59" s="26">
        <v>0</v>
      </c>
      <c r="D59" s="27">
        <v>0</v>
      </c>
      <c r="E59" s="28">
        <f>E58+C59-D59</f>
        <v>-12393.291151999965</v>
      </c>
      <c r="F59" s="25"/>
      <c r="G59" s="25" t="s">
        <v>17</v>
      </c>
      <c r="H59" s="29">
        <f>IF(C59="", "", IF(D59="", "",D59-D44))</f>
        <v>-46.550576999999997</v>
      </c>
      <c r="I59" s="29">
        <f>IF(D59="", "", IF(E59="", "",E59-E44))</f>
        <v>2293.9586249999938</v>
      </c>
    </row>
    <row r="60" spans="1:9" x14ac:dyDescent="0.25">
      <c r="A60" s="30"/>
      <c r="B60" s="30" t="s">
        <v>18</v>
      </c>
      <c r="C60" s="31">
        <v>0</v>
      </c>
      <c r="D60" s="32">
        <v>0</v>
      </c>
      <c r="E60" s="33">
        <f>E59+C60-D60</f>
        <v>-12393.291151999965</v>
      </c>
      <c r="F60" s="30"/>
      <c r="G60" s="30" t="s">
        <v>18</v>
      </c>
      <c r="H60" s="34">
        <f>IF(C60="", "", IF(D60="", "",D60-D45))</f>
        <v>-465.50576899999999</v>
      </c>
      <c r="I60" s="34">
        <f>IF(D60="", "", IF(E60="", "",E60-E45))</f>
        <v>2759.4643939999933</v>
      </c>
    </row>
    <row r="61" spans="1:9" s="2" customFormat="1" x14ac:dyDescent="0.25">
      <c r="A61" s="35"/>
      <c r="B61" s="35" t="s">
        <v>19</v>
      </c>
      <c r="C61" s="36">
        <f>SUM(C49:C60)</f>
        <v>205469.85998400001</v>
      </c>
      <c r="D61" s="37">
        <f>SUM(D49:D60)</f>
        <v>202710.39559000003</v>
      </c>
      <c r="E61" s="28"/>
      <c r="F61" s="35"/>
      <c r="G61" s="35"/>
      <c r="H61" s="28">
        <f>SUMIF(C49:C60,"&gt;=0",H49:H60)</f>
        <v>-105221.66994600001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17122.488332000001</v>
      </c>
      <c r="D62" s="37">
        <f>AVERAGE(D49:D60)</f>
        <v>16892.532965833336</v>
      </c>
      <c r="E62" s="38">
        <f>C62/D62-1</f>
        <v>1.3612841048276758E-2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-12393.291151999965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0</v>
      </c>
      <c r="D64" s="13">
        <v>65.889003000000002</v>
      </c>
      <c r="E64" s="14">
        <f>E63+C64-D64</f>
        <v>-12459.180154999965</v>
      </c>
      <c r="F64" s="11"/>
      <c r="G64" s="11" t="s">
        <v>7</v>
      </c>
      <c r="H64" s="15">
        <f>IF(C64="", "", IF(D64="", "",D64-D49))</f>
        <v>-1254.5530510000001</v>
      </c>
      <c r="I64" s="15">
        <f>IF(D64="", "", IF(E64="", "",E64-E49))</f>
        <v>-201455.84253899998</v>
      </c>
    </row>
    <row r="65" spans="1:9" x14ac:dyDescent="0.25">
      <c r="A65" s="11"/>
      <c r="B65" s="11" t="s">
        <v>8</v>
      </c>
      <c r="C65" s="12">
        <v>207563.97999699999</v>
      </c>
      <c r="D65" s="13">
        <v>329.44501400000001</v>
      </c>
      <c r="E65" s="14">
        <f>E64+C65-D65</f>
        <v>194775.35482800001</v>
      </c>
      <c r="F65" s="11"/>
      <c r="G65" s="11" t="s">
        <v>8</v>
      </c>
      <c r="H65" s="15">
        <f>IF(C65="", "", IF(D65="", "",D65-D50))</f>
        <v>-14303.862346</v>
      </c>
      <c r="I65" s="15">
        <f>IF(D65="", "", IF(E65="", "",E65-E50))</f>
        <v>20411.999803999992</v>
      </c>
    </row>
    <row r="66" spans="1:9" x14ac:dyDescent="0.25">
      <c r="A66" s="11"/>
      <c r="B66" s="11" t="s">
        <v>9</v>
      </c>
      <c r="C66" s="12">
        <v>0</v>
      </c>
      <c r="D66" s="13">
        <v>13244.537106</v>
      </c>
      <c r="E66" s="14">
        <f>E65+C66-D66</f>
        <v>181530.81772200001</v>
      </c>
      <c r="F66" s="11"/>
      <c r="G66" s="11" t="s">
        <v>9</v>
      </c>
      <c r="H66" s="15">
        <f>IF(C66="", "", IF(D66="", "",D66-D51))</f>
        <v>-14587.834245000002</v>
      </c>
      <c r="I66" s="15">
        <f>IF(D66="", "", IF(E66="", "",E66-E51))</f>
        <v>34999.834048999997</v>
      </c>
    </row>
    <row r="67" spans="1:9" x14ac:dyDescent="0.25">
      <c r="A67" s="11"/>
      <c r="B67" s="11" t="s">
        <v>10</v>
      </c>
      <c r="C67" s="12">
        <v>0</v>
      </c>
      <c r="D67" s="13">
        <v>21679.329826000001</v>
      </c>
      <c r="E67" s="14">
        <f>E66+C67-D67</f>
        <v>159851.48789600001</v>
      </c>
      <c r="F67" s="11"/>
      <c r="G67" s="11" t="s">
        <v>10</v>
      </c>
      <c r="H67" s="15">
        <f>IF(C67="", "", IF(D67="", "",D67-D52))</f>
        <v>660.73792300000059</v>
      </c>
      <c r="I67" s="15">
        <f>IF(D67="", "", IF(E67="", "",E67-E52))</f>
        <v>34339.096125999989</v>
      </c>
    </row>
    <row r="68" spans="1:9" x14ac:dyDescent="0.25">
      <c r="A68" s="11"/>
      <c r="B68" s="11" t="s">
        <v>11</v>
      </c>
      <c r="C68" s="12">
        <v>0</v>
      </c>
      <c r="D68" s="13">
        <v>30666.715478999999</v>
      </c>
      <c r="E68" s="14">
        <f>E67+C68-D68</f>
        <v>129184.772417</v>
      </c>
      <c r="F68" s="11"/>
      <c r="G68" s="11" t="s">
        <v>11</v>
      </c>
      <c r="H68" s="15">
        <f>IF(C68="", "", IF(D68="", "",D68-D53))</f>
        <v>18411.360952999999</v>
      </c>
      <c r="I68" s="15">
        <f>IF(D68="", "", IF(E68="", "",E68-E53))</f>
        <v>15927.735172999979</v>
      </c>
    </row>
    <row r="69" spans="1:9" x14ac:dyDescent="0.25">
      <c r="A69" s="11"/>
      <c r="B69" s="11" t="s">
        <v>12</v>
      </c>
      <c r="C69" s="12">
        <v>0</v>
      </c>
      <c r="D69" s="13">
        <v>27582.946677</v>
      </c>
      <c r="E69" s="14">
        <f>E68+C69-D69</f>
        <v>101601.82574</v>
      </c>
      <c r="F69" s="11"/>
      <c r="G69" s="11" t="s">
        <v>12</v>
      </c>
      <c r="H69" s="15">
        <f>IF(C69="", "", IF(D69="", "",D69-D54))</f>
        <v>-7338.2248239999972</v>
      </c>
      <c r="I69" s="15">
        <f>IF(D69="", "", IF(E69="", "",E69-E54))</f>
        <v>23265.959996999969</v>
      </c>
    </row>
    <row r="70" spans="1:9" x14ac:dyDescent="0.25">
      <c r="A70" s="11"/>
      <c r="B70" s="11" t="s">
        <v>13</v>
      </c>
      <c r="C70" s="12">
        <v>0</v>
      </c>
      <c r="D70" s="13">
        <v>15451.985183000001</v>
      </c>
      <c r="E70" s="14">
        <f>E69+C70-D70</f>
        <v>86149.840557000003</v>
      </c>
      <c r="F70" s="11"/>
      <c r="G70" s="11" t="s">
        <v>13</v>
      </c>
      <c r="H70" s="15">
        <f>IF(C70="", "", IF(D70="", "",D70-D55))</f>
        <v>-41542.002265000003</v>
      </c>
      <c r="I70" s="15">
        <f>IF(D70="", "", IF(E70="", "",E70-E55))</f>
        <v>64807.962261999972</v>
      </c>
    </row>
    <row r="71" spans="1:9" x14ac:dyDescent="0.25">
      <c r="A71" s="11"/>
      <c r="B71" s="11" t="s">
        <v>14</v>
      </c>
      <c r="C71" s="12">
        <v>0</v>
      </c>
      <c r="D71" s="13">
        <v>15405.859850000001</v>
      </c>
      <c r="E71" s="14">
        <f>E70+C71-D71</f>
        <v>70743.98070700001</v>
      </c>
      <c r="F71" s="11"/>
      <c r="G71" s="11" t="s">
        <v>14</v>
      </c>
      <c r="H71" s="15">
        <f>IF(C71="", "", IF(D71="", "",D71-D56))</f>
        <v>-18395.198599999996</v>
      </c>
      <c r="I71" s="15">
        <f>IF(D71="", "", IF(E71="", "",E71-E56))</f>
        <v>83203.160861999975</v>
      </c>
    </row>
    <row r="72" spans="1:9" x14ac:dyDescent="0.25">
      <c r="A72" s="11"/>
      <c r="B72" s="11" t="s">
        <v>15</v>
      </c>
      <c r="C72" s="12">
        <v>0</v>
      </c>
      <c r="D72" s="13">
        <v>32702.858183</v>
      </c>
      <c r="E72" s="14">
        <f>E71+C72-D72</f>
        <v>38041.122524000006</v>
      </c>
      <c r="F72" s="11"/>
      <c r="G72" s="11" t="s">
        <v>15</v>
      </c>
      <c r="H72" s="15">
        <f>IF(C72="", "", IF(D72="", "",D72-D57))</f>
        <v>32768.747186000001</v>
      </c>
      <c r="I72" s="15">
        <f>IF(D72="", "", IF(E72="", "",E72-E57))</f>
        <v>50434.413675999967</v>
      </c>
    </row>
    <row r="73" spans="1:9" x14ac:dyDescent="0.25">
      <c r="A73" s="11"/>
      <c r="B73" s="11" t="s">
        <v>16</v>
      </c>
      <c r="C73" s="12">
        <v>0</v>
      </c>
      <c r="D73" s="13">
        <v>21309.901948999999</v>
      </c>
      <c r="E73" s="14">
        <f>E72+C73-D73</f>
        <v>16731.220575000007</v>
      </c>
      <c r="F73" s="11"/>
      <c r="G73" s="11" t="s">
        <v>16</v>
      </c>
      <c r="H73" s="15">
        <f>IF(C73="", "", IF(D73="", "",D73-D58))</f>
        <v>21309.901948999999</v>
      </c>
      <c r="I73" s="15">
        <f>IF(D73="", "", IF(E73="", "",E73-E58))</f>
        <v>29124.511726999972</v>
      </c>
    </row>
    <row r="74" spans="1:9" x14ac:dyDescent="0.25">
      <c r="A74" s="11"/>
      <c r="B74" s="11" t="s">
        <v>17</v>
      </c>
      <c r="C74" s="12">
        <v>0</v>
      </c>
      <c r="D74" s="13">
        <v>27260.069351999999</v>
      </c>
      <c r="E74" s="14">
        <f>E73+C74-D74</f>
        <v>-10528.848776999992</v>
      </c>
      <c r="F74" s="11"/>
      <c r="G74" s="11" t="s">
        <v>17</v>
      </c>
      <c r="H74" s="15">
        <f>IF(C74="", "", IF(D74="", "",D74-D59))</f>
        <v>27260.069351999999</v>
      </c>
      <c r="I74" s="15">
        <f>IF(D74="", "", IF(E74="", "",E74-E59))</f>
        <v>1864.4423749999733</v>
      </c>
    </row>
    <row r="75" spans="1:9" x14ac:dyDescent="0.25">
      <c r="A75" s="16"/>
      <c r="B75" s="16" t="s">
        <v>18</v>
      </c>
      <c r="C75" s="17">
        <v>0</v>
      </c>
      <c r="D75" s="18">
        <v>1291.5092099999999</v>
      </c>
      <c r="E75" s="19">
        <f>E74+C75-D75</f>
        <v>-11820.357986999992</v>
      </c>
      <c r="F75" s="16"/>
      <c r="G75" s="16" t="s">
        <v>18</v>
      </c>
      <c r="H75" s="20">
        <f>IF(C75="", "", IF(D75="", "",D75-D60))</f>
        <v>1291.5092099999999</v>
      </c>
      <c r="I75" s="20">
        <f>IF(D75="", "", IF(E75="", "",E75-E60))</f>
        <v>572.93316499997309</v>
      </c>
    </row>
    <row r="76" spans="1:9" s="2" customFormat="1" x14ac:dyDescent="0.25">
      <c r="A76" s="21"/>
      <c r="B76" s="21" t="s">
        <v>19</v>
      </c>
      <c r="C76" s="22">
        <f>SUM(C64:C75)</f>
        <v>207563.97999699999</v>
      </c>
      <c r="D76" s="23">
        <f>SUM(D64:D75)</f>
        <v>206991.04683199996</v>
      </c>
      <c r="E76" s="14"/>
      <c r="F76" s="21"/>
      <c r="G76" s="21"/>
      <c r="H76" s="14">
        <f>SUMIF(C64:C75,"&gt;=0",H64:H75)</f>
        <v>4280.6512419999963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17296.998333083331</v>
      </c>
      <c r="D77" s="23">
        <f>AVERAGE(D64:D75)</f>
        <v>17249.253902666664</v>
      </c>
      <c r="E77" s="24">
        <f>C77/D77-1</f>
        <v>2.7679127854500774E-3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-11820.357986999992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-11820.357986999992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-11820.357986999992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-11820.357986999992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-11820.357986999992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-11820.357986999992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-11820.357986999992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-11820.357986999992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-11820.357986999992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-11820.357986999992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-11820.357986999992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-11820.357986999992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-11820.357986999992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0D075-5795-497B-B8E1-EA9B3F97D8C1}">
  <sheetPr codeName="Sheet15"/>
  <dimension ref="A2:I92"/>
  <sheetViews>
    <sheetView topLeftCell="A72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</cols>
  <sheetData>
    <row r="2" spans="1:9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9" x14ac:dyDescent="0.25">
      <c r="A3" s="11"/>
      <c r="B3" s="11"/>
      <c r="C3" s="12"/>
      <c r="D3" s="13"/>
      <c r="E3" s="14"/>
      <c r="F3" s="11"/>
      <c r="G3" s="11"/>
      <c r="H3" s="15"/>
      <c r="I3" s="15"/>
    </row>
    <row r="4" spans="1:9" x14ac:dyDescent="0.25">
      <c r="A4" s="11">
        <v>2019</v>
      </c>
      <c r="B4" s="11" t="s">
        <v>7</v>
      </c>
      <c r="C4" s="12"/>
      <c r="D4" s="13"/>
      <c r="E4" s="14">
        <f>E3+C4-D4</f>
        <v>0</v>
      </c>
      <c r="F4" s="11"/>
      <c r="G4" s="11" t="s">
        <v>7</v>
      </c>
      <c r="H4" s="15"/>
      <c r="I4" s="15"/>
    </row>
    <row r="5" spans="1:9" x14ac:dyDescent="0.25">
      <c r="A5" s="11"/>
      <c r="B5" s="11" t="s">
        <v>8</v>
      </c>
      <c r="C5" s="12"/>
      <c r="D5" s="13"/>
      <c r="E5" s="14">
        <f>E4+C5-D5</f>
        <v>0</v>
      </c>
      <c r="F5" s="11"/>
      <c r="G5" s="11" t="s">
        <v>8</v>
      </c>
      <c r="H5" s="15"/>
      <c r="I5" s="15"/>
    </row>
    <row r="6" spans="1:9" x14ac:dyDescent="0.25">
      <c r="A6" s="11"/>
      <c r="B6" s="11" t="s">
        <v>9</v>
      </c>
      <c r="C6" s="12"/>
      <c r="D6" s="13"/>
      <c r="E6" s="14">
        <f>E5+C6-D6</f>
        <v>0</v>
      </c>
      <c r="F6" s="11"/>
      <c r="G6" s="11" t="s">
        <v>9</v>
      </c>
      <c r="H6" s="15"/>
      <c r="I6" s="15"/>
    </row>
    <row r="7" spans="1:9" x14ac:dyDescent="0.25">
      <c r="A7" s="11"/>
      <c r="B7" s="11" t="s">
        <v>10</v>
      </c>
      <c r="C7" s="12"/>
      <c r="D7" s="13"/>
      <c r="E7" s="14">
        <f>E6+C7-D7</f>
        <v>0</v>
      </c>
      <c r="F7" s="11"/>
      <c r="G7" s="11" t="s">
        <v>10</v>
      </c>
      <c r="H7" s="15"/>
      <c r="I7" s="15"/>
    </row>
    <row r="8" spans="1:9" x14ac:dyDescent="0.25">
      <c r="A8" s="11"/>
      <c r="B8" s="11" t="s">
        <v>11</v>
      </c>
      <c r="C8" s="12"/>
      <c r="D8" s="13"/>
      <c r="E8" s="14">
        <f>E7+C8-D8</f>
        <v>0</v>
      </c>
      <c r="F8" s="11"/>
      <c r="G8" s="11" t="s">
        <v>11</v>
      </c>
      <c r="H8" s="15"/>
      <c r="I8" s="15"/>
    </row>
    <row r="9" spans="1:9" x14ac:dyDescent="0.25">
      <c r="A9" s="11"/>
      <c r="B9" s="11" t="s">
        <v>12</v>
      </c>
      <c r="C9" s="12"/>
      <c r="D9" s="13"/>
      <c r="E9" s="14">
        <f>E8+C9-D9</f>
        <v>0</v>
      </c>
      <c r="F9" s="11"/>
      <c r="G9" s="11" t="s">
        <v>12</v>
      </c>
      <c r="H9" s="15"/>
      <c r="I9" s="15"/>
    </row>
    <row r="10" spans="1:9" x14ac:dyDescent="0.25">
      <c r="A10" s="11"/>
      <c r="B10" s="11" t="s">
        <v>13</v>
      </c>
      <c r="C10" s="12"/>
      <c r="D10" s="13"/>
      <c r="E10" s="14">
        <f>E9+C10-D10</f>
        <v>0</v>
      </c>
      <c r="F10" s="11"/>
      <c r="G10" s="11" t="s">
        <v>13</v>
      </c>
      <c r="H10" s="15"/>
      <c r="I10" s="15"/>
    </row>
    <row r="11" spans="1:9" x14ac:dyDescent="0.25">
      <c r="A11" s="11"/>
      <c r="B11" s="11" t="s">
        <v>14</v>
      </c>
      <c r="C11" s="12"/>
      <c r="D11" s="13"/>
      <c r="E11" s="14">
        <f>E10+C11-D11</f>
        <v>0</v>
      </c>
      <c r="F11" s="11"/>
      <c r="G11" s="11" t="s">
        <v>14</v>
      </c>
      <c r="H11" s="15"/>
      <c r="I11" s="15"/>
    </row>
    <row r="12" spans="1:9" x14ac:dyDescent="0.25">
      <c r="A12" s="11"/>
      <c r="B12" s="11" t="s">
        <v>15</v>
      </c>
      <c r="C12" s="12"/>
      <c r="D12" s="13"/>
      <c r="E12" s="14">
        <f>E11+C12-D12</f>
        <v>0</v>
      </c>
      <c r="F12" s="11"/>
      <c r="G12" s="11" t="s">
        <v>15</v>
      </c>
      <c r="H12" s="15"/>
      <c r="I12" s="15"/>
    </row>
    <row r="13" spans="1:9" x14ac:dyDescent="0.25">
      <c r="A13" s="11"/>
      <c r="B13" s="11" t="s">
        <v>16</v>
      </c>
      <c r="C13" s="12"/>
      <c r="D13" s="13"/>
      <c r="E13" s="14">
        <f>E12+C13-D13</f>
        <v>0</v>
      </c>
      <c r="F13" s="11"/>
      <c r="G13" s="11" t="s">
        <v>16</v>
      </c>
      <c r="H13" s="15"/>
      <c r="I13" s="15"/>
    </row>
    <row r="14" spans="1:9" x14ac:dyDescent="0.25">
      <c r="A14" s="11"/>
      <c r="B14" s="11" t="s">
        <v>17</v>
      </c>
      <c r="C14" s="12"/>
      <c r="D14" s="13"/>
      <c r="E14" s="14">
        <f>E13+C14-D14</f>
        <v>0</v>
      </c>
      <c r="F14" s="11"/>
      <c r="G14" s="11" t="s">
        <v>17</v>
      </c>
      <c r="H14" s="15"/>
      <c r="I14" s="15"/>
    </row>
    <row r="15" spans="1:9" x14ac:dyDescent="0.25">
      <c r="A15" s="16"/>
      <c r="B15" s="16" t="s">
        <v>18</v>
      </c>
      <c r="C15" s="17"/>
      <c r="D15" s="18"/>
      <c r="E15" s="19">
        <f>E14+C15-D15</f>
        <v>0</v>
      </c>
      <c r="F15" s="16"/>
      <c r="G15" s="16" t="s">
        <v>18</v>
      </c>
      <c r="H15" s="20"/>
      <c r="I15" s="20"/>
    </row>
    <row r="16" spans="1:9" s="2" customFormat="1" x14ac:dyDescent="0.25">
      <c r="A16" s="21"/>
      <c r="B16" s="21" t="s">
        <v>19</v>
      </c>
      <c r="C16" s="22">
        <f>SUM(C4:C15)</f>
        <v>0</v>
      </c>
      <c r="D16" s="23">
        <f>SUM(D4:D15)</f>
        <v>0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 t="e">
        <f>AVERAGE(C4:C15)</f>
        <v>#DIV/0!</v>
      </c>
      <c r="D17" s="23" t="e">
        <f>AVERAGE(D4:D15)</f>
        <v>#DIV/0!</v>
      </c>
      <c r="E17" s="24" t="e">
        <f>C17/D17-1</f>
        <v>#DIV/0!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0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/>
      <c r="D19" s="27"/>
      <c r="E19" s="28">
        <f>E18+C19-D19</f>
        <v>0</v>
      </c>
      <c r="F19" s="25"/>
      <c r="G19" s="25" t="s">
        <v>7</v>
      </c>
      <c r="H19" s="29" t="str">
        <f>IF(C19="", "", IF(D19="", "",D19-D4))</f>
        <v/>
      </c>
      <c r="I19" s="29" t="str">
        <f>IF(D19="", "", IF(E19="", "",E19-E4))</f>
        <v/>
      </c>
    </row>
    <row r="20" spans="1:9" x14ac:dyDescent="0.25">
      <c r="A20" s="25"/>
      <c r="B20" s="25" t="s">
        <v>8</v>
      </c>
      <c r="C20" s="26"/>
      <c r="D20" s="27"/>
      <c r="E20" s="28">
        <f>E19+C20-D20</f>
        <v>0</v>
      </c>
      <c r="F20" s="25"/>
      <c r="G20" s="25" t="s">
        <v>8</v>
      </c>
      <c r="H20" s="29" t="str">
        <f>IF(C20="", "", IF(D20="", "",D20-D5))</f>
        <v/>
      </c>
      <c r="I20" s="29" t="str">
        <f>IF(D20="", "", IF(E20="", "",E20-E5))</f>
        <v/>
      </c>
    </row>
    <row r="21" spans="1:9" x14ac:dyDescent="0.25">
      <c r="A21" s="25"/>
      <c r="B21" s="25" t="s">
        <v>9</v>
      </c>
      <c r="C21" s="26"/>
      <c r="D21" s="27"/>
      <c r="E21" s="28">
        <f>E20+C21-D21</f>
        <v>0</v>
      </c>
      <c r="F21" s="25"/>
      <c r="G21" s="25" t="s">
        <v>9</v>
      </c>
      <c r="H21" s="29" t="str">
        <f>IF(C21="", "", IF(D21="", "",D21-D6))</f>
        <v/>
      </c>
      <c r="I21" s="29" t="str">
        <f>IF(D21="", "", IF(E21="", "",E21-E6))</f>
        <v/>
      </c>
    </row>
    <row r="22" spans="1:9" x14ac:dyDescent="0.25">
      <c r="A22" s="25"/>
      <c r="B22" s="25" t="s">
        <v>10</v>
      </c>
      <c r="C22" s="26"/>
      <c r="D22" s="27"/>
      <c r="E22" s="28">
        <f>E21+C22-D22</f>
        <v>0</v>
      </c>
      <c r="F22" s="25"/>
      <c r="G22" s="25" t="s">
        <v>10</v>
      </c>
      <c r="H22" s="29" t="str">
        <f>IF(C22="", "", IF(D22="", "",D22-D7))</f>
        <v/>
      </c>
      <c r="I22" s="29" t="str">
        <f>IF(D22="", "", IF(E22="", "",E22-E7))</f>
        <v/>
      </c>
    </row>
    <row r="23" spans="1:9" x14ac:dyDescent="0.25">
      <c r="A23" s="25"/>
      <c r="B23" s="25" t="s">
        <v>11</v>
      </c>
      <c r="C23" s="26"/>
      <c r="D23" s="27"/>
      <c r="E23" s="28">
        <f>E22+C23-D23</f>
        <v>0</v>
      </c>
      <c r="F23" s="25"/>
      <c r="G23" s="25" t="s">
        <v>11</v>
      </c>
      <c r="H23" s="29" t="str">
        <f>IF(C23="", "", IF(D23="", "",D23-D8))</f>
        <v/>
      </c>
      <c r="I23" s="29" t="str">
        <f>IF(D23="", "", IF(E23="", "",E23-E8))</f>
        <v/>
      </c>
    </row>
    <row r="24" spans="1:9" x14ac:dyDescent="0.25">
      <c r="A24" s="25"/>
      <c r="B24" s="25" t="s">
        <v>12</v>
      </c>
      <c r="C24" s="26"/>
      <c r="D24" s="27"/>
      <c r="E24" s="28">
        <f>E23+C24-D24</f>
        <v>0</v>
      </c>
      <c r="F24" s="25"/>
      <c r="G24" s="25" t="s">
        <v>12</v>
      </c>
      <c r="H24" s="29" t="str">
        <f>IF(C24="", "", IF(D24="", "",D24-D9))</f>
        <v/>
      </c>
      <c r="I24" s="29" t="str">
        <f>IF(D24="", "", IF(E24="", "",E24-E9))</f>
        <v/>
      </c>
    </row>
    <row r="25" spans="1:9" x14ac:dyDescent="0.25">
      <c r="A25" s="25"/>
      <c r="B25" s="25" t="s">
        <v>13</v>
      </c>
      <c r="C25" s="26"/>
      <c r="D25" s="27"/>
      <c r="E25" s="28">
        <f>E24+C25-D25</f>
        <v>0</v>
      </c>
      <c r="F25" s="25"/>
      <c r="G25" s="25" t="s">
        <v>13</v>
      </c>
      <c r="H25" s="29" t="str">
        <f>IF(C25="", "", IF(D25="", "",D25-D10))</f>
        <v/>
      </c>
      <c r="I25" s="29" t="str">
        <f>IF(D25="", "", IF(E25="", "",E25-E10))</f>
        <v/>
      </c>
    </row>
    <row r="26" spans="1:9" x14ac:dyDescent="0.25">
      <c r="A26" s="25"/>
      <c r="B26" s="25" t="s">
        <v>14</v>
      </c>
      <c r="C26" s="26"/>
      <c r="D26" s="27"/>
      <c r="E26" s="28">
        <f>E25+C26-D26</f>
        <v>0</v>
      </c>
      <c r="F26" s="25"/>
      <c r="G26" s="25" t="s">
        <v>14</v>
      </c>
      <c r="H26" s="29" t="str">
        <f>IF(C26="", "", IF(D26="", "",D26-D11))</f>
        <v/>
      </c>
      <c r="I26" s="29" t="str">
        <f>IF(D26="", "", IF(E26="", "",E26-E11))</f>
        <v/>
      </c>
    </row>
    <row r="27" spans="1:9" x14ac:dyDescent="0.25">
      <c r="A27" s="25"/>
      <c r="B27" s="25" t="s">
        <v>15</v>
      </c>
      <c r="C27" s="26"/>
      <c r="D27" s="27"/>
      <c r="E27" s="28">
        <f>E26+C27-D27</f>
        <v>0</v>
      </c>
      <c r="F27" s="25"/>
      <c r="G27" s="25" t="s">
        <v>15</v>
      </c>
      <c r="H27" s="29" t="str">
        <f>IF(C27="", "", IF(D27="", "",D27-D12))</f>
        <v/>
      </c>
      <c r="I27" s="29" t="str">
        <f>IF(D27="", "", IF(E27="", "",E27-E12))</f>
        <v/>
      </c>
    </row>
    <row r="28" spans="1:9" x14ac:dyDescent="0.25">
      <c r="A28" s="25"/>
      <c r="B28" s="25" t="s">
        <v>16</v>
      </c>
      <c r="C28" s="26"/>
      <c r="D28" s="27"/>
      <c r="E28" s="28">
        <f>E27+C28-D28</f>
        <v>0</v>
      </c>
      <c r="F28" s="25"/>
      <c r="G28" s="25" t="s">
        <v>16</v>
      </c>
      <c r="H28" s="29" t="str">
        <f>IF(C28="", "", IF(D28="", "",D28-D13))</f>
        <v/>
      </c>
      <c r="I28" s="29" t="str">
        <f>IF(D28="", "", IF(E28="", "",E28-E13))</f>
        <v/>
      </c>
    </row>
    <row r="29" spans="1:9" x14ac:dyDescent="0.25">
      <c r="A29" s="25"/>
      <c r="B29" s="25" t="s">
        <v>17</v>
      </c>
      <c r="C29" s="26"/>
      <c r="D29" s="27"/>
      <c r="E29" s="28">
        <f>E28+C29-D29</f>
        <v>0</v>
      </c>
      <c r="F29" s="25"/>
      <c r="G29" s="25" t="s">
        <v>17</v>
      </c>
      <c r="H29" s="29" t="str">
        <f>IF(C29="", "", IF(D29="", "",D29-D14))</f>
        <v/>
      </c>
      <c r="I29" s="29" t="str">
        <f>IF(D29="", "", IF(E29="", "",E29-E14))</f>
        <v/>
      </c>
    </row>
    <row r="30" spans="1:9" x14ac:dyDescent="0.25">
      <c r="A30" s="30"/>
      <c r="B30" s="30" t="s">
        <v>18</v>
      </c>
      <c r="C30" s="31"/>
      <c r="D30" s="32"/>
      <c r="E30" s="33">
        <f>E29+C30-D30</f>
        <v>0</v>
      </c>
      <c r="F30" s="30"/>
      <c r="G30" s="30" t="s">
        <v>18</v>
      </c>
      <c r="H30" s="34" t="str">
        <f>IF(C30="", "", IF(D30="", "",D30-D15))</f>
        <v/>
      </c>
      <c r="I30" s="34" t="str">
        <f>IF(D30="", "", IF(E30="", "",E30-E15))</f>
        <v/>
      </c>
    </row>
    <row r="31" spans="1:9" s="2" customFormat="1" x14ac:dyDescent="0.25">
      <c r="A31" s="35"/>
      <c r="B31" s="35" t="s">
        <v>19</v>
      </c>
      <c r="C31" s="36">
        <f>SUM(C19:C30)</f>
        <v>0</v>
      </c>
      <c r="D31" s="37">
        <f>SUM(D19:D30)</f>
        <v>0</v>
      </c>
      <c r="E31" s="28"/>
      <c r="F31" s="35"/>
      <c r="G31" s="35"/>
      <c r="H31" s="28">
        <f>SUMIF(C19:C30,"&gt;=0",H19:H30)</f>
        <v>0</v>
      </c>
      <c r="I31" s="28"/>
    </row>
    <row r="32" spans="1:9" s="2" customFormat="1" x14ac:dyDescent="0.25">
      <c r="A32" s="35"/>
      <c r="B32" s="35" t="s">
        <v>20</v>
      </c>
      <c r="C32" s="36" t="e">
        <f>AVERAGE(C19:C30)</f>
        <v>#DIV/0!</v>
      </c>
      <c r="D32" s="37" t="e">
        <f>AVERAGE(D19:D30)</f>
        <v>#DIV/0!</v>
      </c>
      <c r="E32" s="38" t="e">
        <f>C32/D32-1</f>
        <v>#DIV/0!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0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/>
      <c r="D34" s="13"/>
      <c r="E34" s="14">
        <f>E33+C34-D34</f>
        <v>0</v>
      </c>
      <c r="F34" s="11"/>
      <c r="G34" s="11" t="s">
        <v>7</v>
      </c>
      <c r="H34" s="15" t="str">
        <f>IF(C34="", "", IF(D34="", "",D34-D19))</f>
        <v/>
      </c>
      <c r="I34" s="15" t="str">
        <f>IF(D34="", "", IF(E34="", "",E34-E19))</f>
        <v/>
      </c>
    </row>
    <row r="35" spans="1:9" x14ac:dyDescent="0.25">
      <c r="A35" s="11"/>
      <c r="B35" s="11" t="s">
        <v>8</v>
      </c>
      <c r="C35" s="12"/>
      <c r="D35" s="13"/>
      <c r="E35" s="14">
        <f>E34+C35-D35</f>
        <v>0</v>
      </c>
      <c r="F35" s="11"/>
      <c r="G35" s="11" t="s">
        <v>8</v>
      </c>
      <c r="H35" s="15" t="str">
        <f>IF(C35="", "", IF(D35="", "",D35-D20))</f>
        <v/>
      </c>
      <c r="I35" s="15" t="str">
        <f>IF(D35="", "", IF(E35="", "",E35-E20))</f>
        <v/>
      </c>
    </row>
    <row r="36" spans="1:9" x14ac:dyDescent="0.25">
      <c r="A36" s="11"/>
      <c r="B36" s="11" t="s">
        <v>9</v>
      </c>
      <c r="C36" s="12"/>
      <c r="D36" s="13"/>
      <c r="E36" s="14">
        <f>E35+C36-D36</f>
        <v>0</v>
      </c>
      <c r="F36" s="11"/>
      <c r="G36" s="11" t="s">
        <v>9</v>
      </c>
      <c r="H36" s="15" t="str">
        <f>IF(C36="", "", IF(D36="", "",D36-D21))</f>
        <v/>
      </c>
      <c r="I36" s="15" t="str">
        <f>IF(D36="", "", IF(E36="", "",E36-E21))</f>
        <v/>
      </c>
    </row>
    <row r="37" spans="1:9" x14ac:dyDescent="0.25">
      <c r="A37" s="11"/>
      <c r="B37" s="11" t="s">
        <v>10</v>
      </c>
      <c r="C37" s="12"/>
      <c r="D37" s="13"/>
      <c r="E37" s="14">
        <f>E36+C37-D37</f>
        <v>0</v>
      </c>
      <c r="F37" s="11"/>
      <c r="G37" s="11" t="s">
        <v>10</v>
      </c>
      <c r="H37" s="15" t="str">
        <f>IF(C37="", "", IF(D37="", "",D37-D22))</f>
        <v/>
      </c>
      <c r="I37" s="15" t="str">
        <f>IF(D37="", "", IF(E37="", "",E37-E22))</f>
        <v/>
      </c>
    </row>
    <row r="38" spans="1:9" x14ac:dyDescent="0.25">
      <c r="A38" s="11"/>
      <c r="B38" s="11" t="s">
        <v>11</v>
      </c>
      <c r="C38" s="12"/>
      <c r="D38" s="13"/>
      <c r="E38" s="14">
        <f>E37+C38-D38</f>
        <v>0</v>
      </c>
      <c r="F38" s="11"/>
      <c r="G38" s="11" t="s">
        <v>11</v>
      </c>
      <c r="H38" s="15" t="str">
        <f>IF(C38="", "", IF(D38="", "",D38-D23))</f>
        <v/>
      </c>
      <c r="I38" s="15" t="str">
        <f>IF(D38="", "", IF(E38="", "",E38-E23))</f>
        <v/>
      </c>
    </row>
    <row r="39" spans="1:9" x14ac:dyDescent="0.25">
      <c r="A39" s="11"/>
      <c r="B39" s="11" t="s">
        <v>12</v>
      </c>
      <c r="C39" s="12"/>
      <c r="D39" s="13"/>
      <c r="E39" s="14">
        <f>E38+C39-D39</f>
        <v>0</v>
      </c>
      <c r="F39" s="11"/>
      <c r="G39" s="11" t="s">
        <v>12</v>
      </c>
      <c r="H39" s="15" t="str">
        <f>IF(C39="", "", IF(D39="", "",D39-D24))</f>
        <v/>
      </c>
      <c r="I39" s="15" t="str">
        <f>IF(D39="", "", IF(E39="", "",E39-E24))</f>
        <v/>
      </c>
    </row>
    <row r="40" spans="1:9" x14ac:dyDescent="0.25">
      <c r="A40" s="11"/>
      <c r="B40" s="11" t="s">
        <v>13</v>
      </c>
      <c r="C40" s="12"/>
      <c r="D40" s="13"/>
      <c r="E40" s="14">
        <f>E39+C40-D40</f>
        <v>0</v>
      </c>
      <c r="F40" s="11"/>
      <c r="G40" s="11" t="s">
        <v>13</v>
      </c>
      <c r="H40" s="15" t="str">
        <f>IF(C40="", "", IF(D40="", "",D40-D25))</f>
        <v/>
      </c>
      <c r="I40" s="15" t="str">
        <f>IF(D40="", "", IF(E40="", "",E40-E25))</f>
        <v/>
      </c>
    </row>
    <row r="41" spans="1:9" x14ac:dyDescent="0.25">
      <c r="A41" s="11"/>
      <c r="B41" s="11" t="s">
        <v>14</v>
      </c>
      <c r="C41" s="12"/>
      <c r="D41" s="13"/>
      <c r="E41" s="14">
        <f>E40+C41-D41</f>
        <v>0</v>
      </c>
      <c r="F41" s="11"/>
      <c r="G41" s="11" t="s">
        <v>14</v>
      </c>
      <c r="H41" s="15" t="str">
        <f>IF(C41="", "", IF(D41="", "",D41-D26))</f>
        <v/>
      </c>
      <c r="I41" s="15" t="str">
        <f>IF(D41="", "", IF(E41="", "",E41-E26))</f>
        <v/>
      </c>
    </row>
    <row r="42" spans="1:9" x14ac:dyDescent="0.25">
      <c r="A42" s="11"/>
      <c r="B42" s="11" t="s">
        <v>15</v>
      </c>
      <c r="C42" s="12"/>
      <c r="D42" s="13"/>
      <c r="E42" s="14">
        <f>E41+C42-D42</f>
        <v>0</v>
      </c>
      <c r="F42" s="11"/>
      <c r="G42" s="11" t="s">
        <v>15</v>
      </c>
      <c r="H42" s="15" t="str">
        <f>IF(C42="", "", IF(D42="", "",D42-D27))</f>
        <v/>
      </c>
      <c r="I42" s="15" t="str">
        <f>IF(D42="", "", IF(E42="", "",E42-E27))</f>
        <v/>
      </c>
    </row>
    <row r="43" spans="1:9" x14ac:dyDescent="0.25">
      <c r="A43" s="11"/>
      <c r="B43" s="11" t="s">
        <v>16</v>
      </c>
      <c r="C43" s="12"/>
      <c r="D43" s="13"/>
      <c r="E43" s="14">
        <f>E42+C43-D43</f>
        <v>0</v>
      </c>
      <c r="F43" s="11"/>
      <c r="G43" s="11" t="s">
        <v>16</v>
      </c>
      <c r="H43" s="15" t="str">
        <f>IF(C43="", "", IF(D43="", "",D43-D28))</f>
        <v/>
      </c>
      <c r="I43" s="15" t="str">
        <f>IF(D43="", "", IF(E43="", "",E43-E28))</f>
        <v/>
      </c>
    </row>
    <row r="44" spans="1:9" x14ac:dyDescent="0.25">
      <c r="A44" s="11"/>
      <c r="B44" s="11" t="s">
        <v>17</v>
      </c>
      <c r="C44" s="12"/>
      <c r="D44" s="13"/>
      <c r="E44" s="14">
        <f>E43+C44-D44</f>
        <v>0</v>
      </c>
      <c r="F44" s="11"/>
      <c r="G44" s="11" t="s">
        <v>17</v>
      </c>
      <c r="H44" s="15" t="str">
        <f>IF(C44="", "", IF(D44="", "",D44-D29))</f>
        <v/>
      </c>
      <c r="I44" s="15" t="str">
        <f>IF(D44="", "", IF(E44="", "",E44-E29))</f>
        <v/>
      </c>
    </row>
    <row r="45" spans="1:9" x14ac:dyDescent="0.25">
      <c r="A45" s="16"/>
      <c r="B45" s="16" t="s">
        <v>18</v>
      </c>
      <c r="C45" s="17"/>
      <c r="D45" s="18"/>
      <c r="E45" s="19">
        <f>E44+C45-D45</f>
        <v>0</v>
      </c>
      <c r="F45" s="16"/>
      <c r="G45" s="16" t="s">
        <v>18</v>
      </c>
      <c r="H45" s="20" t="str">
        <f>IF(C45="", "", IF(D45="", "",D45-D30))</f>
        <v/>
      </c>
      <c r="I45" s="20" t="str">
        <f>IF(D45="", "", IF(E45="", "",E45-E30))</f>
        <v/>
      </c>
    </row>
    <row r="46" spans="1:9" s="2" customFormat="1" x14ac:dyDescent="0.25">
      <c r="A46" s="21"/>
      <c r="B46" s="21" t="s">
        <v>19</v>
      </c>
      <c r="C46" s="22">
        <f>SUM(C34:C45)</f>
        <v>0</v>
      </c>
      <c r="D46" s="23">
        <f>SUM(D34:D45)</f>
        <v>0</v>
      </c>
      <c r="E46" s="14"/>
      <c r="F46" s="21"/>
      <c r="G46" s="21"/>
      <c r="H46" s="14">
        <f>SUMIF(C34:C45,"&gt;=0",H34:H45)</f>
        <v>0</v>
      </c>
      <c r="I46" s="14"/>
    </row>
    <row r="47" spans="1:9" s="2" customFormat="1" x14ac:dyDescent="0.25">
      <c r="A47" s="21"/>
      <c r="B47" s="21" t="s">
        <v>20</v>
      </c>
      <c r="C47" s="22" t="e">
        <f>AVERAGE(C34:C45)</f>
        <v>#DIV/0!</v>
      </c>
      <c r="D47" s="23" t="e">
        <f>AVERAGE(D34:D45)</f>
        <v>#DIV/0!</v>
      </c>
      <c r="E47" s="24" t="e">
        <f>C47/D47-1</f>
        <v>#DIV/0!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0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/>
      <c r="D49" s="27"/>
      <c r="E49" s="28">
        <f>E48+C49-D49</f>
        <v>0</v>
      </c>
      <c r="F49" s="25"/>
      <c r="G49" s="25" t="s">
        <v>7</v>
      </c>
      <c r="H49" s="29" t="str">
        <f>IF(C49="", "", IF(D49="", "",D49-D34))</f>
        <v/>
      </c>
      <c r="I49" s="29" t="str">
        <f>IF(D49="", "", IF(E49="", "",E49-E34))</f>
        <v/>
      </c>
    </row>
    <row r="50" spans="1:9" x14ac:dyDescent="0.25">
      <c r="A50" s="25"/>
      <c r="B50" s="25" t="s">
        <v>8</v>
      </c>
      <c r="C50" s="26"/>
      <c r="D50" s="27"/>
      <c r="E50" s="28">
        <f>E49+C50-D50</f>
        <v>0</v>
      </c>
      <c r="F50" s="25"/>
      <c r="G50" s="25" t="s">
        <v>8</v>
      </c>
      <c r="H50" s="29" t="str">
        <f>IF(C50="", "", IF(D50="", "",D50-D35))</f>
        <v/>
      </c>
      <c r="I50" s="29" t="str">
        <f>IF(D50="", "", IF(E50="", "",E50-E35))</f>
        <v/>
      </c>
    </row>
    <row r="51" spans="1:9" x14ac:dyDescent="0.25">
      <c r="A51" s="25"/>
      <c r="B51" s="25" t="s">
        <v>9</v>
      </c>
      <c r="C51" s="26"/>
      <c r="D51" s="27"/>
      <c r="E51" s="28">
        <f>E50+C51-D51</f>
        <v>0</v>
      </c>
      <c r="F51" s="25"/>
      <c r="G51" s="25" t="s">
        <v>9</v>
      </c>
      <c r="H51" s="29" t="str">
        <f>IF(C51="", "", IF(D51="", "",D51-D36))</f>
        <v/>
      </c>
      <c r="I51" s="29" t="str">
        <f>IF(D51="", "", IF(E51="", "",E51-E36))</f>
        <v/>
      </c>
    </row>
    <row r="52" spans="1:9" x14ac:dyDescent="0.25">
      <c r="A52" s="25"/>
      <c r="B52" s="25" t="s">
        <v>10</v>
      </c>
      <c r="C52" s="26"/>
      <c r="D52" s="27"/>
      <c r="E52" s="28">
        <f>E51+C52-D52</f>
        <v>0</v>
      </c>
      <c r="F52" s="25"/>
      <c r="G52" s="25" t="s">
        <v>10</v>
      </c>
      <c r="H52" s="29" t="str">
        <f>IF(C52="", "", IF(D52="", "",D52-D37))</f>
        <v/>
      </c>
      <c r="I52" s="29" t="str">
        <f>IF(D52="", "", IF(E52="", "",E52-E37))</f>
        <v/>
      </c>
    </row>
    <row r="53" spans="1:9" x14ac:dyDescent="0.25">
      <c r="A53" s="25"/>
      <c r="B53" s="25" t="s">
        <v>11</v>
      </c>
      <c r="C53" s="26"/>
      <c r="D53" s="27"/>
      <c r="E53" s="28">
        <f>E52+C53-D53</f>
        <v>0</v>
      </c>
      <c r="F53" s="25"/>
      <c r="G53" s="25" t="s">
        <v>11</v>
      </c>
      <c r="H53" s="29" t="str">
        <f>IF(C53="", "", IF(D53="", "",D53-D38))</f>
        <v/>
      </c>
      <c r="I53" s="29" t="str">
        <f>IF(D53="", "", IF(E53="", "",E53-E38))</f>
        <v/>
      </c>
    </row>
    <row r="54" spans="1:9" x14ac:dyDescent="0.25">
      <c r="A54" s="25"/>
      <c r="B54" s="25" t="s">
        <v>12</v>
      </c>
      <c r="C54" s="26"/>
      <c r="D54" s="27"/>
      <c r="E54" s="28">
        <f>E53+C54-D54</f>
        <v>0</v>
      </c>
      <c r="F54" s="25"/>
      <c r="G54" s="25" t="s">
        <v>12</v>
      </c>
      <c r="H54" s="29" t="str">
        <f>IF(C54="", "", IF(D54="", "",D54-D39))</f>
        <v/>
      </c>
      <c r="I54" s="29" t="str">
        <f>IF(D54="", "", IF(E54="", "",E54-E39))</f>
        <v/>
      </c>
    </row>
    <row r="55" spans="1:9" x14ac:dyDescent="0.25">
      <c r="A55" s="25"/>
      <c r="B55" s="25" t="s">
        <v>13</v>
      </c>
      <c r="C55" s="26"/>
      <c r="D55" s="27"/>
      <c r="E55" s="28">
        <f>E54+C55-D55</f>
        <v>0</v>
      </c>
      <c r="F55" s="25"/>
      <c r="G55" s="25" t="s">
        <v>13</v>
      </c>
      <c r="H55" s="29" t="str">
        <f>IF(C55="", "", IF(D55="", "",D55-D40))</f>
        <v/>
      </c>
      <c r="I55" s="29" t="str">
        <f>IF(D55="", "", IF(E55="", "",E55-E40))</f>
        <v/>
      </c>
    </row>
    <row r="56" spans="1:9" x14ac:dyDescent="0.25">
      <c r="A56" s="25"/>
      <c r="B56" s="25" t="s">
        <v>14</v>
      </c>
      <c r="C56" s="26">
        <v>1</v>
      </c>
      <c r="D56" s="27">
        <v>0</v>
      </c>
      <c r="E56" s="28">
        <f>E55+C56-D56</f>
        <v>1</v>
      </c>
      <c r="F56" s="25"/>
      <c r="G56" s="25" t="s">
        <v>14</v>
      </c>
      <c r="H56" s="29">
        <f>IF(C56="", "", IF(D56="", "",D56-D41))</f>
        <v>0</v>
      </c>
      <c r="I56" s="29">
        <f>IF(D56="", "", IF(E56="", "",E56-E41))</f>
        <v>1</v>
      </c>
    </row>
    <row r="57" spans="1:9" x14ac:dyDescent="0.25">
      <c r="A57" s="25"/>
      <c r="B57" s="25" t="s">
        <v>15</v>
      </c>
      <c r="C57" s="26">
        <v>0</v>
      </c>
      <c r="D57" s="27">
        <v>0</v>
      </c>
      <c r="E57" s="28">
        <f>E56+C57-D57</f>
        <v>1</v>
      </c>
      <c r="F57" s="25"/>
      <c r="G57" s="25" t="s">
        <v>15</v>
      </c>
      <c r="H57" s="29">
        <f>IF(C57="", "", IF(D57="", "",D57-D42))</f>
        <v>0</v>
      </c>
      <c r="I57" s="29">
        <f>IF(D57="", "", IF(E57="", "",E57-E42))</f>
        <v>1</v>
      </c>
    </row>
    <row r="58" spans="1:9" x14ac:dyDescent="0.25">
      <c r="A58" s="25"/>
      <c r="B58" s="25" t="s">
        <v>16</v>
      </c>
      <c r="C58" s="26">
        <v>0</v>
      </c>
      <c r="D58" s="27">
        <v>0</v>
      </c>
      <c r="E58" s="28">
        <f>E57+C58-D58</f>
        <v>1</v>
      </c>
      <c r="F58" s="25"/>
      <c r="G58" s="25" t="s">
        <v>16</v>
      </c>
      <c r="H58" s="29">
        <f>IF(C58="", "", IF(D58="", "",D58-D43))</f>
        <v>0</v>
      </c>
      <c r="I58" s="29">
        <f>IF(D58="", "", IF(E58="", "",E58-E43))</f>
        <v>1</v>
      </c>
    </row>
    <row r="59" spans="1:9" x14ac:dyDescent="0.25">
      <c r="A59" s="25"/>
      <c r="B59" s="25" t="s">
        <v>17</v>
      </c>
      <c r="C59" s="26">
        <v>0.99</v>
      </c>
      <c r="D59" s="27">
        <v>0</v>
      </c>
      <c r="E59" s="28">
        <f>E58+C59-D59</f>
        <v>1.99</v>
      </c>
      <c r="F59" s="25"/>
      <c r="G59" s="25" t="s">
        <v>17</v>
      </c>
      <c r="H59" s="29">
        <f>IF(C59="", "", IF(D59="", "",D59-D44))</f>
        <v>0</v>
      </c>
      <c r="I59" s="29">
        <f>IF(D59="", "", IF(E59="", "",E59-E44))</f>
        <v>1.99</v>
      </c>
    </row>
    <row r="60" spans="1:9" x14ac:dyDescent="0.25">
      <c r="A60" s="30"/>
      <c r="B60" s="30" t="s">
        <v>18</v>
      </c>
      <c r="C60" s="31">
        <v>0</v>
      </c>
      <c r="D60" s="32">
        <v>0</v>
      </c>
      <c r="E60" s="33">
        <f>E59+C60-D60</f>
        <v>1.99</v>
      </c>
      <c r="F60" s="30"/>
      <c r="G60" s="30" t="s">
        <v>18</v>
      </c>
      <c r="H60" s="34">
        <f>IF(C60="", "", IF(D60="", "",D60-D45))</f>
        <v>0</v>
      </c>
      <c r="I60" s="34">
        <f>IF(D60="", "", IF(E60="", "",E60-E45))</f>
        <v>1.99</v>
      </c>
    </row>
    <row r="61" spans="1:9" s="2" customFormat="1" x14ac:dyDescent="0.25">
      <c r="A61" s="35"/>
      <c r="B61" s="35" t="s">
        <v>19</v>
      </c>
      <c r="C61" s="36">
        <f>SUM(C49:C60)</f>
        <v>1.99</v>
      </c>
      <c r="D61" s="37">
        <f>SUM(D49:D60)</f>
        <v>0</v>
      </c>
      <c r="E61" s="28"/>
      <c r="F61" s="35"/>
      <c r="G61" s="35"/>
      <c r="H61" s="28">
        <f>SUMIF(C49:C60,"&gt;=0",H49:H60)</f>
        <v>0</v>
      </c>
      <c r="I61" s="28"/>
    </row>
    <row r="62" spans="1:9" s="2" customFormat="1" x14ac:dyDescent="0.25">
      <c r="A62" s="35"/>
      <c r="B62" s="35" t="s">
        <v>20</v>
      </c>
      <c r="C62" s="36">
        <f>AVERAGE(C49:C60)</f>
        <v>0.39800000000000002</v>
      </c>
      <c r="D62" s="37">
        <f>AVERAGE(D49:D60)</f>
        <v>0</v>
      </c>
      <c r="E62" s="38" t="e">
        <f>C62/D62-1</f>
        <v>#DIV/0!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1.99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>
        <v>0</v>
      </c>
      <c r="D64" s="13">
        <v>0</v>
      </c>
      <c r="E64" s="14">
        <f>E63+C64-D64</f>
        <v>1.99</v>
      </c>
      <c r="F64" s="11"/>
      <c r="G64" s="11" t="s">
        <v>7</v>
      </c>
      <c r="H64" s="15">
        <f>IF(C64="", "", IF(D64="", "",D64-D49))</f>
        <v>0</v>
      </c>
      <c r="I64" s="15">
        <f>IF(D64="", "", IF(E64="", "",E64-E49))</f>
        <v>1.99</v>
      </c>
    </row>
    <row r="65" spans="1:9" x14ac:dyDescent="0.25">
      <c r="A65" s="11"/>
      <c r="B65" s="11" t="s">
        <v>8</v>
      </c>
      <c r="C65" s="12">
        <v>0</v>
      </c>
      <c r="D65" s="13">
        <v>0</v>
      </c>
      <c r="E65" s="14">
        <f>E64+C65-D65</f>
        <v>1.99</v>
      </c>
      <c r="F65" s="11"/>
      <c r="G65" s="11" t="s">
        <v>8</v>
      </c>
      <c r="H65" s="15">
        <f>IF(C65="", "", IF(D65="", "",D65-D50))</f>
        <v>0</v>
      </c>
      <c r="I65" s="15">
        <f>IF(D65="", "", IF(E65="", "",E65-E50))</f>
        <v>1.99</v>
      </c>
    </row>
    <row r="66" spans="1:9" x14ac:dyDescent="0.25">
      <c r="A66" s="11"/>
      <c r="B66" s="11" t="s">
        <v>9</v>
      </c>
      <c r="C66" s="12">
        <v>44019.5</v>
      </c>
      <c r="D66" s="13">
        <v>5141.4776000000002</v>
      </c>
      <c r="E66" s="14">
        <f>E65+C66-D66</f>
        <v>38880.0124</v>
      </c>
      <c r="F66" s="11"/>
      <c r="G66" s="11" t="s">
        <v>9</v>
      </c>
      <c r="H66" s="15">
        <f>IF(C66="", "", IF(D66="", "",D66-D51))</f>
        <v>5141.4776000000002</v>
      </c>
      <c r="I66" s="15">
        <f>IF(D66="", "", IF(E66="", "",E66-E51))</f>
        <v>38880.0124</v>
      </c>
    </row>
    <row r="67" spans="1:9" x14ac:dyDescent="0.25">
      <c r="A67" s="11"/>
      <c r="B67" s="11" t="s">
        <v>10</v>
      </c>
      <c r="C67" s="12">
        <v>0</v>
      </c>
      <c r="D67" s="13">
        <v>15283.570400000001</v>
      </c>
      <c r="E67" s="14">
        <f>E66+C67-D67</f>
        <v>23596.441999999999</v>
      </c>
      <c r="F67" s="11"/>
      <c r="G67" s="11" t="s">
        <v>10</v>
      </c>
      <c r="H67" s="15">
        <f>IF(C67="", "", IF(D67="", "",D67-D52))</f>
        <v>15283.570400000001</v>
      </c>
      <c r="I67" s="15">
        <f>IF(D67="", "", IF(E67="", "",E67-E52))</f>
        <v>23596.441999999999</v>
      </c>
    </row>
    <row r="68" spans="1:9" x14ac:dyDescent="0.25">
      <c r="A68" s="11"/>
      <c r="B68" s="11" t="s">
        <v>11</v>
      </c>
      <c r="C68" s="12">
        <v>29986.15</v>
      </c>
      <c r="D68" s="13">
        <v>18499.904870999999</v>
      </c>
      <c r="E68" s="14">
        <f>E67+C68-D68</f>
        <v>35082.687129000005</v>
      </c>
      <c r="F68" s="11"/>
      <c r="G68" s="11" t="s">
        <v>11</v>
      </c>
      <c r="H68" s="15">
        <f>IF(C68="", "", IF(D68="", "",D68-D53))</f>
        <v>18499.904870999999</v>
      </c>
      <c r="I68" s="15">
        <f>IF(D68="", "", IF(E68="", "",E68-E53))</f>
        <v>35082.687129000005</v>
      </c>
    </row>
    <row r="69" spans="1:9" x14ac:dyDescent="0.25">
      <c r="A69" s="11"/>
      <c r="B69" s="11" t="s">
        <v>12</v>
      </c>
      <c r="C69" s="12">
        <v>0</v>
      </c>
      <c r="D69" s="13">
        <v>19372.392230000001</v>
      </c>
      <c r="E69" s="14">
        <f>E68+C69-D69</f>
        <v>15710.294899000004</v>
      </c>
      <c r="F69" s="11"/>
      <c r="G69" s="11" t="s">
        <v>12</v>
      </c>
      <c r="H69" s="15">
        <f>IF(C69="", "", IF(D69="", "",D69-D54))</f>
        <v>19372.392230000001</v>
      </c>
      <c r="I69" s="15">
        <f>IF(D69="", "", IF(E69="", "",E69-E54))</f>
        <v>15710.294899000004</v>
      </c>
    </row>
    <row r="70" spans="1:9" x14ac:dyDescent="0.25">
      <c r="A70" s="11"/>
      <c r="B70" s="11" t="s">
        <v>13</v>
      </c>
      <c r="C70" s="12">
        <v>33735.07</v>
      </c>
      <c r="D70" s="13">
        <v>17657.054898999999</v>
      </c>
      <c r="E70" s="14">
        <f>E69+C70-D70</f>
        <v>31788.310000000009</v>
      </c>
      <c r="F70" s="11"/>
      <c r="G70" s="11" t="s">
        <v>13</v>
      </c>
      <c r="H70" s="15">
        <f>IF(C70="", "", IF(D70="", "",D70-D55))</f>
        <v>17657.054898999999</v>
      </c>
      <c r="I70" s="15">
        <f>IF(D70="", "", IF(E70="", "",E70-E55))</f>
        <v>31788.310000000009</v>
      </c>
    </row>
    <row r="71" spans="1:9" x14ac:dyDescent="0.25">
      <c r="A71" s="11"/>
      <c r="B71" s="11" t="s">
        <v>14</v>
      </c>
      <c r="C71" s="12">
        <v>55605.27</v>
      </c>
      <c r="D71" s="13">
        <v>11050.875183</v>
      </c>
      <c r="E71" s="14">
        <f>E70+C71-D71</f>
        <v>76342.704817000005</v>
      </c>
      <c r="F71" s="11"/>
      <c r="G71" s="11" t="s">
        <v>14</v>
      </c>
      <c r="H71" s="15">
        <f>IF(C71="", "", IF(D71="", "",D71-D56))</f>
        <v>11050.875183</v>
      </c>
      <c r="I71" s="15">
        <f>IF(D71="", "", IF(E71="", "",E71-E56))</f>
        <v>76341.704817000005</v>
      </c>
    </row>
    <row r="72" spans="1:9" x14ac:dyDescent="0.25">
      <c r="A72" s="11"/>
      <c r="B72" s="11" t="s">
        <v>15</v>
      </c>
      <c r="C72" s="12">
        <v>0</v>
      </c>
      <c r="D72" s="13">
        <v>11500.605331999999</v>
      </c>
      <c r="E72" s="14">
        <f>E71+C72-D72</f>
        <v>64842.099485000006</v>
      </c>
      <c r="F72" s="11"/>
      <c r="G72" s="11" t="s">
        <v>15</v>
      </c>
      <c r="H72" s="15">
        <f>IF(C72="", "", IF(D72="", "",D72-D57))</f>
        <v>11500.605331999999</v>
      </c>
      <c r="I72" s="15">
        <f>IF(D72="", "", IF(E72="", "",E72-E57))</f>
        <v>64841.099485000006</v>
      </c>
    </row>
    <row r="73" spans="1:9" x14ac:dyDescent="0.25">
      <c r="A73" s="11"/>
      <c r="B73" s="11" t="s">
        <v>16</v>
      </c>
      <c r="C73" s="12">
        <v>0</v>
      </c>
      <c r="D73" s="13">
        <v>21458.1944</v>
      </c>
      <c r="E73" s="14">
        <f>E72+C73-D73</f>
        <v>43383.905085000006</v>
      </c>
      <c r="F73" s="11"/>
      <c r="G73" s="11" t="s">
        <v>16</v>
      </c>
      <c r="H73" s="15">
        <f>IF(C73="", "", IF(D73="", "",D73-D58))</f>
        <v>21458.1944</v>
      </c>
      <c r="I73" s="15">
        <f>IF(D73="", "", IF(E73="", "",E73-E58))</f>
        <v>43382.905085000006</v>
      </c>
    </row>
    <row r="74" spans="1:9" x14ac:dyDescent="0.25">
      <c r="A74" s="11"/>
      <c r="B74" s="11" t="s">
        <v>17</v>
      </c>
      <c r="C74" s="12">
        <v>51806.53</v>
      </c>
      <c r="D74" s="13">
        <v>21790.032320999999</v>
      </c>
      <c r="E74" s="14">
        <f>E73+C74-D74</f>
        <v>73400.402763999999</v>
      </c>
      <c r="F74" s="11"/>
      <c r="G74" s="11" t="s">
        <v>17</v>
      </c>
      <c r="H74" s="15">
        <f>IF(C74="", "", IF(D74="", "",D74-D59))</f>
        <v>21790.032320999999</v>
      </c>
      <c r="I74" s="15">
        <f>IF(D74="", "", IF(E74="", "",E74-E59))</f>
        <v>73398.412763999993</v>
      </c>
    </row>
    <row r="75" spans="1:9" x14ac:dyDescent="0.25">
      <c r="A75" s="16"/>
      <c r="B75" s="16" t="s">
        <v>18</v>
      </c>
      <c r="C75" s="17">
        <v>0</v>
      </c>
      <c r="D75" s="18">
        <v>14026.563086</v>
      </c>
      <c r="E75" s="19">
        <f>E74+C75-D75</f>
        <v>59373.839677999997</v>
      </c>
      <c r="F75" s="16"/>
      <c r="G75" s="16" t="s">
        <v>18</v>
      </c>
      <c r="H75" s="20">
        <f>IF(C75="", "", IF(D75="", "",D75-D60))</f>
        <v>14026.563086</v>
      </c>
      <c r="I75" s="20">
        <f>IF(D75="", "", IF(E75="", "",E75-E60))</f>
        <v>59371.849677999999</v>
      </c>
    </row>
    <row r="76" spans="1:9" s="2" customFormat="1" x14ac:dyDescent="0.25">
      <c r="A76" s="21"/>
      <c r="B76" s="21" t="s">
        <v>19</v>
      </c>
      <c r="C76" s="22">
        <f>SUM(C64:C75)</f>
        <v>215152.52</v>
      </c>
      <c r="D76" s="23">
        <f>SUM(D64:D75)</f>
        <v>155780.67032200002</v>
      </c>
      <c r="E76" s="14"/>
      <c r="F76" s="21"/>
      <c r="G76" s="21"/>
      <c r="H76" s="14">
        <f>SUMIF(C64:C75,"&gt;=0",H64:H75)</f>
        <v>155780.67032200002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17929.376666666667</v>
      </c>
      <c r="D77" s="23">
        <f>AVERAGE(D64:D75)</f>
        <v>12981.722526833335</v>
      </c>
      <c r="E77" s="24">
        <f>C77/D77-1</f>
        <v>0.38112462576568618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59373.839677999997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59373.839677999997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59373.839677999997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59373.839677999997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59373.839677999997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59373.839677999997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59373.839677999997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59373.839677999997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59373.839677999997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59373.839677999997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59373.839677999997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59373.839677999997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59373.839677999997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8349A-B5C4-45B6-99D3-33BBEBE963A1}">
  <sheetPr codeName="Sheet16"/>
  <dimension ref="A2:I92"/>
  <sheetViews>
    <sheetView topLeftCell="A72" workbookViewId="0">
      <selection activeCell="E93" sqref="E93"/>
    </sheetView>
  </sheetViews>
  <sheetFormatPr defaultRowHeight="15" x14ac:dyDescent="0.25"/>
  <cols>
    <col min="3" max="3" width="20.7109375" style="8" customWidth="1"/>
    <col min="4" max="4" width="20.7109375" style="10" customWidth="1"/>
    <col min="5" max="5" width="20.7109375" style="5" customWidth="1"/>
    <col min="6" max="6" width="2.7109375" customWidth="1"/>
    <col min="7" max="7" width="6.7109375" customWidth="1"/>
    <col min="8" max="9" width="20.7109375" style="4" customWidth="1"/>
  </cols>
  <sheetData>
    <row r="2" spans="1:9" s="1" customFormat="1" ht="30" x14ac:dyDescent="0.25">
      <c r="A2" s="1" t="s">
        <v>0</v>
      </c>
      <c r="B2" s="1" t="s">
        <v>1</v>
      </c>
      <c r="C2" s="7" t="s">
        <v>2</v>
      </c>
      <c r="D2" s="9" t="s">
        <v>3</v>
      </c>
      <c r="E2" s="3" t="s">
        <v>4</v>
      </c>
      <c r="H2" s="6" t="s">
        <v>5</v>
      </c>
      <c r="I2" s="6" t="s">
        <v>6</v>
      </c>
    </row>
    <row r="3" spans="1:9" x14ac:dyDescent="0.25">
      <c r="A3" s="11"/>
      <c r="B3" s="11"/>
      <c r="C3" s="12"/>
      <c r="D3" s="13"/>
      <c r="E3" s="14"/>
      <c r="F3" s="11"/>
      <c r="G3" s="11"/>
      <c r="H3" s="15"/>
      <c r="I3" s="15"/>
    </row>
    <row r="4" spans="1:9" x14ac:dyDescent="0.25">
      <c r="A4" s="11">
        <v>2019</v>
      </c>
      <c r="B4" s="11" t="s">
        <v>7</v>
      </c>
      <c r="C4" s="12"/>
      <c r="D4" s="13"/>
      <c r="E4" s="14">
        <f>E3+C4-D4</f>
        <v>0</v>
      </c>
      <c r="F4" s="11"/>
      <c r="G4" s="11" t="s">
        <v>7</v>
      </c>
      <c r="H4" s="15"/>
      <c r="I4" s="15"/>
    </row>
    <row r="5" spans="1:9" x14ac:dyDescent="0.25">
      <c r="A5" s="11"/>
      <c r="B5" s="11" t="s">
        <v>8</v>
      </c>
      <c r="C5" s="12"/>
      <c r="D5" s="13"/>
      <c r="E5" s="14">
        <f>E4+C5-D5</f>
        <v>0</v>
      </c>
      <c r="F5" s="11"/>
      <c r="G5" s="11" t="s">
        <v>8</v>
      </c>
      <c r="H5" s="15"/>
      <c r="I5" s="15"/>
    </row>
    <row r="6" spans="1:9" x14ac:dyDescent="0.25">
      <c r="A6" s="11"/>
      <c r="B6" s="11" t="s">
        <v>9</v>
      </c>
      <c r="C6" s="12"/>
      <c r="D6" s="13"/>
      <c r="E6" s="14">
        <f>E5+C6-D6</f>
        <v>0</v>
      </c>
      <c r="F6" s="11"/>
      <c r="G6" s="11" t="s">
        <v>9</v>
      </c>
      <c r="H6" s="15"/>
      <c r="I6" s="15"/>
    </row>
    <row r="7" spans="1:9" x14ac:dyDescent="0.25">
      <c r="A7" s="11"/>
      <c r="B7" s="11" t="s">
        <v>10</v>
      </c>
      <c r="C7" s="12"/>
      <c r="D7" s="13"/>
      <c r="E7" s="14">
        <f>E6+C7-D7</f>
        <v>0</v>
      </c>
      <c r="F7" s="11"/>
      <c r="G7" s="11" t="s">
        <v>10</v>
      </c>
      <c r="H7" s="15"/>
      <c r="I7" s="15"/>
    </row>
    <row r="8" spans="1:9" x14ac:dyDescent="0.25">
      <c r="A8" s="11"/>
      <c r="B8" s="11" t="s">
        <v>11</v>
      </c>
      <c r="C8" s="12"/>
      <c r="D8" s="13"/>
      <c r="E8" s="14">
        <f>E7+C8-D8</f>
        <v>0</v>
      </c>
      <c r="F8" s="11"/>
      <c r="G8" s="11" t="s">
        <v>11</v>
      </c>
      <c r="H8" s="15"/>
      <c r="I8" s="15"/>
    </row>
    <row r="9" spans="1:9" x14ac:dyDescent="0.25">
      <c r="A9" s="11"/>
      <c r="B9" s="11" t="s">
        <v>12</v>
      </c>
      <c r="C9" s="12"/>
      <c r="D9" s="13"/>
      <c r="E9" s="14">
        <f>E8+C9-D9</f>
        <v>0</v>
      </c>
      <c r="F9" s="11"/>
      <c r="G9" s="11" t="s">
        <v>12</v>
      </c>
      <c r="H9" s="15"/>
      <c r="I9" s="15"/>
    </row>
    <row r="10" spans="1:9" x14ac:dyDescent="0.25">
      <c r="A10" s="11"/>
      <c r="B10" s="11" t="s">
        <v>13</v>
      </c>
      <c r="C10" s="12"/>
      <c r="D10" s="13"/>
      <c r="E10" s="14">
        <f>E9+C10-D10</f>
        <v>0</v>
      </c>
      <c r="F10" s="11"/>
      <c r="G10" s="11" t="s">
        <v>13</v>
      </c>
      <c r="H10" s="15"/>
      <c r="I10" s="15"/>
    </row>
    <row r="11" spans="1:9" x14ac:dyDescent="0.25">
      <c r="A11" s="11"/>
      <c r="B11" s="11" t="s">
        <v>14</v>
      </c>
      <c r="C11" s="12"/>
      <c r="D11" s="13"/>
      <c r="E11" s="14">
        <f>E10+C11-D11</f>
        <v>0</v>
      </c>
      <c r="F11" s="11"/>
      <c r="G11" s="11" t="s">
        <v>14</v>
      </c>
      <c r="H11" s="15"/>
      <c r="I11" s="15"/>
    </row>
    <row r="12" spans="1:9" x14ac:dyDescent="0.25">
      <c r="A12" s="11"/>
      <c r="B12" s="11" t="s">
        <v>15</v>
      </c>
      <c r="C12" s="12"/>
      <c r="D12" s="13"/>
      <c r="E12" s="14">
        <f>E11+C12-D12</f>
        <v>0</v>
      </c>
      <c r="F12" s="11"/>
      <c r="G12" s="11" t="s">
        <v>15</v>
      </c>
      <c r="H12" s="15"/>
      <c r="I12" s="15"/>
    </row>
    <row r="13" spans="1:9" x14ac:dyDescent="0.25">
      <c r="A13" s="11"/>
      <c r="B13" s="11" t="s">
        <v>16</v>
      </c>
      <c r="C13" s="12"/>
      <c r="D13" s="13"/>
      <c r="E13" s="14">
        <f>E12+C13-D13</f>
        <v>0</v>
      </c>
      <c r="F13" s="11"/>
      <c r="G13" s="11" t="s">
        <v>16</v>
      </c>
      <c r="H13" s="15"/>
      <c r="I13" s="15"/>
    </row>
    <row r="14" spans="1:9" x14ac:dyDescent="0.25">
      <c r="A14" s="11"/>
      <c r="B14" s="11" t="s">
        <v>17</v>
      </c>
      <c r="C14" s="12"/>
      <c r="D14" s="13"/>
      <c r="E14" s="14">
        <f>E13+C14-D14</f>
        <v>0</v>
      </c>
      <c r="F14" s="11"/>
      <c r="G14" s="11" t="s">
        <v>17</v>
      </c>
      <c r="H14" s="15"/>
      <c r="I14" s="15"/>
    </row>
    <row r="15" spans="1:9" x14ac:dyDescent="0.25">
      <c r="A15" s="16"/>
      <c r="B15" s="16" t="s">
        <v>18</v>
      </c>
      <c r="C15" s="17"/>
      <c r="D15" s="18"/>
      <c r="E15" s="19">
        <f>E14+C15-D15</f>
        <v>0</v>
      </c>
      <c r="F15" s="16"/>
      <c r="G15" s="16" t="s">
        <v>18</v>
      </c>
      <c r="H15" s="20"/>
      <c r="I15" s="20"/>
    </row>
    <row r="16" spans="1:9" s="2" customFormat="1" x14ac:dyDescent="0.25">
      <c r="A16" s="21"/>
      <c r="B16" s="21" t="s">
        <v>19</v>
      </c>
      <c r="C16" s="22">
        <f>SUM(C4:C15)</f>
        <v>0</v>
      </c>
      <c r="D16" s="23">
        <f>SUM(D4:D15)</f>
        <v>0</v>
      </c>
      <c r="E16" s="14"/>
      <c r="F16" s="21"/>
      <c r="G16" s="21"/>
      <c r="H16" s="14"/>
      <c r="I16" s="14"/>
    </row>
    <row r="17" spans="1:9" s="2" customFormat="1" x14ac:dyDescent="0.25">
      <c r="A17" s="21"/>
      <c r="B17" s="21" t="s">
        <v>20</v>
      </c>
      <c r="C17" s="22" t="e">
        <f>AVERAGE(C4:C15)</f>
        <v>#DIV/0!</v>
      </c>
      <c r="D17" s="23" t="e">
        <f>AVERAGE(D4:D15)</f>
        <v>#DIV/0!</v>
      </c>
      <c r="E17" s="24" t="e">
        <f>C17/D17-1</f>
        <v>#DIV/0!</v>
      </c>
      <c r="F17" s="21"/>
      <c r="G17" s="21"/>
      <c r="H17" s="14"/>
      <c r="I17" s="14"/>
    </row>
    <row r="18" spans="1:9" x14ac:dyDescent="0.25">
      <c r="A18" s="25"/>
      <c r="B18" s="25"/>
      <c r="C18" s="26"/>
      <c r="D18" s="27"/>
      <c r="E18" s="28">
        <f>E15</f>
        <v>0</v>
      </c>
      <c r="F18" s="25"/>
      <c r="G18" s="25"/>
      <c r="H18" s="29"/>
      <c r="I18" s="29"/>
    </row>
    <row r="19" spans="1:9" x14ac:dyDescent="0.25">
      <c r="A19" s="25">
        <v>2020</v>
      </c>
      <c r="B19" s="25" t="s">
        <v>7</v>
      </c>
      <c r="C19" s="26"/>
      <c r="D19" s="27"/>
      <c r="E19" s="28">
        <f>E18+C19-D19</f>
        <v>0</v>
      </c>
      <c r="F19" s="25"/>
      <c r="G19" s="25" t="s">
        <v>7</v>
      </c>
      <c r="H19" s="29" t="str">
        <f>IF(C19="", "", IF(D19="", "",D19-D4))</f>
        <v/>
      </c>
      <c r="I19" s="29" t="str">
        <f>IF(D19="", "", IF(E19="", "",E19-E4))</f>
        <v/>
      </c>
    </row>
    <row r="20" spans="1:9" x14ac:dyDescent="0.25">
      <c r="A20" s="25"/>
      <c r="B20" s="25" t="s">
        <v>8</v>
      </c>
      <c r="C20" s="26"/>
      <c r="D20" s="27"/>
      <c r="E20" s="28">
        <f>E19+C20-D20</f>
        <v>0</v>
      </c>
      <c r="F20" s="25"/>
      <c r="G20" s="25" t="s">
        <v>8</v>
      </c>
      <c r="H20" s="29" t="str">
        <f>IF(C20="", "", IF(D20="", "",D20-D5))</f>
        <v/>
      </c>
      <c r="I20" s="29" t="str">
        <f>IF(D20="", "", IF(E20="", "",E20-E5))</f>
        <v/>
      </c>
    </row>
    <row r="21" spans="1:9" x14ac:dyDescent="0.25">
      <c r="A21" s="25"/>
      <c r="B21" s="25" t="s">
        <v>9</v>
      </c>
      <c r="C21" s="26"/>
      <c r="D21" s="27"/>
      <c r="E21" s="28">
        <f>E20+C21-D21</f>
        <v>0</v>
      </c>
      <c r="F21" s="25"/>
      <c r="G21" s="25" t="s">
        <v>9</v>
      </c>
      <c r="H21" s="29" t="str">
        <f>IF(C21="", "", IF(D21="", "",D21-D6))</f>
        <v/>
      </c>
      <c r="I21" s="29" t="str">
        <f>IF(D21="", "", IF(E21="", "",E21-E6))</f>
        <v/>
      </c>
    </row>
    <row r="22" spans="1:9" x14ac:dyDescent="0.25">
      <c r="A22" s="25"/>
      <c r="B22" s="25" t="s">
        <v>10</v>
      </c>
      <c r="C22" s="26"/>
      <c r="D22" s="27"/>
      <c r="E22" s="28">
        <f>E21+C22-D22</f>
        <v>0</v>
      </c>
      <c r="F22" s="25"/>
      <c r="G22" s="25" t="s">
        <v>10</v>
      </c>
      <c r="H22" s="29" t="str">
        <f>IF(C22="", "", IF(D22="", "",D22-D7))</f>
        <v/>
      </c>
      <c r="I22" s="29" t="str">
        <f>IF(D22="", "", IF(E22="", "",E22-E7))</f>
        <v/>
      </c>
    </row>
    <row r="23" spans="1:9" x14ac:dyDescent="0.25">
      <c r="A23" s="25"/>
      <c r="B23" s="25" t="s">
        <v>11</v>
      </c>
      <c r="C23" s="26"/>
      <c r="D23" s="27"/>
      <c r="E23" s="28">
        <f>E22+C23-D23</f>
        <v>0</v>
      </c>
      <c r="F23" s="25"/>
      <c r="G23" s="25" t="s">
        <v>11</v>
      </c>
      <c r="H23" s="29" t="str">
        <f>IF(C23="", "", IF(D23="", "",D23-D8))</f>
        <v/>
      </c>
      <c r="I23" s="29" t="str">
        <f>IF(D23="", "", IF(E23="", "",E23-E8))</f>
        <v/>
      </c>
    </row>
    <row r="24" spans="1:9" x14ac:dyDescent="0.25">
      <c r="A24" s="25"/>
      <c r="B24" s="25" t="s">
        <v>12</v>
      </c>
      <c r="C24" s="26"/>
      <c r="D24" s="27"/>
      <c r="E24" s="28">
        <f>E23+C24-D24</f>
        <v>0</v>
      </c>
      <c r="F24" s="25"/>
      <c r="G24" s="25" t="s">
        <v>12</v>
      </c>
      <c r="H24" s="29" t="str">
        <f>IF(C24="", "", IF(D24="", "",D24-D9))</f>
        <v/>
      </c>
      <c r="I24" s="29" t="str">
        <f>IF(D24="", "", IF(E24="", "",E24-E9))</f>
        <v/>
      </c>
    </row>
    <row r="25" spans="1:9" x14ac:dyDescent="0.25">
      <c r="A25" s="25"/>
      <c r="B25" s="25" t="s">
        <v>13</v>
      </c>
      <c r="C25" s="26"/>
      <c r="D25" s="27"/>
      <c r="E25" s="28">
        <f>E24+C25-D25</f>
        <v>0</v>
      </c>
      <c r="F25" s="25"/>
      <c r="G25" s="25" t="s">
        <v>13</v>
      </c>
      <c r="H25" s="29" t="str">
        <f>IF(C25="", "", IF(D25="", "",D25-D10))</f>
        <v/>
      </c>
      <c r="I25" s="29" t="str">
        <f>IF(D25="", "", IF(E25="", "",E25-E10))</f>
        <v/>
      </c>
    </row>
    <row r="26" spans="1:9" x14ac:dyDescent="0.25">
      <c r="A26" s="25"/>
      <c r="B26" s="25" t="s">
        <v>14</v>
      </c>
      <c r="C26" s="26"/>
      <c r="D26" s="27"/>
      <c r="E26" s="28">
        <f>E25+C26-D26</f>
        <v>0</v>
      </c>
      <c r="F26" s="25"/>
      <c r="G26" s="25" t="s">
        <v>14</v>
      </c>
      <c r="H26" s="29" t="str">
        <f>IF(C26="", "", IF(D26="", "",D26-D11))</f>
        <v/>
      </c>
      <c r="I26" s="29" t="str">
        <f>IF(D26="", "", IF(E26="", "",E26-E11))</f>
        <v/>
      </c>
    </row>
    <row r="27" spans="1:9" x14ac:dyDescent="0.25">
      <c r="A27" s="25"/>
      <c r="B27" s="25" t="s">
        <v>15</v>
      </c>
      <c r="C27" s="26"/>
      <c r="D27" s="27"/>
      <c r="E27" s="28">
        <f>E26+C27-D27</f>
        <v>0</v>
      </c>
      <c r="F27" s="25"/>
      <c r="G27" s="25" t="s">
        <v>15</v>
      </c>
      <c r="H27" s="29" t="str">
        <f>IF(C27="", "", IF(D27="", "",D27-D12))</f>
        <v/>
      </c>
      <c r="I27" s="29" t="str">
        <f>IF(D27="", "", IF(E27="", "",E27-E12))</f>
        <v/>
      </c>
    </row>
    <row r="28" spans="1:9" x14ac:dyDescent="0.25">
      <c r="A28" s="25"/>
      <c r="B28" s="25" t="s">
        <v>16</v>
      </c>
      <c r="C28" s="26"/>
      <c r="D28" s="27"/>
      <c r="E28" s="28">
        <f>E27+C28-D28</f>
        <v>0</v>
      </c>
      <c r="F28" s="25"/>
      <c r="G28" s="25" t="s">
        <v>16</v>
      </c>
      <c r="H28" s="29" t="str">
        <f>IF(C28="", "", IF(D28="", "",D28-D13))</f>
        <v/>
      </c>
      <c r="I28" s="29" t="str">
        <f>IF(D28="", "", IF(E28="", "",E28-E13))</f>
        <v/>
      </c>
    </row>
    <row r="29" spans="1:9" x14ac:dyDescent="0.25">
      <c r="A29" s="25"/>
      <c r="B29" s="25" t="s">
        <v>17</v>
      </c>
      <c r="C29" s="26"/>
      <c r="D29" s="27"/>
      <c r="E29" s="28">
        <f>E28+C29-D29</f>
        <v>0</v>
      </c>
      <c r="F29" s="25"/>
      <c r="G29" s="25" t="s">
        <v>17</v>
      </c>
      <c r="H29" s="29" t="str">
        <f>IF(C29="", "", IF(D29="", "",D29-D14))</f>
        <v/>
      </c>
      <c r="I29" s="29" t="str">
        <f>IF(D29="", "", IF(E29="", "",E29-E14))</f>
        <v/>
      </c>
    </row>
    <row r="30" spans="1:9" x14ac:dyDescent="0.25">
      <c r="A30" s="30"/>
      <c r="B30" s="30" t="s">
        <v>18</v>
      </c>
      <c r="C30" s="31"/>
      <c r="D30" s="32"/>
      <c r="E30" s="33">
        <f>E29+C30-D30</f>
        <v>0</v>
      </c>
      <c r="F30" s="30"/>
      <c r="G30" s="30" t="s">
        <v>18</v>
      </c>
      <c r="H30" s="34" t="str">
        <f>IF(C30="", "", IF(D30="", "",D30-D15))</f>
        <v/>
      </c>
      <c r="I30" s="34" t="str">
        <f>IF(D30="", "", IF(E30="", "",E30-E15))</f>
        <v/>
      </c>
    </row>
    <row r="31" spans="1:9" s="2" customFormat="1" x14ac:dyDescent="0.25">
      <c r="A31" s="35"/>
      <c r="B31" s="35" t="s">
        <v>19</v>
      </c>
      <c r="C31" s="36">
        <f>SUM(C19:C30)</f>
        <v>0</v>
      </c>
      <c r="D31" s="37">
        <f>SUM(D19:D30)</f>
        <v>0</v>
      </c>
      <c r="E31" s="28"/>
      <c r="F31" s="35"/>
      <c r="G31" s="35"/>
      <c r="H31" s="28">
        <f>SUMIF(C19:C30,"&gt;=0",H19:H30)</f>
        <v>0</v>
      </c>
      <c r="I31" s="28"/>
    </row>
    <row r="32" spans="1:9" s="2" customFormat="1" x14ac:dyDescent="0.25">
      <c r="A32" s="35"/>
      <c r="B32" s="35" t="s">
        <v>20</v>
      </c>
      <c r="C32" s="36" t="e">
        <f>AVERAGE(C19:C30)</f>
        <v>#DIV/0!</v>
      </c>
      <c r="D32" s="37" t="e">
        <f>AVERAGE(D19:D30)</f>
        <v>#DIV/0!</v>
      </c>
      <c r="E32" s="38" t="e">
        <f>C32/D32-1</f>
        <v>#DIV/0!</v>
      </c>
      <c r="F32" s="35"/>
      <c r="G32" s="35"/>
      <c r="H32" s="28"/>
      <c r="I32" s="28"/>
    </row>
    <row r="33" spans="1:9" x14ac:dyDescent="0.25">
      <c r="A33" s="11"/>
      <c r="B33" s="11"/>
      <c r="C33" s="12"/>
      <c r="D33" s="13"/>
      <c r="E33" s="14">
        <f>E30</f>
        <v>0</v>
      </c>
      <c r="F33" s="11"/>
      <c r="G33" s="11"/>
      <c r="H33" s="15"/>
      <c r="I33" s="15"/>
    </row>
    <row r="34" spans="1:9" x14ac:dyDescent="0.25">
      <c r="A34" s="11">
        <v>2021</v>
      </c>
      <c r="B34" s="11" t="s">
        <v>7</v>
      </c>
      <c r="C34" s="12"/>
      <c r="D34" s="13"/>
      <c r="E34" s="14">
        <f>E33+C34-D34</f>
        <v>0</v>
      </c>
      <c r="F34" s="11"/>
      <c r="G34" s="11" t="s">
        <v>7</v>
      </c>
      <c r="H34" s="15" t="str">
        <f>IF(C34="", "", IF(D34="", "",D34-D19))</f>
        <v/>
      </c>
      <c r="I34" s="15" t="str">
        <f>IF(D34="", "", IF(E34="", "",E34-E19))</f>
        <v/>
      </c>
    </row>
    <row r="35" spans="1:9" x14ac:dyDescent="0.25">
      <c r="A35" s="11"/>
      <c r="B35" s="11" t="s">
        <v>8</v>
      </c>
      <c r="C35" s="12"/>
      <c r="D35" s="13"/>
      <c r="E35" s="14">
        <f>E34+C35-D35</f>
        <v>0</v>
      </c>
      <c r="F35" s="11"/>
      <c r="G35" s="11" t="s">
        <v>8</v>
      </c>
      <c r="H35" s="15" t="str">
        <f>IF(C35="", "", IF(D35="", "",D35-D20))</f>
        <v/>
      </c>
      <c r="I35" s="15" t="str">
        <f>IF(D35="", "", IF(E35="", "",E35-E20))</f>
        <v/>
      </c>
    </row>
    <row r="36" spans="1:9" x14ac:dyDescent="0.25">
      <c r="A36" s="11"/>
      <c r="B36" s="11" t="s">
        <v>9</v>
      </c>
      <c r="C36" s="12"/>
      <c r="D36" s="13"/>
      <c r="E36" s="14">
        <f>E35+C36-D36</f>
        <v>0</v>
      </c>
      <c r="F36" s="11"/>
      <c r="G36" s="11" t="s">
        <v>9</v>
      </c>
      <c r="H36" s="15" t="str">
        <f>IF(C36="", "", IF(D36="", "",D36-D21))</f>
        <v/>
      </c>
      <c r="I36" s="15" t="str">
        <f>IF(D36="", "", IF(E36="", "",E36-E21))</f>
        <v/>
      </c>
    </row>
    <row r="37" spans="1:9" x14ac:dyDescent="0.25">
      <c r="A37" s="11"/>
      <c r="B37" s="11" t="s">
        <v>10</v>
      </c>
      <c r="C37" s="12"/>
      <c r="D37" s="13"/>
      <c r="E37" s="14">
        <f>E36+C37-D37</f>
        <v>0</v>
      </c>
      <c r="F37" s="11"/>
      <c r="G37" s="11" t="s">
        <v>10</v>
      </c>
      <c r="H37" s="15" t="str">
        <f>IF(C37="", "", IF(D37="", "",D37-D22))</f>
        <v/>
      </c>
      <c r="I37" s="15" t="str">
        <f>IF(D37="", "", IF(E37="", "",E37-E22))</f>
        <v/>
      </c>
    </row>
    <row r="38" spans="1:9" x14ac:dyDescent="0.25">
      <c r="A38" s="11"/>
      <c r="B38" s="11" t="s">
        <v>11</v>
      </c>
      <c r="C38" s="12"/>
      <c r="D38" s="13"/>
      <c r="E38" s="14">
        <f>E37+C38-D38</f>
        <v>0</v>
      </c>
      <c r="F38" s="11"/>
      <c r="G38" s="11" t="s">
        <v>11</v>
      </c>
      <c r="H38" s="15" t="str">
        <f>IF(C38="", "", IF(D38="", "",D38-D23))</f>
        <v/>
      </c>
      <c r="I38" s="15" t="str">
        <f>IF(D38="", "", IF(E38="", "",E38-E23))</f>
        <v/>
      </c>
    </row>
    <row r="39" spans="1:9" x14ac:dyDescent="0.25">
      <c r="A39" s="11"/>
      <c r="B39" s="11" t="s">
        <v>12</v>
      </c>
      <c r="C39" s="12"/>
      <c r="D39" s="13"/>
      <c r="E39" s="14">
        <f>E38+C39-D39</f>
        <v>0</v>
      </c>
      <c r="F39" s="11"/>
      <c r="G39" s="11" t="s">
        <v>12</v>
      </c>
      <c r="H39" s="15" t="str">
        <f>IF(C39="", "", IF(D39="", "",D39-D24))</f>
        <v/>
      </c>
      <c r="I39" s="15" t="str">
        <f>IF(D39="", "", IF(E39="", "",E39-E24))</f>
        <v/>
      </c>
    </row>
    <row r="40" spans="1:9" x14ac:dyDescent="0.25">
      <c r="A40" s="11"/>
      <c r="B40" s="11" t="s">
        <v>13</v>
      </c>
      <c r="C40" s="12"/>
      <c r="D40" s="13"/>
      <c r="E40" s="14">
        <f>E39+C40-D40</f>
        <v>0</v>
      </c>
      <c r="F40" s="11"/>
      <c r="G40" s="11" t="s">
        <v>13</v>
      </c>
      <c r="H40" s="15" t="str">
        <f>IF(C40="", "", IF(D40="", "",D40-D25))</f>
        <v/>
      </c>
      <c r="I40" s="15" t="str">
        <f>IF(D40="", "", IF(E40="", "",E40-E25))</f>
        <v/>
      </c>
    </row>
    <row r="41" spans="1:9" x14ac:dyDescent="0.25">
      <c r="A41" s="11"/>
      <c r="B41" s="11" t="s">
        <v>14</v>
      </c>
      <c r="C41" s="12"/>
      <c r="D41" s="13"/>
      <c r="E41" s="14">
        <f>E40+C41-D41</f>
        <v>0</v>
      </c>
      <c r="F41" s="11"/>
      <c r="G41" s="11" t="s">
        <v>14</v>
      </c>
      <c r="H41" s="15" t="str">
        <f>IF(C41="", "", IF(D41="", "",D41-D26))</f>
        <v/>
      </c>
      <c r="I41" s="15" t="str">
        <f>IF(D41="", "", IF(E41="", "",E41-E26))</f>
        <v/>
      </c>
    </row>
    <row r="42" spans="1:9" x14ac:dyDescent="0.25">
      <c r="A42" s="11"/>
      <c r="B42" s="11" t="s">
        <v>15</v>
      </c>
      <c r="C42" s="12"/>
      <c r="D42" s="13"/>
      <c r="E42" s="14">
        <f>E41+C42-D42</f>
        <v>0</v>
      </c>
      <c r="F42" s="11"/>
      <c r="G42" s="11" t="s">
        <v>15</v>
      </c>
      <c r="H42" s="15" t="str">
        <f>IF(C42="", "", IF(D42="", "",D42-D27))</f>
        <v/>
      </c>
      <c r="I42" s="15" t="str">
        <f>IF(D42="", "", IF(E42="", "",E42-E27))</f>
        <v/>
      </c>
    </row>
    <row r="43" spans="1:9" x14ac:dyDescent="0.25">
      <c r="A43" s="11"/>
      <c r="B43" s="11" t="s">
        <v>16</v>
      </c>
      <c r="C43" s="12"/>
      <c r="D43" s="13"/>
      <c r="E43" s="14">
        <f>E42+C43-D43</f>
        <v>0</v>
      </c>
      <c r="F43" s="11"/>
      <c r="G43" s="11" t="s">
        <v>16</v>
      </c>
      <c r="H43" s="15" t="str">
        <f>IF(C43="", "", IF(D43="", "",D43-D28))</f>
        <v/>
      </c>
      <c r="I43" s="15" t="str">
        <f>IF(D43="", "", IF(E43="", "",E43-E28))</f>
        <v/>
      </c>
    </row>
    <row r="44" spans="1:9" x14ac:dyDescent="0.25">
      <c r="A44" s="11"/>
      <c r="B44" s="11" t="s">
        <v>17</v>
      </c>
      <c r="C44" s="12"/>
      <c r="D44" s="13"/>
      <c r="E44" s="14">
        <f>E43+C44-D44</f>
        <v>0</v>
      </c>
      <c r="F44" s="11"/>
      <c r="G44" s="11" t="s">
        <v>17</v>
      </c>
      <c r="H44" s="15" t="str">
        <f>IF(C44="", "", IF(D44="", "",D44-D29))</f>
        <v/>
      </c>
      <c r="I44" s="15" t="str">
        <f>IF(D44="", "", IF(E44="", "",E44-E29))</f>
        <v/>
      </c>
    </row>
    <row r="45" spans="1:9" x14ac:dyDescent="0.25">
      <c r="A45" s="16"/>
      <c r="B45" s="16" t="s">
        <v>18</v>
      </c>
      <c r="C45" s="17"/>
      <c r="D45" s="18"/>
      <c r="E45" s="19">
        <f>E44+C45-D45</f>
        <v>0</v>
      </c>
      <c r="F45" s="16"/>
      <c r="G45" s="16" t="s">
        <v>18</v>
      </c>
      <c r="H45" s="20" t="str">
        <f>IF(C45="", "", IF(D45="", "",D45-D30))</f>
        <v/>
      </c>
      <c r="I45" s="20" t="str">
        <f>IF(D45="", "", IF(E45="", "",E45-E30))</f>
        <v/>
      </c>
    </row>
    <row r="46" spans="1:9" s="2" customFormat="1" x14ac:dyDescent="0.25">
      <c r="A46" s="21"/>
      <c r="B46" s="21" t="s">
        <v>19</v>
      </c>
      <c r="C46" s="22">
        <f>SUM(C34:C45)</f>
        <v>0</v>
      </c>
      <c r="D46" s="23">
        <f>SUM(D34:D45)</f>
        <v>0</v>
      </c>
      <c r="E46" s="14"/>
      <c r="F46" s="21"/>
      <c r="G46" s="21"/>
      <c r="H46" s="14">
        <f>SUMIF(C34:C45,"&gt;=0",H34:H45)</f>
        <v>0</v>
      </c>
      <c r="I46" s="14"/>
    </row>
    <row r="47" spans="1:9" s="2" customFormat="1" x14ac:dyDescent="0.25">
      <c r="A47" s="21"/>
      <c r="B47" s="21" t="s">
        <v>20</v>
      </c>
      <c r="C47" s="22" t="e">
        <f>AVERAGE(C34:C45)</f>
        <v>#DIV/0!</v>
      </c>
      <c r="D47" s="23" t="e">
        <f>AVERAGE(D34:D45)</f>
        <v>#DIV/0!</v>
      </c>
      <c r="E47" s="24" t="e">
        <f>C47/D47-1</f>
        <v>#DIV/0!</v>
      </c>
      <c r="F47" s="21"/>
      <c r="G47" s="21"/>
      <c r="H47" s="14"/>
      <c r="I47" s="14"/>
    </row>
    <row r="48" spans="1:9" x14ac:dyDescent="0.25">
      <c r="A48" s="25"/>
      <c r="B48" s="25"/>
      <c r="C48" s="26"/>
      <c r="D48" s="27"/>
      <c r="E48" s="28">
        <f>E45</f>
        <v>0</v>
      </c>
      <c r="F48" s="25"/>
      <c r="G48" s="25"/>
      <c r="H48" s="29"/>
      <c r="I48" s="29"/>
    </row>
    <row r="49" spans="1:9" x14ac:dyDescent="0.25">
      <c r="A49" s="25">
        <v>2022</v>
      </c>
      <c r="B49" s="25" t="s">
        <v>7</v>
      </c>
      <c r="C49" s="26"/>
      <c r="D49" s="27"/>
      <c r="E49" s="28">
        <f>E48+C49-D49</f>
        <v>0</v>
      </c>
      <c r="F49" s="25"/>
      <c r="G49" s="25" t="s">
        <v>7</v>
      </c>
      <c r="H49" s="29" t="str">
        <f>IF(C49="", "", IF(D49="", "",D49-D34))</f>
        <v/>
      </c>
      <c r="I49" s="29" t="str">
        <f>IF(D49="", "", IF(E49="", "",E49-E34))</f>
        <v/>
      </c>
    </row>
    <row r="50" spans="1:9" x14ac:dyDescent="0.25">
      <c r="A50" s="25"/>
      <c r="B50" s="25" t="s">
        <v>8</v>
      </c>
      <c r="C50" s="26"/>
      <c r="D50" s="27"/>
      <c r="E50" s="28">
        <f>E49+C50-D50</f>
        <v>0</v>
      </c>
      <c r="F50" s="25"/>
      <c r="G50" s="25" t="s">
        <v>8</v>
      </c>
      <c r="H50" s="29" t="str">
        <f>IF(C50="", "", IF(D50="", "",D50-D35))</f>
        <v/>
      </c>
      <c r="I50" s="29" t="str">
        <f>IF(D50="", "", IF(E50="", "",E50-E35))</f>
        <v/>
      </c>
    </row>
    <row r="51" spans="1:9" x14ac:dyDescent="0.25">
      <c r="A51" s="25"/>
      <c r="B51" s="25" t="s">
        <v>9</v>
      </c>
      <c r="C51" s="26"/>
      <c r="D51" s="27"/>
      <c r="E51" s="28">
        <f>E50+C51-D51</f>
        <v>0</v>
      </c>
      <c r="F51" s="25"/>
      <c r="G51" s="25" t="s">
        <v>9</v>
      </c>
      <c r="H51" s="29" t="str">
        <f>IF(C51="", "", IF(D51="", "",D51-D36))</f>
        <v/>
      </c>
      <c r="I51" s="29" t="str">
        <f>IF(D51="", "", IF(E51="", "",E51-E36))</f>
        <v/>
      </c>
    </row>
    <row r="52" spans="1:9" x14ac:dyDescent="0.25">
      <c r="A52" s="25"/>
      <c r="B52" s="25" t="s">
        <v>10</v>
      </c>
      <c r="C52" s="26"/>
      <c r="D52" s="27"/>
      <c r="E52" s="28">
        <f>E51+C52-D52</f>
        <v>0</v>
      </c>
      <c r="F52" s="25"/>
      <c r="G52" s="25" t="s">
        <v>10</v>
      </c>
      <c r="H52" s="29" t="str">
        <f>IF(C52="", "", IF(D52="", "",D52-D37))</f>
        <v/>
      </c>
      <c r="I52" s="29" t="str">
        <f>IF(D52="", "", IF(E52="", "",E52-E37))</f>
        <v/>
      </c>
    </row>
    <row r="53" spans="1:9" x14ac:dyDescent="0.25">
      <c r="A53" s="25"/>
      <c r="B53" s="25" t="s">
        <v>11</v>
      </c>
      <c r="C53" s="26"/>
      <c r="D53" s="27"/>
      <c r="E53" s="28">
        <f>E52+C53-D53</f>
        <v>0</v>
      </c>
      <c r="F53" s="25"/>
      <c r="G53" s="25" t="s">
        <v>11</v>
      </c>
      <c r="H53" s="29" t="str">
        <f>IF(C53="", "", IF(D53="", "",D53-D38))</f>
        <v/>
      </c>
      <c r="I53" s="29" t="str">
        <f>IF(D53="", "", IF(E53="", "",E53-E38))</f>
        <v/>
      </c>
    </row>
    <row r="54" spans="1:9" x14ac:dyDescent="0.25">
      <c r="A54" s="25"/>
      <c r="B54" s="25" t="s">
        <v>12</v>
      </c>
      <c r="C54" s="26"/>
      <c r="D54" s="27"/>
      <c r="E54" s="28">
        <f>E53+C54-D54</f>
        <v>0</v>
      </c>
      <c r="F54" s="25"/>
      <c r="G54" s="25" t="s">
        <v>12</v>
      </c>
      <c r="H54" s="29" t="str">
        <f>IF(C54="", "", IF(D54="", "",D54-D39))</f>
        <v/>
      </c>
      <c r="I54" s="29" t="str">
        <f>IF(D54="", "", IF(E54="", "",E54-E39))</f>
        <v/>
      </c>
    </row>
    <row r="55" spans="1:9" x14ac:dyDescent="0.25">
      <c r="A55" s="25"/>
      <c r="B55" s="25" t="s">
        <v>13</v>
      </c>
      <c r="C55" s="26"/>
      <c r="D55" s="27"/>
      <c r="E55" s="28">
        <f>E54+C55-D55</f>
        <v>0</v>
      </c>
      <c r="F55" s="25"/>
      <c r="G55" s="25" t="s">
        <v>13</v>
      </c>
      <c r="H55" s="29" t="str">
        <f>IF(C55="", "", IF(D55="", "",D55-D40))</f>
        <v/>
      </c>
      <c r="I55" s="29" t="str">
        <f>IF(D55="", "", IF(E55="", "",E55-E40))</f>
        <v/>
      </c>
    </row>
    <row r="56" spans="1:9" x14ac:dyDescent="0.25">
      <c r="A56" s="25"/>
      <c r="B56" s="25" t="s">
        <v>14</v>
      </c>
      <c r="C56" s="26"/>
      <c r="D56" s="27"/>
      <c r="E56" s="28">
        <f>E55+C56-D56</f>
        <v>0</v>
      </c>
      <c r="F56" s="25"/>
      <c r="G56" s="25" t="s">
        <v>14</v>
      </c>
      <c r="H56" s="29" t="str">
        <f>IF(C56="", "", IF(D56="", "",D56-D41))</f>
        <v/>
      </c>
      <c r="I56" s="29" t="str">
        <f>IF(D56="", "", IF(E56="", "",E56-E41))</f>
        <v/>
      </c>
    </row>
    <row r="57" spans="1:9" x14ac:dyDescent="0.25">
      <c r="A57" s="25"/>
      <c r="B57" s="25" t="s">
        <v>15</v>
      </c>
      <c r="C57" s="26"/>
      <c r="D57" s="27"/>
      <c r="E57" s="28">
        <f>E56+C57-D57</f>
        <v>0</v>
      </c>
      <c r="F57" s="25"/>
      <c r="G57" s="25" t="s">
        <v>15</v>
      </c>
      <c r="H57" s="29" t="str">
        <f>IF(C57="", "", IF(D57="", "",D57-D42))</f>
        <v/>
      </c>
      <c r="I57" s="29" t="str">
        <f>IF(D57="", "", IF(E57="", "",E57-E42))</f>
        <v/>
      </c>
    </row>
    <row r="58" spans="1:9" x14ac:dyDescent="0.25">
      <c r="A58" s="25"/>
      <c r="B58" s="25" t="s">
        <v>16</v>
      </c>
      <c r="C58" s="26"/>
      <c r="D58" s="27"/>
      <c r="E58" s="28">
        <f>E57+C58-D58</f>
        <v>0</v>
      </c>
      <c r="F58" s="25"/>
      <c r="G58" s="25" t="s">
        <v>16</v>
      </c>
      <c r="H58" s="29" t="str">
        <f>IF(C58="", "", IF(D58="", "",D58-D43))</f>
        <v/>
      </c>
      <c r="I58" s="29" t="str">
        <f>IF(D58="", "", IF(E58="", "",E58-E43))</f>
        <v/>
      </c>
    </row>
    <row r="59" spans="1:9" x14ac:dyDescent="0.25">
      <c r="A59" s="25"/>
      <c r="B59" s="25" t="s">
        <v>17</v>
      </c>
      <c r="C59" s="26"/>
      <c r="D59" s="27"/>
      <c r="E59" s="28">
        <f>E58+C59-D59</f>
        <v>0</v>
      </c>
      <c r="F59" s="25"/>
      <c r="G59" s="25" t="s">
        <v>17</v>
      </c>
      <c r="H59" s="29" t="str">
        <f>IF(C59="", "", IF(D59="", "",D59-D44))</f>
        <v/>
      </c>
      <c r="I59" s="29" t="str">
        <f>IF(D59="", "", IF(E59="", "",E59-E44))</f>
        <v/>
      </c>
    </row>
    <row r="60" spans="1:9" x14ac:dyDescent="0.25">
      <c r="A60" s="30"/>
      <c r="B60" s="30" t="s">
        <v>18</v>
      </c>
      <c r="C60" s="31"/>
      <c r="D60" s="32"/>
      <c r="E60" s="33">
        <f>E59+C60-D60</f>
        <v>0</v>
      </c>
      <c r="F60" s="30"/>
      <c r="G60" s="30" t="s">
        <v>18</v>
      </c>
      <c r="H60" s="34" t="str">
        <f>IF(C60="", "", IF(D60="", "",D60-D45))</f>
        <v/>
      </c>
      <c r="I60" s="34" t="str">
        <f>IF(D60="", "", IF(E60="", "",E60-E45))</f>
        <v/>
      </c>
    </row>
    <row r="61" spans="1:9" s="2" customFormat="1" x14ac:dyDescent="0.25">
      <c r="A61" s="35"/>
      <c r="B61" s="35" t="s">
        <v>19</v>
      </c>
      <c r="C61" s="36">
        <f>SUM(C49:C60)</f>
        <v>0</v>
      </c>
      <c r="D61" s="37">
        <f>SUM(D49:D60)</f>
        <v>0</v>
      </c>
      <c r="E61" s="28"/>
      <c r="F61" s="35"/>
      <c r="G61" s="35"/>
      <c r="H61" s="28">
        <f>SUMIF(C49:C60,"&gt;=0",H49:H60)</f>
        <v>0</v>
      </c>
      <c r="I61" s="28"/>
    </row>
    <row r="62" spans="1:9" s="2" customFormat="1" x14ac:dyDescent="0.25">
      <c r="A62" s="35"/>
      <c r="B62" s="35" t="s">
        <v>20</v>
      </c>
      <c r="C62" s="36" t="e">
        <f>AVERAGE(C49:C60)</f>
        <v>#DIV/0!</v>
      </c>
      <c r="D62" s="37" t="e">
        <f>AVERAGE(D49:D60)</f>
        <v>#DIV/0!</v>
      </c>
      <c r="E62" s="38" t="e">
        <f>C62/D62-1</f>
        <v>#DIV/0!</v>
      </c>
      <c r="F62" s="35"/>
      <c r="G62" s="35"/>
      <c r="H62" s="28"/>
      <c r="I62" s="28"/>
    </row>
    <row r="63" spans="1:9" x14ac:dyDescent="0.25">
      <c r="A63" s="11"/>
      <c r="B63" s="11"/>
      <c r="C63" s="12"/>
      <c r="D63" s="13"/>
      <c r="E63" s="14">
        <f>E60</f>
        <v>0</v>
      </c>
      <c r="F63" s="11"/>
      <c r="G63" s="11"/>
      <c r="H63" s="15"/>
      <c r="I63" s="15"/>
    </row>
    <row r="64" spans="1:9" x14ac:dyDescent="0.25">
      <c r="A64" s="11">
        <v>2023</v>
      </c>
      <c r="B64" s="11" t="s">
        <v>7</v>
      </c>
      <c r="C64" s="12"/>
      <c r="D64" s="13"/>
      <c r="E64" s="14">
        <f>E63+C64-D64</f>
        <v>0</v>
      </c>
      <c r="F64" s="11"/>
      <c r="G64" s="11" t="s">
        <v>7</v>
      </c>
      <c r="H64" s="15" t="str">
        <f>IF(C64="", "", IF(D64="", "",D64-D49))</f>
        <v/>
      </c>
      <c r="I64" s="15" t="str">
        <f>IF(D64="", "", IF(E64="", "",E64-E49))</f>
        <v/>
      </c>
    </row>
    <row r="65" spans="1:9" x14ac:dyDescent="0.25">
      <c r="A65" s="11"/>
      <c r="B65" s="11" t="s">
        <v>8</v>
      </c>
      <c r="C65" s="12">
        <v>14.81</v>
      </c>
      <c r="D65" s="13">
        <v>0</v>
      </c>
      <c r="E65" s="14">
        <f>E64+C65-D65</f>
        <v>14.81</v>
      </c>
      <c r="F65" s="11"/>
      <c r="G65" s="11" t="s">
        <v>8</v>
      </c>
      <c r="H65" s="15">
        <f>IF(C65="", "", IF(D65="", "",D65-D50))</f>
        <v>0</v>
      </c>
      <c r="I65" s="15">
        <f>IF(D65="", "", IF(E65="", "",E65-E50))</f>
        <v>14.81</v>
      </c>
    </row>
    <row r="66" spans="1:9" x14ac:dyDescent="0.25">
      <c r="A66" s="11"/>
      <c r="B66" s="11" t="s">
        <v>9</v>
      </c>
      <c r="C66" s="12">
        <v>18.29</v>
      </c>
      <c r="D66" s="13">
        <v>0</v>
      </c>
      <c r="E66" s="14">
        <f>E65+C66-D66</f>
        <v>33.1</v>
      </c>
      <c r="F66" s="11"/>
      <c r="G66" s="11" t="s">
        <v>9</v>
      </c>
      <c r="H66" s="15">
        <f>IF(C66="", "", IF(D66="", "",D66-D51))</f>
        <v>0</v>
      </c>
      <c r="I66" s="15">
        <f>IF(D66="", "", IF(E66="", "",E66-E51))</f>
        <v>33.1</v>
      </c>
    </row>
    <row r="67" spans="1:9" x14ac:dyDescent="0.25">
      <c r="A67" s="11"/>
      <c r="B67" s="11" t="s">
        <v>10</v>
      </c>
      <c r="C67" s="12">
        <v>0</v>
      </c>
      <c r="D67" s="13">
        <v>0</v>
      </c>
      <c r="E67" s="14">
        <f>E66+C67-D67</f>
        <v>33.1</v>
      </c>
      <c r="F67" s="11"/>
      <c r="G67" s="11" t="s">
        <v>10</v>
      </c>
      <c r="H67" s="15">
        <f>IF(C67="", "", IF(D67="", "",D67-D52))</f>
        <v>0</v>
      </c>
      <c r="I67" s="15">
        <f>IF(D67="", "", IF(E67="", "",E67-E52))</f>
        <v>33.1</v>
      </c>
    </row>
    <row r="68" spans="1:9" x14ac:dyDescent="0.25">
      <c r="A68" s="11"/>
      <c r="B68" s="11" t="s">
        <v>11</v>
      </c>
      <c r="C68" s="12">
        <v>0</v>
      </c>
      <c r="D68" s="13">
        <v>0</v>
      </c>
      <c r="E68" s="14">
        <f>E67+C68-D68</f>
        <v>33.1</v>
      </c>
      <c r="F68" s="11"/>
      <c r="G68" s="11" t="s">
        <v>11</v>
      </c>
      <c r="H68" s="15">
        <f>IF(C68="", "", IF(D68="", "",D68-D53))</f>
        <v>0</v>
      </c>
      <c r="I68" s="15">
        <f>IF(D68="", "", IF(E68="", "",E68-E53))</f>
        <v>33.1</v>
      </c>
    </row>
    <row r="69" spans="1:9" x14ac:dyDescent="0.25">
      <c r="A69" s="11"/>
      <c r="B69" s="11" t="s">
        <v>12</v>
      </c>
      <c r="C69" s="12">
        <v>0</v>
      </c>
      <c r="D69" s="13">
        <v>0</v>
      </c>
      <c r="E69" s="14">
        <f>E68+C69-D69</f>
        <v>33.1</v>
      </c>
      <c r="F69" s="11"/>
      <c r="G69" s="11" t="s">
        <v>12</v>
      </c>
      <c r="H69" s="15">
        <f>IF(C69="", "", IF(D69="", "",D69-D54))</f>
        <v>0</v>
      </c>
      <c r="I69" s="15">
        <f>IF(D69="", "", IF(E69="", "",E69-E54))</f>
        <v>33.1</v>
      </c>
    </row>
    <row r="70" spans="1:9" x14ac:dyDescent="0.25">
      <c r="A70" s="11"/>
      <c r="B70" s="11" t="s">
        <v>13</v>
      </c>
      <c r="C70" s="12">
        <v>44509.9</v>
      </c>
      <c r="D70" s="13">
        <v>0</v>
      </c>
      <c r="E70" s="14">
        <f>E69+C70-D70</f>
        <v>44543</v>
      </c>
      <c r="F70" s="11"/>
      <c r="G70" s="11" t="s">
        <v>13</v>
      </c>
      <c r="H70" s="15">
        <f>IF(C70="", "", IF(D70="", "",D70-D55))</f>
        <v>0</v>
      </c>
      <c r="I70" s="15">
        <f>IF(D70="", "", IF(E70="", "",E70-E55))</f>
        <v>44543</v>
      </c>
    </row>
    <row r="71" spans="1:9" x14ac:dyDescent="0.25">
      <c r="A71" s="11"/>
      <c r="B71" s="11" t="s">
        <v>14</v>
      </c>
      <c r="C71" s="12">
        <v>0</v>
      </c>
      <c r="D71" s="13">
        <v>1793.378573</v>
      </c>
      <c r="E71" s="14">
        <f>E70+C71-D71</f>
        <v>42749.621426999998</v>
      </c>
      <c r="F71" s="11"/>
      <c r="G71" s="11" t="s">
        <v>14</v>
      </c>
      <c r="H71" s="15">
        <f>IF(C71="", "", IF(D71="", "",D71-D56))</f>
        <v>1793.378573</v>
      </c>
      <c r="I71" s="15">
        <f>IF(D71="", "", IF(E71="", "",E71-E56))</f>
        <v>42749.621426999998</v>
      </c>
    </row>
    <row r="72" spans="1:9" x14ac:dyDescent="0.25">
      <c r="A72" s="11"/>
      <c r="B72" s="11" t="s">
        <v>15</v>
      </c>
      <c r="C72" s="12">
        <v>0</v>
      </c>
      <c r="D72" s="13">
        <v>5293.9978330000004</v>
      </c>
      <c r="E72" s="14">
        <f>E71+C72-D72</f>
        <v>37455.623593999997</v>
      </c>
      <c r="F72" s="11"/>
      <c r="G72" s="11" t="s">
        <v>15</v>
      </c>
      <c r="H72" s="15">
        <f>IF(C72="", "", IF(D72="", "",D72-D57))</f>
        <v>5293.9978330000004</v>
      </c>
      <c r="I72" s="15">
        <f>IF(D72="", "", IF(E72="", "",E72-E57))</f>
        <v>37455.623593999997</v>
      </c>
    </row>
    <row r="73" spans="1:9" x14ac:dyDescent="0.25">
      <c r="A73" s="11"/>
      <c r="B73" s="11" t="s">
        <v>16</v>
      </c>
      <c r="C73" s="12">
        <v>0</v>
      </c>
      <c r="D73" s="13">
        <v>6620.0056430000004</v>
      </c>
      <c r="E73" s="14">
        <f>E72+C73-D73</f>
        <v>30835.617950999997</v>
      </c>
      <c r="F73" s="11"/>
      <c r="G73" s="11" t="s">
        <v>16</v>
      </c>
      <c r="H73" s="15">
        <f>IF(C73="", "", IF(D73="", "",D73-D58))</f>
        <v>6620.0056430000004</v>
      </c>
      <c r="I73" s="15">
        <f>IF(D73="", "", IF(E73="", "",E73-E58))</f>
        <v>30835.617950999997</v>
      </c>
    </row>
    <row r="74" spans="1:9" x14ac:dyDescent="0.25">
      <c r="A74" s="11"/>
      <c r="B74" s="11" t="s">
        <v>17</v>
      </c>
      <c r="C74" s="12">
        <v>0</v>
      </c>
      <c r="D74" s="13">
        <v>5510.5984420000004</v>
      </c>
      <c r="E74" s="14">
        <f>E73+C74-D74</f>
        <v>25325.019508999998</v>
      </c>
      <c r="F74" s="11"/>
      <c r="G74" s="11" t="s">
        <v>17</v>
      </c>
      <c r="H74" s="15">
        <f>IF(C74="", "", IF(D74="", "",D74-D59))</f>
        <v>5510.5984420000004</v>
      </c>
      <c r="I74" s="15">
        <f>IF(D74="", "", IF(E74="", "",E74-E59))</f>
        <v>25325.019508999998</v>
      </c>
    </row>
    <row r="75" spans="1:9" x14ac:dyDescent="0.25">
      <c r="A75" s="16"/>
      <c r="B75" s="16" t="s">
        <v>18</v>
      </c>
      <c r="C75" s="17">
        <v>26678.29</v>
      </c>
      <c r="D75" s="18">
        <v>3307.4761699999999</v>
      </c>
      <c r="E75" s="19">
        <f>E74+C75-D75</f>
        <v>48695.833338999997</v>
      </c>
      <c r="F75" s="16"/>
      <c r="G75" s="16" t="s">
        <v>18</v>
      </c>
      <c r="H75" s="20">
        <f>IF(C75="", "", IF(D75="", "",D75-D60))</f>
        <v>3307.4761699999999</v>
      </c>
      <c r="I75" s="20">
        <f>IF(D75="", "", IF(E75="", "",E75-E60))</f>
        <v>48695.833338999997</v>
      </c>
    </row>
    <row r="76" spans="1:9" s="2" customFormat="1" x14ac:dyDescent="0.25">
      <c r="A76" s="21"/>
      <c r="B76" s="21" t="s">
        <v>19</v>
      </c>
      <c r="C76" s="22">
        <f>SUM(C64:C75)</f>
        <v>71221.290000000008</v>
      </c>
      <c r="D76" s="23">
        <f>SUM(D64:D75)</f>
        <v>22525.456661000004</v>
      </c>
      <c r="E76" s="14"/>
      <c r="F76" s="21"/>
      <c r="G76" s="21"/>
      <c r="H76" s="14">
        <f>SUMIF(C64:C75,"&gt;=0",H64:H75)</f>
        <v>22525.456661000004</v>
      </c>
      <c r="I76" s="14"/>
    </row>
    <row r="77" spans="1:9" s="2" customFormat="1" x14ac:dyDescent="0.25">
      <c r="A77" s="21"/>
      <c r="B77" s="21" t="s">
        <v>20</v>
      </c>
      <c r="C77" s="22">
        <f>AVERAGE(C64:C75)</f>
        <v>6474.6627272727283</v>
      </c>
      <c r="D77" s="23">
        <f>AVERAGE(D64:D75)</f>
        <v>2047.7687873636366</v>
      </c>
      <c r="E77" s="24">
        <f>C77/D77-1</f>
        <v>2.161813368397131</v>
      </c>
      <c r="F77" s="21"/>
      <c r="G77" s="21"/>
      <c r="H77" s="14"/>
      <c r="I77" s="14"/>
    </row>
    <row r="78" spans="1:9" x14ac:dyDescent="0.25">
      <c r="A78" s="25"/>
      <c r="B78" s="25"/>
      <c r="C78" s="26"/>
      <c r="D78" s="27"/>
      <c r="E78" s="28">
        <f>E75</f>
        <v>48695.833338999997</v>
      </c>
      <c r="F78" s="25"/>
      <c r="G78" s="25"/>
      <c r="H78" s="29"/>
      <c r="I78" s="29"/>
    </row>
    <row r="79" spans="1:9" x14ac:dyDescent="0.25">
      <c r="A79" s="25">
        <v>2024</v>
      </c>
      <c r="B79" s="25" t="s">
        <v>7</v>
      </c>
      <c r="C79" s="26"/>
      <c r="D79" s="27"/>
      <c r="E79" s="28">
        <f>E78+C79-D79</f>
        <v>48695.833338999997</v>
      </c>
      <c r="F79" s="25"/>
      <c r="G79" s="25" t="s">
        <v>7</v>
      </c>
      <c r="H79" s="29" t="str">
        <f>IF(C79="", "", IF(D79="", "",D79-D64))</f>
        <v/>
      </c>
      <c r="I79" s="29" t="str">
        <f>IF(D79="", "", IF(E79="", "",E79-E64))</f>
        <v/>
      </c>
    </row>
    <row r="80" spans="1:9" x14ac:dyDescent="0.25">
      <c r="A80" s="25"/>
      <c r="B80" s="25" t="s">
        <v>8</v>
      </c>
      <c r="C80" s="26"/>
      <c r="D80" s="27"/>
      <c r="E80" s="28">
        <f>E79+C80-D80</f>
        <v>48695.833338999997</v>
      </c>
      <c r="F80" s="25"/>
      <c r="G80" s="25" t="s">
        <v>8</v>
      </c>
      <c r="H80" s="29" t="str">
        <f>IF(C80="", "", IF(D80="", "",D80-D65))</f>
        <v/>
      </c>
      <c r="I80" s="29" t="str">
        <f>IF(D80="", "", IF(E80="", "",E80-E65))</f>
        <v/>
      </c>
    </row>
    <row r="81" spans="1:9" x14ac:dyDescent="0.25">
      <c r="A81" s="25"/>
      <c r="B81" s="25" t="s">
        <v>9</v>
      </c>
      <c r="C81" s="26"/>
      <c r="D81" s="27"/>
      <c r="E81" s="28">
        <f>E80+C81-D81</f>
        <v>48695.833338999997</v>
      </c>
      <c r="F81" s="25"/>
      <c r="G81" s="25" t="s">
        <v>9</v>
      </c>
      <c r="H81" s="29" t="str">
        <f>IF(C81="", "", IF(D81="", "",D81-D66))</f>
        <v/>
      </c>
      <c r="I81" s="29" t="str">
        <f>IF(D81="", "", IF(E81="", "",E81-E66))</f>
        <v/>
      </c>
    </row>
    <row r="82" spans="1:9" x14ac:dyDescent="0.25">
      <c r="A82" s="25"/>
      <c r="B82" s="25" t="s">
        <v>10</v>
      </c>
      <c r="C82" s="26"/>
      <c r="D82" s="27"/>
      <c r="E82" s="28">
        <f>E81+C82-D82</f>
        <v>48695.833338999997</v>
      </c>
      <c r="F82" s="25"/>
      <c r="G82" s="25" t="s">
        <v>10</v>
      </c>
      <c r="H82" s="29" t="str">
        <f>IF(C82="", "", IF(D82="", "",D82-D67))</f>
        <v/>
      </c>
      <c r="I82" s="29" t="str">
        <f>IF(D82="", "", IF(E82="", "",E82-E67))</f>
        <v/>
      </c>
    </row>
    <row r="83" spans="1:9" x14ac:dyDescent="0.25">
      <c r="A83" s="25"/>
      <c r="B83" s="25" t="s">
        <v>11</v>
      </c>
      <c r="C83" s="26"/>
      <c r="D83" s="27"/>
      <c r="E83" s="28">
        <f>E82+C83-D83</f>
        <v>48695.833338999997</v>
      </c>
      <c r="F83" s="25"/>
      <c r="G83" s="25" t="s">
        <v>11</v>
      </c>
      <c r="H83" s="29" t="str">
        <f>IF(C83="", "", IF(D83="", "",D83-D68))</f>
        <v/>
      </c>
      <c r="I83" s="29" t="str">
        <f>IF(D83="", "", IF(E83="", "",E83-E68))</f>
        <v/>
      </c>
    </row>
    <row r="84" spans="1:9" x14ac:dyDescent="0.25">
      <c r="A84" s="25"/>
      <c r="B84" s="25" t="s">
        <v>12</v>
      </c>
      <c r="C84" s="26"/>
      <c r="D84" s="27"/>
      <c r="E84" s="28">
        <f>E83+C84-D84</f>
        <v>48695.833338999997</v>
      </c>
      <c r="F84" s="25"/>
      <c r="G84" s="25" t="s">
        <v>12</v>
      </c>
      <c r="H84" s="29" t="str">
        <f>IF(C84="", "", IF(D84="", "",D84-D69))</f>
        <v/>
      </c>
      <c r="I84" s="29" t="str">
        <f>IF(D84="", "", IF(E84="", "",E84-E69))</f>
        <v/>
      </c>
    </row>
    <row r="85" spans="1:9" x14ac:dyDescent="0.25">
      <c r="A85" s="25"/>
      <c r="B85" s="25" t="s">
        <v>13</v>
      </c>
      <c r="C85" s="26"/>
      <c r="D85" s="27"/>
      <c r="E85" s="28">
        <f>E84+C85-D85</f>
        <v>48695.833338999997</v>
      </c>
      <c r="F85" s="25"/>
      <c r="G85" s="25" t="s">
        <v>13</v>
      </c>
      <c r="H85" s="29" t="str">
        <f>IF(C85="", "", IF(D85="", "",D85-D70))</f>
        <v/>
      </c>
      <c r="I85" s="29" t="str">
        <f>IF(D85="", "", IF(E85="", "",E85-E70))</f>
        <v/>
      </c>
    </row>
    <row r="86" spans="1:9" x14ac:dyDescent="0.25">
      <c r="A86" s="25"/>
      <c r="B86" s="25" t="s">
        <v>14</v>
      </c>
      <c r="C86" s="26"/>
      <c r="D86" s="27"/>
      <c r="E86" s="28">
        <f>E85+C86-D86</f>
        <v>48695.833338999997</v>
      </c>
      <c r="F86" s="25"/>
      <c r="G86" s="25" t="s">
        <v>14</v>
      </c>
      <c r="H86" s="29" t="str">
        <f>IF(C86="", "", IF(D86="", "",D86-D71))</f>
        <v/>
      </c>
      <c r="I86" s="29" t="str">
        <f>IF(D86="", "", IF(E86="", "",E86-E71))</f>
        <v/>
      </c>
    </row>
    <row r="87" spans="1:9" x14ac:dyDescent="0.25">
      <c r="A87" s="25"/>
      <c r="B87" s="25" t="s">
        <v>15</v>
      </c>
      <c r="C87" s="26"/>
      <c r="D87" s="27"/>
      <c r="E87" s="28">
        <f>E86+C87-D87</f>
        <v>48695.833338999997</v>
      </c>
      <c r="F87" s="25"/>
      <c r="G87" s="25" t="s">
        <v>15</v>
      </c>
      <c r="H87" s="29" t="str">
        <f>IF(C87="", "", IF(D87="", "",D87-D72))</f>
        <v/>
      </c>
      <c r="I87" s="29" t="str">
        <f>IF(D87="", "", IF(E87="", "",E87-E72))</f>
        <v/>
      </c>
    </row>
    <row r="88" spans="1:9" x14ac:dyDescent="0.25">
      <c r="A88" s="25"/>
      <c r="B88" s="25" t="s">
        <v>16</v>
      </c>
      <c r="C88" s="26"/>
      <c r="D88" s="27"/>
      <c r="E88" s="28">
        <f>E87+C88-D88</f>
        <v>48695.833338999997</v>
      </c>
      <c r="F88" s="25"/>
      <c r="G88" s="25" t="s">
        <v>16</v>
      </c>
      <c r="H88" s="29" t="str">
        <f>IF(C88="", "", IF(D88="", "",D88-D73))</f>
        <v/>
      </c>
      <c r="I88" s="29" t="str">
        <f>IF(D88="", "", IF(E88="", "",E88-E73))</f>
        <v/>
      </c>
    </row>
    <row r="89" spans="1:9" x14ac:dyDescent="0.25">
      <c r="A89" s="25"/>
      <c r="B89" s="25" t="s">
        <v>17</v>
      </c>
      <c r="C89" s="26"/>
      <c r="D89" s="27"/>
      <c r="E89" s="28">
        <f>E88+C89-D89</f>
        <v>48695.833338999997</v>
      </c>
      <c r="F89" s="25"/>
      <c r="G89" s="25" t="s">
        <v>17</v>
      </c>
      <c r="H89" s="29" t="str">
        <f>IF(C89="", "", IF(D89="", "",D89-D74))</f>
        <v/>
      </c>
      <c r="I89" s="29" t="str">
        <f>IF(D89="", "", IF(E89="", "",E89-E74))</f>
        <v/>
      </c>
    </row>
    <row r="90" spans="1:9" x14ac:dyDescent="0.25">
      <c r="A90" s="30"/>
      <c r="B90" s="30" t="s">
        <v>18</v>
      </c>
      <c r="C90" s="31"/>
      <c r="D90" s="32"/>
      <c r="E90" s="33">
        <f>E89+C90-D90</f>
        <v>48695.833338999997</v>
      </c>
      <c r="F90" s="30"/>
      <c r="G90" s="30" t="s">
        <v>18</v>
      </c>
      <c r="H90" s="34" t="str">
        <f>IF(C90="", "", IF(D90="", "",D90-D75))</f>
        <v/>
      </c>
      <c r="I90" s="34" t="str">
        <f>IF(D90="", "", IF(E90="", "",E90-E75))</f>
        <v/>
      </c>
    </row>
    <row r="91" spans="1:9" s="2" customFormat="1" x14ac:dyDescent="0.25">
      <c r="A91" s="35"/>
      <c r="B91" s="35" t="s">
        <v>19</v>
      </c>
      <c r="C91" s="36">
        <f>SUM(C79:C90)</f>
        <v>0</v>
      </c>
      <c r="D91" s="37">
        <f>SUM(D79:D90)</f>
        <v>0</v>
      </c>
      <c r="E91" s="28"/>
      <c r="F91" s="35"/>
      <c r="G91" s="35"/>
      <c r="H91" s="28">
        <f>SUMIF(C79:C90,"&gt;=0",H79:H90)</f>
        <v>0</v>
      </c>
      <c r="I91" s="28"/>
    </row>
    <row r="92" spans="1:9" s="2" customFormat="1" x14ac:dyDescent="0.25">
      <c r="A92" s="35"/>
      <c r="B92" s="35" t="s">
        <v>20</v>
      </c>
      <c r="C92" s="36" t="e">
        <f>AVERAGE(C79:C90)</f>
        <v>#DIV/0!</v>
      </c>
      <c r="D92" s="37" t="e">
        <f>AVERAGE(D79:D90)</f>
        <v>#DIV/0!</v>
      </c>
      <c r="E92" s="38" t="e">
        <f>C92/D92-1</f>
        <v>#DIV/0!</v>
      </c>
      <c r="F92" s="35"/>
      <c r="G92" s="35"/>
      <c r="H92" s="28"/>
      <c r="I92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Prod</vt:lpstr>
      <vt:lpstr>All</vt:lpstr>
      <vt:lpstr>Pivot</vt:lpstr>
      <vt:lpstr>METALICO M</vt:lpstr>
      <vt:lpstr>ZHEJIANG C</vt:lpstr>
      <vt:lpstr>GTV POLAND</vt:lpstr>
      <vt:lpstr>CONSOLIGHT</vt:lpstr>
      <vt:lpstr>EMOS SPOL </vt:lpstr>
      <vt:lpstr>NINGBO EXC</vt:lpstr>
      <vt:lpstr>Makel Elek</vt:lpstr>
      <vt:lpstr>BM SPA</vt:lpstr>
      <vt:lpstr>MONO Elekt</vt:lpstr>
      <vt:lpstr>WKK FIXATI</vt:lpstr>
      <vt:lpstr>Cepas Galv</vt:lpstr>
      <vt:lpstr>SHENZHEN S</vt:lpstr>
      <vt:lpstr>SUZHOU KIN</vt:lpstr>
      <vt:lpstr>DMY ELEKTR</vt:lpstr>
      <vt:lpstr>MUTLUSAN P</vt:lpstr>
      <vt:lpstr>DestRange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Vicentiu Mincior</dc:creator>
  <cp:lastModifiedBy>Vicentiu Mincior</cp:lastModifiedBy>
  <dcterms:created xsi:type="dcterms:W3CDTF">2024-01-18T13:32:27Z</dcterms:created>
  <dcterms:modified xsi:type="dcterms:W3CDTF">2024-01-18T14:38:28Z</dcterms:modified>
</cp:coreProperties>
</file>